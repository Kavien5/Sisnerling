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ela MA\2025\SEEA - Neraca Arus Energi 2025\Neraca Aset Mineral dan Energi (2025)\03 Worksheet (2025)\"/>
    </mc:Choice>
  </mc:AlternateContent>
  <xr:revisionPtr revIDLastSave="0" documentId="13_ncr:1_{1C6E369F-3B7A-493C-B88B-C63B792DEF82}" xr6:coauthVersionLast="47" xr6:coauthVersionMax="47" xr10:uidLastSave="{00000000-0000-0000-0000-000000000000}"/>
  <bookViews>
    <workbookView xWindow="-120" yWindow="-120" windowWidth="20730" windowHeight="11160" tabRatio="601" activeTab="9" xr2:uid="{00000000-000D-0000-FFFF-FFFF00000000}"/>
  </bookViews>
  <sheets>
    <sheet name="Home" sheetId="1" r:id="rId1"/>
    <sheet name="Oil" sheetId="2" r:id="rId2"/>
    <sheet name="Gas" sheetId="3" r:id="rId3"/>
    <sheet name="Coal" sheetId="4" r:id="rId4"/>
    <sheet name="Gold" sheetId="5" r:id="rId5"/>
    <sheet name="Silver" sheetId="6" r:id="rId6"/>
    <sheet name="Copper" sheetId="7" r:id="rId7"/>
    <sheet name="Tin" sheetId="8" r:id="rId8"/>
    <sheet name="Nickel" sheetId="9" r:id="rId9"/>
    <sheet name="Bauxite" sheetId="10" r:id="rId10"/>
    <sheet name="Bond" sheetId="11" r:id="rId11"/>
    <sheet name="Notes" sheetId="12" r:id="rId12"/>
    <sheet name="Lakin" sheetId="15" r:id="rId13"/>
    <sheet name="Conversion Factor" sheetId="13" r:id="rId14"/>
    <sheet name="Harga Acuan" sheetId="14" r:id="rId15"/>
  </sheets>
  <externalReferences>
    <externalReference r:id="rId16"/>
    <externalReference r:id="rId17"/>
    <externalReference r:id="rId18"/>
    <externalReference r:id="rId1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5" i="3" l="1"/>
  <c r="S25" i="3"/>
  <c r="R25" i="3"/>
  <c r="Q25" i="3"/>
  <c r="P25" i="3"/>
  <c r="P68" i="5"/>
  <c r="S27" i="10" l="1"/>
  <c r="R27" i="10"/>
  <c r="Q27" i="10"/>
  <c r="P27" i="10"/>
  <c r="O27" i="10"/>
  <c r="S12" i="10"/>
  <c r="R12" i="10"/>
  <c r="Q12" i="10"/>
  <c r="P12" i="10"/>
  <c r="O12" i="10"/>
  <c r="T27" i="9"/>
  <c r="S27" i="9"/>
  <c r="R27" i="9"/>
  <c r="Q27" i="9"/>
  <c r="P27" i="9"/>
  <c r="O27" i="9"/>
  <c r="N27" i="9"/>
  <c r="S12" i="9"/>
  <c r="R12" i="9"/>
  <c r="Q12" i="9"/>
  <c r="P12" i="9"/>
  <c r="O12" i="9"/>
  <c r="N12" i="9"/>
  <c r="T12" i="9"/>
  <c r="Q12" i="7" l="1"/>
  <c r="S12" i="6"/>
  <c r="R12" i="6"/>
  <c r="Q12" i="6"/>
  <c r="P12" i="6"/>
  <c r="S27" i="6"/>
  <c r="R27" i="6"/>
  <c r="Q27" i="6"/>
  <c r="P27" i="6"/>
  <c r="T27" i="6"/>
  <c r="R41" i="6"/>
  <c r="S41" i="6" l="1"/>
  <c r="Q41" i="6"/>
  <c r="S12" i="5"/>
  <c r="R12" i="5"/>
  <c r="Q12" i="5"/>
  <c r="P12" i="5"/>
  <c r="T12" i="5"/>
  <c r="S27" i="5"/>
  <c r="R27" i="5"/>
  <c r="Q27" i="5"/>
  <c r="P27" i="5"/>
  <c r="T27" i="5"/>
  <c r="T12" i="4"/>
  <c r="S12" i="4"/>
  <c r="R12" i="4"/>
  <c r="Q12" i="4"/>
  <c r="P12" i="4"/>
  <c r="D7" i="4"/>
  <c r="E7" i="4"/>
  <c r="T41" i="6" l="1"/>
  <c r="O3" i="6"/>
  <c r="O7" i="6" s="1"/>
  <c r="O8" i="6"/>
  <c r="O9" i="6"/>
  <c r="O96" i="6" s="1"/>
  <c r="O12" i="6"/>
  <c r="O17" i="6"/>
  <c r="O22" i="6"/>
  <c r="O23" i="6"/>
  <c r="O24" i="6"/>
  <c r="O27" i="6"/>
  <c r="O37" i="6"/>
  <c r="O38" i="6"/>
  <c r="O45" i="6"/>
  <c r="O46" i="6" s="1"/>
  <c r="O91" i="6" s="1"/>
  <c r="O90" i="6" s="1"/>
  <c r="O54" i="6"/>
  <c r="O55" i="6"/>
  <c r="O66" i="6"/>
  <c r="O67" i="6"/>
  <c r="O68" i="6"/>
  <c r="O69" i="6" s="1"/>
  <c r="O72" i="6"/>
  <c r="O76" i="6" s="1"/>
  <c r="O78" i="6" s="1"/>
  <c r="O124" i="6" s="1"/>
  <c r="O126" i="6" s="1"/>
  <c r="O77" i="6"/>
  <c r="O83" i="6"/>
  <c r="O84" i="6"/>
  <c r="O85" i="6"/>
  <c r="O86" i="6"/>
  <c r="O103" i="6"/>
  <c r="O104" i="6"/>
  <c r="O105" i="6"/>
  <c r="O106" i="6"/>
  <c r="O118" i="6" s="1"/>
  <c r="O110" i="6"/>
  <c r="O111" i="6"/>
  <c r="O116" i="6"/>
  <c r="O115" i="6" s="1"/>
  <c r="O122" i="6"/>
  <c r="O123" i="6"/>
  <c r="O125" i="6"/>
  <c r="O128" i="6"/>
  <c r="O137" i="6"/>
  <c r="O138" i="6"/>
  <c r="O139" i="6"/>
  <c r="O161" i="6"/>
  <c r="O162" i="6"/>
  <c r="Q153" i="7"/>
  <c r="O95" i="6" l="1"/>
  <c r="O98" i="6" s="1"/>
  <c r="O131" i="6"/>
  <c r="O127" i="6"/>
  <c r="O71" i="6"/>
  <c r="O47" i="6"/>
  <c r="O70" i="6"/>
  <c r="S27" i="8"/>
  <c r="P12" i="7"/>
  <c r="O129" i="6" l="1"/>
  <c r="O130" i="6" s="1"/>
  <c r="T12" i="2"/>
  <c r="O151" i="6" l="1"/>
  <c r="O132" i="6"/>
  <c r="T74" i="3"/>
  <c r="S74" i="3"/>
  <c r="R74" i="3"/>
  <c r="Q74" i="3"/>
  <c r="P74" i="3"/>
  <c r="T69" i="3"/>
  <c r="S69" i="3"/>
  <c r="R69" i="3"/>
  <c r="Q69" i="3"/>
  <c r="P69" i="3"/>
  <c r="O141" i="6" l="1"/>
  <c r="O145" i="6"/>
  <c r="O149" i="6"/>
  <c r="O142" i="6"/>
  <c r="O146" i="6"/>
  <c r="O143" i="6"/>
  <c r="O147" i="6"/>
  <c r="O148" i="6"/>
  <c r="O150" i="6"/>
  <c r="R68" i="3"/>
  <c r="R64" i="3"/>
  <c r="O144" i="6" l="1"/>
  <c r="O140" i="6"/>
  <c r="O153" i="6" s="1"/>
  <c r="H25" i="15"/>
  <c r="H24" i="15"/>
  <c r="H13" i="15"/>
  <c r="H10" i="15"/>
  <c r="H32" i="15" s="1"/>
  <c r="H37" i="15"/>
  <c r="H36" i="15"/>
  <c r="H34" i="15"/>
  <c r="H33" i="15"/>
  <c r="H35" i="15" l="1"/>
  <c r="T12" i="6"/>
  <c r="T128" i="6"/>
  <c r="T106" i="6"/>
  <c r="T86" i="6"/>
  <c r="T45" i="6"/>
  <c r="T24" i="6"/>
  <c r="T116" i="6" s="1"/>
  <c r="T9" i="6"/>
  <c r="T96" i="6" s="1"/>
  <c r="T9" i="4"/>
  <c r="T131" i="6" l="1"/>
  <c r="T47" i="6"/>
  <c r="T111" i="6"/>
  <c r="T110" i="6" s="1"/>
  <c r="T77" i="6"/>
  <c r="T125" i="6" s="1"/>
  <c r="T68" i="6"/>
  <c r="T70" i="6" l="1"/>
  <c r="T69" i="6"/>
  <c r="T71" i="6"/>
  <c r="T72" i="6"/>
  <c r="T76" i="6" s="1"/>
  <c r="T78" i="6" s="1"/>
  <c r="T124" i="6" s="1"/>
  <c r="T126" i="6" s="1"/>
  <c r="N9" i="2" l="1"/>
  <c r="S6" i="11"/>
  <c r="T86" i="3"/>
  <c r="T162" i="10"/>
  <c r="T138" i="10"/>
  <c r="T128" i="10"/>
  <c r="T123" i="10"/>
  <c r="T106" i="10"/>
  <c r="T104" i="10"/>
  <c r="T86" i="10"/>
  <c r="T84" i="10"/>
  <c r="T83" i="10"/>
  <c r="T67" i="10"/>
  <c r="T55" i="10"/>
  <c r="T54" i="10"/>
  <c r="T46" i="10"/>
  <c r="T91" i="10" s="1"/>
  <c r="T90" i="10" s="1"/>
  <c r="T45" i="10"/>
  <c r="T111" i="10" s="1"/>
  <c r="T110" i="10" s="1"/>
  <c r="T38" i="10"/>
  <c r="T27" i="10"/>
  <c r="T24" i="10"/>
  <c r="T116" i="10" s="1"/>
  <c r="T23" i="10"/>
  <c r="T12" i="10"/>
  <c r="T9" i="10"/>
  <c r="T96" i="10" s="1"/>
  <c r="T8" i="10"/>
  <c r="T3" i="10"/>
  <c r="T122" i="10" s="1"/>
  <c r="T128" i="9"/>
  <c r="T106" i="9"/>
  <c r="T86" i="9"/>
  <c r="T45" i="9"/>
  <c r="T46" i="9"/>
  <c r="T91" i="9" s="1"/>
  <c r="T90" i="9" s="1"/>
  <c r="T24" i="9"/>
  <c r="T116" i="9" s="1"/>
  <c r="T9" i="9"/>
  <c r="T96" i="9" s="1"/>
  <c r="T128" i="8"/>
  <c r="T106" i="8"/>
  <c r="T86" i="8"/>
  <c r="T46" i="8"/>
  <c r="T91" i="8" s="1"/>
  <c r="T90" i="8" s="1"/>
  <c r="T27" i="8"/>
  <c r="T24" i="8"/>
  <c r="T116" i="8" s="1"/>
  <c r="T12" i="8"/>
  <c r="T9" i="8"/>
  <c r="T96" i="8" s="1"/>
  <c r="T128" i="7"/>
  <c r="T106" i="7"/>
  <c r="T86" i="7"/>
  <c r="T68" i="7"/>
  <c r="T27" i="7"/>
  <c r="T24" i="7"/>
  <c r="T116" i="7" s="1"/>
  <c r="T12" i="7"/>
  <c r="T9" i="7"/>
  <c r="T96" i="7" s="1"/>
  <c r="T128" i="5"/>
  <c r="T106" i="5"/>
  <c r="T86" i="5"/>
  <c r="T45" i="5"/>
  <c r="T47" i="5" s="1"/>
  <c r="T111" i="5"/>
  <c r="T110" i="5" s="1"/>
  <c r="T24" i="5"/>
  <c r="T116" i="5" s="1"/>
  <c r="T131" i="5" s="1"/>
  <c r="T9" i="5"/>
  <c r="T96" i="5" s="1"/>
  <c r="T86" i="4"/>
  <c r="T74" i="4"/>
  <c r="T89" i="4" s="1"/>
  <c r="T64" i="4"/>
  <c r="T63" i="4"/>
  <c r="T55" i="4"/>
  <c r="T83" i="4" s="1"/>
  <c r="T46" i="4"/>
  <c r="T25" i="4"/>
  <c r="T69" i="4"/>
  <c r="T68" i="4" s="1"/>
  <c r="T64" i="3"/>
  <c r="T46" i="3"/>
  <c r="T55" i="3"/>
  <c r="T83" i="3" s="1"/>
  <c r="T86" i="2"/>
  <c r="T64" i="2"/>
  <c r="T55" i="2"/>
  <c r="T83" i="2" s="1"/>
  <c r="T46" i="2"/>
  <c r="T69" i="2"/>
  <c r="T68" i="2" s="1"/>
  <c r="T9" i="2"/>
  <c r="T74" i="2" s="1"/>
  <c r="T47" i="10" l="1"/>
  <c r="T131" i="10"/>
  <c r="T103" i="10"/>
  <c r="T137" i="10"/>
  <c r="T161" i="10"/>
  <c r="T68" i="10"/>
  <c r="T7" i="10"/>
  <c r="T22" i="10"/>
  <c r="T37" i="10"/>
  <c r="T66" i="10"/>
  <c r="T77" i="10"/>
  <c r="T125" i="10" s="1"/>
  <c r="T131" i="9"/>
  <c r="T111" i="9"/>
  <c r="T110" i="9" s="1"/>
  <c r="T77" i="9"/>
  <c r="T125" i="9" s="1"/>
  <c r="T47" i="9"/>
  <c r="T68" i="9"/>
  <c r="T131" i="8"/>
  <c r="T45" i="8"/>
  <c r="T68" i="8"/>
  <c r="T69" i="7"/>
  <c r="T72" i="7"/>
  <c r="T76" i="7" s="1"/>
  <c r="T71" i="7"/>
  <c r="T70" i="7"/>
  <c r="T131" i="7"/>
  <c r="T68" i="5"/>
  <c r="T77" i="5"/>
  <c r="T125" i="5" s="1"/>
  <c r="T47" i="4"/>
  <c r="T49" i="4"/>
  <c r="T48" i="4"/>
  <c r="T50" i="4"/>
  <c r="T54" i="4" s="1"/>
  <c r="T56" i="4" s="1"/>
  <c r="T82" i="4" s="1"/>
  <c r="T84" i="4" s="1"/>
  <c r="T73" i="4"/>
  <c r="T76" i="4" s="1"/>
  <c r="T89" i="3"/>
  <c r="T50" i="3"/>
  <c r="T54" i="3" s="1"/>
  <c r="T56" i="3" s="1"/>
  <c r="T82" i="3" s="1"/>
  <c r="T84" i="3" s="1"/>
  <c r="T48" i="3"/>
  <c r="T49" i="3"/>
  <c r="T47" i="3"/>
  <c r="T68" i="3"/>
  <c r="T89" i="2"/>
  <c r="T47" i="2"/>
  <c r="T50" i="2"/>
  <c r="T54" i="2" s="1"/>
  <c r="T56" i="2" s="1"/>
  <c r="T82" i="2" s="1"/>
  <c r="T84" i="2" s="1"/>
  <c r="T49" i="2"/>
  <c r="T48" i="2"/>
  <c r="T25" i="2"/>
  <c r="S9" i="10"/>
  <c r="T85" i="10" s="1"/>
  <c r="T95" i="10" s="1"/>
  <c r="T98" i="10" s="1"/>
  <c r="S9" i="9"/>
  <c r="T85" i="9" s="1"/>
  <c r="T95" i="9" s="1"/>
  <c r="T98" i="9" s="1"/>
  <c r="S12" i="8"/>
  <c r="S27" i="7"/>
  <c r="S12" i="7"/>
  <c r="S24" i="6"/>
  <c r="T105" i="6" s="1"/>
  <c r="T115" i="6" s="1"/>
  <c r="T118" i="6" s="1"/>
  <c r="S9" i="6"/>
  <c r="T85" i="6" s="1"/>
  <c r="S24" i="5"/>
  <c r="T105" i="5" s="1"/>
  <c r="T115" i="5" s="1"/>
  <c r="T118" i="5" s="1"/>
  <c r="S9" i="5"/>
  <c r="T85" i="5" s="1"/>
  <c r="T70" i="10" l="1"/>
  <c r="T69" i="10"/>
  <c r="T72" i="10"/>
  <c r="T76" i="10" s="1"/>
  <c r="T78" i="10" s="1"/>
  <c r="T124" i="10" s="1"/>
  <c r="T126" i="10" s="1"/>
  <c r="T71" i="10"/>
  <c r="T111" i="8"/>
  <c r="T110" i="8" s="1"/>
  <c r="T77" i="8"/>
  <c r="T125" i="8" s="1"/>
  <c r="T47" i="8"/>
  <c r="T70" i="8"/>
  <c r="T72" i="8"/>
  <c r="T76" i="8" s="1"/>
  <c r="T69" i="8"/>
  <c r="T71" i="8"/>
  <c r="T70" i="5"/>
  <c r="T72" i="5"/>
  <c r="T76" i="5" s="1"/>
  <c r="T78" i="5" s="1"/>
  <c r="T124" i="5" s="1"/>
  <c r="T126" i="5" s="1"/>
  <c r="T71" i="5"/>
  <c r="T69" i="5"/>
  <c r="S128" i="10"/>
  <c r="S106" i="10"/>
  <c r="S96" i="10"/>
  <c r="S86" i="10"/>
  <c r="S85" i="10"/>
  <c r="S68" i="10"/>
  <c r="S72" i="10" s="1"/>
  <c r="S76" i="10" s="1"/>
  <c r="S46" i="10"/>
  <c r="S91" i="10" s="1"/>
  <c r="S90" i="10" s="1"/>
  <c r="S45" i="10"/>
  <c r="S111" i="10" s="1"/>
  <c r="S110" i="10" s="1"/>
  <c r="S24" i="10"/>
  <c r="S128" i="9"/>
  <c r="S106" i="9"/>
  <c r="S96" i="9"/>
  <c r="S86" i="9"/>
  <c r="S85" i="9"/>
  <c r="S68" i="9"/>
  <c r="S46" i="9"/>
  <c r="S91" i="9" s="1"/>
  <c r="S90" i="9" s="1"/>
  <c r="S24" i="9"/>
  <c r="S128" i="8"/>
  <c r="S106" i="8"/>
  <c r="S86" i="8"/>
  <c r="S68" i="8"/>
  <c r="S71" i="8" s="1"/>
  <c r="S46" i="8"/>
  <c r="S91" i="8" s="1"/>
  <c r="S90" i="8" s="1"/>
  <c r="S45" i="8"/>
  <c r="S111" i="8" s="1"/>
  <c r="S110" i="8" s="1"/>
  <c r="S24" i="8"/>
  <c r="S9" i="8"/>
  <c r="S128" i="7"/>
  <c r="S106" i="7"/>
  <c r="S86" i="7"/>
  <c r="S68" i="7"/>
  <c r="S72" i="7" s="1"/>
  <c r="S76" i="7" s="1"/>
  <c r="S24" i="7"/>
  <c r="S9" i="7"/>
  <c r="S128" i="6"/>
  <c r="S116" i="6"/>
  <c r="S131" i="6" s="1"/>
  <c r="S106" i="6"/>
  <c r="S105" i="6"/>
  <c r="S96" i="6"/>
  <c r="S86" i="6"/>
  <c r="S85" i="6"/>
  <c r="S68" i="6"/>
  <c r="S71" i="6" s="1"/>
  <c r="G24" i="15"/>
  <c r="G13" i="15"/>
  <c r="G35" i="15" s="1"/>
  <c r="G37" i="15"/>
  <c r="G36" i="15"/>
  <c r="G34" i="15"/>
  <c r="G33" i="15"/>
  <c r="G32" i="15"/>
  <c r="S45" i="5" s="1"/>
  <c r="S47" i="5" s="1"/>
  <c r="S128" i="5"/>
  <c r="S116" i="5"/>
  <c r="S131" i="5" s="1"/>
  <c r="S111" i="5"/>
  <c r="S110" i="5" s="1"/>
  <c r="S106" i="5"/>
  <c r="S105" i="5"/>
  <c r="S96" i="5"/>
  <c r="S86" i="5"/>
  <c r="S85" i="5"/>
  <c r="S77" i="5"/>
  <c r="S125" i="5" s="1"/>
  <c r="S68" i="5"/>
  <c r="S72" i="5" s="1"/>
  <c r="S76" i="5" s="1"/>
  <c r="S116" i="10" l="1"/>
  <c r="S131" i="10" s="1"/>
  <c r="T105" i="10"/>
  <c r="T115" i="10" s="1"/>
  <c r="T118" i="10" s="1"/>
  <c r="S116" i="9"/>
  <c r="S131" i="9" s="1"/>
  <c r="T105" i="9"/>
  <c r="T115" i="9" s="1"/>
  <c r="T118" i="9" s="1"/>
  <c r="S96" i="8"/>
  <c r="T85" i="8"/>
  <c r="T95" i="8" s="1"/>
  <c r="T98" i="8" s="1"/>
  <c r="S116" i="8"/>
  <c r="S131" i="8" s="1"/>
  <c r="T105" i="8"/>
  <c r="T115" i="8" s="1"/>
  <c r="T118" i="8" s="1"/>
  <c r="S96" i="7"/>
  <c r="T85" i="7"/>
  <c r="S116" i="7"/>
  <c r="S131" i="7" s="1"/>
  <c r="T105" i="7"/>
  <c r="T78" i="8"/>
  <c r="T124" i="8" s="1"/>
  <c r="T126" i="8" s="1"/>
  <c r="S45" i="6"/>
  <c r="S111" i="6" s="1"/>
  <c r="S110" i="6" s="1"/>
  <c r="S115" i="6" s="1"/>
  <c r="S118" i="6" s="1"/>
  <c r="S70" i="10"/>
  <c r="S78" i="5"/>
  <c r="S124" i="5" s="1"/>
  <c r="S126" i="5" s="1"/>
  <c r="S95" i="10"/>
  <c r="S98" i="10" s="1"/>
  <c r="S69" i="10"/>
  <c r="S47" i="10"/>
  <c r="S71" i="10"/>
  <c r="S77" i="10"/>
  <c r="S125" i="10" s="1"/>
  <c r="S95" i="9"/>
  <c r="S98" i="9" s="1"/>
  <c r="S45" i="9"/>
  <c r="S47" i="8"/>
  <c r="S69" i="8"/>
  <c r="S72" i="8"/>
  <c r="S76" i="8" s="1"/>
  <c r="S70" i="8"/>
  <c r="S77" i="8"/>
  <c r="S125" i="8" s="1"/>
  <c r="S69" i="7"/>
  <c r="S70" i="7"/>
  <c r="S71" i="7"/>
  <c r="S72" i="6"/>
  <c r="S76" i="6" s="1"/>
  <c r="S69" i="6"/>
  <c r="S70" i="6"/>
  <c r="S69" i="5"/>
  <c r="S115" i="5"/>
  <c r="S118" i="5" s="1"/>
  <c r="S70" i="5"/>
  <c r="S71" i="5"/>
  <c r="M12" i="5"/>
  <c r="N12" i="5"/>
  <c r="S86" i="4"/>
  <c r="S69" i="4"/>
  <c r="S68" i="4" s="1"/>
  <c r="S64" i="4"/>
  <c r="S55" i="4"/>
  <c r="S83" i="4" s="1"/>
  <c r="S46" i="4"/>
  <c r="S50" i="4" s="1"/>
  <c r="S54" i="4" s="1"/>
  <c r="S25" i="4"/>
  <c r="S74" i="4"/>
  <c r="S86" i="3"/>
  <c r="S68" i="3"/>
  <c r="S64" i="3"/>
  <c r="S55" i="3"/>
  <c r="S83" i="3" s="1"/>
  <c r="S46" i="3"/>
  <c r="S50" i="3" s="1"/>
  <c r="S54" i="3" s="1"/>
  <c r="S86" i="2"/>
  <c r="S69" i="2"/>
  <c r="S68" i="2" s="1"/>
  <c r="S64" i="2"/>
  <c r="S55" i="2"/>
  <c r="S83" i="2" s="1"/>
  <c r="S46" i="2"/>
  <c r="S9" i="2"/>
  <c r="S56" i="3" l="1"/>
  <c r="S82" i="3" s="1"/>
  <c r="S84" i="3" s="1"/>
  <c r="S77" i="6"/>
  <c r="S125" i="6" s="1"/>
  <c r="S47" i="6"/>
  <c r="S89" i="3"/>
  <c r="T63" i="3"/>
  <c r="S74" i="2"/>
  <c r="T63" i="2"/>
  <c r="T73" i="2" s="1"/>
  <c r="T76" i="2" s="1"/>
  <c r="S78" i="8"/>
  <c r="S124" i="8" s="1"/>
  <c r="S126" i="8" s="1"/>
  <c r="S56" i="4"/>
  <c r="S82" i="4" s="1"/>
  <c r="S84" i="4" s="1"/>
  <c r="S48" i="3"/>
  <c r="S78" i="10"/>
  <c r="S124" i="10" s="1"/>
  <c r="S126" i="10" s="1"/>
  <c r="S111" i="9"/>
  <c r="S110" i="9" s="1"/>
  <c r="S77" i="9"/>
  <c r="S47" i="9"/>
  <c r="S78" i="6"/>
  <c r="S124" i="6" s="1"/>
  <c r="S126" i="6" s="1"/>
  <c r="S89" i="4"/>
  <c r="S48" i="4"/>
  <c r="S49" i="4"/>
  <c r="S47" i="4"/>
  <c r="S47" i="3"/>
  <c r="S49" i="3"/>
  <c r="S50" i="2"/>
  <c r="S54" i="2" s="1"/>
  <c r="S56" i="2" s="1"/>
  <c r="S82" i="2" s="1"/>
  <c r="S84" i="2" s="1"/>
  <c r="S49" i="2"/>
  <c r="S47" i="2"/>
  <c r="S48" i="2"/>
  <c r="S89" i="2"/>
  <c r="S25" i="2"/>
  <c r="Q46" i="5"/>
  <c r="F37" i="15"/>
  <c r="E37" i="15"/>
  <c r="D37" i="15"/>
  <c r="F36" i="15"/>
  <c r="E36" i="15"/>
  <c r="D36" i="15"/>
  <c r="F35" i="15"/>
  <c r="E35" i="15"/>
  <c r="D35" i="15"/>
  <c r="F34" i="15"/>
  <c r="E34" i="15"/>
  <c r="D34" i="15"/>
  <c r="F33" i="15"/>
  <c r="E33" i="15"/>
  <c r="D33" i="15"/>
  <c r="F32" i="15"/>
  <c r="R45" i="6" s="1"/>
  <c r="E32" i="15"/>
  <c r="Q45" i="6" s="1"/>
  <c r="D32" i="15"/>
  <c r="Q46" i="6"/>
  <c r="T73" i="3" l="1"/>
  <c r="T76" i="3" s="1"/>
  <c r="S125" i="9"/>
  <c r="P45" i="5"/>
  <c r="P47" i="5" s="1"/>
  <c r="P45" i="6"/>
  <c r="P46" i="6" s="1"/>
  <c r="Q45" i="5"/>
  <c r="Q47" i="5" s="1"/>
  <c r="R45" i="5"/>
  <c r="R128" i="10" l="1"/>
  <c r="R106" i="10"/>
  <c r="R86" i="10"/>
  <c r="R68" i="10"/>
  <c r="R70" i="10" s="1"/>
  <c r="R45" i="10"/>
  <c r="R24" i="10"/>
  <c r="R96" i="10"/>
  <c r="R128" i="9"/>
  <c r="R106" i="9"/>
  <c r="R86" i="9"/>
  <c r="R68" i="9"/>
  <c r="R46" i="9"/>
  <c r="R91" i="9" s="1"/>
  <c r="R90" i="9" s="1"/>
  <c r="R24" i="9"/>
  <c r="R96" i="9"/>
  <c r="R128" i="8"/>
  <c r="R106" i="8"/>
  <c r="R86" i="8"/>
  <c r="R68" i="8"/>
  <c r="R71" i="8" s="1"/>
  <c r="R46" i="8"/>
  <c r="R91" i="8" s="1"/>
  <c r="R90" i="8" s="1"/>
  <c r="R45" i="8"/>
  <c r="R111" i="8" s="1"/>
  <c r="R110" i="8" s="1"/>
  <c r="R24" i="8"/>
  <c r="R9" i="8"/>
  <c r="R128" i="7"/>
  <c r="R106" i="7"/>
  <c r="R86" i="7"/>
  <c r="R68" i="7"/>
  <c r="R70" i="7" s="1"/>
  <c r="R46" i="7"/>
  <c r="R24" i="7"/>
  <c r="R9" i="7"/>
  <c r="R128" i="6"/>
  <c r="R106" i="6"/>
  <c r="R86" i="6"/>
  <c r="R68" i="6"/>
  <c r="R71" i="6" s="1"/>
  <c r="R111" i="6"/>
  <c r="R110" i="6" s="1"/>
  <c r="R116" i="6"/>
  <c r="R131" i="6" s="1"/>
  <c r="R96" i="6"/>
  <c r="R25" i="4"/>
  <c r="R86" i="2"/>
  <c r="R25" i="2"/>
  <c r="R96" i="8" l="1"/>
  <c r="S85" i="8"/>
  <c r="S95" i="8" s="1"/>
  <c r="S98" i="8" s="1"/>
  <c r="R96" i="7"/>
  <c r="S85" i="7"/>
  <c r="R116" i="8"/>
  <c r="R131" i="8" s="1"/>
  <c r="S105" i="8"/>
  <c r="S115" i="8" s="1"/>
  <c r="S118" i="8" s="1"/>
  <c r="R116" i="9"/>
  <c r="R131" i="9" s="1"/>
  <c r="S105" i="9"/>
  <c r="S115" i="9" s="1"/>
  <c r="S118" i="9" s="1"/>
  <c r="R116" i="10"/>
  <c r="R131" i="10" s="1"/>
  <c r="S105" i="10"/>
  <c r="S115" i="10" s="1"/>
  <c r="S118" i="10" s="1"/>
  <c r="R116" i="7"/>
  <c r="R131" i="7" s="1"/>
  <c r="S105" i="7"/>
  <c r="R91" i="7"/>
  <c r="R90" i="7" s="1"/>
  <c r="S40" i="7"/>
  <c r="T40" i="7" s="1"/>
  <c r="R111" i="10"/>
  <c r="R110" i="10" s="1"/>
  <c r="R77" i="10"/>
  <c r="R125" i="10" s="1"/>
  <c r="R47" i="10"/>
  <c r="R69" i="10"/>
  <c r="R71" i="10"/>
  <c r="R72" i="10"/>
  <c r="R76" i="10" s="1"/>
  <c r="R46" i="10"/>
  <c r="R91" i="10" s="1"/>
  <c r="R90" i="10" s="1"/>
  <c r="R45" i="9"/>
  <c r="R69" i="8"/>
  <c r="R70" i="8"/>
  <c r="R47" i="8"/>
  <c r="R72" i="8"/>
  <c r="R76" i="8" s="1"/>
  <c r="R77" i="8"/>
  <c r="R125" i="8" s="1"/>
  <c r="R71" i="7"/>
  <c r="R72" i="7"/>
  <c r="R76" i="7" s="1"/>
  <c r="R69" i="7"/>
  <c r="R69" i="6"/>
  <c r="R47" i="6"/>
  <c r="R72" i="6"/>
  <c r="R76" i="6" s="1"/>
  <c r="R70" i="6"/>
  <c r="R77" i="6"/>
  <c r="R125" i="6" s="1"/>
  <c r="S46" i="7" l="1"/>
  <c r="R78" i="10"/>
  <c r="R124" i="10" s="1"/>
  <c r="R126" i="10" s="1"/>
  <c r="R111" i="9"/>
  <c r="R110" i="9" s="1"/>
  <c r="R77" i="9"/>
  <c r="R47" i="9"/>
  <c r="R78" i="8"/>
  <c r="R124" i="8" s="1"/>
  <c r="R126" i="8" s="1"/>
  <c r="R78" i="6"/>
  <c r="R124" i="6" s="1"/>
  <c r="R126" i="6" s="1"/>
  <c r="Q9" i="4"/>
  <c r="S91" i="7" l="1"/>
  <c r="S90" i="7" s="1"/>
  <c r="S95" i="7" s="1"/>
  <c r="S98" i="7" s="1"/>
  <c r="R125" i="9"/>
  <c r="R9" i="4"/>
  <c r="S63" i="4" s="1"/>
  <c r="S73" i="4" s="1"/>
  <c r="S76" i="4" s="1"/>
  <c r="T46" i="7" l="1"/>
  <c r="T91" i="7" s="1"/>
  <c r="T90" i="7" s="1"/>
  <c r="T45" i="7"/>
  <c r="R128" i="5"/>
  <c r="R111" i="5"/>
  <c r="R110" i="5" s="1"/>
  <c r="R106" i="5"/>
  <c r="R86" i="5"/>
  <c r="R77" i="5"/>
  <c r="R125" i="5" s="1"/>
  <c r="R68" i="5"/>
  <c r="R71" i="5" s="1"/>
  <c r="R47" i="5"/>
  <c r="R116" i="5"/>
  <c r="R96" i="5"/>
  <c r="R86" i="4"/>
  <c r="R74" i="4"/>
  <c r="R89" i="4" s="1"/>
  <c r="R69" i="4"/>
  <c r="R68" i="4" s="1"/>
  <c r="R64" i="4"/>
  <c r="R63" i="4"/>
  <c r="R55" i="4"/>
  <c r="R83" i="4" s="1"/>
  <c r="R46" i="4"/>
  <c r="R50" i="4" s="1"/>
  <c r="R54" i="4" s="1"/>
  <c r="R86" i="3"/>
  <c r="R55" i="3"/>
  <c r="R83" i="3" s="1"/>
  <c r="R46" i="3"/>
  <c r="R50" i="3" s="1"/>
  <c r="R54" i="3" s="1"/>
  <c r="Q23" i="11"/>
  <c r="Q18" i="11"/>
  <c r="Q13" i="11"/>
  <c r="Q8" i="11"/>
  <c r="R69" i="2"/>
  <c r="R68" i="2" s="1"/>
  <c r="R64" i="2"/>
  <c r="R55" i="2"/>
  <c r="R83" i="2" s="1"/>
  <c r="R46" i="2"/>
  <c r="R48" i="2" s="1"/>
  <c r="R9" i="2"/>
  <c r="T77" i="7" l="1"/>
  <c r="T47" i="7"/>
  <c r="T111" i="7"/>
  <c r="T110" i="7" s="1"/>
  <c r="T115" i="7" s="1"/>
  <c r="T118" i="7" s="1"/>
  <c r="T95" i="7"/>
  <c r="T98" i="7" s="1"/>
  <c r="R74" i="2"/>
  <c r="R89" i="2" s="1"/>
  <c r="S63" i="2"/>
  <c r="R69" i="5"/>
  <c r="R72" i="5"/>
  <c r="R76" i="5" s="1"/>
  <c r="R78" i="5" s="1"/>
  <c r="R124" i="5" s="1"/>
  <c r="R126" i="5" s="1"/>
  <c r="R49" i="4"/>
  <c r="R56" i="3"/>
  <c r="R82" i="3" s="1"/>
  <c r="R84" i="3" s="1"/>
  <c r="R73" i="4"/>
  <c r="R76" i="4" s="1"/>
  <c r="R131" i="5"/>
  <c r="R70" i="5"/>
  <c r="R56" i="4"/>
  <c r="R82" i="4" s="1"/>
  <c r="R84" i="4" s="1"/>
  <c r="R47" i="4"/>
  <c r="R48" i="4"/>
  <c r="R89" i="3"/>
  <c r="R47" i="3"/>
  <c r="R48" i="3"/>
  <c r="R49" i="3"/>
  <c r="R49" i="2"/>
  <c r="R50" i="2"/>
  <c r="R54" i="2" s="1"/>
  <c r="R56" i="2" s="1"/>
  <c r="R82" i="2" s="1"/>
  <c r="R84" i="2" s="1"/>
  <c r="R47" i="2"/>
  <c r="S63" i="3" l="1"/>
  <c r="S73" i="3" s="1"/>
  <c r="S76" i="3" s="1"/>
  <c r="T125" i="7"/>
  <c r="T78" i="7"/>
  <c r="T124" i="7" s="1"/>
  <c r="S73" i="2"/>
  <c r="S76" i="2" s="1"/>
  <c r="D20" i="14"/>
  <c r="C20" i="14"/>
  <c r="D14" i="13"/>
  <c r="D13" i="13"/>
  <c r="D12" i="13"/>
  <c r="D11" i="13"/>
  <c r="D10" i="13"/>
  <c r="D9" i="13"/>
  <c r="D8" i="13"/>
  <c r="D7" i="13"/>
  <c r="D6" i="13"/>
  <c r="D5" i="13"/>
  <c r="P23" i="11"/>
  <c r="P18" i="11"/>
  <c r="P13" i="11"/>
  <c r="P8" i="11"/>
  <c r="O8" i="11"/>
  <c r="D5" i="11"/>
  <c r="E5" i="11" s="1"/>
  <c r="F5" i="11" s="1"/>
  <c r="G5" i="11" s="1"/>
  <c r="H5" i="11" s="1"/>
  <c r="I5" i="11" s="1"/>
  <c r="J5" i="11" s="1"/>
  <c r="K5" i="11" s="1"/>
  <c r="L5" i="11" s="1"/>
  <c r="M5" i="11" s="1"/>
  <c r="N5" i="11" s="1"/>
  <c r="O5" i="11" s="1"/>
  <c r="P5" i="11" s="1"/>
  <c r="Q5" i="11" s="1"/>
  <c r="R5" i="11" s="1"/>
  <c r="S5" i="11" s="1"/>
  <c r="L169" i="10"/>
  <c r="B162" i="10"/>
  <c r="C162" i="10" s="1"/>
  <c r="D162" i="10" s="1"/>
  <c r="E162" i="10" s="1"/>
  <c r="F162" i="10" s="1"/>
  <c r="G162" i="10" s="1"/>
  <c r="H162" i="10" s="1"/>
  <c r="I162" i="10" s="1"/>
  <c r="J162" i="10" s="1"/>
  <c r="K162" i="10" s="1"/>
  <c r="L162" i="10" s="1"/>
  <c r="M162" i="10" s="1"/>
  <c r="N162" i="10" s="1"/>
  <c r="O162" i="10" s="1"/>
  <c r="P162" i="10" s="1"/>
  <c r="Q162" i="10" s="1"/>
  <c r="R162" i="10" s="1"/>
  <c r="S162" i="10" s="1"/>
  <c r="D161" i="10"/>
  <c r="D144" i="10"/>
  <c r="D140" i="10"/>
  <c r="B138" i="10"/>
  <c r="C138" i="10" s="1"/>
  <c r="D138" i="10" s="1"/>
  <c r="E138" i="10" s="1"/>
  <c r="F138" i="10" s="1"/>
  <c r="G138" i="10" s="1"/>
  <c r="H138" i="10" s="1"/>
  <c r="I138" i="10" s="1"/>
  <c r="J138" i="10" s="1"/>
  <c r="K138" i="10" s="1"/>
  <c r="L138" i="10" s="1"/>
  <c r="M138" i="10" s="1"/>
  <c r="N138" i="10" s="1"/>
  <c r="O138" i="10" s="1"/>
  <c r="P138" i="10" s="1"/>
  <c r="Q138" i="10" s="1"/>
  <c r="R138" i="10" s="1"/>
  <c r="S138" i="10" s="1"/>
  <c r="D137" i="10"/>
  <c r="Q128" i="10"/>
  <c r="P128" i="10"/>
  <c r="O128" i="10"/>
  <c r="N128" i="10"/>
  <c r="A125" i="10"/>
  <c r="A126" i="10" s="1"/>
  <c r="A127" i="10" s="1"/>
  <c r="A128" i="10" s="1"/>
  <c r="A129" i="10" s="1"/>
  <c r="A130" i="10" s="1"/>
  <c r="A131" i="10" s="1"/>
  <c r="A132" i="10" s="1"/>
  <c r="B123" i="10"/>
  <c r="C123" i="10" s="1"/>
  <c r="D123" i="10" s="1"/>
  <c r="E123" i="10" s="1"/>
  <c r="F123" i="10" s="1"/>
  <c r="G123" i="10" s="1"/>
  <c r="H123" i="10" s="1"/>
  <c r="I123" i="10" s="1"/>
  <c r="J123" i="10" s="1"/>
  <c r="K123" i="10" s="1"/>
  <c r="L123" i="10" s="1"/>
  <c r="M123" i="10" s="1"/>
  <c r="N123" i="10" s="1"/>
  <c r="O123" i="10" s="1"/>
  <c r="P123" i="10" s="1"/>
  <c r="Q123" i="10" s="1"/>
  <c r="R123" i="10" s="1"/>
  <c r="S123" i="10" s="1"/>
  <c r="D122" i="10"/>
  <c r="D116" i="10"/>
  <c r="Q106" i="10"/>
  <c r="P106" i="10"/>
  <c r="O106" i="10"/>
  <c r="N106" i="10"/>
  <c r="M106" i="10"/>
  <c r="L106" i="10"/>
  <c r="K106" i="10"/>
  <c r="J106" i="10"/>
  <c r="I106" i="10"/>
  <c r="H106" i="10"/>
  <c r="G106" i="10"/>
  <c r="F106" i="10"/>
  <c r="E106" i="10"/>
  <c r="D106" i="10"/>
  <c r="B104" i="10"/>
  <c r="C104" i="10" s="1"/>
  <c r="D104" i="10" s="1"/>
  <c r="E104" i="10" s="1"/>
  <c r="F104" i="10" s="1"/>
  <c r="G104" i="10" s="1"/>
  <c r="H104" i="10" s="1"/>
  <c r="I104" i="10" s="1"/>
  <c r="J104" i="10" s="1"/>
  <c r="K104" i="10" s="1"/>
  <c r="L104" i="10" s="1"/>
  <c r="M104" i="10" s="1"/>
  <c r="N104" i="10" s="1"/>
  <c r="O104" i="10" s="1"/>
  <c r="P104" i="10" s="1"/>
  <c r="Q104" i="10" s="1"/>
  <c r="R104" i="10" s="1"/>
  <c r="S104" i="10" s="1"/>
  <c r="D103" i="10"/>
  <c r="D90" i="10"/>
  <c r="Q86" i="10"/>
  <c r="P86" i="10"/>
  <c r="O86" i="10"/>
  <c r="N86" i="10"/>
  <c r="M86" i="10"/>
  <c r="L86" i="10"/>
  <c r="K86" i="10"/>
  <c r="J86" i="10"/>
  <c r="I86" i="10"/>
  <c r="H86" i="10"/>
  <c r="G86" i="10"/>
  <c r="F86" i="10"/>
  <c r="E86" i="10"/>
  <c r="D86" i="10"/>
  <c r="F84" i="10"/>
  <c r="G84" i="10" s="1"/>
  <c r="H84" i="10" s="1"/>
  <c r="I84" i="10" s="1"/>
  <c r="J84" i="10" s="1"/>
  <c r="K84" i="10" s="1"/>
  <c r="L84" i="10" s="1"/>
  <c r="M84" i="10" s="1"/>
  <c r="N84" i="10" s="1"/>
  <c r="O84" i="10" s="1"/>
  <c r="P84" i="10" s="1"/>
  <c r="Q84" i="10" s="1"/>
  <c r="R84" i="10" s="1"/>
  <c r="S84" i="10" s="1"/>
  <c r="B84" i="10"/>
  <c r="C84" i="10" s="1"/>
  <c r="D84" i="10" s="1"/>
  <c r="E84" i="10" s="1"/>
  <c r="D83" i="10"/>
  <c r="A70" i="10"/>
  <c r="A71" i="10" s="1"/>
  <c r="A72" i="10" s="1"/>
  <c r="A73" i="10" s="1"/>
  <c r="A74" i="10" s="1"/>
  <c r="A75" i="10" s="1"/>
  <c r="A76" i="10" s="1"/>
  <c r="A77" i="10" s="1"/>
  <c r="A78" i="10" s="1"/>
  <c r="A69" i="10"/>
  <c r="Q68" i="10"/>
  <c r="P68" i="10"/>
  <c r="P69" i="10" s="1"/>
  <c r="O68" i="10"/>
  <c r="N68" i="10"/>
  <c r="N69" i="10" s="1"/>
  <c r="I68" i="10"/>
  <c r="H68" i="10"/>
  <c r="G68" i="10"/>
  <c r="F68" i="10"/>
  <c r="E68" i="10"/>
  <c r="E70" i="10" s="1"/>
  <c r="D68" i="10"/>
  <c r="B67" i="10"/>
  <c r="C67" i="10" s="1"/>
  <c r="D67" i="10" s="1"/>
  <c r="E67" i="10" s="1"/>
  <c r="F67" i="10" s="1"/>
  <c r="G67" i="10" s="1"/>
  <c r="H67" i="10" s="1"/>
  <c r="I67" i="10" s="1"/>
  <c r="J67" i="10" s="1"/>
  <c r="K67" i="10" s="1"/>
  <c r="L67" i="10" s="1"/>
  <c r="M67" i="10" s="1"/>
  <c r="N67" i="10" s="1"/>
  <c r="O67" i="10" s="1"/>
  <c r="P67" i="10" s="1"/>
  <c r="Q67" i="10" s="1"/>
  <c r="R67" i="10" s="1"/>
  <c r="S67" i="10" s="1"/>
  <c r="D66" i="10"/>
  <c r="B55" i="10"/>
  <c r="C55" i="10" s="1"/>
  <c r="D55" i="10" s="1"/>
  <c r="E55" i="10" s="1"/>
  <c r="F55" i="10" s="1"/>
  <c r="G55" i="10" s="1"/>
  <c r="H55" i="10" s="1"/>
  <c r="I55" i="10" s="1"/>
  <c r="J55" i="10" s="1"/>
  <c r="K55" i="10" s="1"/>
  <c r="L55" i="10" s="1"/>
  <c r="M55" i="10" s="1"/>
  <c r="N55" i="10" s="1"/>
  <c r="O55" i="10" s="1"/>
  <c r="P55" i="10" s="1"/>
  <c r="Q55" i="10" s="1"/>
  <c r="R55" i="10" s="1"/>
  <c r="S55" i="10" s="1"/>
  <c r="D54" i="10"/>
  <c r="Q46" i="10"/>
  <c r="Q91" i="10" s="1"/>
  <c r="Q90" i="10" s="1"/>
  <c r="P46" i="10"/>
  <c r="P91" i="10" s="1"/>
  <c r="P90" i="10" s="1"/>
  <c r="O46" i="10"/>
  <c r="O91" i="10" s="1"/>
  <c r="O90" i="10" s="1"/>
  <c r="N46" i="10"/>
  <c r="N91" i="10" s="1"/>
  <c r="N90" i="10" s="1"/>
  <c r="M46" i="10"/>
  <c r="M91" i="10" s="1"/>
  <c r="M90" i="10" s="1"/>
  <c r="L46" i="10"/>
  <c r="L91" i="10" s="1"/>
  <c r="L90" i="10" s="1"/>
  <c r="K46" i="10"/>
  <c r="K91" i="10" s="1"/>
  <c r="K90" i="10" s="1"/>
  <c r="J46" i="10"/>
  <c r="J91" i="10" s="1"/>
  <c r="J90" i="10" s="1"/>
  <c r="I46" i="10"/>
  <c r="I91" i="10" s="1"/>
  <c r="I90" i="10" s="1"/>
  <c r="H46" i="10"/>
  <c r="H91" i="10" s="1"/>
  <c r="H90" i="10" s="1"/>
  <c r="G46" i="10"/>
  <c r="G91" i="10" s="1"/>
  <c r="G90" i="10" s="1"/>
  <c r="F46" i="10"/>
  <c r="F91" i="10" s="1"/>
  <c r="F90" i="10" s="1"/>
  <c r="E46" i="10"/>
  <c r="E91" i="10" s="1"/>
  <c r="E90" i="10" s="1"/>
  <c r="D46" i="10"/>
  <c r="D91" i="10" s="1"/>
  <c r="Q45" i="10"/>
  <c r="P45" i="10"/>
  <c r="P77" i="10" s="1"/>
  <c r="P125" i="10" s="1"/>
  <c r="O45" i="10"/>
  <c r="N45" i="10"/>
  <c r="N47" i="10" s="1"/>
  <c r="M45" i="10"/>
  <c r="L45" i="10"/>
  <c r="K45" i="10"/>
  <c r="K48" i="10" s="1"/>
  <c r="K68" i="10" s="1"/>
  <c r="J45" i="10"/>
  <c r="J77" i="10" s="1"/>
  <c r="J125" i="10" s="1"/>
  <c r="I45" i="10"/>
  <c r="H45" i="10"/>
  <c r="G45" i="10"/>
  <c r="G47" i="10" s="1"/>
  <c r="F45" i="10"/>
  <c r="E45" i="10"/>
  <c r="D45" i="10"/>
  <c r="D77" i="10" s="1"/>
  <c r="D125" i="10" s="1"/>
  <c r="B38" i="10"/>
  <c r="C38" i="10" s="1"/>
  <c r="D38" i="10" s="1"/>
  <c r="E38" i="10" s="1"/>
  <c r="F38" i="10" s="1"/>
  <c r="G38" i="10" s="1"/>
  <c r="H38" i="10" s="1"/>
  <c r="I38" i="10" s="1"/>
  <c r="J38" i="10" s="1"/>
  <c r="K38" i="10" s="1"/>
  <c r="L38" i="10" s="1"/>
  <c r="M38" i="10" s="1"/>
  <c r="N38" i="10" s="1"/>
  <c r="O38" i="10" s="1"/>
  <c r="P38" i="10" s="1"/>
  <c r="Q38" i="10" s="1"/>
  <c r="R38" i="10" s="1"/>
  <c r="S38" i="10" s="1"/>
  <c r="D37" i="10"/>
  <c r="N27" i="10"/>
  <c r="M27" i="10"/>
  <c r="L27" i="10"/>
  <c r="K27" i="10"/>
  <c r="J27" i="10"/>
  <c r="I27" i="10"/>
  <c r="H27" i="10"/>
  <c r="G27" i="10"/>
  <c r="F27" i="10"/>
  <c r="E27" i="10"/>
  <c r="D27" i="10"/>
  <c r="Q24" i="10"/>
  <c r="P24" i="10"/>
  <c r="O24" i="10"/>
  <c r="O116" i="10" s="1"/>
  <c r="N24" i="10"/>
  <c r="M24" i="10"/>
  <c r="N105" i="10" s="1"/>
  <c r="L24" i="10"/>
  <c r="M105" i="10" s="1"/>
  <c r="K24" i="10"/>
  <c r="J24" i="10"/>
  <c r="I24" i="10"/>
  <c r="H24" i="10"/>
  <c r="G24" i="10"/>
  <c r="F24" i="10"/>
  <c r="G105" i="10" s="1"/>
  <c r="E24" i="10"/>
  <c r="E116" i="10" s="1"/>
  <c r="E131" i="10" s="1"/>
  <c r="D24" i="10"/>
  <c r="E105" i="10" s="1"/>
  <c r="B23" i="10"/>
  <c r="C23" i="10" s="1"/>
  <c r="D23" i="10" s="1"/>
  <c r="E23" i="10" s="1"/>
  <c r="F23" i="10" s="1"/>
  <c r="G23" i="10" s="1"/>
  <c r="H23" i="10" s="1"/>
  <c r="I23" i="10" s="1"/>
  <c r="J23" i="10" s="1"/>
  <c r="K23" i="10" s="1"/>
  <c r="L23" i="10" s="1"/>
  <c r="M23" i="10" s="1"/>
  <c r="N23" i="10" s="1"/>
  <c r="O23" i="10" s="1"/>
  <c r="P23" i="10" s="1"/>
  <c r="Q23" i="10" s="1"/>
  <c r="R23" i="10" s="1"/>
  <c r="S23" i="10" s="1"/>
  <c r="D22" i="10"/>
  <c r="N12" i="10"/>
  <c r="M12" i="10"/>
  <c r="L12" i="10"/>
  <c r="K12" i="10"/>
  <c r="J12" i="10"/>
  <c r="I12" i="10"/>
  <c r="H12" i="10"/>
  <c r="G12" i="10"/>
  <c r="F12" i="10"/>
  <c r="E12" i="10"/>
  <c r="D12" i="10"/>
  <c r="Q9" i="10"/>
  <c r="P9" i="10"/>
  <c r="Q85" i="10" s="1"/>
  <c r="O9" i="10"/>
  <c r="O96" i="10" s="1"/>
  <c r="N9" i="10"/>
  <c r="M9" i="10"/>
  <c r="L9" i="10"/>
  <c r="M85" i="10" s="1"/>
  <c r="K9" i="10"/>
  <c r="J9" i="10"/>
  <c r="I9" i="10"/>
  <c r="I96" i="10" s="1"/>
  <c r="H9" i="10"/>
  <c r="G9" i="10"/>
  <c r="F9" i="10"/>
  <c r="E9" i="10"/>
  <c r="E96" i="10" s="1"/>
  <c r="D9" i="10"/>
  <c r="B8" i="10"/>
  <c r="C8" i="10" s="1"/>
  <c r="D8" i="10" s="1"/>
  <c r="E8" i="10" s="1"/>
  <c r="F8" i="10" s="1"/>
  <c r="G8" i="10" s="1"/>
  <c r="H8" i="10" s="1"/>
  <c r="I8" i="10" s="1"/>
  <c r="J8" i="10" s="1"/>
  <c r="K8" i="10" s="1"/>
  <c r="L8" i="10" s="1"/>
  <c r="M8" i="10" s="1"/>
  <c r="N8" i="10" s="1"/>
  <c r="O8" i="10" s="1"/>
  <c r="P8" i="10" s="1"/>
  <c r="Q8" i="10" s="1"/>
  <c r="R8" i="10" s="1"/>
  <c r="S8" i="10" s="1"/>
  <c r="D7" i="10"/>
  <c r="E3" i="10"/>
  <c r="E66" i="10" s="1"/>
  <c r="L169" i="9"/>
  <c r="B162" i="9"/>
  <c r="C162" i="9" s="1"/>
  <c r="D162" i="9" s="1"/>
  <c r="E162" i="9" s="1"/>
  <c r="F162" i="9" s="1"/>
  <c r="G162" i="9" s="1"/>
  <c r="H162" i="9" s="1"/>
  <c r="I162" i="9" s="1"/>
  <c r="J162" i="9" s="1"/>
  <c r="K162" i="9" s="1"/>
  <c r="L162" i="9" s="1"/>
  <c r="M162" i="9" s="1"/>
  <c r="N162" i="9" s="1"/>
  <c r="O162" i="9" s="1"/>
  <c r="P162" i="9" s="1"/>
  <c r="Q162" i="9" s="1"/>
  <c r="R162" i="9" s="1"/>
  <c r="S162" i="9" s="1"/>
  <c r="T162" i="9" s="1"/>
  <c r="E161" i="9"/>
  <c r="D161" i="9"/>
  <c r="D144" i="9"/>
  <c r="D140" i="9"/>
  <c r="B138" i="9"/>
  <c r="C138" i="9" s="1"/>
  <c r="D138" i="9" s="1"/>
  <c r="E138" i="9" s="1"/>
  <c r="F138" i="9" s="1"/>
  <c r="G138" i="9" s="1"/>
  <c r="H138" i="9" s="1"/>
  <c r="I138" i="9" s="1"/>
  <c r="J138" i="9" s="1"/>
  <c r="K138" i="9" s="1"/>
  <c r="L138" i="9" s="1"/>
  <c r="M138" i="9" s="1"/>
  <c r="N138" i="9" s="1"/>
  <c r="O138" i="9" s="1"/>
  <c r="P138" i="9" s="1"/>
  <c r="Q138" i="9" s="1"/>
  <c r="R138" i="9" s="1"/>
  <c r="S138" i="9" s="1"/>
  <c r="T138" i="9" s="1"/>
  <c r="D137" i="9"/>
  <c r="Q128" i="9"/>
  <c r="P128" i="9"/>
  <c r="O128" i="9"/>
  <c r="N128" i="9"/>
  <c r="A125" i="9"/>
  <c r="A126" i="9" s="1"/>
  <c r="A127" i="9" s="1"/>
  <c r="A128" i="9" s="1"/>
  <c r="A129" i="9" s="1"/>
  <c r="A130" i="9" s="1"/>
  <c r="A131" i="9" s="1"/>
  <c r="A132" i="9" s="1"/>
  <c r="B123" i="9"/>
  <c r="C123" i="9" s="1"/>
  <c r="D123" i="9" s="1"/>
  <c r="E123" i="9" s="1"/>
  <c r="F123" i="9" s="1"/>
  <c r="G123" i="9" s="1"/>
  <c r="H123" i="9" s="1"/>
  <c r="I123" i="9" s="1"/>
  <c r="J123" i="9" s="1"/>
  <c r="K123" i="9" s="1"/>
  <c r="L123" i="9" s="1"/>
  <c r="M123" i="9" s="1"/>
  <c r="N123" i="9" s="1"/>
  <c r="O123" i="9" s="1"/>
  <c r="P123" i="9" s="1"/>
  <c r="Q123" i="9" s="1"/>
  <c r="R123" i="9" s="1"/>
  <c r="S123" i="9" s="1"/>
  <c r="T123" i="9" s="1"/>
  <c r="D122" i="9"/>
  <c r="Q106" i="9"/>
  <c r="P106" i="9"/>
  <c r="O106" i="9"/>
  <c r="N106" i="9"/>
  <c r="M106" i="9"/>
  <c r="L106" i="9"/>
  <c r="K106" i="9"/>
  <c r="J106" i="9"/>
  <c r="I106" i="9"/>
  <c r="H106" i="9"/>
  <c r="G106" i="9"/>
  <c r="F106" i="9"/>
  <c r="E106" i="9"/>
  <c r="D106" i="9"/>
  <c r="G105" i="9"/>
  <c r="B104" i="9"/>
  <c r="C104" i="9" s="1"/>
  <c r="D104" i="9" s="1"/>
  <c r="E104" i="9" s="1"/>
  <c r="F104" i="9" s="1"/>
  <c r="G104" i="9" s="1"/>
  <c r="H104" i="9" s="1"/>
  <c r="I104" i="9" s="1"/>
  <c r="J104" i="9" s="1"/>
  <c r="K104" i="9" s="1"/>
  <c r="L104" i="9" s="1"/>
  <c r="M104" i="9" s="1"/>
  <c r="N104" i="9" s="1"/>
  <c r="O104" i="9" s="1"/>
  <c r="P104" i="9" s="1"/>
  <c r="Q104" i="9" s="1"/>
  <c r="R104" i="9" s="1"/>
  <c r="S104" i="9" s="1"/>
  <c r="T104" i="9" s="1"/>
  <c r="D103" i="9"/>
  <c r="Q86" i="9"/>
  <c r="P86" i="9"/>
  <c r="O86" i="9"/>
  <c r="N86" i="9"/>
  <c r="M86" i="9"/>
  <c r="L86" i="9"/>
  <c r="K86" i="9"/>
  <c r="J86" i="9"/>
  <c r="I86" i="9"/>
  <c r="H86" i="9"/>
  <c r="G86" i="9"/>
  <c r="F86" i="9"/>
  <c r="E86" i="9"/>
  <c r="D86" i="9"/>
  <c r="B84" i="9"/>
  <c r="C84" i="9" s="1"/>
  <c r="D84" i="9" s="1"/>
  <c r="E84" i="9" s="1"/>
  <c r="F84" i="9" s="1"/>
  <c r="G84" i="9" s="1"/>
  <c r="H84" i="9" s="1"/>
  <c r="I84" i="9" s="1"/>
  <c r="J84" i="9" s="1"/>
  <c r="K84" i="9" s="1"/>
  <c r="L84" i="9" s="1"/>
  <c r="M84" i="9" s="1"/>
  <c r="N84" i="9" s="1"/>
  <c r="O84" i="9" s="1"/>
  <c r="P84" i="9" s="1"/>
  <c r="Q84" i="9" s="1"/>
  <c r="R84" i="9" s="1"/>
  <c r="S84" i="9" s="1"/>
  <c r="T84" i="9" s="1"/>
  <c r="D83" i="9"/>
  <c r="A69" i="9"/>
  <c r="A70" i="9" s="1"/>
  <c r="A71" i="9" s="1"/>
  <c r="A72" i="9" s="1"/>
  <c r="A73" i="9" s="1"/>
  <c r="A74" i="9" s="1"/>
  <c r="A75" i="9" s="1"/>
  <c r="A76" i="9" s="1"/>
  <c r="A77" i="9" s="1"/>
  <c r="A78" i="9" s="1"/>
  <c r="Q68" i="9"/>
  <c r="P68" i="9"/>
  <c r="O68" i="9"/>
  <c r="N68" i="9"/>
  <c r="I68" i="9"/>
  <c r="I70" i="9" s="1"/>
  <c r="H68" i="9"/>
  <c r="G68" i="9"/>
  <c r="G72" i="9" s="1"/>
  <c r="G76" i="9" s="1"/>
  <c r="F68" i="9"/>
  <c r="F71" i="9" s="1"/>
  <c r="E68" i="9"/>
  <c r="E71" i="9" s="1"/>
  <c r="D68" i="9"/>
  <c r="D71" i="9" s="1"/>
  <c r="B67" i="9"/>
  <c r="C67" i="9" s="1"/>
  <c r="D67" i="9" s="1"/>
  <c r="E67" i="9" s="1"/>
  <c r="F67" i="9" s="1"/>
  <c r="G67" i="9" s="1"/>
  <c r="H67" i="9" s="1"/>
  <c r="I67" i="9" s="1"/>
  <c r="J67" i="9" s="1"/>
  <c r="K67" i="9" s="1"/>
  <c r="L67" i="9" s="1"/>
  <c r="M67" i="9" s="1"/>
  <c r="N67" i="9" s="1"/>
  <c r="O67" i="9" s="1"/>
  <c r="P67" i="9" s="1"/>
  <c r="Q67" i="9" s="1"/>
  <c r="R67" i="9" s="1"/>
  <c r="S67" i="9" s="1"/>
  <c r="T67" i="9" s="1"/>
  <c r="D66" i="9"/>
  <c r="L60" i="9"/>
  <c r="B55" i="9"/>
  <c r="C55" i="9" s="1"/>
  <c r="D55" i="9" s="1"/>
  <c r="E55" i="9" s="1"/>
  <c r="F55" i="9" s="1"/>
  <c r="G55" i="9" s="1"/>
  <c r="H55" i="9" s="1"/>
  <c r="I55" i="9" s="1"/>
  <c r="J55" i="9" s="1"/>
  <c r="K55" i="9" s="1"/>
  <c r="L55" i="9" s="1"/>
  <c r="M55" i="9" s="1"/>
  <c r="N55" i="9" s="1"/>
  <c r="O55" i="9" s="1"/>
  <c r="P55" i="9" s="1"/>
  <c r="Q55" i="9" s="1"/>
  <c r="R55" i="9" s="1"/>
  <c r="S55" i="9" s="1"/>
  <c r="T55" i="9" s="1"/>
  <c r="D54" i="9"/>
  <c r="P46" i="9"/>
  <c r="P91" i="9" s="1"/>
  <c r="P90" i="9" s="1"/>
  <c r="O46" i="9"/>
  <c r="O91" i="9" s="1"/>
  <c r="O90" i="9" s="1"/>
  <c r="N46" i="9"/>
  <c r="N91" i="9" s="1"/>
  <c r="N90" i="9" s="1"/>
  <c r="M46" i="9"/>
  <c r="M91" i="9" s="1"/>
  <c r="M90" i="9" s="1"/>
  <c r="L46" i="9"/>
  <c r="L91" i="9" s="1"/>
  <c r="L90" i="9" s="1"/>
  <c r="K46" i="9"/>
  <c r="K91" i="9" s="1"/>
  <c r="K90" i="9" s="1"/>
  <c r="J46" i="9"/>
  <c r="J91" i="9" s="1"/>
  <c r="J90" i="9" s="1"/>
  <c r="I46" i="9"/>
  <c r="I91" i="9" s="1"/>
  <c r="I90" i="9" s="1"/>
  <c r="H46" i="9"/>
  <c r="H91" i="9" s="1"/>
  <c r="H90" i="9" s="1"/>
  <c r="G46" i="9"/>
  <c r="G91" i="9" s="1"/>
  <c r="G90" i="9" s="1"/>
  <c r="F46" i="9"/>
  <c r="F91" i="9" s="1"/>
  <c r="F90" i="9" s="1"/>
  <c r="E46" i="9"/>
  <c r="E91" i="9" s="1"/>
  <c r="E90" i="9" s="1"/>
  <c r="D46" i="9"/>
  <c r="D91" i="9" s="1"/>
  <c r="D90" i="9" s="1"/>
  <c r="P45" i="9"/>
  <c r="P111" i="9" s="1"/>
  <c r="P110" i="9" s="1"/>
  <c r="O45" i="9"/>
  <c r="O47" i="9" s="1"/>
  <c r="N45" i="9"/>
  <c r="N47" i="9" s="1"/>
  <c r="M45" i="9"/>
  <c r="L45" i="9"/>
  <c r="K45" i="9"/>
  <c r="K48" i="9" s="1"/>
  <c r="K68" i="9" s="1"/>
  <c r="K69" i="9" s="1"/>
  <c r="J45" i="9"/>
  <c r="J48" i="9" s="1"/>
  <c r="J68" i="9" s="1"/>
  <c r="I45" i="9"/>
  <c r="H45" i="9"/>
  <c r="H111" i="9" s="1"/>
  <c r="H110" i="9" s="1"/>
  <c r="G45" i="9"/>
  <c r="F45" i="9"/>
  <c r="F77" i="9" s="1"/>
  <c r="F125" i="9" s="1"/>
  <c r="E45" i="9"/>
  <c r="E77" i="9" s="1"/>
  <c r="E125" i="9" s="1"/>
  <c r="D45" i="9"/>
  <c r="B38" i="9"/>
  <c r="C38" i="9" s="1"/>
  <c r="D38" i="9" s="1"/>
  <c r="E38" i="9" s="1"/>
  <c r="F38" i="9" s="1"/>
  <c r="G38" i="9" s="1"/>
  <c r="H38" i="9" s="1"/>
  <c r="I38" i="9" s="1"/>
  <c r="J38" i="9" s="1"/>
  <c r="K38" i="9" s="1"/>
  <c r="L38" i="9" s="1"/>
  <c r="M38" i="9" s="1"/>
  <c r="N38" i="9" s="1"/>
  <c r="O38" i="9" s="1"/>
  <c r="P38" i="9" s="1"/>
  <c r="Q38" i="9" s="1"/>
  <c r="R38" i="9" s="1"/>
  <c r="S38" i="9" s="1"/>
  <c r="T38" i="9" s="1"/>
  <c r="D37" i="9"/>
  <c r="M27" i="9"/>
  <c r="L27" i="9"/>
  <c r="K27" i="9"/>
  <c r="J27" i="9"/>
  <c r="I27" i="9"/>
  <c r="H27" i="9"/>
  <c r="G27" i="9"/>
  <c r="F27" i="9"/>
  <c r="E27" i="9"/>
  <c r="D27" i="9"/>
  <c r="Q24" i="9"/>
  <c r="R105" i="9" s="1"/>
  <c r="R115" i="9" s="1"/>
  <c r="R118" i="9" s="1"/>
  <c r="P24" i="9"/>
  <c r="Q105" i="9" s="1"/>
  <c r="O24" i="9"/>
  <c r="P105" i="9" s="1"/>
  <c r="N24" i="9"/>
  <c r="M24" i="9"/>
  <c r="M116" i="9" s="1"/>
  <c r="M131" i="9" s="1"/>
  <c r="L24" i="9"/>
  <c r="K24" i="9"/>
  <c r="J24" i="9"/>
  <c r="K105" i="9" s="1"/>
  <c r="I24" i="9"/>
  <c r="H24" i="9"/>
  <c r="G24" i="9"/>
  <c r="G116" i="9" s="1"/>
  <c r="F24" i="9"/>
  <c r="F116" i="9" s="1"/>
  <c r="E24" i="9"/>
  <c r="F105" i="9" s="1"/>
  <c r="D24" i="9"/>
  <c r="D116" i="9" s="1"/>
  <c r="B23" i="9"/>
  <c r="C23" i="9" s="1"/>
  <c r="D23" i="9" s="1"/>
  <c r="E23" i="9" s="1"/>
  <c r="F23" i="9" s="1"/>
  <c r="G23" i="9" s="1"/>
  <c r="H23" i="9" s="1"/>
  <c r="I23" i="9" s="1"/>
  <c r="J23" i="9" s="1"/>
  <c r="K23" i="9" s="1"/>
  <c r="L23" i="9" s="1"/>
  <c r="M23" i="9" s="1"/>
  <c r="N23" i="9" s="1"/>
  <c r="O23" i="9" s="1"/>
  <c r="P23" i="9" s="1"/>
  <c r="Q23" i="9" s="1"/>
  <c r="R23" i="9" s="1"/>
  <c r="S23" i="9" s="1"/>
  <c r="T23" i="9" s="1"/>
  <c r="D22" i="9"/>
  <c r="M12" i="9"/>
  <c r="L12" i="9"/>
  <c r="K12" i="9"/>
  <c r="J12" i="9"/>
  <c r="I12" i="9"/>
  <c r="H12" i="9"/>
  <c r="G12" i="9"/>
  <c r="F12" i="9"/>
  <c r="E12" i="9"/>
  <c r="D12" i="9"/>
  <c r="Q9" i="9"/>
  <c r="P9" i="9"/>
  <c r="P96" i="9" s="1"/>
  <c r="O9" i="9"/>
  <c r="N9" i="9"/>
  <c r="O85" i="9" s="1"/>
  <c r="M9" i="9"/>
  <c r="M96" i="9" s="1"/>
  <c r="L9" i="9"/>
  <c r="L96" i="9" s="1"/>
  <c r="K9" i="9"/>
  <c r="L85" i="9" s="1"/>
  <c r="J9" i="9"/>
  <c r="I9" i="9"/>
  <c r="J85" i="9" s="1"/>
  <c r="H9" i="9"/>
  <c r="G9" i="9"/>
  <c r="H85" i="9" s="1"/>
  <c r="F9" i="9"/>
  <c r="G85" i="9" s="1"/>
  <c r="E9" i="9"/>
  <c r="D9" i="9"/>
  <c r="B8" i="9"/>
  <c r="C8" i="9" s="1"/>
  <c r="D8" i="9" s="1"/>
  <c r="E8" i="9" s="1"/>
  <c r="F8" i="9" s="1"/>
  <c r="G8" i="9" s="1"/>
  <c r="H8" i="9" s="1"/>
  <c r="I8" i="9" s="1"/>
  <c r="J8" i="9" s="1"/>
  <c r="K8" i="9" s="1"/>
  <c r="L8" i="9" s="1"/>
  <c r="M8" i="9" s="1"/>
  <c r="N8" i="9" s="1"/>
  <c r="O8" i="9" s="1"/>
  <c r="P8" i="9" s="1"/>
  <c r="Q8" i="9" s="1"/>
  <c r="R8" i="9" s="1"/>
  <c r="S8" i="9" s="1"/>
  <c r="T8" i="9" s="1"/>
  <c r="D7" i="9"/>
  <c r="F3" i="9"/>
  <c r="E3" i="9"/>
  <c r="L169" i="8"/>
  <c r="B162" i="8"/>
  <c r="C162" i="8" s="1"/>
  <c r="D162" i="8" s="1"/>
  <c r="E162" i="8" s="1"/>
  <c r="F162" i="8" s="1"/>
  <c r="G162" i="8" s="1"/>
  <c r="H162" i="8" s="1"/>
  <c r="I162" i="8" s="1"/>
  <c r="J162" i="8" s="1"/>
  <c r="K162" i="8" s="1"/>
  <c r="L162" i="8" s="1"/>
  <c r="M162" i="8" s="1"/>
  <c r="N162" i="8" s="1"/>
  <c r="O162" i="8" s="1"/>
  <c r="P162" i="8" s="1"/>
  <c r="Q162" i="8" s="1"/>
  <c r="R162" i="8" s="1"/>
  <c r="S162" i="8" s="1"/>
  <c r="T162" i="8" s="1"/>
  <c r="D161" i="8"/>
  <c r="D144" i="8"/>
  <c r="D140" i="8"/>
  <c r="B138" i="8"/>
  <c r="C138" i="8" s="1"/>
  <c r="D138" i="8" s="1"/>
  <c r="E138" i="8" s="1"/>
  <c r="F138" i="8" s="1"/>
  <c r="G138" i="8" s="1"/>
  <c r="H138" i="8" s="1"/>
  <c r="I138" i="8" s="1"/>
  <c r="J138" i="8" s="1"/>
  <c r="K138" i="8" s="1"/>
  <c r="L138" i="8" s="1"/>
  <c r="M138" i="8" s="1"/>
  <c r="N138" i="8" s="1"/>
  <c r="O138" i="8" s="1"/>
  <c r="P138" i="8" s="1"/>
  <c r="Q138" i="8" s="1"/>
  <c r="R138" i="8" s="1"/>
  <c r="S138" i="8" s="1"/>
  <c r="T138" i="8" s="1"/>
  <c r="D137" i="8"/>
  <c r="Q128" i="8"/>
  <c r="P128" i="8"/>
  <c r="O128" i="8"/>
  <c r="N128" i="8"/>
  <c r="A125" i="8"/>
  <c r="A126" i="8" s="1"/>
  <c r="A127" i="8" s="1"/>
  <c r="A128" i="8" s="1"/>
  <c r="A129" i="8" s="1"/>
  <c r="A130" i="8" s="1"/>
  <c r="A131" i="8" s="1"/>
  <c r="A132" i="8" s="1"/>
  <c r="B123" i="8"/>
  <c r="C123" i="8" s="1"/>
  <c r="D123" i="8" s="1"/>
  <c r="E123" i="8" s="1"/>
  <c r="F123" i="8" s="1"/>
  <c r="G123" i="8" s="1"/>
  <c r="H123" i="8" s="1"/>
  <c r="I123" i="8" s="1"/>
  <c r="J123" i="8" s="1"/>
  <c r="K123" i="8" s="1"/>
  <c r="L123" i="8" s="1"/>
  <c r="M123" i="8" s="1"/>
  <c r="N123" i="8" s="1"/>
  <c r="O123" i="8" s="1"/>
  <c r="P123" i="8" s="1"/>
  <c r="Q123" i="8" s="1"/>
  <c r="R123" i="8" s="1"/>
  <c r="S123" i="8" s="1"/>
  <c r="T123" i="8" s="1"/>
  <c r="D122" i="8"/>
  <c r="D111" i="8"/>
  <c r="D110" i="8" s="1"/>
  <c r="Q106" i="8"/>
  <c r="P106" i="8"/>
  <c r="O106" i="8"/>
  <c r="N106" i="8"/>
  <c r="M106" i="8"/>
  <c r="L106" i="8"/>
  <c r="K106" i="8"/>
  <c r="J106" i="8"/>
  <c r="I106" i="8"/>
  <c r="H106" i="8"/>
  <c r="G106" i="8"/>
  <c r="F106" i="8"/>
  <c r="E106" i="8"/>
  <c r="D106" i="8"/>
  <c r="M105" i="8"/>
  <c r="B104" i="8"/>
  <c r="C104" i="8" s="1"/>
  <c r="D104" i="8" s="1"/>
  <c r="E104" i="8" s="1"/>
  <c r="F104" i="8" s="1"/>
  <c r="G104" i="8" s="1"/>
  <c r="H104" i="8" s="1"/>
  <c r="I104" i="8" s="1"/>
  <c r="J104" i="8" s="1"/>
  <c r="K104" i="8" s="1"/>
  <c r="L104" i="8" s="1"/>
  <c r="M104" i="8" s="1"/>
  <c r="N104" i="8" s="1"/>
  <c r="O104" i="8" s="1"/>
  <c r="P104" i="8" s="1"/>
  <c r="Q104" i="8" s="1"/>
  <c r="R104" i="8" s="1"/>
  <c r="S104" i="8" s="1"/>
  <c r="T104" i="8" s="1"/>
  <c r="D103" i="8"/>
  <c r="Q86" i="8"/>
  <c r="P86" i="8"/>
  <c r="O86" i="8"/>
  <c r="N86" i="8"/>
  <c r="M86" i="8"/>
  <c r="L86" i="8"/>
  <c r="K86" i="8"/>
  <c r="J86" i="8"/>
  <c r="I86" i="8"/>
  <c r="H86" i="8"/>
  <c r="G86" i="8"/>
  <c r="F86" i="8"/>
  <c r="E86" i="8"/>
  <c r="D86" i="8"/>
  <c r="B84" i="8"/>
  <c r="C84" i="8" s="1"/>
  <c r="D84" i="8" s="1"/>
  <c r="E84" i="8" s="1"/>
  <c r="F84" i="8" s="1"/>
  <c r="G84" i="8" s="1"/>
  <c r="H84" i="8" s="1"/>
  <c r="I84" i="8" s="1"/>
  <c r="J84" i="8" s="1"/>
  <c r="K84" i="8" s="1"/>
  <c r="L84" i="8" s="1"/>
  <c r="M84" i="8" s="1"/>
  <c r="N84" i="8" s="1"/>
  <c r="O84" i="8" s="1"/>
  <c r="P84" i="8" s="1"/>
  <c r="Q84" i="8" s="1"/>
  <c r="R84" i="8" s="1"/>
  <c r="S84" i="8" s="1"/>
  <c r="T84" i="8" s="1"/>
  <c r="D83" i="8"/>
  <c r="A75" i="8"/>
  <c r="A76" i="8" s="1"/>
  <c r="A77" i="8" s="1"/>
  <c r="A78" i="8" s="1"/>
  <c r="F71" i="8"/>
  <c r="A69" i="8"/>
  <c r="A70" i="8" s="1"/>
  <c r="A71" i="8" s="1"/>
  <c r="A72" i="8" s="1"/>
  <c r="A73" i="8" s="1"/>
  <c r="A74" i="8" s="1"/>
  <c r="Q68" i="8"/>
  <c r="Q72" i="8" s="1"/>
  <c r="Q76" i="8" s="1"/>
  <c r="P68" i="8"/>
  <c r="P71" i="8" s="1"/>
  <c r="O68" i="8"/>
  <c r="N68" i="8"/>
  <c r="N72" i="8" s="1"/>
  <c r="N76" i="8" s="1"/>
  <c r="I68" i="8"/>
  <c r="I69" i="8" s="1"/>
  <c r="H68" i="8"/>
  <c r="H71" i="8" s="1"/>
  <c r="G68" i="8"/>
  <c r="G71" i="8" s="1"/>
  <c r="F68" i="8"/>
  <c r="F72" i="8" s="1"/>
  <c r="F76" i="8" s="1"/>
  <c r="E68" i="8"/>
  <c r="D68" i="8"/>
  <c r="B67" i="8"/>
  <c r="C67" i="8" s="1"/>
  <c r="D67" i="8" s="1"/>
  <c r="E67" i="8" s="1"/>
  <c r="F67" i="8" s="1"/>
  <c r="G67" i="8" s="1"/>
  <c r="H67" i="8" s="1"/>
  <c r="I67" i="8" s="1"/>
  <c r="J67" i="8" s="1"/>
  <c r="K67" i="8" s="1"/>
  <c r="L67" i="8" s="1"/>
  <c r="M67" i="8" s="1"/>
  <c r="N67" i="8" s="1"/>
  <c r="O67" i="8" s="1"/>
  <c r="P67" i="8" s="1"/>
  <c r="Q67" i="8" s="1"/>
  <c r="R67" i="8" s="1"/>
  <c r="S67" i="8" s="1"/>
  <c r="T67" i="8" s="1"/>
  <c r="D66" i="8"/>
  <c r="B55" i="8"/>
  <c r="C55" i="8" s="1"/>
  <c r="D55" i="8" s="1"/>
  <c r="E55" i="8" s="1"/>
  <c r="F55" i="8" s="1"/>
  <c r="G55" i="8" s="1"/>
  <c r="H55" i="8" s="1"/>
  <c r="I55" i="8" s="1"/>
  <c r="J55" i="8" s="1"/>
  <c r="K55" i="8" s="1"/>
  <c r="L55" i="8" s="1"/>
  <c r="M55" i="8" s="1"/>
  <c r="N55" i="8" s="1"/>
  <c r="O55" i="8" s="1"/>
  <c r="P55" i="8" s="1"/>
  <c r="Q55" i="8" s="1"/>
  <c r="R55" i="8" s="1"/>
  <c r="S55" i="8" s="1"/>
  <c r="T55" i="8" s="1"/>
  <c r="D54" i="8"/>
  <c r="Q46" i="8"/>
  <c r="Q91" i="8" s="1"/>
  <c r="Q90" i="8" s="1"/>
  <c r="P46" i="8"/>
  <c r="P91" i="8" s="1"/>
  <c r="P90" i="8" s="1"/>
  <c r="O46" i="8"/>
  <c r="O91" i="8" s="1"/>
  <c r="O90" i="8" s="1"/>
  <c r="N46" i="8"/>
  <c r="N91" i="8" s="1"/>
  <c r="N90" i="8" s="1"/>
  <c r="M46" i="8"/>
  <c r="M91" i="8" s="1"/>
  <c r="M90" i="8" s="1"/>
  <c r="L46" i="8"/>
  <c r="L91" i="8" s="1"/>
  <c r="L90" i="8" s="1"/>
  <c r="K46" i="8"/>
  <c r="K91" i="8" s="1"/>
  <c r="K90" i="8" s="1"/>
  <c r="J46" i="8"/>
  <c r="J91" i="8" s="1"/>
  <c r="J90" i="8" s="1"/>
  <c r="I46" i="8"/>
  <c r="I91" i="8" s="1"/>
  <c r="I90" i="8" s="1"/>
  <c r="H46" i="8"/>
  <c r="H91" i="8" s="1"/>
  <c r="H90" i="8" s="1"/>
  <c r="G46" i="8"/>
  <c r="G91" i="8" s="1"/>
  <c r="G90" i="8" s="1"/>
  <c r="F46" i="8"/>
  <c r="F91" i="8" s="1"/>
  <c r="F90" i="8" s="1"/>
  <c r="E46" i="8"/>
  <c r="E91" i="8" s="1"/>
  <c r="E90" i="8" s="1"/>
  <c r="D46" i="8"/>
  <c r="D91" i="8" s="1"/>
  <c r="D90" i="8" s="1"/>
  <c r="Q45" i="8"/>
  <c r="Q111" i="8" s="1"/>
  <c r="Q110" i="8" s="1"/>
  <c r="P45" i="8"/>
  <c r="P47" i="8" s="1"/>
  <c r="O45" i="8"/>
  <c r="N45" i="8"/>
  <c r="M45" i="8"/>
  <c r="L45" i="8"/>
  <c r="L48" i="8" s="1"/>
  <c r="L68" i="8" s="1"/>
  <c r="K45" i="8"/>
  <c r="K111" i="8" s="1"/>
  <c r="K110" i="8" s="1"/>
  <c r="J45" i="8"/>
  <c r="J48" i="8" s="1"/>
  <c r="J68" i="8" s="1"/>
  <c r="I45" i="8"/>
  <c r="I111" i="8" s="1"/>
  <c r="I110" i="8" s="1"/>
  <c r="H45" i="8"/>
  <c r="G45" i="8"/>
  <c r="F45" i="8"/>
  <c r="E45" i="8"/>
  <c r="E111" i="8" s="1"/>
  <c r="E110" i="8" s="1"/>
  <c r="D45" i="8"/>
  <c r="D47" i="8" s="1"/>
  <c r="B38" i="8"/>
  <c r="C38" i="8" s="1"/>
  <c r="D38" i="8" s="1"/>
  <c r="E38" i="8" s="1"/>
  <c r="F38" i="8" s="1"/>
  <c r="G38" i="8" s="1"/>
  <c r="H38" i="8" s="1"/>
  <c r="I38" i="8" s="1"/>
  <c r="J38" i="8" s="1"/>
  <c r="K38" i="8" s="1"/>
  <c r="L38" i="8" s="1"/>
  <c r="M38" i="8" s="1"/>
  <c r="N38" i="8" s="1"/>
  <c r="O38" i="8" s="1"/>
  <c r="P38" i="8" s="1"/>
  <c r="Q38" i="8" s="1"/>
  <c r="R38" i="8" s="1"/>
  <c r="S38" i="8" s="1"/>
  <c r="T38" i="8" s="1"/>
  <c r="D37" i="8"/>
  <c r="Q27" i="8"/>
  <c r="P27" i="8"/>
  <c r="O27" i="8"/>
  <c r="N27" i="8"/>
  <c r="M27" i="8"/>
  <c r="L27" i="8"/>
  <c r="K27" i="8"/>
  <c r="J27" i="8"/>
  <c r="I27" i="8"/>
  <c r="H27" i="8"/>
  <c r="G27" i="8"/>
  <c r="F27" i="8"/>
  <c r="E27" i="8"/>
  <c r="D27" i="8"/>
  <c r="Q24" i="8"/>
  <c r="P24" i="8"/>
  <c r="O24" i="8"/>
  <c r="N24" i="8"/>
  <c r="M24" i="8"/>
  <c r="N105" i="8" s="1"/>
  <c r="L24" i="8"/>
  <c r="L116" i="8" s="1"/>
  <c r="K24" i="8"/>
  <c r="J24" i="8"/>
  <c r="I24" i="8"/>
  <c r="J105" i="8" s="1"/>
  <c r="H24" i="8"/>
  <c r="I105" i="8" s="1"/>
  <c r="G24" i="8"/>
  <c r="H105" i="8" s="1"/>
  <c r="F24" i="8"/>
  <c r="G105" i="8" s="1"/>
  <c r="E24" i="8"/>
  <c r="D24" i="8"/>
  <c r="D116" i="8" s="1"/>
  <c r="B23" i="8"/>
  <c r="C23" i="8" s="1"/>
  <c r="D23" i="8" s="1"/>
  <c r="E23" i="8" s="1"/>
  <c r="F23" i="8" s="1"/>
  <c r="G23" i="8" s="1"/>
  <c r="H23" i="8" s="1"/>
  <c r="I23" i="8" s="1"/>
  <c r="J23" i="8" s="1"/>
  <c r="K23" i="8" s="1"/>
  <c r="L23" i="8" s="1"/>
  <c r="M23" i="8" s="1"/>
  <c r="N23" i="8" s="1"/>
  <c r="O23" i="8" s="1"/>
  <c r="P23" i="8" s="1"/>
  <c r="Q23" i="8" s="1"/>
  <c r="R23" i="8" s="1"/>
  <c r="S23" i="8" s="1"/>
  <c r="T23" i="8" s="1"/>
  <c r="D22" i="8"/>
  <c r="Q12" i="8"/>
  <c r="P12" i="8"/>
  <c r="O12" i="8"/>
  <c r="N12" i="8"/>
  <c r="M12" i="8"/>
  <c r="L12" i="8"/>
  <c r="K12" i="8"/>
  <c r="J12" i="8"/>
  <c r="I12" i="8"/>
  <c r="H12" i="8"/>
  <c r="G12" i="8"/>
  <c r="F12" i="8"/>
  <c r="E12" i="8"/>
  <c r="D12" i="8"/>
  <c r="Q9" i="8"/>
  <c r="P9" i="8"/>
  <c r="O9" i="8"/>
  <c r="N9" i="8"/>
  <c r="M9" i="8"/>
  <c r="N85" i="8" s="1"/>
  <c r="L9" i="8"/>
  <c r="K9" i="8"/>
  <c r="K96" i="8" s="1"/>
  <c r="J9" i="8"/>
  <c r="I9" i="8"/>
  <c r="I96" i="8" s="1"/>
  <c r="H9" i="8"/>
  <c r="G9" i="8"/>
  <c r="F9" i="8"/>
  <c r="E9" i="8"/>
  <c r="E96" i="8" s="1"/>
  <c r="D9" i="8"/>
  <c r="D96" i="8" s="1"/>
  <c r="B8" i="8"/>
  <c r="C8" i="8" s="1"/>
  <c r="D8" i="8" s="1"/>
  <c r="E8" i="8" s="1"/>
  <c r="F8" i="8" s="1"/>
  <c r="G8" i="8" s="1"/>
  <c r="H8" i="8" s="1"/>
  <c r="I8" i="8" s="1"/>
  <c r="J8" i="8" s="1"/>
  <c r="K8" i="8" s="1"/>
  <c r="L8" i="8" s="1"/>
  <c r="M8" i="8" s="1"/>
  <c r="N8" i="8" s="1"/>
  <c r="O8" i="8" s="1"/>
  <c r="P8" i="8" s="1"/>
  <c r="Q8" i="8" s="1"/>
  <c r="R8" i="8" s="1"/>
  <c r="S8" i="8" s="1"/>
  <c r="T8" i="8" s="1"/>
  <c r="D7" i="8"/>
  <c r="E3" i="8"/>
  <c r="L169" i="7"/>
  <c r="B162" i="7"/>
  <c r="C162" i="7" s="1"/>
  <c r="D162" i="7" s="1"/>
  <c r="E162" i="7" s="1"/>
  <c r="F162" i="7" s="1"/>
  <c r="G162" i="7" s="1"/>
  <c r="H162" i="7" s="1"/>
  <c r="I162" i="7" s="1"/>
  <c r="J162" i="7" s="1"/>
  <c r="K162" i="7" s="1"/>
  <c r="L162" i="7" s="1"/>
  <c r="M162" i="7" s="1"/>
  <c r="N162" i="7" s="1"/>
  <c r="O162" i="7" s="1"/>
  <c r="P162" i="7" s="1"/>
  <c r="Q162" i="7" s="1"/>
  <c r="R162" i="7" s="1"/>
  <c r="S162" i="7" s="1"/>
  <c r="T162" i="7" s="1"/>
  <c r="D161" i="7"/>
  <c r="D144" i="7"/>
  <c r="D140" i="7"/>
  <c r="B138" i="7"/>
  <c r="C138" i="7" s="1"/>
  <c r="D138" i="7" s="1"/>
  <c r="E138" i="7" s="1"/>
  <c r="F138" i="7" s="1"/>
  <c r="G138" i="7" s="1"/>
  <c r="H138" i="7" s="1"/>
  <c r="I138" i="7" s="1"/>
  <c r="J138" i="7" s="1"/>
  <c r="K138" i="7" s="1"/>
  <c r="L138" i="7" s="1"/>
  <c r="M138" i="7" s="1"/>
  <c r="N138" i="7" s="1"/>
  <c r="O138" i="7" s="1"/>
  <c r="P138" i="7" s="1"/>
  <c r="Q138" i="7" s="1"/>
  <c r="R138" i="7" s="1"/>
  <c r="S138" i="7" s="1"/>
  <c r="T138" i="7" s="1"/>
  <c r="D137" i="7"/>
  <c r="Q128" i="7"/>
  <c r="P128" i="7"/>
  <c r="O128" i="7"/>
  <c r="N128" i="7"/>
  <c r="A125" i="7"/>
  <c r="A126" i="7" s="1"/>
  <c r="A127" i="7" s="1"/>
  <c r="A128" i="7" s="1"/>
  <c r="A129" i="7" s="1"/>
  <c r="A130" i="7" s="1"/>
  <c r="A131" i="7" s="1"/>
  <c r="A132" i="7" s="1"/>
  <c r="B123" i="7"/>
  <c r="C123" i="7" s="1"/>
  <c r="D123" i="7" s="1"/>
  <c r="E123" i="7" s="1"/>
  <c r="F123" i="7" s="1"/>
  <c r="G123" i="7" s="1"/>
  <c r="H123" i="7" s="1"/>
  <c r="I123" i="7" s="1"/>
  <c r="J123" i="7" s="1"/>
  <c r="K123" i="7" s="1"/>
  <c r="L123" i="7" s="1"/>
  <c r="M123" i="7" s="1"/>
  <c r="N123" i="7" s="1"/>
  <c r="O123" i="7" s="1"/>
  <c r="P123" i="7" s="1"/>
  <c r="Q123" i="7" s="1"/>
  <c r="R123" i="7" s="1"/>
  <c r="S123" i="7" s="1"/>
  <c r="T123" i="7" s="1"/>
  <c r="D122" i="7"/>
  <c r="Q106" i="7"/>
  <c r="P106" i="7"/>
  <c r="O106" i="7"/>
  <c r="N106" i="7"/>
  <c r="M106" i="7"/>
  <c r="L106" i="7"/>
  <c r="K106" i="7"/>
  <c r="J106" i="7"/>
  <c r="I106" i="7"/>
  <c r="H106" i="7"/>
  <c r="G106" i="7"/>
  <c r="F106" i="7"/>
  <c r="E106" i="7"/>
  <c r="D106" i="7"/>
  <c r="D104" i="7"/>
  <c r="E104" i="7" s="1"/>
  <c r="F104" i="7" s="1"/>
  <c r="G104" i="7" s="1"/>
  <c r="H104" i="7" s="1"/>
  <c r="I104" i="7" s="1"/>
  <c r="J104" i="7" s="1"/>
  <c r="K104" i="7" s="1"/>
  <c r="L104" i="7" s="1"/>
  <c r="M104" i="7" s="1"/>
  <c r="N104" i="7" s="1"/>
  <c r="O104" i="7" s="1"/>
  <c r="P104" i="7" s="1"/>
  <c r="Q104" i="7" s="1"/>
  <c r="R104" i="7" s="1"/>
  <c r="S104" i="7" s="1"/>
  <c r="T104" i="7" s="1"/>
  <c r="B104" i="7"/>
  <c r="C104" i="7" s="1"/>
  <c r="D103" i="7"/>
  <c r="J90" i="7"/>
  <c r="Q86" i="7"/>
  <c r="P86" i="7"/>
  <c r="O86" i="7"/>
  <c r="N86" i="7"/>
  <c r="M86" i="7"/>
  <c r="L86" i="7"/>
  <c r="K86" i="7"/>
  <c r="J86" i="7"/>
  <c r="I86" i="7"/>
  <c r="H86" i="7"/>
  <c r="G86" i="7"/>
  <c r="F86" i="7"/>
  <c r="E86" i="7"/>
  <c r="D86" i="7"/>
  <c r="B84" i="7"/>
  <c r="C84" i="7" s="1"/>
  <c r="D84" i="7" s="1"/>
  <c r="E84" i="7" s="1"/>
  <c r="F84" i="7" s="1"/>
  <c r="G84" i="7" s="1"/>
  <c r="H84" i="7" s="1"/>
  <c r="I84" i="7" s="1"/>
  <c r="J84" i="7" s="1"/>
  <c r="K84" i="7" s="1"/>
  <c r="L84" i="7" s="1"/>
  <c r="M84" i="7" s="1"/>
  <c r="N84" i="7" s="1"/>
  <c r="O84" i="7" s="1"/>
  <c r="P84" i="7" s="1"/>
  <c r="Q84" i="7" s="1"/>
  <c r="R84" i="7" s="1"/>
  <c r="S84" i="7" s="1"/>
  <c r="T84" i="7" s="1"/>
  <c r="D83" i="7"/>
  <c r="A69" i="7"/>
  <c r="A70" i="7" s="1"/>
  <c r="A71" i="7" s="1"/>
  <c r="A72" i="7" s="1"/>
  <c r="A73" i="7" s="1"/>
  <c r="A74" i="7" s="1"/>
  <c r="A75" i="7" s="1"/>
  <c r="A76" i="7" s="1"/>
  <c r="A77" i="7" s="1"/>
  <c r="A78" i="7" s="1"/>
  <c r="Q68" i="7"/>
  <c r="Q71" i="7" s="1"/>
  <c r="P68" i="7"/>
  <c r="P69" i="7" s="1"/>
  <c r="O68" i="7"/>
  <c r="O72" i="7" s="1"/>
  <c r="O76" i="7" s="1"/>
  <c r="N68" i="7"/>
  <c r="B67" i="7"/>
  <c r="C67" i="7" s="1"/>
  <c r="D67" i="7" s="1"/>
  <c r="E67" i="7" s="1"/>
  <c r="F67" i="7" s="1"/>
  <c r="G67" i="7" s="1"/>
  <c r="H67" i="7" s="1"/>
  <c r="I67" i="7" s="1"/>
  <c r="J67" i="7" s="1"/>
  <c r="K67" i="7" s="1"/>
  <c r="L67" i="7" s="1"/>
  <c r="M67" i="7" s="1"/>
  <c r="N67" i="7" s="1"/>
  <c r="O67" i="7" s="1"/>
  <c r="P67" i="7" s="1"/>
  <c r="Q67" i="7" s="1"/>
  <c r="R67" i="7" s="1"/>
  <c r="S67" i="7" s="1"/>
  <c r="T67" i="7" s="1"/>
  <c r="D66" i="7"/>
  <c r="B55" i="7"/>
  <c r="C55" i="7" s="1"/>
  <c r="D55" i="7" s="1"/>
  <c r="E55" i="7" s="1"/>
  <c r="F55" i="7" s="1"/>
  <c r="G55" i="7" s="1"/>
  <c r="H55" i="7" s="1"/>
  <c r="I55" i="7" s="1"/>
  <c r="J55" i="7" s="1"/>
  <c r="K55" i="7" s="1"/>
  <c r="L55" i="7" s="1"/>
  <c r="M55" i="7" s="1"/>
  <c r="N55" i="7" s="1"/>
  <c r="O55" i="7" s="1"/>
  <c r="P55" i="7" s="1"/>
  <c r="Q55" i="7" s="1"/>
  <c r="R55" i="7" s="1"/>
  <c r="S55" i="7" s="1"/>
  <c r="T55" i="7" s="1"/>
  <c r="D54" i="7"/>
  <c r="Q46" i="7"/>
  <c r="Q91" i="7" s="1"/>
  <c r="Q90" i="7" s="1"/>
  <c r="P46" i="7"/>
  <c r="P91" i="7" s="1"/>
  <c r="P90" i="7" s="1"/>
  <c r="M46" i="7"/>
  <c r="M91" i="7" s="1"/>
  <c r="M90" i="7" s="1"/>
  <c r="L46" i="7"/>
  <c r="L91" i="7" s="1"/>
  <c r="L90" i="7" s="1"/>
  <c r="K46" i="7"/>
  <c r="K91" i="7" s="1"/>
  <c r="K90" i="7" s="1"/>
  <c r="J46" i="7"/>
  <c r="J91" i="7" s="1"/>
  <c r="I46" i="7"/>
  <c r="I91" i="7" s="1"/>
  <c r="I90" i="7" s="1"/>
  <c r="H46" i="7"/>
  <c r="H91" i="7" s="1"/>
  <c r="H90" i="7" s="1"/>
  <c r="G46" i="7"/>
  <c r="G91" i="7" s="1"/>
  <c r="G90" i="7" s="1"/>
  <c r="F46" i="7"/>
  <c r="F91" i="7" s="1"/>
  <c r="F90" i="7" s="1"/>
  <c r="E46" i="7"/>
  <c r="E91" i="7" s="1"/>
  <c r="E90" i="7" s="1"/>
  <c r="D46" i="7"/>
  <c r="D91" i="7" s="1"/>
  <c r="D90" i="7" s="1"/>
  <c r="L45" i="7"/>
  <c r="L48" i="7" s="1"/>
  <c r="L68" i="7" s="1"/>
  <c r="H45" i="7"/>
  <c r="H77" i="7" s="1"/>
  <c r="H125" i="7" s="1"/>
  <c r="D45" i="7"/>
  <c r="D48" i="7" s="1"/>
  <c r="D68" i="7" s="1"/>
  <c r="B38" i="7"/>
  <c r="C38" i="7" s="1"/>
  <c r="D38" i="7" s="1"/>
  <c r="E38" i="7" s="1"/>
  <c r="F38" i="7" s="1"/>
  <c r="G38" i="7" s="1"/>
  <c r="H38" i="7" s="1"/>
  <c r="I38" i="7" s="1"/>
  <c r="J38" i="7" s="1"/>
  <c r="K38" i="7" s="1"/>
  <c r="L38" i="7" s="1"/>
  <c r="M38" i="7" s="1"/>
  <c r="N38" i="7" s="1"/>
  <c r="O38" i="7" s="1"/>
  <c r="P38" i="7" s="1"/>
  <c r="Q38" i="7" s="1"/>
  <c r="R38" i="7" s="1"/>
  <c r="S38" i="7" s="1"/>
  <c r="T38" i="7" s="1"/>
  <c r="D37" i="7"/>
  <c r="Q27" i="7"/>
  <c r="P27" i="7"/>
  <c r="O27" i="7"/>
  <c r="N27" i="7"/>
  <c r="M27" i="7"/>
  <c r="L27" i="7"/>
  <c r="K27" i="7"/>
  <c r="J27" i="7"/>
  <c r="I27" i="7"/>
  <c r="H27" i="7"/>
  <c r="G27" i="7"/>
  <c r="F27" i="7"/>
  <c r="E27" i="7"/>
  <c r="D27" i="7"/>
  <c r="Q24" i="7"/>
  <c r="P24" i="7"/>
  <c r="P116" i="7" s="1"/>
  <c r="P131" i="7" s="1"/>
  <c r="O24" i="7"/>
  <c r="O116" i="7" s="1"/>
  <c r="O131" i="7" s="1"/>
  <c r="N24" i="7"/>
  <c r="M24" i="7"/>
  <c r="M116" i="7" s="1"/>
  <c r="M131" i="7" s="1"/>
  <c r="L24" i="7"/>
  <c r="M105" i="7" s="1"/>
  <c r="K24" i="7"/>
  <c r="L105" i="7" s="1"/>
  <c r="J24" i="7"/>
  <c r="K105" i="7" s="1"/>
  <c r="I24" i="7"/>
  <c r="I116" i="7" s="1"/>
  <c r="I131" i="7" s="1"/>
  <c r="H24" i="7"/>
  <c r="G24" i="7"/>
  <c r="H105" i="7" s="1"/>
  <c r="F24" i="7"/>
  <c r="F116" i="7" s="1"/>
  <c r="E24" i="7"/>
  <c r="E116" i="7" s="1"/>
  <c r="E131" i="7" s="1"/>
  <c r="D24" i="7"/>
  <c r="D116" i="7" s="1"/>
  <c r="B23" i="7"/>
  <c r="C23" i="7" s="1"/>
  <c r="D23" i="7" s="1"/>
  <c r="E23" i="7" s="1"/>
  <c r="F23" i="7" s="1"/>
  <c r="G23" i="7" s="1"/>
  <c r="H23" i="7" s="1"/>
  <c r="I23" i="7" s="1"/>
  <c r="J23" i="7" s="1"/>
  <c r="K23" i="7" s="1"/>
  <c r="L23" i="7" s="1"/>
  <c r="M23" i="7" s="1"/>
  <c r="N23" i="7" s="1"/>
  <c r="O23" i="7" s="1"/>
  <c r="P23" i="7" s="1"/>
  <c r="Q23" i="7" s="1"/>
  <c r="R23" i="7" s="1"/>
  <c r="S23" i="7" s="1"/>
  <c r="T23" i="7" s="1"/>
  <c r="D22" i="7"/>
  <c r="O12" i="7"/>
  <c r="N12" i="7"/>
  <c r="M12" i="7"/>
  <c r="L12" i="7"/>
  <c r="K12" i="7"/>
  <c r="J12" i="7"/>
  <c r="I12" i="7"/>
  <c r="H12" i="7"/>
  <c r="G12" i="7"/>
  <c r="F12" i="7"/>
  <c r="E12" i="7"/>
  <c r="D12" i="7"/>
  <c r="Q9" i="7"/>
  <c r="P9" i="7"/>
  <c r="O9" i="7"/>
  <c r="O96" i="7" s="1"/>
  <c r="N9" i="7"/>
  <c r="N96" i="7" s="1"/>
  <c r="M9" i="7"/>
  <c r="N85" i="7" s="1"/>
  <c r="L9" i="7"/>
  <c r="K9" i="7"/>
  <c r="L85" i="7" s="1"/>
  <c r="J9" i="7"/>
  <c r="K85" i="7" s="1"/>
  <c r="I9" i="7"/>
  <c r="H9" i="7"/>
  <c r="G9" i="7"/>
  <c r="H85" i="7" s="1"/>
  <c r="F9" i="7"/>
  <c r="F96" i="7" s="1"/>
  <c r="E9" i="7"/>
  <c r="F85" i="7" s="1"/>
  <c r="D9" i="7"/>
  <c r="D96" i="7" s="1"/>
  <c r="B8" i="7"/>
  <c r="C8" i="7" s="1"/>
  <c r="D8" i="7" s="1"/>
  <c r="E8" i="7" s="1"/>
  <c r="F8" i="7" s="1"/>
  <c r="G8" i="7" s="1"/>
  <c r="H8" i="7" s="1"/>
  <c r="I8" i="7" s="1"/>
  <c r="J8" i="7" s="1"/>
  <c r="K8" i="7" s="1"/>
  <c r="L8" i="7" s="1"/>
  <c r="M8" i="7" s="1"/>
  <c r="N8" i="7" s="1"/>
  <c r="O8" i="7" s="1"/>
  <c r="P8" i="7" s="1"/>
  <c r="Q8" i="7" s="1"/>
  <c r="R8" i="7" s="1"/>
  <c r="S8" i="7" s="1"/>
  <c r="T8" i="7" s="1"/>
  <c r="D7" i="7"/>
  <c r="E3" i="7"/>
  <c r="E22" i="7" s="1"/>
  <c r="L169" i="6"/>
  <c r="B162" i="6"/>
  <c r="C162" i="6" s="1"/>
  <c r="D162" i="6" s="1"/>
  <c r="E162" i="6" s="1"/>
  <c r="F162" i="6" s="1"/>
  <c r="G162" i="6" s="1"/>
  <c r="H162" i="6" s="1"/>
  <c r="I162" i="6" s="1"/>
  <c r="J162" i="6" s="1"/>
  <c r="K162" i="6" s="1"/>
  <c r="L162" i="6" s="1"/>
  <c r="M162" i="6" s="1"/>
  <c r="N162" i="6" s="1"/>
  <c r="P162" i="6" s="1"/>
  <c r="Q162" i="6" s="1"/>
  <c r="R162" i="6" s="1"/>
  <c r="S162" i="6" s="1"/>
  <c r="T162" i="6" s="1"/>
  <c r="D161" i="6"/>
  <c r="D144" i="6"/>
  <c r="D140" i="6"/>
  <c r="B138" i="6"/>
  <c r="C138" i="6" s="1"/>
  <c r="D138" i="6" s="1"/>
  <c r="E138" i="6" s="1"/>
  <c r="F138" i="6" s="1"/>
  <c r="G138" i="6" s="1"/>
  <c r="H138" i="6" s="1"/>
  <c r="I138" i="6" s="1"/>
  <c r="J138" i="6" s="1"/>
  <c r="K138" i="6" s="1"/>
  <c r="L138" i="6" s="1"/>
  <c r="M138" i="6" s="1"/>
  <c r="N138" i="6" s="1"/>
  <c r="P138" i="6" s="1"/>
  <c r="Q138" i="6" s="1"/>
  <c r="R138" i="6" s="1"/>
  <c r="S138" i="6" s="1"/>
  <c r="T138" i="6" s="1"/>
  <c r="D137" i="6"/>
  <c r="Q128" i="6"/>
  <c r="P128" i="6"/>
  <c r="N128" i="6"/>
  <c r="A125" i="6"/>
  <c r="A126" i="6" s="1"/>
  <c r="A127" i="6" s="1"/>
  <c r="A128" i="6" s="1"/>
  <c r="A129" i="6" s="1"/>
  <c r="A130" i="6" s="1"/>
  <c r="A131" i="6" s="1"/>
  <c r="A132" i="6" s="1"/>
  <c r="C123" i="6"/>
  <c r="D123" i="6" s="1"/>
  <c r="E123" i="6" s="1"/>
  <c r="F123" i="6" s="1"/>
  <c r="G123" i="6" s="1"/>
  <c r="H123" i="6" s="1"/>
  <c r="I123" i="6" s="1"/>
  <c r="J123" i="6" s="1"/>
  <c r="K123" i="6" s="1"/>
  <c r="L123" i="6" s="1"/>
  <c r="M123" i="6" s="1"/>
  <c r="N123" i="6" s="1"/>
  <c r="P123" i="6" s="1"/>
  <c r="Q123" i="6" s="1"/>
  <c r="R123" i="6" s="1"/>
  <c r="S123" i="6" s="1"/>
  <c r="T123" i="6" s="1"/>
  <c r="B123" i="6"/>
  <c r="D122" i="6"/>
  <c r="Q106" i="6"/>
  <c r="P106" i="6"/>
  <c r="N106" i="6"/>
  <c r="M106" i="6"/>
  <c r="L106" i="6"/>
  <c r="K106" i="6"/>
  <c r="J106" i="6"/>
  <c r="I106" i="6"/>
  <c r="H106" i="6"/>
  <c r="G106" i="6"/>
  <c r="F106" i="6"/>
  <c r="E106" i="6"/>
  <c r="D106" i="6"/>
  <c r="B104" i="6"/>
  <c r="C104" i="6" s="1"/>
  <c r="D104" i="6" s="1"/>
  <c r="E104" i="6" s="1"/>
  <c r="F104" i="6" s="1"/>
  <c r="G104" i="6" s="1"/>
  <c r="H104" i="6" s="1"/>
  <c r="I104" i="6" s="1"/>
  <c r="J104" i="6" s="1"/>
  <c r="K104" i="6" s="1"/>
  <c r="L104" i="6" s="1"/>
  <c r="M104" i="6" s="1"/>
  <c r="N104" i="6" s="1"/>
  <c r="P104" i="6" s="1"/>
  <c r="Q104" i="6" s="1"/>
  <c r="R104" i="6" s="1"/>
  <c r="S104" i="6" s="1"/>
  <c r="T104" i="6" s="1"/>
  <c r="D103" i="6"/>
  <c r="Q86" i="6"/>
  <c r="P86" i="6"/>
  <c r="N86" i="6"/>
  <c r="M86" i="6"/>
  <c r="L86" i="6"/>
  <c r="K86" i="6"/>
  <c r="J86" i="6"/>
  <c r="I86" i="6"/>
  <c r="H86" i="6"/>
  <c r="G86" i="6"/>
  <c r="F86" i="6"/>
  <c r="E86" i="6"/>
  <c r="D86" i="6"/>
  <c r="B84" i="6"/>
  <c r="C84" i="6" s="1"/>
  <c r="D84" i="6" s="1"/>
  <c r="E84" i="6" s="1"/>
  <c r="F84" i="6" s="1"/>
  <c r="G84" i="6" s="1"/>
  <c r="H84" i="6" s="1"/>
  <c r="I84" i="6" s="1"/>
  <c r="J84" i="6" s="1"/>
  <c r="K84" i="6" s="1"/>
  <c r="L84" i="6" s="1"/>
  <c r="M84" i="6" s="1"/>
  <c r="N84" i="6" s="1"/>
  <c r="P84" i="6" s="1"/>
  <c r="Q84" i="6" s="1"/>
  <c r="R84" i="6" s="1"/>
  <c r="S84" i="6" s="1"/>
  <c r="T84" i="6" s="1"/>
  <c r="D83" i="6"/>
  <c r="P77" i="6"/>
  <c r="A69" i="6"/>
  <c r="A70" i="6" s="1"/>
  <c r="A71" i="6" s="1"/>
  <c r="A72" i="6" s="1"/>
  <c r="A73" i="6" s="1"/>
  <c r="A74" i="6" s="1"/>
  <c r="A75" i="6" s="1"/>
  <c r="A76" i="6" s="1"/>
  <c r="A77" i="6" s="1"/>
  <c r="A78" i="6" s="1"/>
  <c r="Q68" i="6"/>
  <c r="Q70" i="6" s="1"/>
  <c r="P68" i="6"/>
  <c r="N68" i="6"/>
  <c r="N71" i="6" s="1"/>
  <c r="H68" i="6"/>
  <c r="H72" i="6" s="1"/>
  <c r="H76" i="6" s="1"/>
  <c r="G68" i="6"/>
  <c r="F68" i="6"/>
  <c r="F70" i="6" s="1"/>
  <c r="E68" i="6"/>
  <c r="D68" i="6"/>
  <c r="D70" i="6" s="1"/>
  <c r="B67" i="6"/>
  <c r="C67" i="6" s="1"/>
  <c r="D67" i="6" s="1"/>
  <c r="E67" i="6" s="1"/>
  <c r="F67" i="6" s="1"/>
  <c r="G67" i="6" s="1"/>
  <c r="H67" i="6" s="1"/>
  <c r="I67" i="6" s="1"/>
  <c r="J67" i="6" s="1"/>
  <c r="K67" i="6" s="1"/>
  <c r="L67" i="6" s="1"/>
  <c r="M67" i="6" s="1"/>
  <c r="N67" i="6" s="1"/>
  <c r="P67" i="6" s="1"/>
  <c r="Q67" i="6" s="1"/>
  <c r="R67" i="6" s="1"/>
  <c r="S67" i="6" s="1"/>
  <c r="T67" i="6" s="1"/>
  <c r="D66" i="6"/>
  <c r="B55" i="6"/>
  <c r="C55" i="6" s="1"/>
  <c r="D55" i="6" s="1"/>
  <c r="E55" i="6" s="1"/>
  <c r="F55" i="6" s="1"/>
  <c r="G55" i="6" s="1"/>
  <c r="H55" i="6" s="1"/>
  <c r="I55" i="6" s="1"/>
  <c r="J55" i="6" s="1"/>
  <c r="K55" i="6" s="1"/>
  <c r="L55" i="6" s="1"/>
  <c r="M55" i="6" s="1"/>
  <c r="N55" i="6" s="1"/>
  <c r="P55" i="6" s="1"/>
  <c r="Q55" i="6" s="1"/>
  <c r="R55" i="6" s="1"/>
  <c r="S55" i="6" s="1"/>
  <c r="T55" i="6" s="1"/>
  <c r="D54" i="6"/>
  <c r="P91" i="6"/>
  <c r="P90" i="6" s="1"/>
  <c r="N45" i="6"/>
  <c r="N77" i="6" s="1"/>
  <c r="N125" i="6" s="1"/>
  <c r="M45" i="6"/>
  <c r="M46" i="6" s="1"/>
  <c r="M91" i="6" s="1"/>
  <c r="M90" i="6" s="1"/>
  <c r="L45" i="6"/>
  <c r="K45" i="6"/>
  <c r="K48" i="6" s="1"/>
  <c r="K68" i="6" s="1"/>
  <c r="J45" i="6"/>
  <c r="J48" i="6" s="1"/>
  <c r="J68" i="6" s="1"/>
  <c r="I45" i="6"/>
  <c r="I48" i="6" s="1"/>
  <c r="I68" i="6" s="1"/>
  <c r="H45" i="6"/>
  <c r="G45" i="6"/>
  <c r="G77" i="6" s="1"/>
  <c r="G125" i="6" s="1"/>
  <c r="F45" i="6"/>
  <c r="F47" i="6" s="1"/>
  <c r="E45" i="6"/>
  <c r="E46" i="6" s="1"/>
  <c r="E91" i="6" s="1"/>
  <c r="E90" i="6" s="1"/>
  <c r="D45" i="6"/>
  <c r="D77" i="6" s="1"/>
  <c r="D125" i="6" s="1"/>
  <c r="B38" i="6"/>
  <c r="C38" i="6" s="1"/>
  <c r="D38" i="6" s="1"/>
  <c r="E38" i="6" s="1"/>
  <c r="F38" i="6" s="1"/>
  <c r="G38" i="6" s="1"/>
  <c r="H38" i="6" s="1"/>
  <c r="I38" i="6" s="1"/>
  <c r="J38" i="6" s="1"/>
  <c r="K38" i="6" s="1"/>
  <c r="L38" i="6" s="1"/>
  <c r="M38" i="6" s="1"/>
  <c r="N38" i="6" s="1"/>
  <c r="P38" i="6" s="1"/>
  <c r="Q38" i="6" s="1"/>
  <c r="R38" i="6" s="1"/>
  <c r="S38" i="6" s="1"/>
  <c r="T38" i="6" s="1"/>
  <c r="D37" i="6"/>
  <c r="N27" i="6"/>
  <c r="M27" i="6"/>
  <c r="L27" i="6"/>
  <c r="K27" i="6"/>
  <c r="J27" i="6"/>
  <c r="I27" i="6"/>
  <c r="H27" i="6"/>
  <c r="G27" i="6"/>
  <c r="F27" i="6"/>
  <c r="E27" i="6"/>
  <c r="D27" i="6"/>
  <c r="Q24" i="6"/>
  <c r="P24" i="6"/>
  <c r="Q105" i="6" s="1"/>
  <c r="N24" i="6"/>
  <c r="M24" i="6"/>
  <c r="M116" i="6" s="1"/>
  <c r="L24" i="6"/>
  <c r="M105" i="6" s="1"/>
  <c r="K24" i="6"/>
  <c r="J24" i="6"/>
  <c r="I24" i="6"/>
  <c r="J105" i="6" s="1"/>
  <c r="H24" i="6"/>
  <c r="G24" i="6"/>
  <c r="G116" i="6" s="1"/>
  <c r="G131" i="6" s="1"/>
  <c r="F24" i="6"/>
  <c r="E24" i="6"/>
  <c r="E116" i="6" s="1"/>
  <c r="D24" i="6"/>
  <c r="D116" i="6" s="1"/>
  <c r="B23" i="6"/>
  <c r="C23" i="6" s="1"/>
  <c r="D23" i="6" s="1"/>
  <c r="E23" i="6" s="1"/>
  <c r="F23" i="6" s="1"/>
  <c r="G23" i="6" s="1"/>
  <c r="H23" i="6" s="1"/>
  <c r="I23" i="6" s="1"/>
  <c r="J23" i="6" s="1"/>
  <c r="K23" i="6" s="1"/>
  <c r="L23" i="6" s="1"/>
  <c r="M23" i="6" s="1"/>
  <c r="N23" i="6" s="1"/>
  <c r="P23" i="6" s="1"/>
  <c r="Q23" i="6" s="1"/>
  <c r="R23" i="6" s="1"/>
  <c r="S23" i="6" s="1"/>
  <c r="T23" i="6" s="1"/>
  <c r="D22" i="6"/>
  <c r="N12" i="6"/>
  <c r="M12" i="6"/>
  <c r="L12" i="6"/>
  <c r="K12" i="6"/>
  <c r="J12" i="6"/>
  <c r="I12" i="6"/>
  <c r="H12" i="6"/>
  <c r="G12" i="6"/>
  <c r="F12" i="6"/>
  <c r="E12" i="6"/>
  <c r="D12" i="6"/>
  <c r="Q9" i="6"/>
  <c r="P9" i="6"/>
  <c r="P96" i="6" s="1"/>
  <c r="P85" i="6"/>
  <c r="N9" i="6"/>
  <c r="M9" i="6"/>
  <c r="N85" i="6" s="1"/>
  <c r="L9" i="6"/>
  <c r="K9" i="6"/>
  <c r="J9" i="6"/>
  <c r="I9" i="6"/>
  <c r="J85" i="6" s="1"/>
  <c r="H9" i="6"/>
  <c r="I85" i="6" s="1"/>
  <c r="G9" i="6"/>
  <c r="H85" i="6" s="1"/>
  <c r="F9" i="6"/>
  <c r="G85" i="6" s="1"/>
  <c r="E9" i="6"/>
  <c r="F85" i="6" s="1"/>
  <c r="D9" i="6"/>
  <c r="D96" i="6" s="1"/>
  <c r="B8" i="6"/>
  <c r="C8" i="6" s="1"/>
  <c r="D8" i="6" s="1"/>
  <c r="E8" i="6" s="1"/>
  <c r="F8" i="6" s="1"/>
  <c r="G8" i="6" s="1"/>
  <c r="H8" i="6" s="1"/>
  <c r="I8" i="6" s="1"/>
  <c r="J8" i="6" s="1"/>
  <c r="K8" i="6" s="1"/>
  <c r="L8" i="6" s="1"/>
  <c r="M8" i="6" s="1"/>
  <c r="N8" i="6" s="1"/>
  <c r="P8" i="6" s="1"/>
  <c r="Q8" i="6" s="1"/>
  <c r="R8" i="6" s="1"/>
  <c r="S8" i="6" s="1"/>
  <c r="T8" i="6" s="1"/>
  <c r="D7" i="6"/>
  <c r="E3" i="6"/>
  <c r="F3" i="6" s="1"/>
  <c r="L169" i="5"/>
  <c r="B162" i="5"/>
  <c r="C162" i="5" s="1"/>
  <c r="D162" i="5" s="1"/>
  <c r="E162" i="5" s="1"/>
  <c r="F162" i="5" s="1"/>
  <c r="G162" i="5" s="1"/>
  <c r="H162" i="5" s="1"/>
  <c r="I162" i="5" s="1"/>
  <c r="J162" i="5" s="1"/>
  <c r="K162" i="5" s="1"/>
  <c r="L162" i="5" s="1"/>
  <c r="M162" i="5" s="1"/>
  <c r="N162" i="5" s="1"/>
  <c r="P162" i="5" s="1"/>
  <c r="Q162" i="5" s="1"/>
  <c r="R162" i="5" s="1"/>
  <c r="S162" i="5" s="1"/>
  <c r="T162" i="5" s="1"/>
  <c r="D161" i="5"/>
  <c r="D144" i="5"/>
  <c r="D140" i="5"/>
  <c r="B138" i="5"/>
  <c r="C138" i="5" s="1"/>
  <c r="D138" i="5" s="1"/>
  <c r="E138" i="5" s="1"/>
  <c r="F138" i="5" s="1"/>
  <c r="G138" i="5" s="1"/>
  <c r="H138" i="5" s="1"/>
  <c r="I138" i="5" s="1"/>
  <c r="J138" i="5" s="1"/>
  <c r="K138" i="5" s="1"/>
  <c r="L138" i="5" s="1"/>
  <c r="M138" i="5" s="1"/>
  <c r="N138" i="5" s="1"/>
  <c r="P138" i="5" s="1"/>
  <c r="Q138" i="5" s="1"/>
  <c r="R138" i="5" s="1"/>
  <c r="S138" i="5" s="1"/>
  <c r="T138" i="5" s="1"/>
  <c r="D137" i="5"/>
  <c r="Q128" i="5"/>
  <c r="P128" i="5"/>
  <c r="N128" i="5"/>
  <c r="A128" i="5"/>
  <c r="A129" i="5" s="1"/>
  <c r="A130" i="5" s="1"/>
  <c r="A131" i="5" s="1"/>
  <c r="A132" i="5" s="1"/>
  <c r="A125" i="5"/>
  <c r="A126" i="5" s="1"/>
  <c r="A127" i="5" s="1"/>
  <c r="B123" i="5"/>
  <c r="C123" i="5" s="1"/>
  <c r="D123" i="5" s="1"/>
  <c r="E123" i="5" s="1"/>
  <c r="F123" i="5" s="1"/>
  <c r="G123" i="5" s="1"/>
  <c r="H123" i="5" s="1"/>
  <c r="I123" i="5" s="1"/>
  <c r="J123" i="5" s="1"/>
  <c r="K123" i="5" s="1"/>
  <c r="L123" i="5" s="1"/>
  <c r="M123" i="5" s="1"/>
  <c r="N123" i="5" s="1"/>
  <c r="P123" i="5" s="1"/>
  <c r="Q123" i="5" s="1"/>
  <c r="R123" i="5" s="1"/>
  <c r="S123" i="5" s="1"/>
  <c r="T123" i="5" s="1"/>
  <c r="D122" i="5"/>
  <c r="Q111" i="5"/>
  <c r="Q110" i="5" s="1"/>
  <c r="P111" i="5"/>
  <c r="P110" i="5" s="1"/>
  <c r="N111" i="5"/>
  <c r="N110" i="5" s="1"/>
  <c r="M111" i="5"/>
  <c r="M110" i="5" s="1"/>
  <c r="L111" i="5"/>
  <c r="L110" i="5" s="1"/>
  <c r="K111" i="5"/>
  <c r="K110" i="5" s="1"/>
  <c r="J111" i="5"/>
  <c r="J110" i="5" s="1"/>
  <c r="I111" i="5"/>
  <c r="I110" i="5" s="1"/>
  <c r="H111" i="5"/>
  <c r="H110" i="5" s="1"/>
  <c r="G111" i="5"/>
  <c r="G110" i="5" s="1"/>
  <c r="F111" i="5"/>
  <c r="F110" i="5" s="1"/>
  <c r="E111" i="5"/>
  <c r="E110" i="5" s="1"/>
  <c r="D111" i="5"/>
  <c r="D110" i="5" s="1"/>
  <c r="Q106" i="5"/>
  <c r="P106" i="5"/>
  <c r="N106" i="5"/>
  <c r="M106" i="5"/>
  <c r="L106" i="5"/>
  <c r="K106" i="5"/>
  <c r="J106" i="5"/>
  <c r="I106" i="5"/>
  <c r="H106" i="5"/>
  <c r="G106" i="5"/>
  <c r="F106" i="5"/>
  <c r="E106" i="5"/>
  <c r="D106" i="5"/>
  <c r="F105" i="5"/>
  <c r="B104" i="5"/>
  <c r="C104" i="5" s="1"/>
  <c r="D104" i="5" s="1"/>
  <c r="E104" i="5" s="1"/>
  <c r="F104" i="5" s="1"/>
  <c r="G104" i="5" s="1"/>
  <c r="H104" i="5" s="1"/>
  <c r="I104" i="5" s="1"/>
  <c r="J104" i="5" s="1"/>
  <c r="K104" i="5" s="1"/>
  <c r="L104" i="5" s="1"/>
  <c r="M104" i="5" s="1"/>
  <c r="N104" i="5" s="1"/>
  <c r="P104" i="5" s="1"/>
  <c r="Q104" i="5" s="1"/>
  <c r="R104" i="5" s="1"/>
  <c r="S104" i="5" s="1"/>
  <c r="T104" i="5" s="1"/>
  <c r="D103" i="5"/>
  <c r="Q86" i="5"/>
  <c r="P86" i="5"/>
  <c r="N86" i="5"/>
  <c r="M86" i="5"/>
  <c r="L86" i="5"/>
  <c r="K86" i="5"/>
  <c r="J86" i="5"/>
  <c r="I86" i="5"/>
  <c r="H86" i="5"/>
  <c r="G86" i="5"/>
  <c r="F86" i="5"/>
  <c r="E86" i="5"/>
  <c r="D86" i="5"/>
  <c r="B84" i="5"/>
  <c r="C84" i="5" s="1"/>
  <c r="D84" i="5" s="1"/>
  <c r="E84" i="5" s="1"/>
  <c r="F84" i="5" s="1"/>
  <c r="G84" i="5" s="1"/>
  <c r="H84" i="5" s="1"/>
  <c r="I84" i="5" s="1"/>
  <c r="J84" i="5" s="1"/>
  <c r="K84" i="5" s="1"/>
  <c r="L84" i="5" s="1"/>
  <c r="M84" i="5" s="1"/>
  <c r="N84" i="5" s="1"/>
  <c r="P84" i="5" s="1"/>
  <c r="Q84" i="5" s="1"/>
  <c r="R84" i="5" s="1"/>
  <c r="S84" i="5" s="1"/>
  <c r="T84" i="5" s="1"/>
  <c r="D83" i="5"/>
  <c r="Q77" i="5"/>
  <c r="Q125" i="5" s="1"/>
  <c r="P77" i="5"/>
  <c r="P125" i="5" s="1"/>
  <c r="N77" i="5"/>
  <c r="N125" i="5" s="1"/>
  <c r="M77" i="5"/>
  <c r="M125" i="5" s="1"/>
  <c r="L77" i="5"/>
  <c r="L125" i="5" s="1"/>
  <c r="K77" i="5"/>
  <c r="K125" i="5" s="1"/>
  <c r="J77" i="5"/>
  <c r="J125" i="5" s="1"/>
  <c r="I77" i="5"/>
  <c r="I125" i="5" s="1"/>
  <c r="H77" i="5"/>
  <c r="H125" i="5" s="1"/>
  <c r="G77" i="5"/>
  <c r="G125" i="5" s="1"/>
  <c r="F77" i="5"/>
  <c r="F125" i="5" s="1"/>
  <c r="E77" i="5"/>
  <c r="E125" i="5" s="1"/>
  <c r="D77" i="5"/>
  <c r="D125" i="5" s="1"/>
  <c r="G70" i="5"/>
  <c r="A69" i="5"/>
  <c r="A70" i="5" s="1"/>
  <c r="A71" i="5" s="1"/>
  <c r="A72" i="5" s="1"/>
  <c r="A73" i="5" s="1"/>
  <c r="A74" i="5" s="1"/>
  <c r="A75" i="5" s="1"/>
  <c r="A76" i="5" s="1"/>
  <c r="A77" i="5" s="1"/>
  <c r="A78" i="5" s="1"/>
  <c r="Q68" i="5"/>
  <c r="Q70" i="5" s="1"/>
  <c r="N68" i="5"/>
  <c r="N69" i="5" s="1"/>
  <c r="J68" i="5"/>
  <c r="J71" i="5" s="1"/>
  <c r="I68" i="5"/>
  <c r="I70" i="5" s="1"/>
  <c r="H68" i="5"/>
  <c r="H71" i="5" s="1"/>
  <c r="G68" i="5"/>
  <c r="F68" i="5"/>
  <c r="F71" i="5" s="1"/>
  <c r="E68" i="5"/>
  <c r="D68" i="5"/>
  <c r="C67" i="5"/>
  <c r="D67" i="5" s="1"/>
  <c r="E67" i="5" s="1"/>
  <c r="F67" i="5" s="1"/>
  <c r="G67" i="5" s="1"/>
  <c r="H67" i="5" s="1"/>
  <c r="I67" i="5" s="1"/>
  <c r="J67" i="5" s="1"/>
  <c r="K67" i="5" s="1"/>
  <c r="L67" i="5" s="1"/>
  <c r="M67" i="5" s="1"/>
  <c r="N67" i="5" s="1"/>
  <c r="P67" i="5" s="1"/>
  <c r="Q67" i="5" s="1"/>
  <c r="R67" i="5" s="1"/>
  <c r="S67" i="5" s="1"/>
  <c r="T67" i="5" s="1"/>
  <c r="B67" i="5"/>
  <c r="D66" i="5"/>
  <c r="B55" i="5"/>
  <c r="C55" i="5" s="1"/>
  <c r="D55" i="5" s="1"/>
  <c r="E55" i="5" s="1"/>
  <c r="F55" i="5" s="1"/>
  <c r="G55" i="5" s="1"/>
  <c r="H55" i="5" s="1"/>
  <c r="I55" i="5" s="1"/>
  <c r="J55" i="5" s="1"/>
  <c r="K55" i="5" s="1"/>
  <c r="L55" i="5" s="1"/>
  <c r="M55" i="5" s="1"/>
  <c r="N55" i="5" s="1"/>
  <c r="P55" i="5" s="1"/>
  <c r="Q55" i="5" s="1"/>
  <c r="R55" i="5" s="1"/>
  <c r="S55" i="5" s="1"/>
  <c r="T55" i="5" s="1"/>
  <c r="D54" i="5"/>
  <c r="P46" i="5"/>
  <c r="P91" i="5" s="1"/>
  <c r="P90" i="5" s="1"/>
  <c r="N45" i="5"/>
  <c r="M45" i="5"/>
  <c r="L45" i="5"/>
  <c r="K45" i="5"/>
  <c r="K46" i="5" s="1"/>
  <c r="K91" i="5" s="1"/>
  <c r="K90" i="5" s="1"/>
  <c r="J45" i="5"/>
  <c r="I45" i="5"/>
  <c r="H45" i="5"/>
  <c r="G45" i="5"/>
  <c r="G47" i="5" s="1"/>
  <c r="F45" i="5"/>
  <c r="E45" i="5"/>
  <c r="D45" i="5"/>
  <c r="B38" i="5"/>
  <c r="C38" i="5" s="1"/>
  <c r="D38" i="5" s="1"/>
  <c r="E38" i="5" s="1"/>
  <c r="F38" i="5" s="1"/>
  <c r="G38" i="5" s="1"/>
  <c r="H38" i="5" s="1"/>
  <c r="I38" i="5" s="1"/>
  <c r="J38" i="5" s="1"/>
  <c r="K38" i="5" s="1"/>
  <c r="L38" i="5" s="1"/>
  <c r="M38" i="5" s="1"/>
  <c r="N38" i="5" s="1"/>
  <c r="P38" i="5" s="1"/>
  <c r="Q38" i="5" s="1"/>
  <c r="R38" i="5" s="1"/>
  <c r="S38" i="5" s="1"/>
  <c r="T38" i="5" s="1"/>
  <c r="D37" i="5"/>
  <c r="N27" i="5"/>
  <c r="M27" i="5"/>
  <c r="L27" i="5"/>
  <c r="K27" i="5"/>
  <c r="J27" i="5"/>
  <c r="I27" i="5"/>
  <c r="H27" i="5"/>
  <c r="G27" i="5"/>
  <c r="F27" i="5"/>
  <c r="E27" i="5"/>
  <c r="D27" i="5"/>
  <c r="Q24" i="5"/>
  <c r="P24" i="5"/>
  <c r="N24" i="5"/>
  <c r="M24" i="5"/>
  <c r="N105" i="5" s="1"/>
  <c r="L24" i="5"/>
  <c r="M105" i="5" s="1"/>
  <c r="K24" i="5"/>
  <c r="L105" i="5" s="1"/>
  <c r="J24" i="5"/>
  <c r="J116" i="5" s="1"/>
  <c r="I24" i="5"/>
  <c r="I116" i="5" s="1"/>
  <c r="H24" i="5"/>
  <c r="H116" i="5" s="1"/>
  <c r="G24" i="5"/>
  <c r="G116" i="5" s="1"/>
  <c r="F24" i="5"/>
  <c r="E24" i="5"/>
  <c r="E116" i="5" s="1"/>
  <c r="E131" i="5" s="1"/>
  <c r="D24" i="5"/>
  <c r="D23" i="5"/>
  <c r="E23" i="5" s="1"/>
  <c r="F23" i="5" s="1"/>
  <c r="G23" i="5" s="1"/>
  <c r="H23" i="5" s="1"/>
  <c r="I23" i="5" s="1"/>
  <c r="J23" i="5" s="1"/>
  <c r="K23" i="5" s="1"/>
  <c r="L23" i="5" s="1"/>
  <c r="M23" i="5" s="1"/>
  <c r="N23" i="5" s="1"/>
  <c r="P23" i="5" s="1"/>
  <c r="Q23" i="5" s="1"/>
  <c r="R23" i="5" s="1"/>
  <c r="S23" i="5" s="1"/>
  <c r="T23" i="5" s="1"/>
  <c r="B23" i="5"/>
  <c r="C23" i="5" s="1"/>
  <c r="D22" i="5"/>
  <c r="L12" i="5"/>
  <c r="K12" i="5"/>
  <c r="J12" i="5"/>
  <c r="I12" i="5"/>
  <c r="H12" i="5"/>
  <c r="G12" i="5"/>
  <c r="F12" i="5"/>
  <c r="E12" i="5"/>
  <c r="D12" i="5"/>
  <c r="Q9" i="5"/>
  <c r="P9" i="5"/>
  <c r="Q85" i="5" s="1"/>
  <c r="N9" i="5"/>
  <c r="M9" i="5"/>
  <c r="M96" i="5" s="1"/>
  <c r="L9" i="5"/>
  <c r="M85" i="5" s="1"/>
  <c r="K9" i="5"/>
  <c r="L85" i="5" s="1"/>
  <c r="J9" i="5"/>
  <c r="I9" i="5"/>
  <c r="H9" i="5"/>
  <c r="H96" i="5" s="1"/>
  <c r="G9" i="5"/>
  <c r="F9" i="5"/>
  <c r="E9" i="5"/>
  <c r="D9" i="5"/>
  <c r="E85" i="5" s="1"/>
  <c r="B8" i="5"/>
  <c r="C8" i="5" s="1"/>
  <c r="D8" i="5" s="1"/>
  <c r="E8" i="5" s="1"/>
  <c r="F8" i="5" s="1"/>
  <c r="G8" i="5" s="1"/>
  <c r="H8" i="5" s="1"/>
  <c r="I8" i="5" s="1"/>
  <c r="J8" i="5" s="1"/>
  <c r="K8" i="5" s="1"/>
  <c r="L8" i="5" s="1"/>
  <c r="M8" i="5" s="1"/>
  <c r="N8" i="5" s="1"/>
  <c r="P8" i="5" s="1"/>
  <c r="Q8" i="5" s="1"/>
  <c r="R8" i="5" s="1"/>
  <c r="S8" i="5" s="1"/>
  <c r="T8" i="5" s="1"/>
  <c r="D7" i="5"/>
  <c r="E3" i="5"/>
  <c r="E37" i="5" s="1"/>
  <c r="L127" i="4"/>
  <c r="B120" i="4"/>
  <c r="C120" i="4" s="1"/>
  <c r="D120" i="4" s="1"/>
  <c r="E120" i="4" s="1"/>
  <c r="F120" i="4" s="1"/>
  <c r="G120" i="4" s="1"/>
  <c r="H120" i="4" s="1"/>
  <c r="I120" i="4" s="1"/>
  <c r="J120" i="4" s="1"/>
  <c r="K120" i="4" s="1"/>
  <c r="L120" i="4" s="1"/>
  <c r="M120" i="4" s="1"/>
  <c r="N120" i="4" s="1"/>
  <c r="O120" i="4" s="1"/>
  <c r="P120" i="4" s="1"/>
  <c r="Q120" i="4" s="1"/>
  <c r="R120" i="4" s="1"/>
  <c r="S120" i="4" s="1"/>
  <c r="T120" i="4" s="1"/>
  <c r="D119" i="4"/>
  <c r="D102" i="4"/>
  <c r="D98" i="4"/>
  <c r="B96" i="4"/>
  <c r="C96" i="4" s="1"/>
  <c r="D96" i="4" s="1"/>
  <c r="E96" i="4" s="1"/>
  <c r="F96" i="4" s="1"/>
  <c r="G96" i="4" s="1"/>
  <c r="H96" i="4" s="1"/>
  <c r="I96" i="4" s="1"/>
  <c r="J96" i="4" s="1"/>
  <c r="K96" i="4" s="1"/>
  <c r="L96" i="4" s="1"/>
  <c r="M96" i="4" s="1"/>
  <c r="N96" i="4" s="1"/>
  <c r="O96" i="4" s="1"/>
  <c r="P96" i="4" s="1"/>
  <c r="Q96" i="4" s="1"/>
  <c r="R96" i="4" s="1"/>
  <c r="S96" i="4" s="1"/>
  <c r="T96" i="4" s="1"/>
  <c r="D95" i="4"/>
  <c r="Q86" i="4"/>
  <c r="P86" i="4"/>
  <c r="O86" i="4"/>
  <c r="N86" i="4"/>
  <c r="A85" i="4"/>
  <c r="A86" i="4" s="1"/>
  <c r="A87" i="4" s="1"/>
  <c r="A88" i="4" s="1"/>
  <c r="A89" i="4" s="1"/>
  <c r="A90" i="4" s="1"/>
  <c r="A83" i="4"/>
  <c r="A84" i="4" s="1"/>
  <c r="B81" i="4"/>
  <c r="C81" i="4" s="1"/>
  <c r="D81" i="4" s="1"/>
  <c r="E81" i="4" s="1"/>
  <c r="F81" i="4" s="1"/>
  <c r="G81" i="4" s="1"/>
  <c r="H81" i="4" s="1"/>
  <c r="I81" i="4" s="1"/>
  <c r="J81" i="4" s="1"/>
  <c r="K81" i="4" s="1"/>
  <c r="L81" i="4" s="1"/>
  <c r="M81" i="4" s="1"/>
  <c r="N81" i="4" s="1"/>
  <c r="O81" i="4" s="1"/>
  <c r="P81" i="4" s="1"/>
  <c r="Q81" i="4" s="1"/>
  <c r="R81" i="4" s="1"/>
  <c r="S81" i="4" s="1"/>
  <c r="T81" i="4" s="1"/>
  <c r="D80" i="4"/>
  <c r="Q74" i="4"/>
  <c r="Q89" i="4" s="1"/>
  <c r="Q69" i="4"/>
  <c r="Q68" i="4" s="1"/>
  <c r="P69" i="4"/>
  <c r="P68" i="4" s="1"/>
  <c r="O69" i="4"/>
  <c r="O68" i="4" s="1"/>
  <c r="N69" i="4"/>
  <c r="N68" i="4" s="1"/>
  <c r="M69" i="4"/>
  <c r="M68" i="4" s="1"/>
  <c r="L69" i="4"/>
  <c r="L68" i="4" s="1"/>
  <c r="K69" i="4"/>
  <c r="J69" i="4"/>
  <c r="I69" i="4"/>
  <c r="I68" i="4" s="1"/>
  <c r="H69" i="4"/>
  <c r="H68" i="4" s="1"/>
  <c r="G69" i="4"/>
  <c r="G68" i="4" s="1"/>
  <c r="F69" i="4"/>
  <c r="F68" i="4" s="1"/>
  <c r="E69" i="4"/>
  <c r="D69" i="4"/>
  <c r="K68" i="4"/>
  <c r="J68" i="4"/>
  <c r="E68" i="4"/>
  <c r="D68" i="4"/>
  <c r="Q64" i="4"/>
  <c r="P64" i="4"/>
  <c r="O64" i="4"/>
  <c r="N64" i="4"/>
  <c r="M64" i="4"/>
  <c r="L64" i="4"/>
  <c r="K64" i="4"/>
  <c r="J64" i="4"/>
  <c r="I64" i="4"/>
  <c r="H64" i="4"/>
  <c r="G64" i="4"/>
  <c r="F64" i="4"/>
  <c r="E64" i="4"/>
  <c r="D64" i="4"/>
  <c r="B62" i="4"/>
  <c r="C62" i="4" s="1"/>
  <c r="D62" i="4" s="1"/>
  <c r="E62" i="4" s="1"/>
  <c r="F62" i="4" s="1"/>
  <c r="G62" i="4" s="1"/>
  <c r="H62" i="4" s="1"/>
  <c r="I62" i="4" s="1"/>
  <c r="J62" i="4" s="1"/>
  <c r="K62" i="4" s="1"/>
  <c r="L62" i="4" s="1"/>
  <c r="M62" i="4" s="1"/>
  <c r="N62" i="4" s="1"/>
  <c r="O62" i="4" s="1"/>
  <c r="P62" i="4" s="1"/>
  <c r="Q62" i="4" s="1"/>
  <c r="R62" i="4" s="1"/>
  <c r="S62" i="4" s="1"/>
  <c r="T62" i="4" s="1"/>
  <c r="D61" i="4"/>
  <c r="Q55" i="4"/>
  <c r="Q83" i="4" s="1"/>
  <c r="P55" i="4"/>
  <c r="P83" i="4" s="1"/>
  <c r="O55" i="4"/>
  <c r="O83" i="4" s="1"/>
  <c r="N55" i="4"/>
  <c r="N83" i="4" s="1"/>
  <c r="M55" i="4"/>
  <c r="M83" i="4" s="1"/>
  <c r="L55" i="4"/>
  <c r="L83" i="4" s="1"/>
  <c r="K55" i="4"/>
  <c r="K83" i="4" s="1"/>
  <c r="J55" i="4"/>
  <c r="J83" i="4" s="1"/>
  <c r="I55" i="4"/>
  <c r="I83" i="4" s="1"/>
  <c r="H55" i="4"/>
  <c r="H83" i="4" s="1"/>
  <c r="G55" i="4"/>
  <c r="G83" i="4" s="1"/>
  <c r="F55" i="4"/>
  <c r="F83" i="4" s="1"/>
  <c r="E55" i="4"/>
  <c r="E83" i="4" s="1"/>
  <c r="D55" i="4"/>
  <c r="D83" i="4" s="1"/>
  <c r="L48" i="4"/>
  <c r="A47" i="4"/>
  <c r="A48" i="4" s="1"/>
  <c r="A49" i="4" s="1"/>
  <c r="A50" i="4" s="1"/>
  <c r="A51" i="4" s="1"/>
  <c r="A52" i="4" s="1"/>
  <c r="A53" i="4" s="1"/>
  <c r="A54" i="4" s="1"/>
  <c r="A55" i="4" s="1"/>
  <c r="A56" i="4" s="1"/>
  <c r="Q46" i="4"/>
  <c r="Q47" i="4" s="1"/>
  <c r="P46" i="4"/>
  <c r="P49" i="4" s="1"/>
  <c r="O46" i="4"/>
  <c r="N46" i="4"/>
  <c r="N47" i="4" s="1"/>
  <c r="M46" i="4"/>
  <c r="M50" i="4" s="1"/>
  <c r="M54" i="4" s="1"/>
  <c r="L46" i="4"/>
  <c r="L49" i="4" s="1"/>
  <c r="K46" i="4"/>
  <c r="K48" i="4" s="1"/>
  <c r="J46" i="4"/>
  <c r="I46" i="4"/>
  <c r="H46" i="4"/>
  <c r="G46" i="4"/>
  <c r="G48" i="4" s="1"/>
  <c r="F46" i="4"/>
  <c r="F47" i="4" s="1"/>
  <c r="E46" i="4"/>
  <c r="E50" i="4" s="1"/>
  <c r="E54" i="4" s="1"/>
  <c r="D46" i="4"/>
  <c r="B45" i="4"/>
  <c r="C45" i="4" s="1"/>
  <c r="D45" i="4" s="1"/>
  <c r="E45" i="4" s="1"/>
  <c r="F45" i="4" s="1"/>
  <c r="G45" i="4" s="1"/>
  <c r="H45" i="4" s="1"/>
  <c r="I45" i="4" s="1"/>
  <c r="J45" i="4" s="1"/>
  <c r="K45" i="4" s="1"/>
  <c r="L45" i="4" s="1"/>
  <c r="M45" i="4" s="1"/>
  <c r="N45" i="4" s="1"/>
  <c r="O45" i="4" s="1"/>
  <c r="P45" i="4" s="1"/>
  <c r="Q45" i="4" s="1"/>
  <c r="R45" i="4" s="1"/>
  <c r="S45" i="4" s="1"/>
  <c r="T45" i="4" s="1"/>
  <c r="D44" i="4"/>
  <c r="B33" i="4"/>
  <c r="C33" i="4" s="1"/>
  <c r="D33" i="4" s="1"/>
  <c r="E33" i="4" s="1"/>
  <c r="F33" i="4" s="1"/>
  <c r="G33" i="4" s="1"/>
  <c r="H33" i="4" s="1"/>
  <c r="I33" i="4" s="1"/>
  <c r="J33" i="4" s="1"/>
  <c r="K33" i="4" s="1"/>
  <c r="L33" i="4" s="1"/>
  <c r="M33" i="4" s="1"/>
  <c r="N33" i="4" s="1"/>
  <c r="O33" i="4" s="1"/>
  <c r="P33" i="4" s="1"/>
  <c r="Q33" i="4" s="1"/>
  <c r="R33" i="4" s="1"/>
  <c r="S33" i="4" s="1"/>
  <c r="T33" i="4" s="1"/>
  <c r="D32" i="4"/>
  <c r="Q25" i="4"/>
  <c r="P25" i="4"/>
  <c r="O25" i="4"/>
  <c r="N25" i="4"/>
  <c r="M25" i="4"/>
  <c r="L25" i="4"/>
  <c r="K25" i="4"/>
  <c r="J25" i="4"/>
  <c r="I25" i="4"/>
  <c r="H25" i="4"/>
  <c r="G25" i="4"/>
  <c r="F25" i="4"/>
  <c r="E25" i="4"/>
  <c r="D25" i="4"/>
  <c r="B23" i="4"/>
  <c r="C23" i="4" s="1"/>
  <c r="D23" i="4" s="1"/>
  <c r="E23" i="4" s="1"/>
  <c r="F23" i="4" s="1"/>
  <c r="G23" i="4" s="1"/>
  <c r="H23" i="4" s="1"/>
  <c r="I23" i="4" s="1"/>
  <c r="J23" i="4" s="1"/>
  <c r="K23" i="4" s="1"/>
  <c r="L23" i="4" s="1"/>
  <c r="M23" i="4" s="1"/>
  <c r="N23" i="4" s="1"/>
  <c r="O23" i="4" s="1"/>
  <c r="P23" i="4" s="1"/>
  <c r="Q23" i="4" s="1"/>
  <c r="R23" i="4" s="1"/>
  <c r="S23" i="4" s="1"/>
  <c r="T23" i="4" s="1"/>
  <c r="D22" i="4"/>
  <c r="O12" i="4"/>
  <c r="N12" i="4"/>
  <c r="M12" i="4"/>
  <c r="L12" i="4"/>
  <c r="K12" i="4"/>
  <c r="J12" i="4"/>
  <c r="I12" i="4"/>
  <c r="H12" i="4"/>
  <c r="G12" i="4"/>
  <c r="F12" i="4"/>
  <c r="E12" i="4"/>
  <c r="D12" i="4"/>
  <c r="P9" i="4"/>
  <c r="P74" i="4" s="1"/>
  <c r="O9" i="4"/>
  <c r="O74" i="4" s="1"/>
  <c r="N9" i="4"/>
  <c r="N74" i="4" s="1"/>
  <c r="N89" i="4" s="1"/>
  <c r="M9" i="4"/>
  <c r="M74" i="4" s="1"/>
  <c r="L9" i="4"/>
  <c r="K9" i="4"/>
  <c r="L63" i="4" s="1"/>
  <c r="J9" i="4"/>
  <c r="I9" i="4"/>
  <c r="J63" i="4" s="1"/>
  <c r="H9" i="4"/>
  <c r="I63" i="4" s="1"/>
  <c r="G9" i="4"/>
  <c r="G74" i="4" s="1"/>
  <c r="G89" i="4" s="1"/>
  <c r="F9" i="4"/>
  <c r="E9" i="4"/>
  <c r="D9" i="4"/>
  <c r="B8" i="4"/>
  <c r="C8" i="4" s="1"/>
  <c r="D8" i="4" s="1"/>
  <c r="E8" i="4" s="1"/>
  <c r="F8" i="4" s="1"/>
  <c r="G8" i="4" s="1"/>
  <c r="H8" i="4" s="1"/>
  <c r="I8" i="4" s="1"/>
  <c r="J8" i="4" s="1"/>
  <c r="K8" i="4" s="1"/>
  <c r="L8" i="4" s="1"/>
  <c r="M8" i="4" s="1"/>
  <c r="N8" i="4" s="1"/>
  <c r="O8" i="4" s="1"/>
  <c r="P8" i="4" s="1"/>
  <c r="Q8" i="4" s="1"/>
  <c r="R8" i="4" s="1"/>
  <c r="S8" i="4" s="1"/>
  <c r="T8" i="4" s="1"/>
  <c r="E3" i="4"/>
  <c r="F3" i="4" s="1"/>
  <c r="L127" i="3"/>
  <c r="B120" i="3"/>
  <c r="C120" i="3" s="1"/>
  <c r="D120" i="3" s="1"/>
  <c r="E120" i="3" s="1"/>
  <c r="F120" i="3" s="1"/>
  <c r="G120" i="3" s="1"/>
  <c r="H120" i="3" s="1"/>
  <c r="I120" i="3" s="1"/>
  <c r="J120" i="3" s="1"/>
  <c r="K120" i="3" s="1"/>
  <c r="L120" i="3" s="1"/>
  <c r="M120" i="3" s="1"/>
  <c r="N120" i="3" s="1"/>
  <c r="P120" i="3" s="1"/>
  <c r="Q120" i="3" s="1"/>
  <c r="R120" i="3" s="1"/>
  <c r="S120" i="3" s="1"/>
  <c r="T120" i="3" s="1"/>
  <c r="D119" i="3"/>
  <c r="D102" i="3"/>
  <c r="D98" i="3"/>
  <c r="B96" i="3"/>
  <c r="C96" i="3" s="1"/>
  <c r="D96" i="3" s="1"/>
  <c r="E96" i="3" s="1"/>
  <c r="F96" i="3" s="1"/>
  <c r="G96" i="3" s="1"/>
  <c r="H96" i="3" s="1"/>
  <c r="I96" i="3" s="1"/>
  <c r="J96" i="3" s="1"/>
  <c r="K96" i="3" s="1"/>
  <c r="L96" i="3" s="1"/>
  <c r="M96" i="3" s="1"/>
  <c r="N96" i="3" s="1"/>
  <c r="P96" i="3" s="1"/>
  <c r="Q96" i="3" s="1"/>
  <c r="R96" i="3" s="1"/>
  <c r="S96" i="3" s="1"/>
  <c r="T96" i="3" s="1"/>
  <c r="D95" i="3"/>
  <c r="Q86" i="3"/>
  <c r="P86" i="3"/>
  <c r="N86" i="3"/>
  <c r="A83" i="3"/>
  <c r="A84" i="3" s="1"/>
  <c r="A85" i="3" s="1"/>
  <c r="A86" i="3" s="1"/>
  <c r="A87" i="3" s="1"/>
  <c r="A88" i="3" s="1"/>
  <c r="A89" i="3" s="1"/>
  <c r="A90" i="3" s="1"/>
  <c r="B81" i="3"/>
  <c r="C81" i="3" s="1"/>
  <c r="D81" i="3" s="1"/>
  <c r="E81" i="3" s="1"/>
  <c r="F81" i="3" s="1"/>
  <c r="G81" i="3" s="1"/>
  <c r="H81" i="3" s="1"/>
  <c r="I81" i="3" s="1"/>
  <c r="J81" i="3" s="1"/>
  <c r="K81" i="3" s="1"/>
  <c r="L81" i="3" s="1"/>
  <c r="M81" i="3" s="1"/>
  <c r="N81" i="3" s="1"/>
  <c r="P81" i="3" s="1"/>
  <c r="Q81" i="3" s="1"/>
  <c r="R81" i="3" s="1"/>
  <c r="S81" i="3" s="1"/>
  <c r="T81" i="3" s="1"/>
  <c r="D80" i="3"/>
  <c r="Q68" i="3"/>
  <c r="P68" i="3"/>
  <c r="N69" i="3"/>
  <c r="N68" i="3" s="1"/>
  <c r="M69" i="3"/>
  <c r="M68" i="3" s="1"/>
  <c r="L69" i="3"/>
  <c r="L68" i="3" s="1"/>
  <c r="K69" i="3"/>
  <c r="K68" i="3" s="1"/>
  <c r="J69" i="3"/>
  <c r="J68" i="3" s="1"/>
  <c r="I69" i="3"/>
  <c r="I68" i="3" s="1"/>
  <c r="H69" i="3"/>
  <c r="H68" i="3" s="1"/>
  <c r="G69" i="3"/>
  <c r="G68" i="3" s="1"/>
  <c r="F69" i="3"/>
  <c r="F68" i="3" s="1"/>
  <c r="E69" i="3"/>
  <c r="E68" i="3" s="1"/>
  <c r="D69" i="3"/>
  <c r="D68" i="3" s="1"/>
  <c r="Q64" i="3"/>
  <c r="P64" i="3"/>
  <c r="N64" i="3"/>
  <c r="M64" i="3"/>
  <c r="L64" i="3"/>
  <c r="K64" i="3"/>
  <c r="J64" i="3"/>
  <c r="I64" i="3"/>
  <c r="H64" i="3"/>
  <c r="G64" i="3"/>
  <c r="F64" i="3"/>
  <c r="E64" i="3"/>
  <c r="D64" i="3"/>
  <c r="B62" i="3"/>
  <c r="C62" i="3" s="1"/>
  <c r="D62" i="3" s="1"/>
  <c r="E62" i="3" s="1"/>
  <c r="F62" i="3" s="1"/>
  <c r="G62" i="3" s="1"/>
  <c r="H62" i="3" s="1"/>
  <c r="I62" i="3" s="1"/>
  <c r="J62" i="3" s="1"/>
  <c r="K62" i="3" s="1"/>
  <c r="L62" i="3" s="1"/>
  <c r="M62" i="3" s="1"/>
  <c r="N62" i="3" s="1"/>
  <c r="P62" i="3" s="1"/>
  <c r="Q62" i="3" s="1"/>
  <c r="R62" i="3" s="1"/>
  <c r="S62" i="3" s="1"/>
  <c r="T62" i="3" s="1"/>
  <c r="D61" i="3"/>
  <c r="Q55" i="3"/>
  <c r="Q83" i="3" s="1"/>
  <c r="P55" i="3"/>
  <c r="P83" i="3" s="1"/>
  <c r="N55" i="3"/>
  <c r="N83" i="3" s="1"/>
  <c r="M55" i="3"/>
  <c r="M83" i="3" s="1"/>
  <c r="L55" i="3"/>
  <c r="L83" i="3" s="1"/>
  <c r="K55" i="3"/>
  <c r="K83" i="3" s="1"/>
  <c r="J55" i="3"/>
  <c r="J83" i="3" s="1"/>
  <c r="I55" i="3"/>
  <c r="I83" i="3" s="1"/>
  <c r="H55" i="3"/>
  <c r="H83" i="3" s="1"/>
  <c r="G55" i="3"/>
  <c r="G83" i="3" s="1"/>
  <c r="F55" i="3"/>
  <c r="F83" i="3" s="1"/>
  <c r="E55" i="3"/>
  <c r="E83" i="3" s="1"/>
  <c r="D55" i="3"/>
  <c r="D83" i="3" s="1"/>
  <c r="J49" i="3"/>
  <c r="I49" i="3"/>
  <c r="A47" i="3"/>
  <c r="A48" i="3" s="1"/>
  <c r="A49" i="3" s="1"/>
  <c r="A50" i="3" s="1"/>
  <c r="A51" i="3" s="1"/>
  <c r="A52" i="3" s="1"/>
  <c r="A53" i="3" s="1"/>
  <c r="A54" i="3" s="1"/>
  <c r="A55" i="3" s="1"/>
  <c r="A56" i="3" s="1"/>
  <c r="Q46" i="3"/>
  <c r="Q47" i="3" s="1"/>
  <c r="P46" i="3"/>
  <c r="P50" i="3" s="1"/>
  <c r="P54" i="3" s="1"/>
  <c r="N46" i="3"/>
  <c r="N47" i="3" s="1"/>
  <c r="M46" i="3"/>
  <c r="M47" i="3" s="1"/>
  <c r="L46" i="3"/>
  <c r="K46" i="3"/>
  <c r="J46" i="3"/>
  <c r="I46" i="3"/>
  <c r="I48" i="3" s="1"/>
  <c r="H46" i="3"/>
  <c r="H48" i="3" s="1"/>
  <c r="G46" i="3"/>
  <c r="F46" i="3"/>
  <c r="F50" i="3" s="1"/>
  <c r="F54" i="3" s="1"/>
  <c r="E46" i="3"/>
  <c r="D46" i="3"/>
  <c r="D47" i="3" s="1"/>
  <c r="B45" i="3"/>
  <c r="C45" i="3" s="1"/>
  <c r="D45" i="3" s="1"/>
  <c r="E45" i="3" s="1"/>
  <c r="F45" i="3" s="1"/>
  <c r="G45" i="3" s="1"/>
  <c r="H45" i="3" s="1"/>
  <c r="I45" i="3" s="1"/>
  <c r="J45" i="3" s="1"/>
  <c r="K45" i="3" s="1"/>
  <c r="L45" i="3" s="1"/>
  <c r="M45" i="3" s="1"/>
  <c r="N45" i="3" s="1"/>
  <c r="P45" i="3" s="1"/>
  <c r="Q45" i="3" s="1"/>
  <c r="R45" i="3" s="1"/>
  <c r="S45" i="3" s="1"/>
  <c r="T45" i="3" s="1"/>
  <c r="D44" i="3"/>
  <c r="B33" i="3"/>
  <c r="C33" i="3" s="1"/>
  <c r="D33" i="3" s="1"/>
  <c r="E33" i="3" s="1"/>
  <c r="F33" i="3" s="1"/>
  <c r="G33" i="3" s="1"/>
  <c r="H33" i="3" s="1"/>
  <c r="I33" i="3" s="1"/>
  <c r="J33" i="3" s="1"/>
  <c r="K33" i="3" s="1"/>
  <c r="L33" i="3" s="1"/>
  <c r="M33" i="3" s="1"/>
  <c r="N33" i="3" s="1"/>
  <c r="P33" i="3" s="1"/>
  <c r="Q33" i="3" s="1"/>
  <c r="R33" i="3" s="1"/>
  <c r="S33" i="3" s="1"/>
  <c r="T33" i="3" s="1"/>
  <c r="D32" i="3"/>
  <c r="N25" i="3"/>
  <c r="M25" i="3"/>
  <c r="L25" i="3"/>
  <c r="K25" i="3"/>
  <c r="J25" i="3"/>
  <c r="I25" i="3"/>
  <c r="H25" i="3"/>
  <c r="G25" i="3"/>
  <c r="F25" i="3"/>
  <c r="E25" i="3"/>
  <c r="D25" i="3"/>
  <c r="C23" i="3"/>
  <c r="D23" i="3" s="1"/>
  <c r="E23" i="3" s="1"/>
  <c r="F23" i="3" s="1"/>
  <c r="G23" i="3" s="1"/>
  <c r="H23" i="3" s="1"/>
  <c r="I23" i="3" s="1"/>
  <c r="J23" i="3" s="1"/>
  <c r="K23" i="3" s="1"/>
  <c r="L23" i="3" s="1"/>
  <c r="M23" i="3" s="1"/>
  <c r="N23" i="3" s="1"/>
  <c r="P23" i="3" s="1"/>
  <c r="Q23" i="3" s="1"/>
  <c r="R23" i="3" s="1"/>
  <c r="S23" i="3" s="1"/>
  <c r="T23" i="3" s="1"/>
  <c r="B23" i="3"/>
  <c r="D22" i="3"/>
  <c r="M12" i="3"/>
  <c r="J12" i="3"/>
  <c r="I12" i="3"/>
  <c r="H12" i="3"/>
  <c r="G12" i="3"/>
  <c r="F12" i="3"/>
  <c r="E12" i="3"/>
  <c r="D12" i="3"/>
  <c r="R63" i="3"/>
  <c r="N9" i="3"/>
  <c r="N74" i="3" s="1"/>
  <c r="N89" i="3" s="1"/>
  <c r="M9" i="3"/>
  <c r="M74" i="3" s="1"/>
  <c r="L9" i="3"/>
  <c r="L74" i="3" s="1"/>
  <c r="M63" i="3" s="1"/>
  <c r="K9" i="3"/>
  <c r="K74" i="3" s="1"/>
  <c r="L63" i="3" s="1"/>
  <c r="J9" i="3"/>
  <c r="J74" i="3" s="1"/>
  <c r="I9" i="3"/>
  <c r="I74" i="3" s="1"/>
  <c r="I89" i="3" s="1"/>
  <c r="H9" i="3"/>
  <c r="H74" i="3" s="1"/>
  <c r="I63" i="3" s="1"/>
  <c r="G9" i="3"/>
  <c r="G74" i="3" s="1"/>
  <c r="H63" i="3" s="1"/>
  <c r="F9" i="3"/>
  <c r="F74" i="3" s="1"/>
  <c r="E9" i="3"/>
  <c r="E74" i="3" s="1"/>
  <c r="D9" i="3"/>
  <c r="D74" i="3" s="1"/>
  <c r="B8" i="3"/>
  <c r="C8" i="3" s="1"/>
  <c r="D8" i="3" s="1"/>
  <c r="E8" i="3" s="1"/>
  <c r="F8" i="3" s="1"/>
  <c r="G8" i="3" s="1"/>
  <c r="H8" i="3" s="1"/>
  <c r="I8" i="3" s="1"/>
  <c r="J8" i="3" s="1"/>
  <c r="K8" i="3" s="1"/>
  <c r="L8" i="3" s="1"/>
  <c r="M8" i="3" s="1"/>
  <c r="N8" i="3" s="1"/>
  <c r="P8" i="3" s="1"/>
  <c r="Q8" i="3" s="1"/>
  <c r="R8" i="3" s="1"/>
  <c r="S8" i="3" s="1"/>
  <c r="T8" i="3" s="1"/>
  <c r="D7" i="3"/>
  <c r="E3" i="3"/>
  <c r="E119" i="3" s="1"/>
  <c r="L127" i="2"/>
  <c r="B120" i="2"/>
  <c r="C120" i="2" s="1"/>
  <c r="D120" i="2" s="1"/>
  <c r="E120" i="2" s="1"/>
  <c r="F120" i="2" s="1"/>
  <c r="G120" i="2" s="1"/>
  <c r="H120" i="2" s="1"/>
  <c r="I120" i="2" s="1"/>
  <c r="J120" i="2" s="1"/>
  <c r="K120" i="2" s="1"/>
  <c r="L120" i="2" s="1"/>
  <c r="M120" i="2" s="1"/>
  <c r="N120" i="2" s="1"/>
  <c r="P120" i="2" s="1"/>
  <c r="Q120" i="2" s="1"/>
  <c r="R120" i="2" s="1"/>
  <c r="S120" i="2" s="1"/>
  <c r="T120" i="2" s="1"/>
  <c r="D119" i="2"/>
  <c r="D102" i="2"/>
  <c r="D98" i="2"/>
  <c r="B96" i="2"/>
  <c r="C96" i="2" s="1"/>
  <c r="D96" i="2" s="1"/>
  <c r="E96" i="2" s="1"/>
  <c r="F96" i="2" s="1"/>
  <c r="G96" i="2" s="1"/>
  <c r="H96" i="2" s="1"/>
  <c r="I96" i="2" s="1"/>
  <c r="J96" i="2" s="1"/>
  <c r="K96" i="2" s="1"/>
  <c r="L96" i="2" s="1"/>
  <c r="M96" i="2" s="1"/>
  <c r="N96" i="2" s="1"/>
  <c r="P96" i="2" s="1"/>
  <c r="Q96" i="2" s="1"/>
  <c r="R96" i="2" s="1"/>
  <c r="S96" i="2" s="1"/>
  <c r="T96" i="2" s="1"/>
  <c r="D95" i="2"/>
  <c r="Q86" i="2"/>
  <c r="P86" i="2"/>
  <c r="N86" i="2"/>
  <c r="A83" i="2"/>
  <c r="A84" i="2" s="1"/>
  <c r="A85" i="2" s="1"/>
  <c r="A86" i="2" s="1"/>
  <c r="A87" i="2" s="1"/>
  <c r="A88" i="2" s="1"/>
  <c r="A89" i="2" s="1"/>
  <c r="A90" i="2" s="1"/>
  <c r="B81" i="2"/>
  <c r="C81" i="2" s="1"/>
  <c r="D81" i="2" s="1"/>
  <c r="E81" i="2" s="1"/>
  <c r="F81" i="2" s="1"/>
  <c r="G81" i="2" s="1"/>
  <c r="H81" i="2" s="1"/>
  <c r="I81" i="2" s="1"/>
  <c r="J81" i="2" s="1"/>
  <c r="K81" i="2" s="1"/>
  <c r="L81" i="2" s="1"/>
  <c r="M81" i="2" s="1"/>
  <c r="N81" i="2" s="1"/>
  <c r="P81" i="2" s="1"/>
  <c r="Q81" i="2" s="1"/>
  <c r="R81" i="2" s="1"/>
  <c r="S81" i="2" s="1"/>
  <c r="T81" i="2" s="1"/>
  <c r="D80" i="2"/>
  <c r="Q69" i="2"/>
  <c r="Q68" i="2" s="1"/>
  <c r="P69" i="2"/>
  <c r="P68" i="2" s="1"/>
  <c r="N69" i="2"/>
  <c r="N68" i="2" s="1"/>
  <c r="M69" i="2"/>
  <c r="M68" i="2" s="1"/>
  <c r="L69" i="2"/>
  <c r="L68" i="2" s="1"/>
  <c r="K69" i="2"/>
  <c r="J69" i="2"/>
  <c r="J68" i="2" s="1"/>
  <c r="I69" i="2"/>
  <c r="I68" i="2" s="1"/>
  <c r="H69" i="2"/>
  <c r="H68" i="2" s="1"/>
  <c r="G69" i="2"/>
  <c r="G68" i="2" s="1"/>
  <c r="F69" i="2"/>
  <c r="F68" i="2" s="1"/>
  <c r="E69" i="2"/>
  <c r="E68" i="2" s="1"/>
  <c r="D69" i="2"/>
  <c r="D68" i="2" s="1"/>
  <c r="K68" i="2"/>
  <c r="Q64" i="2"/>
  <c r="P64" i="2"/>
  <c r="N64" i="2"/>
  <c r="M64" i="2"/>
  <c r="L64" i="2"/>
  <c r="K64" i="2"/>
  <c r="J64" i="2"/>
  <c r="I64" i="2"/>
  <c r="H64" i="2"/>
  <c r="G64" i="2"/>
  <c r="F64" i="2"/>
  <c r="E64" i="2"/>
  <c r="D64" i="2"/>
  <c r="B62" i="2"/>
  <c r="C62" i="2" s="1"/>
  <c r="D62" i="2" s="1"/>
  <c r="E62" i="2" s="1"/>
  <c r="F62" i="2" s="1"/>
  <c r="G62" i="2" s="1"/>
  <c r="H62" i="2" s="1"/>
  <c r="I62" i="2" s="1"/>
  <c r="J62" i="2" s="1"/>
  <c r="K62" i="2" s="1"/>
  <c r="L62" i="2" s="1"/>
  <c r="M62" i="2" s="1"/>
  <c r="N62" i="2" s="1"/>
  <c r="P62" i="2" s="1"/>
  <c r="Q62" i="2" s="1"/>
  <c r="R62" i="2" s="1"/>
  <c r="S62" i="2" s="1"/>
  <c r="T62" i="2" s="1"/>
  <c r="D61" i="2"/>
  <c r="Q55" i="2"/>
  <c r="Q83" i="2" s="1"/>
  <c r="P55" i="2"/>
  <c r="P83" i="2" s="1"/>
  <c r="N55" i="2"/>
  <c r="N83" i="2" s="1"/>
  <c r="M55" i="2"/>
  <c r="M83" i="2" s="1"/>
  <c r="L55" i="2"/>
  <c r="L83" i="2" s="1"/>
  <c r="K55" i="2"/>
  <c r="K83" i="2" s="1"/>
  <c r="J55" i="2"/>
  <c r="J83" i="2" s="1"/>
  <c r="I55" i="2"/>
  <c r="I83" i="2" s="1"/>
  <c r="H55" i="2"/>
  <c r="H83" i="2" s="1"/>
  <c r="G55" i="2"/>
  <c r="G83" i="2" s="1"/>
  <c r="F55" i="2"/>
  <c r="F83" i="2" s="1"/>
  <c r="E55" i="2"/>
  <c r="E83" i="2" s="1"/>
  <c r="D55" i="2"/>
  <c r="D83" i="2" s="1"/>
  <c r="A47" i="2"/>
  <c r="A48" i="2" s="1"/>
  <c r="A49" i="2" s="1"/>
  <c r="A50" i="2" s="1"/>
  <c r="A51" i="2" s="1"/>
  <c r="A52" i="2" s="1"/>
  <c r="A53" i="2" s="1"/>
  <c r="A54" i="2" s="1"/>
  <c r="A55" i="2" s="1"/>
  <c r="A56" i="2" s="1"/>
  <c r="Q46" i="2"/>
  <c r="Q48" i="2" s="1"/>
  <c r="P46" i="2"/>
  <c r="P47" i="2" s="1"/>
  <c r="N46" i="2"/>
  <c r="N49" i="2" s="1"/>
  <c r="M46" i="2"/>
  <c r="M50" i="2" s="1"/>
  <c r="M54" i="2" s="1"/>
  <c r="L46" i="2"/>
  <c r="L47" i="2" s="1"/>
  <c r="K46" i="2"/>
  <c r="K47" i="2" s="1"/>
  <c r="J46" i="2"/>
  <c r="I46" i="2"/>
  <c r="I50" i="2" s="1"/>
  <c r="I54" i="2" s="1"/>
  <c r="H46" i="2"/>
  <c r="G46" i="2"/>
  <c r="G50" i="2" s="1"/>
  <c r="G54" i="2" s="1"/>
  <c r="F46" i="2"/>
  <c r="F50" i="2" s="1"/>
  <c r="F54" i="2" s="1"/>
  <c r="F56" i="2" s="1"/>
  <c r="F82" i="2" s="1"/>
  <c r="F84" i="2" s="1"/>
  <c r="E46" i="2"/>
  <c r="E50" i="2" s="1"/>
  <c r="E54" i="2" s="1"/>
  <c r="D46" i="2"/>
  <c r="D48" i="2" s="1"/>
  <c r="B45" i="2"/>
  <c r="C45" i="2" s="1"/>
  <c r="D45" i="2" s="1"/>
  <c r="E45" i="2" s="1"/>
  <c r="F45" i="2" s="1"/>
  <c r="G45" i="2" s="1"/>
  <c r="H45" i="2" s="1"/>
  <c r="I45" i="2" s="1"/>
  <c r="J45" i="2" s="1"/>
  <c r="K45" i="2" s="1"/>
  <c r="L45" i="2" s="1"/>
  <c r="M45" i="2" s="1"/>
  <c r="N45" i="2" s="1"/>
  <c r="P45" i="2" s="1"/>
  <c r="Q45" i="2" s="1"/>
  <c r="R45" i="2" s="1"/>
  <c r="S45" i="2" s="1"/>
  <c r="T45" i="2" s="1"/>
  <c r="D44" i="2"/>
  <c r="B33" i="2"/>
  <c r="C33" i="2" s="1"/>
  <c r="D33" i="2" s="1"/>
  <c r="E33" i="2" s="1"/>
  <c r="F33" i="2" s="1"/>
  <c r="G33" i="2" s="1"/>
  <c r="H33" i="2" s="1"/>
  <c r="I33" i="2" s="1"/>
  <c r="J33" i="2" s="1"/>
  <c r="K33" i="2" s="1"/>
  <c r="L33" i="2" s="1"/>
  <c r="M33" i="2" s="1"/>
  <c r="N33" i="2" s="1"/>
  <c r="P33" i="2" s="1"/>
  <c r="Q33" i="2" s="1"/>
  <c r="R33" i="2" s="1"/>
  <c r="S33" i="2" s="1"/>
  <c r="T33" i="2" s="1"/>
  <c r="D32" i="2"/>
  <c r="Q25" i="2"/>
  <c r="P25" i="2"/>
  <c r="N25" i="2"/>
  <c r="M25" i="2"/>
  <c r="L25" i="2"/>
  <c r="K25" i="2"/>
  <c r="J25" i="2"/>
  <c r="I25" i="2"/>
  <c r="H25" i="2"/>
  <c r="G25" i="2"/>
  <c r="F25" i="2"/>
  <c r="E25" i="2"/>
  <c r="D25" i="2"/>
  <c r="B23" i="2"/>
  <c r="C23" i="2" s="1"/>
  <c r="D23" i="2" s="1"/>
  <c r="E23" i="2" s="1"/>
  <c r="F23" i="2" s="1"/>
  <c r="G23" i="2" s="1"/>
  <c r="H23" i="2" s="1"/>
  <c r="I23" i="2" s="1"/>
  <c r="J23" i="2" s="1"/>
  <c r="K23" i="2" s="1"/>
  <c r="L23" i="2" s="1"/>
  <c r="M23" i="2" s="1"/>
  <c r="N23" i="2" s="1"/>
  <c r="P23" i="2" s="1"/>
  <c r="Q23" i="2" s="1"/>
  <c r="R23" i="2" s="1"/>
  <c r="S23" i="2" s="1"/>
  <c r="T23" i="2" s="1"/>
  <c r="D22" i="2"/>
  <c r="J12" i="2"/>
  <c r="I12" i="2"/>
  <c r="H12" i="2"/>
  <c r="G12" i="2"/>
  <c r="F12" i="2"/>
  <c r="E12" i="2"/>
  <c r="D12" i="2"/>
  <c r="Q9" i="2"/>
  <c r="R63" i="2" s="1"/>
  <c r="R73" i="2" s="1"/>
  <c r="R76" i="2" s="1"/>
  <c r="P9" i="2"/>
  <c r="Q63" i="2" s="1"/>
  <c r="P63" i="2"/>
  <c r="M9" i="2"/>
  <c r="N63" i="2" s="1"/>
  <c r="L9" i="2"/>
  <c r="L74" i="2" s="1"/>
  <c r="K9" i="2"/>
  <c r="K74" i="2" s="1"/>
  <c r="K89" i="2" s="1"/>
  <c r="J9" i="2"/>
  <c r="J74" i="2" s="1"/>
  <c r="I9" i="2"/>
  <c r="J63" i="2" s="1"/>
  <c r="H9" i="2"/>
  <c r="G9" i="2"/>
  <c r="F9" i="2"/>
  <c r="F74" i="2" s="1"/>
  <c r="E9" i="2"/>
  <c r="E74" i="2" s="1"/>
  <c r="E89" i="2" s="1"/>
  <c r="D9" i="2"/>
  <c r="D74" i="2" s="1"/>
  <c r="B8" i="2"/>
  <c r="C8" i="2" s="1"/>
  <c r="D8" i="2" s="1"/>
  <c r="E8" i="2" s="1"/>
  <c r="F8" i="2" s="1"/>
  <c r="G8" i="2" s="1"/>
  <c r="H8" i="2" s="1"/>
  <c r="I8" i="2" s="1"/>
  <c r="J8" i="2" s="1"/>
  <c r="K8" i="2" s="1"/>
  <c r="L8" i="2" s="1"/>
  <c r="M8" i="2" s="1"/>
  <c r="N8" i="2" s="1"/>
  <c r="P8" i="2" s="1"/>
  <c r="Q8" i="2" s="1"/>
  <c r="R8" i="2" s="1"/>
  <c r="S8" i="2" s="1"/>
  <c r="T8" i="2" s="1"/>
  <c r="D7" i="2"/>
  <c r="E3" i="2"/>
  <c r="E119" i="2" s="1"/>
  <c r="I56" i="2" l="1"/>
  <c r="I82" i="2" s="1"/>
  <c r="E47" i="9"/>
  <c r="M77" i="9"/>
  <c r="M125" i="9" s="1"/>
  <c r="M48" i="9"/>
  <c r="M68" i="9" s="1"/>
  <c r="T70" i="9"/>
  <c r="T69" i="9"/>
  <c r="T72" i="9"/>
  <c r="T76" i="9" s="1"/>
  <c r="T78" i="9" s="1"/>
  <c r="T124" i="9" s="1"/>
  <c r="T126" i="9" s="1"/>
  <c r="T71" i="9"/>
  <c r="L77" i="9"/>
  <c r="L125" i="9" s="1"/>
  <c r="L48" i="9"/>
  <c r="L111" i="9"/>
  <c r="L110" i="9" s="1"/>
  <c r="P72" i="6"/>
  <c r="O116" i="9"/>
  <c r="O131" i="9" s="1"/>
  <c r="L85" i="8"/>
  <c r="G70" i="8"/>
  <c r="F116" i="8"/>
  <c r="D77" i="8"/>
  <c r="D125" i="8" s="1"/>
  <c r="D127" i="8" s="1"/>
  <c r="D129" i="8" s="1"/>
  <c r="O85" i="7"/>
  <c r="M96" i="7"/>
  <c r="K116" i="7"/>
  <c r="K131" i="7" s="1"/>
  <c r="H70" i="5"/>
  <c r="K96" i="5"/>
  <c r="K105" i="5"/>
  <c r="P85" i="5"/>
  <c r="P95" i="5" s="1"/>
  <c r="P98" i="5" s="1"/>
  <c r="S85" i="4"/>
  <c r="F56" i="3"/>
  <c r="F82" i="3" s="1"/>
  <c r="L48" i="2"/>
  <c r="E63" i="2"/>
  <c r="N69" i="6"/>
  <c r="P105" i="6"/>
  <c r="D47" i="6"/>
  <c r="E77" i="6"/>
  <c r="E125" i="6" s="1"/>
  <c r="P71" i="6"/>
  <c r="T126" i="7"/>
  <c r="R73" i="3"/>
  <c r="R76" i="3" s="1"/>
  <c r="T85" i="4"/>
  <c r="T85" i="3"/>
  <c r="I71" i="5"/>
  <c r="G96" i="6"/>
  <c r="J111" i="6"/>
  <c r="J110" i="6" s="1"/>
  <c r="S69" i="9"/>
  <c r="S71" i="9"/>
  <c r="S72" i="9"/>
  <c r="S76" i="9" s="1"/>
  <c r="S78" i="9" s="1"/>
  <c r="S124" i="9" s="1"/>
  <c r="S126" i="9" s="1"/>
  <c r="S70" i="9"/>
  <c r="R45" i="7"/>
  <c r="R111" i="7" s="1"/>
  <c r="R110" i="7" s="1"/>
  <c r="S45" i="7"/>
  <c r="J85" i="2"/>
  <c r="J87" i="2" s="1"/>
  <c r="F63" i="2"/>
  <c r="F73" i="2" s="1"/>
  <c r="F76" i="2" s="1"/>
  <c r="I85" i="3"/>
  <c r="I87" i="3" s="1"/>
  <c r="N96" i="5"/>
  <c r="K116" i="5"/>
  <c r="N70" i="6"/>
  <c r="H96" i="6"/>
  <c r="H95" i="6" s="1"/>
  <c r="H98" i="6" s="1"/>
  <c r="K111" i="6"/>
  <c r="K110" i="6" s="1"/>
  <c r="P116" i="6"/>
  <c r="P131" i="6" s="1"/>
  <c r="E45" i="7"/>
  <c r="E111" i="7" s="1"/>
  <c r="E110" i="7" s="1"/>
  <c r="I45" i="7"/>
  <c r="I77" i="7" s="1"/>
  <c r="I125" i="7" s="1"/>
  <c r="I127" i="7" s="1"/>
  <c r="I129" i="7" s="1"/>
  <c r="M45" i="7"/>
  <c r="M48" i="7" s="1"/>
  <c r="M68" i="7" s="1"/>
  <c r="O70" i="7"/>
  <c r="P85" i="7"/>
  <c r="J105" i="7"/>
  <c r="L116" i="7"/>
  <c r="F96" i="9"/>
  <c r="N105" i="9"/>
  <c r="P72" i="10"/>
  <c r="P76" i="10" s="1"/>
  <c r="P78" i="10" s="1"/>
  <c r="P124" i="10" s="1"/>
  <c r="P126" i="10" s="1"/>
  <c r="J85" i="10"/>
  <c r="M47" i="2"/>
  <c r="H47" i="3"/>
  <c r="H89" i="3"/>
  <c r="F3" i="3"/>
  <c r="G3" i="3" s="1"/>
  <c r="G44" i="3" s="1"/>
  <c r="E49" i="2"/>
  <c r="G63" i="2"/>
  <c r="G73" i="2" s="1"/>
  <c r="G76" i="2" s="1"/>
  <c r="E80" i="2"/>
  <c r="H50" i="3"/>
  <c r="H54" i="3" s="1"/>
  <c r="H56" i="3" s="1"/>
  <c r="H82" i="3" s="1"/>
  <c r="H84" i="3" s="1"/>
  <c r="I72" i="5"/>
  <c r="I76" i="5" s="1"/>
  <c r="I78" i="5" s="1"/>
  <c r="I124" i="5" s="1"/>
  <c r="I126" i="5" s="1"/>
  <c r="G127" i="5"/>
  <c r="G129" i="5" s="1"/>
  <c r="P96" i="5"/>
  <c r="H105" i="5"/>
  <c r="M116" i="5"/>
  <c r="D46" i="6"/>
  <c r="D91" i="6" s="1"/>
  <c r="D90" i="6" s="1"/>
  <c r="D95" i="6" s="1"/>
  <c r="E47" i="6"/>
  <c r="D69" i="6"/>
  <c r="F72" i="6"/>
  <c r="F76" i="6" s="1"/>
  <c r="F78" i="6" s="1"/>
  <c r="F124" i="6" s="1"/>
  <c r="F126" i="6" s="1"/>
  <c r="F77" i="6"/>
  <c r="F125" i="6" s="1"/>
  <c r="E96" i="6"/>
  <c r="E105" i="6"/>
  <c r="I116" i="6"/>
  <c r="I131" i="6" s="1"/>
  <c r="N42" i="7"/>
  <c r="F45" i="7"/>
  <c r="J45" i="7"/>
  <c r="J48" i="7" s="1"/>
  <c r="J68" i="7" s="1"/>
  <c r="P45" i="7"/>
  <c r="P47" i="7" s="1"/>
  <c r="P105" i="7"/>
  <c r="K48" i="8"/>
  <c r="K68" i="8" s="1"/>
  <c r="K71" i="8" s="1"/>
  <c r="K77" i="8"/>
  <c r="K125" i="8" s="1"/>
  <c r="M116" i="8"/>
  <c r="D69" i="9"/>
  <c r="G96" i="9"/>
  <c r="G95" i="9" s="1"/>
  <c r="G98" i="9" s="1"/>
  <c r="E116" i="9"/>
  <c r="E131" i="9" s="1"/>
  <c r="P85" i="10"/>
  <c r="J111" i="10"/>
  <c r="J110" i="10" s="1"/>
  <c r="E161" i="10"/>
  <c r="I74" i="2"/>
  <c r="I89" i="2" s="1"/>
  <c r="O69" i="7"/>
  <c r="G96" i="7"/>
  <c r="E47" i="8"/>
  <c r="F85" i="8"/>
  <c r="Q72" i="9"/>
  <c r="Q76" i="9" s="1"/>
  <c r="F3" i="2"/>
  <c r="F119" i="2" s="1"/>
  <c r="F47" i="3"/>
  <c r="H49" i="3"/>
  <c r="K85" i="3"/>
  <c r="K87" i="3" s="1"/>
  <c r="E56" i="4"/>
  <c r="E82" i="4" s="1"/>
  <c r="E84" i="4" s="1"/>
  <c r="P63" i="4"/>
  <c r="K48" i="5"/>
  <c r="K68" i="5" s="1"/>
  <c r="K71" i="5" s="1"/>
  <c r="I69" i="5"/>
  <c r="I85" i="5"/>
  <c r="I105" i="5"/>
  <c r="F69" i="6"/>
  <c r="F71" i="6"/>
  <c r="N72" i="6"/>
  <c r="N76" i="6" s="1"/>
  <c r="N78" i="6" s="1"/>
  <c r="N124" i="6" s="1"/>
  <c r="N126" i="6" s="1"/>
  <c r="Q85" i="6"/>
  <c r="F96" i="6"/>
  <c r="N105" i="6"/>
  <c r="E111" i="6"/>
  <c r="E110" i="6" s="1"/>
  <c r="L116" i="6"/>
  <c r="O42" i="7"/>
  <c r="O45" i="7" s="1"/>
  <c r="G45" i="7"/>
  <c r="K45" i="7"/>
  <c r="Q45" i="7"/>
  <c r="Q47" i="7" s="1"/>
  <c r="E96" i="7"/>
  <c r="E95" i="7" s="1"/>
  <c r="E98" i="7" s="1"/>
  <c r="Q105" i="7"/>
  <c r="D95" i="8"/>
  <c r="F70" i="8"/>
  <c r="L77" i="8"/>
  <c r="L125" i="8" s="1"/>
  <c r="L127" i="8" s="1"/>
  <c r="L129" i="8" s="1"/>
  <c r="E85" i="8"/>
  <c r="H77" i="9"/>
  <c r="H125" i="9" s="1"/>
  <c r="K96" i="9"/>
  <c r="L96" i="10"/>
  <c r="L95" i="10" s="1"/>
  <c r="P105" i="10"/>
  <c r="K111" i="10"/>
  <c r="K110" i="10" s="1"/>
  <c r="Q69" i="8"/>
  <c r="S87" i="4"/>
  <c r="S88" i="4" s="1"/>
  <c r="S85" i="3"/>
  <c r="S87" i="3" s="1"/>
  <c r="S88" i="3" s="1"/>
  <c r="S90" i="3" s="1"/>
  <c r="I84" i="2"/>
  <c r="M111" i="10"/>
  <c r="M110" i="10" s="1"/>
  <c r="M48" i="10"/>
  <c r="M68" i="10" s="1"/>
  <c r="M72" i="10" s="1"/>
  <c r="M76" i="10" s="1"/>
  <c r="G56" i="2"/>
  <c r="G82" i="2" s="1"/>
  <c r="G84" i="2" s="1"/>
  <c r="F47" i="10"/>
  <c r="F77" i="10"/>
  <c r="F125" i="10" s="1"/>
  <c r="R105" i="8"/>
  <c r="R115" i="8" s="1"/>
  <c r="R118" i="8" s="1"/>
  <c r="Q116" i="8"/>
  <c r="Q131" i="8" s="1"/>
  <c r="N50" i="2"/>
  <c r="N54" i="2" s="1"/>
  <c r="N56" i="2" s="1"/>
  <c r="N82" i="2" s="1"/>
  <c r="N84" i="2" s="1"/>
  <c r="K63" i="4"/>
  <c r="J74" i="4"/>
  <c r="J85" i="4" s="1"/>
  <c r="J87" i="4" s="1"/>
  <c r="H47" i="5"/>
  <c r="H46" i="5"/>
  <c r="H91" i="5" s="1"/>
  <c r="H90" i="5" s="1"/>
  <c r="J96" i="7"/>
  <c r="H71" i="10"/>
  <c r="H69" i="10"/>
  <c r="H63" i="2"/>
  <c r="G74" i="2"/>
  <c r="M74" i="2"/>
  <c r="M89" i="2" s="1"/>
  <c r="M73" i="3"/>
  <c r="M76" i="3" s="1"/>
  <c r="G49" i="3"/>
  <c r="G50" i="3"/>
  <c r="G54" i="3" s="1"/>
  <c r="G56" i="3" s="1"/>
  <c r="G82" i="3" s="1"/>
  <c r="G84" i="3" s="1"/>
  <c r="K49" i="4"/>
  <c r="K50" i="4"/>
  <c r="K54" i="4" s="1"/>
  <c r="K56" i="4" s="1"/>
  <c r="K82" i="4" s="1"/>
  <c r="K84" i="4" s="1"/>
  <c r="K47" i="4"/>
  <c r="G96" i="5"/>
  <c r="H85" i="5"/>
  <c r="H95" i="5" s="1"/>
  <c r="H98" i="5" s="1"/>
  <c r="P116" i="5"/>
  <c r="P131" i="5" s="1"/>
  <c r="Q105" i="5"/>
  <c r="F116" i="6"/>
  <c r="F131" i="6" s="1"/>
  <c r="G105" i="6"/>
  <c r="H46" i="6"/>
  <c r="H91" i="6" s="1"/>
  <c r="H90" i="6" s="1"/>
  <c r="H111" i="6"/>
  <c r="H110" i="6" s="1"/>
  <c r="N116" i="6"/>
  <c r="N131" i="6" s="1"/>
  <c r="K96" i="7"/>
  <c r="K95" i="7" s="1"/>
  <c r="K98" i="7" s="1"/>
  <c r="I69" i="10"/>
  <c r="I71" i="10"/>
  <c r="I70" i="10"/>
  <c r="I72" i="10"/>
  <c r="I76" i="10" s="1"/>
  <c r="H70" i="10"/>
  <c r="P105" i="8"/>
  <c r="O116" i="8"/>
  <c r="O131" i="8" s="1"/>
  <c r="D69" i="8"/>
  <c r="D72" i="8"/>
  <c r="D76" i="8" s="1"/>
  <c r="O69" i="8"/>
  <c r="O70" i="8"/>
  <c r="O71" i="8"/>
  <c r="L116" i="9"/>
  <c r="M105" i="9"/>
  <c r="G47" i="2"/>
  <c r="G49" i="2"/>
  <c r="H116" i="8"/>
  <c r="H131" i="8" s="1"/>
  <c r="E47" i="3"/>
  <c r="E48" i="3"/>
  <c r="P96" i="8"/>
  <c r="Q85" i="8"/>
  <c r="I116" i="8"/>
  <c r="I115" i="8" s="1"/>
  <c r="I118" i="8" s="1"/>
  <c r="I48" i="2"/>
  <c r="I47" i="2"/>
  <c r="I49" i="2"/>
  <c r="N50" i="3"/>
  <c r="N54" i="3" s="1"/>
  <c r="N56" i="3" s="1"/>
  <c r="N82" i="3" s="1"/>
  <c r="N48" i="3"/>
  <c r="N49" i="3"/>
  <c r="J49" i="4"/>
  <c r="J48" i="4"/>
  <c r="J50" i="4"/>
  <c r="J54" i="4" s="1"/>
  <c r="J56" i="4" s="1"/>
  <c r="J82" i="4" s="1"/>
  <c r="J84" i="4" s="1"/>
  <c r="J47" i="4"/>
  <c r="F49" i="3"/>
  <c r="Q116" i="5"/>
  <c r="Q131" i="5" s="1"/>
  <c r="R105" i="5"/>
  <c r="R115" i="5" s="1"/>
  <c r="R118" i="5" s="1"/>
  <c r="G69" i="6"/>
  <c r="G71" i="6"/>
  <c r="G70" i="6"/>
  <c r="G72" i="6"/>
  <c r="G76" i="6" s="1"/>
  <c r="G111" i="8"/>
  <c r="G110" i="8" s="1"/>
  <c r="G47" i="8"/>
  <c r="G77" i="8"/>
  <c r="G125" i="8" s="1"/>
  <c r="O111" i="8"/>
  <c r="O110" i="8" s="1"/>
  <c r="O47" i="8"/>
  <c r="I77" i="9"/>
  <c r="I125" i="9" s="1"/>
  <c r="I47" i="9"/>
  <c r="I111" i="9"/>
  <c r="I110" i="9" s="1"/>
  <c r="F70" i="9"/>
  <c r="F69" i="9"/>
  <c r="F72" i="9"/>
  <c r="F76" i="9" s="1"/>
  <c r="F78" i="9" s="1"/>
  <c r="F124" i="9" s="1"/>
  <c r="F126" i="9" s="1"/>
  <c r="J116" i="9"/>
  <c r="J131" i="9" s="1"/>
  <c r="H72" i="10"/>
  <c r="H76" i="10" s="1"/>
  <c r="F83" i="9"/>
  <c r="F122" i="9"/>
  <c r="Q96" i="9"/>
  <c r="R85" i="9"/>
  <c r="R95" i="9" s="1"/>
  <c r="R98" i="9" s="1"/>
  <c r="K77" i="9"/>
  <c r="K125" i="9" s="1"/>
  <c r="K111" i="9"/>
  <c r="K110" i="9" s="1"/>
  <c r="F47" i="2"/>
  <c r="F48" i="2"/>
  <c r="N47" i="2"/>
  <c r="E70" i="8"/>
  <c r="E71" i="8"/>
  <c r="E69" i="8"/>
  <c r="E72" i="8"/>
  <c r="E76" i="8" s="1"/>
  <c r="G116" i="8"/>
  <c r="G131" i="8" s="1"/>
  <c r="J96" i="9"/>
  <c r="J95" i="9" s="1"/>
  <c r="J98" i="9" s="1"/>
  <c r="K85" i="9"/>
  <c r="E105" i="9"/>
  <c r="F127" i="6"/>
  <c r="F129" i="6" s="1"/>
  <c r="G48" i="2"/>
  <c r="H96" i="8"/>
  <c r="I85" i="8"/>
  <c r="I95" i="8" s="1"/>
  <c r="I98" i="8" s="1"/>
  <c r="O72" i="8"/>
  <c r="O76" i="8" s="1"/>
  <c r="I63" i="2"/>
  <c r="H74" i="2"/>
  <c r="H85" i="2" s="1"/>
  <c r="H87" i="2" s="1"/>
  <c r="F49" i="2"/>
  <c r="E22" i="5"/>
  <c r="E122" i="5"/>
  <c r="E66" i="5"/>
  <c r="F3" i="5"/>
  <c r="E137" i="5"/>
  <c r="E103" i="5"/>
  <c r="D70" i="5"/>
  <c r="D69" i="5"/>
  <c r="D72" i="5"/>
  <c r="D76" i="5" s="1"/>
  <c r="D78" i="5" s="1"/>
  <c r="D124" i="5" s="1"/>
  <c r="D126" i="5" s="1"/>
  <c r="J105" i="5"/>
  <c r="E161" i="6"/>
  <c r="E137" i="6"/>
  <c r="E7" i="6"/>
  <c r="E103" i="6"/>
  <c r="N46" i="7"/>
  <c r="N91" i="7" s="1"/>
  <c r="N90" i="7" s="1"/>
  <c r="N45" i="7"/>
  <c r="N47" i="7" s="1"/>
  <c r="J77" i="7"/>
  <c r="J125" i="7" s="1"/>
  <c r="Q70" i="7"/>
  <c r="Q69" i="7"/>
  <c r="N116" i="8"/>
  <c r="O105" i="8"/>
  <c r="N70" i="8"/>
  <c r="N69" i="8"/>
  <c r="N71" i="8"/>
  <c r="E22" i="9"/>
  <c r="E103" i="9"/>
  <c r="E54" i="9"/>
  <c r="E122" i="9"/>
  <c r="E137" i="9"/>
  <c r="E37" i="9"/>
  <c r="I85" i="9"/>
  <c r="H96" i="9"/>
  <c r="H95" i="9" s="1"/>
  <c r="H98" i="9" s="1"/>
  <c r="E54" i="10"/>
  <c r="E37" i="10"/>
  <c r="Q96" i="10"/>
  <c r="Q95" i="10" s="1"/>
  <c r="Q98" i="10" s="1"/>
  <c r="R85" i="10"/>
  <c r="R95" i="10" s="1"/>
  <c r="R98" i="10" s="1"/>
  <c r="J116" i="10"/>
  <c r="J131" i="10" s="1"/>
  <c r="K105" i="10"/>
  <c r="L47" i="4"/>
  <c r="L50" i="4"/>
  <c r="L54" i="4" s="1"/>
  <c r="L56" i="4" s="1"/>
  <c r="L82" i="4" s="1"/>
  <c r="L84" i="4" s="1"/>
  <c r="N63" i="4"/>
  <c r="N73" i="4" s="1"/>
  <c r="N76" i="4" s="1"/>
  <c r="I46" i="5"/>
  <c r="I91" i="5" s="1"/>
  <c r="I90" i="5" s="1"/>
  <c r="I47" i="5"/>
  <c r="Q96" i="8"/>
  <c r="R85" i="8"/>
  <c r="R95" i="8" s="1"/>
  <c r="R98" i="8" s="1"/>
  <c r="J116" i="8"/>
  <c r="K105" i="8"/>
  <c r="D47" i="2"/>
  <c r="K63" i="2"/>
  <c r="E44" i="3"/>
  <c r="J47" i="3"/>
  <c r="J50" i="3"/>
  <c r="J54" i="3" s="1"/>
  <c r="J56" i="3" s="1"/>
  <c r="J82" i="3" s="1"/>
  <c r="J84" i="3" s="1"/>
  <c r="L85" i="3"/>
  <c r="L87" i="3" s="1"/>
  <c r="F74" i="4"/>
  <c r="G63" i="4"/>
  <c r="G73" i="4" s="1"/>
  <c r="G76" i="4" s="1"/>
  <c r="M56" i="4"/>
  <c r="M82" i="4" s="1"/>
  <c r="M84" i="4" s="1"/>
  <c r="O63" i="4"/>
  <c r="O73" i="4" s="1"/>
  <c r="O76" i="4" s="1"/>
  <c r="J46" i="5"/>
  <c r="J91" i="5" s="1"/>
  <c r="J90" i="5" s="1"/>
  <c r="J47" i="5"/>
  <c r="L85" i="6"/>
  <c r="K96" i="6"/>
  <c r="M48" i="6"/>
  <c r="M68" i="6" s="1"/>
  <c r="M69" i="6" s="1"/>
  <c r="M77" i="6"/>
  <c r="M125" i="6" s="1"/>
  <c r="M127" i="6" s="1"/>
  <c r="M129" i="6" s="1"/>
  <c r="P111" i="7"/>
  <c r="P110" i="7" s="1"/>
  <c r="P115" i="7" s="1"/>
  <c r="P118" i="7" s="1"/>
  <c r="G69" i="8"/>
  <c r="G72" i="8"/>
  <c r="G76" i="8" s="1"/>
  <c r="P116" i="9"/>
  <c r="P131" i="9" s="1"/>
  <c r="G116" i="10"/>
  <c r="G131" i="10" s="1"/>
  <c r="H105" i="10"/>
  <c r="H111" i="10"/>
  <c r="H110" i="10" s="1"/>
  <c r="H77" i="10"/>
  <c r="H125" i="10" s="1"/>
  <c r="H47" i="10"/>
  <c r="P111" i="10"/>
  <c r="P110" i="10" s="1"/>
  <c r="E74" i="4"/>
  <c r="E89" i="4" s="1"/>
  <c r="F63" i="4"/>
  <c r="F73" i="4" s="1"/>
  <c r="F76" i="4" s="1"/>
  <c r="D47" i="4"/>
  <c r="D48" i="4"/>
  <c r="D49" i="4"/>
  <c r="D50" i="4"/>
  <c r="D54" i="4" s="1"/>
  <c r="D56" i="4" s="1"/>
  <c r="D82" i="4" s="1"/>
  <c r="D84" i="4" s="1"/>
  <c r="E48" i="2"/>
  <c r="L63" i="2"/>
  <c r="L73" i="2" s="1"/>
  <c r="E96" i="5"/>
  <c r="F85" i="5"/>
  <c r="J69" i="5"/>
  <c r="J70" i="5"/>
  <c r="J72" i="5"/>
  <c r="J76" i="5" s="1"/>
  <c r="J78" i="5" s="1"/>
  <c r="J124" i="5" s="1"/>
  <c r="J126" i="5" s="1"/>
  <c r="N85" i="5"/>
  <c r="H48" i="7"/>
  <c r="H68" i="7" s="1"/>
  <c r="H70" i="7" s="1"/>
  <c r="H111" i="7"/>
  <c r="H110" i="7" s="1"/>
  <c r="Q111" i="7"/>
  <c r="Q110" i="7" s="1"/>
  <c r="Q77" i="7"/>
  <c r="Q125" i="7" s="1"/>
  <c r="M48" i="8"/>
  <c r="M68" i="8" s="1"/>
  <c r="M72" i="8" s="1"/>
  <c r="M76" i="8" s="1"/>
  <c r="M111" i="8"/>
  <c r="M110" i="8" s="1"/>
  <c r="M115" i="8" s="1"/>
  <c r="M77" i="8"/>
  <c r="M125" i="8" s="1"/>
  <c r="F69" i="8"/>
  <c r="E77" i="8"/>
  <c r="E125" i="8" s="1"/>
  <c r="I105" i="9"/>
  <c r="H116" i="9"/>
  <c r="H47" i="9"/>
  <c r="N72" i="9"/>
  <c r="N76" i="9" s="1"/>
  <c r="R72" i="9"/>
  <c r="R76" i="9" s="1"/>
  <c r="R78" i="9" s="1"/>
  <c r="R124" i="9" s="1"/>
  <c r="R126" i="9" s="1"/>
  <c r="R69" i="9"/>
  <c r="R70" i="9"/>
  <c r="R71" i="9"/>
  <c r="O71" i="9"/>
  <c r="I69" i="9"/>
  <c r="I72" i="9"/>
  <c r="I76" i="9" s="1"/>
  <c r="I78" i="9" s="1"/>
  <c r="I124" i="9" s="1"/>
  <c r="N96" i="9"/>
  <c r="N95" i="9" s="1"/>
  <c r="N98" i="9" s="1"/>
  <c r="Q116" i="9"/>
  <c r="Q131" i="9" s="1"/>
  <c r="H85" i="10"/>
  <c r="G96" i="10"/>
  <c r="I47" i="3"/>
  <c r="I50" i="3"/>
  <c r="I54" i="3" s="1"/>
  <c r="I56" i="3" s="1"/>
  <c r="I82" i="3" s="1"/>
  <c r="I84" i="3" s="1"/>
  <c r="L77" i="6"/>
  <c r="L125" i="6" s="1"/>
  <c r="L127" i="6" s="1"/>
  <c r="L129" i="6" s="1"/>
  <c r="L46" i="6"/>
  <c r="L91" i="6" s="1"/>
  <c r="L90" i="6" s="1"/>
  <c r="L111" i="6"/>
  <c r="L110" i="6" s="1"/>
  <c r="G69" i="9"/>
  <c r="G71" i="9"/>
  <c r="D73" i="2"/>
  <c r="E56" i="2"/>
  <c r="E82" i="2" s="1"/>
  <c r="E84" i="2" s="1"/>
  <c r="G85" i="5"/>
  <c r="F96" i="5"/>
  <c r="G111" i="6"/>
  <c r="G110" i="6" s="1"/>
  <c r="G47" i="6"/>
  <c r="E72" i="6"/>
  <c r="E76" i="6" s="1"/>
  <c r="E78" i="6" s="1"/>
  <c r="E124" i="6" s="1"/>
  <c r="E126" i="6" s="1"/>
  <c r="E70" i="6"/>
  <c r="E71" i="6"/>
  <c r="Q96" i="7"/>
  <c r="R85" i="7"/>
  <c r="R95" i="7" s="1"/>
  <c r="R98" i="7" s="1"/>
  <c r="Q116" i="7"/>
  <c r="Q115" i="7" s="1"/>
  <c r="R105" i="7"/>
  <c r="I111" i="7"/>
  <c r="I110" i="7" s="1"/>
  <c r="N95" i="7"/>
  <c r="N98" i="7" s="1"/>
  <c r="P85" i="9"/>
  <c r="P95" i="9" s="1"/>
  <c r="P98" i="9" s="1"/>
  <c r="O96" i="9"/>
  <c r="O95" i="9" s="1"/>
  <c r="O98" i="9" s="1"/>
  <c r="J105" i="9"/>
  <c r="I116" i="9"/>
  <c r="I127" i="9" s="1"/>
  <c r="I129" i="9" s="1"/>
  <c r="G70" i="9"/>
  <c r="Q116" i="10"/>
  <c r="Q131" i="10" s="1"/>
  <c r="R105" i="10"/>
  <c r="R115" i="10" s="1"/>
  <c r="R118" i="10" s="1"/>
  <c r="F116" i="10"/>
  <c r="F131" i="10" s="1"/>
  <c r="G85" i="4"/>
  <c r="G87" i="4" s="1"/>
  <c r="H74" i="4"/>
  <c r="E85" i="7"/>
  <c r="E105" i="8"/>
  <c r="L111" i="8"/>
  <c r="L110" i="8" s="1"/>
  <c r="L68" i="9"/>
  <c r="L72" i="9" s="1"/>
  <c r="L76" i="9" s="1"/>
  <c r="H105" i="9"/>
  <c r="D73" i="3"/>
  <c r="I74" i="4"/>
  <c r="I73" i="4" s="1"/>
  <c r="I76" i="4" s="1"/>
  <c r="Q96" i="5"/>
  <c r="R85" i="5"/>
  <c r="H105" i="6"/>
  <c r="D115" i="8"/>
  <c r="M85" i="9"/>
  <c r="M95" i="9" s="1"/>
  <c r="M98" i="9" s="1"/>
  <c r="R77" i="7"/>
  <c r="H63" i="4"/>
  <c r="Q96" i="6"/>
  <c r="R85" i="6"/>
  <c r="Q116" i="6"/>
  <c r="Q131" i="6" s="1"/>
  <c r="R105" i="6"/>
  <c r="R115" i="6" s="1"/>
  <c r="R118" i="6" s="1"/>
  <c r="F95" i="7"/>
  <c r="F98" i="7" s="1"/>
  <c r="G85" i="7"/>
  <c r="G95" i="7" s="1"/>
  <c r="P71" i="9"/>
  <c r="D72" i="9"/>
  <c r="D76" i="9" s="1"/>
  <c r="N85" i="9"/>
  <c r="P95" i="6"/>
  <c r="P98" i="6" s="1"/>
  <c r="P115" i="9"/>
  <c r="P118" i="9" s="1"/>
  <c r="P77" i="9"/>
  <c r="P125" i="9" s="1"/>
  <c r="P70" i="10"/>
  <c r="P71" i="10"/>
  <c r="P72" i="9"/>
  <c r="P76" i="9" s="1"/>
  <c r="Q72" i="7"/>
  <c r="Q76" i="7" s="1"/>
  <c r="Q72" i="6"/>
  <c r="Q76" i="6" s="1"/>
  <c r="Q69" i="6"/>
  <c r="Q47" i="2"/>
  <c r="Q72" i="5"/>
  <c r="Q76" i="5" s="1"/>
  <c r="Q78" i="5" s="1"/>
  <c r="Q124" i="5" s="1"/>
  <c r="Q126" i="5" s="1"/>
  <c r="Q69" i="5"/>
  <c r="Q71" i="5"/>
  <c r="P47" i="4"/>
  <c r="P49" i="3"/>
  <c r="P48" i="3"/>
  <c r="Q50" i="3"/>
  <c r="Q54" i="3" s="1"/>
  <c r="Q56" i="3" s="1"/>
  <c r="Q82" i="3" s="1"/>
  <c r="Q84" i="3" s="1"/>
  <c r="Q48" i="3"/>
  <c r="Q49" i="3"/>
  <c r="P47" i="3"/>
  <c r="Q50" i="2"/>
  <c r="Q54" i="2" s="1"/>
  <c r="Q56" i="2" s="1"/>
  <c r="Q82" i="2" s="1"/>
  <c r="Q84" i="2" s="1"/>
  <c r="Q49" i="2"/>
  <c r="P50" i="2"/>
  <c r="P54" i="2" s="1"/>
  <c r="P56" i="2" s="1"/>
  <c r="P82" i="2" s="1"/>
  <c r="P49" i="2"/>
  <c r="P48" i="2"/>
  <c r="R85" i="4"/>
  <c r="R87" i="4" s="1"/>
  <c r="R88" i="4" s="1"/>
  <c r="P56" i="3"/>
  <c r="P82" i="3" s="1"/>
  <c r="P84" i="3" s="1"/>
  <c r="Q63" i="4"/>
  <c r="Q73" i="4" s="1"/>
  <c r="Q76" i="4" s="1"/>
  <c r="R85" i="3"/>
  <c r="Q74" i="2"/>
  <c r="Q73" i="2" s="1"/>
  <c r="Q76" i="2" s="1"/>
  <c r="F85" i="2"/>
  <c r="F87" i="2" s="1"/>
  <c r="F89" i="2"/>
  <c r="F95" i="4"/>
  <c r="F119" i="4"/>
  <c r="F32" i="4"/>
  <c r="F22" i="4"/>
  <c r="F7" i="4"/>
  <c r="G3" i="4"/>
  <c r="F80" i="4"/>
  <c r="F61" i="4"/>
  <c r="F44" i="4"/>
  <c r="H73" i="3"/>
  <c r="H76" i="3" s="1"/>
  <c r="H50" i="4"/>
  <c r="H54" i="4" s="1"/>
  <c r="H56" i="4" s="1"/>
  <c r="H82" i="4" s="1"/>
  <c r="H84" i="4" s="1"/>
  <c r="H47" i="4"/>
  <c r="H49" i="4"/>
  <c r="H48" i="4"/>
  <c r="H72" i="7"/>
  <c r="H76" i="7" s="1"/>
  <c r="H78" i="7" s="1"/>
  <c r="H124" i="7" s="1"/>
  <c r="H126" i="7" s="1"/>
  <c r="H71" i="7"/>
  <c r="F137" i="6"/>
  <c r="G3" i="6"/>
  <c r="F103" i="6"/>
  <c r="F7" i="6"/>
  <c r="F83" i="6"/>
  <c r="F54" i="6"/>
  <c r="F66" i="6"/>
  <c r="F22" i="6"/>
  <c r="K72" i="8"/>
  <c r="K76" i="8" s="1"/>
  <c r="K78" i="8" s="1"/>
  <c r="K124" i="8" s="1"/>
  <c r="K126" i="8" s="1"/>
  <c r="K70" i="8"/>
  <c r="E46" i="5"/>
  <c r="E91" i="5" s="1"/>
  <c r="E90" i="5" s="1"/>
  <c r="E47" i="5"/>
  <c r="F32" i="3"/>
  <c r="F7" i="3"/>
  <c r="G85" i="3"/>
  <c r="G87" i="3" s="1"/>
  <c r="G89" i="3"/>
  <c r="K47" i="3"/>
  <c r="K48" i="3"/>
  <c r="K49" i="3"/>
  <c r="K50" i="3"/>
  <c r="K54" i="3" s="1"/>
  <c r="K56" i="3" s="1"/>
  <c r="K82" i="3" s="1"/>
  <c r="K84" i="3" s="1"/>
  <c r="E63" i="4"/>
  <c r="D74" i="4"/>
  <c r="M63" i="4"/>
  <c r="M73" i="4" s="1"/>
  <c r="L74" i="4"/>
  <c r="Q50" i="4"/>
  <c r="Q54" i="4" s="1"/>
  <c r="Q56" i="4" s="1"/>
  <c r="Q82" i="4" s="1"/>
  <c r="Q84" i="4" s="1"/>
  <c r="F47" i="5"/>
  <c r="F46" i="5"/>
  <c r="F91" i="5" s="1"/>
  <c r="F90" i="5" s="1"/>
  <c r="N47" i="5"/>
  <c r="N46" i="5"/>
  <c r="N91" i="5" s="1"/>
  <c r="N90" i="5" s="1"/>
  <c r="K70" i="6"/>
  <c r="K72" i="6"/>
  <c r="K76" i="6" s="1"/>
  <c r="K69" i="6"/>
  <c r="K71" i="6"/>
  <c r="N71" i="7"/>
  <c r="N72" i="7"/>
  <c r="N76" i="7" s="1"/>
  <c r="N70" i="7"/>
  <c r="N69" i="7"/>
  <c r="H89" i="2"/>
  <c r="Q89" i="3"/>
  <c r="P50" i="4"/>
  <c r="P54" i="4" s="1"/>
  <c r="P56" i="4" s="1"/>
  <c r="P82" i="4" s="1"/>
  <c r="P84" i="4" s="1"/>
  <c r="P48" i="4"/>
  <c r="I47" i="4"/>
  <c r="I50" i="4"/>
  <c r="I54" i="4" s="1"/>
  <c r="I56" i="4" s="1"/>
  <c r="I82" i="4" s="1"/>
  <c r="I84" i="4" s="1"/>
  <c r="I49" i="4"/>
  <c r="I48" i="4"/>
  <c r="E95" i="4"/>
  <c r="E119" i="4"/>
  <c r="E44" i="4"/>
  <c r="E80" i="4"/>
  <c r="E61" i="4"/>
  <c r="E22" i="4"/>
  <c r="F111" i="8"/>
  <c r="F110" i="8" s="1"/>
  <c r="F77" i="8"/>
  <c r="F125" i="8" s="1"/>
  <c r="F47" i="8"/>
  <c r="N111" i="8"/>
  <c r="N110" i="8" s="1"/>
  <c r="N47" i="8"/>
  <c r="N77" i="8"/>
  <c r="N125" i="8" s="1"/>
  <c r="M48" i="5"/>
  <c r="M68" i="5" s="1"/>
  <c r="M46" i="5"/>
  <c r="M91" i="5" s="1"/>
  <c r="M90" i="5" s="1"/>
  <c r="M95" i="5" s="1"/>
  <c r="J127" i="5"/>
  <c r="J129" i="5" s="1"/>
  <c r="J115" i="5"/>
  <c r="J118" i="5" s="1"/>
  <c r="J131" i="5"/>
  <c r="J69" i="6"/>
  <c r="J71" i="6"/>
  <c r="J72" i="6"/>
  <c r="J76" i="6" s="1"/>
  <c r="J70" i="6"/>
  <c r="P84" i="2"/>
  <c r="E73" i="2"/>
  <c r="E76" i="2" s="1"/>
  <c r="G61" i="3"/>
  <c r="G80" i="3"/>
  <c r="Q49" i="4"/>
  <c r="F122" i="6"/>
  <c r="P85" i="3"/>
  <c r="P87" i="3" s="1"/>
  <c r="F85" i="3"/>
  <c r="F87" i="3" s="1"/>
  <c r="F89" i="3"/>
  <c r="G63" i="3"/>
  <c r="G73" i="3" s="1"/>
  <c r="K70" i="5"/>
  <c r="K72" i="5"/>
  <c r="K76" i="5" s="1"/>
  <c r="K78" i="5" s="1"/>
  <c r="K124" i="5" s="1"/>
  <c r="K126" i="5" s="1"/>
  <c r="F161" i="6"/>
  <c r="H127" i="5"/>
  <c r="H129" i="5" s="1"/>
  <c r="H131" i="5"/>
  <c r="H115" i="5"/>
  <c r="H118" i="5" s="1"/>
  <c r="N74" i="2"/>
  <c r="H47" i="2"/>
  <c r="H48" i="2"/>
  <c r="H50" i="2"/>
  <c r="H54" i="2" s="1"/>
  <c r="H56" i="2" s="1"/>
  <c r="H82" i="2" s="1"/>
  <c r="H84" i="2" s="1"/>
  <c r="H49" i="2"/>
  <c r="E32" i="4"/>
  <c r="Q48" i="4"/>
  <c r="F37" i="6"/>
  <c r="P72" i="5"/>
  <c r="P71" i="5"/>
  <c r="P70" i="5"/>
  <c r="P69" i="5"/>
  <c r="K127" i="5"/>
  <c r="K129" i="5" s="1"/>
  <c r="K115" i="5"/>
  <c r="K118" i="5" s="1"/>
  <c r="H96" i="7"/>
  <c r="H95" i="7" s="1"/>
  <c r="H98" i="7" s="1"/>
  <c r="I85" i="7"/>
  <c r="D48" i="3"/>
  <c r="D49" i="3"/>
  <c r="D50" i="3"/>
  <c r="D54" i="3" s="1"/>
  <c r="D56" i="3" s="1"/>
  <c r="D82" i="3" s="1"/>
  <c r="D84" i="3" s="1"/>
  <c r="F84" i="3"/>
  <c r="F88" i="3" s="1"/>
  <c r="K116" i="6"/>
  <c r="L105" i="6"/>
  <c r="L69" i="7"/>
  <c r="L70" i="7"/>
  <c r="L71" i="7"/>
  <c r="L72" i="7"/>
  <c r="L76" i="7" s="1"/>
  <c r="K48" i="2"/>
  <c r="K49" i="2"/>
  <c r="K50" i="2"/>
  <c r="K54" i="2" s="1"/>
  <c r="K56" i="2" s="1"/>
  <c r="K82" i="2" s="1"/>
  <c r="K84" i="2" s="1"/>
  <c r="G71" i="5"/>
  <c r="G69" i="5"/>
  <c r="F131" i="7"/>
  <c r="N116" i="7"/>
  <c r="O105" i="7"/>
  <c r="M131" i="8"/>
  <c r="M127" i="8"/>
  <c r="M129" i="8" s="1"/>
  <c r="J73" i="2"/>
  <c r="J76" i="2" s="1"/>
  <c r="J89" i="2"/>
  <c r="D49" i="2"/>
  <c r="D50" i="2"/>
  <c r="D54" i="2" s="1"/>
  <c r="D56" i="2" s="1"/>
  <c r="D82" i="2" s="1"/>
  <c r="D84" i="2" s="1"/>
  <c r="L49" i="2"/>
  <c r="L50" i="2"/>
  <c r="L54" i="2" s="1"/>
  <c r="L56" i="2" s="1"/>
  <c r="L82" i="2" s="1"/>
  <c r="L84" i="2" s="1"/>
  <c r="E47" i="2"/>
  <c r="M48" i="2"/>
  <c r="M63" i="2"/>
  <c r="K85" i="2"/>
  <c r="K87" i="2" s="1"/>
  <c r="K89" i="3"/>
  <c r="M48" i="3"/>
  <c r="N63" i="3"/>
  <c r="O89" i="4"/>
  <c r="K85" i="5"/>
  <c r="K95" i="5" s="1"/>
  <c r="J96" i="5"/>
  <c r="G105" i="5"/>
  <c r="F116" i="5"/>
  <c r="N116" i="5"/>
  <c r="H72" i="5"/>
  <c r="H76" i="5" s="1"/>
  <c r="H78" i="5" s="1"/>
  <c r="H124" i="5" s="1"/>
  <c r="H126" i="5" s="1"/>
  <c r="H130" i="5" s="1"/>
  <c r="H69" i="5"/>
  <c r="L96" i="6"/>
  <c r="M85" i="6"/>
  <c r="H47" i="6"/>
  <c r="H77" i="6"/>
  <c r="H125" i="6" s="1"/>
  <c r="P47" i="6"/>
  <c r="P111" i="6"/>
  <c r="P110" i="6" s="1"/>
  <c r="P115" i="6" s="1"/>
  <c r="G105" i="7"/>
  <c r="L131" i="7"/>
  <c r="F85" i="9"/>
  <c r="E96" i="9"/>
  <c r="E69" i="5"/>
  <c r="E71" i="5"/>
  <c r="E72" i="5"/>
  <c r="E76" i="5" s="1"/>
  <c r="E78" i="5" s="1"/>
  <c r="E124" i="5" s="1"/>
  <c r="E126" i="5" s="1"/>
  <c r="E70" i="5"/>
  <c r="I70" i="6"/>
  <c r="I71" i="6"/>
  <c r="I69" i="6"/>
  <c r="I72" i="6"/>
  <c r="I76" i="6" s="1"/>
  <c r="P71" i="7"/>
  <c r="P70" i="7"/>
  <c r="P72" i="7"/>
  <c r="P76" i="7" s="1"/>
  <c r="M56" i="2"/>
  <c r="M82" i="2" s="1"/>
  <c r="M84" i="2" s="1"/>
  <c r="I85" i="2"/>
  <c r="I87" i="2" s="1"/>
  <c r="J96" i="6"/>
  <c r="K85" i="6"/>
  <c r="L131" i="6"/>
  <c r="L115" i="6"/>
  <c r="J85" i="7"/>
  <c r="I96" i="7"/>
  <c r="E49" i="3"/>
  <c r="E50" i="3"/>
  <c r="E54" i="3" s="1"/>
  <c r="E56" i="3" s="1"/>
  <c r="E82" i="3" s="1"/>
  <c r="E84" i="3" s="1"/>
  <c r="K63" i="3"/>
  <c r="N85" i="3"/>
  <c r="N87" i="3" s="1"/>
  <c r="J85" i="5"/>
  <c r="I96" i="5"/>
  <c r="E32" i="2"/>
  <c r="E7" i="2"/>
  <c r="E95" i="2"/>
  <c r="E61" i="2"/>
  <c r="E44" i="2"/>
  <c r="E22" i="2"/>
  <c r="N48" i="2"/>
  <c r="M49" i="2"/>
  <c r="D89" i="3"/>
  <c r="D85" i="3"/>
  <c r="D87" i="3" s="1"/>
  <c r="E63" i="3"/>
  <c r="L89" i="3"/>
  <c r="L73" i="3"/>
  <c r="L76" i="3" s="1"/>
  <c r="N84" i="3"/>
  <c r="P63" i="3"/>
  <c r="J89" i="3"/>
  <c r="P73" i="4"/>
  <c r="P76" i="4" s="1"/>
  <c r="P89" i="4"/>
  <c r="J89" i="4"/>
  <c r="G72" i="5"/>
  <c r="G76" i="5" s="1"/>
  <c r="G78" i="5" s="1"/>
  <c r="G124" i="5" s="1"/>
  <c r="G126" i="5" s="1"/>
  <c r="G130" i="5" s="1"/>
  <c r="I115" i="5"/>
  <c r="I118" i="5" s="1"/>
  <c r="E85" i="6"/>
  <c r="E122" i="7"/>
  <c r="E161" i="7"/>
  <c r="E7" i="7"/>
  <c r="E54" i="7"/>
  <c r="E103" i="7"/>
  <c r="E83" i="7"/>
  <c r="E37" i="7"/>
  <c r="F3" i="7"/>
  <c r="E66" i="7"/>
  <c r="M70" i="7"/>
  <c r="M71" i="7"/>
  <c r="M72" i="7"/>
  <c r="M76" i="7" s="1"/>
  <c r="M69" i="7"/>
  <c r="J116" i="6"/>
  <c r="K105" i="6"/>
  <c r="P96" i="7"/>
  <c r="Q85" i="7"/>
  <c r="Q95" i="7" s="1"/>
  <c r="J47" i="2"/>
  <c r="J48" i="2"/>
  <c r="J49" i="2"/>
  <c r="L48" i="3"/>
  <c r="L49" i="3"/>
  <c r="L50" i="3"/>
  <c r="L54" i="3" s="1"/>
  <c r="L56" i="3" s="1"/>
  <c r="L82" i="3" s="1"/>
  <c r="L84" i="3" s="1"/>
  <c r="L47" i="3"/>
  <c r="M89" i="4"/>
  <c r="M85" i="4"/>
  <c r="M87" i="4" s="1"/>
  <c r="Q85" i="4"/>
  <c r="Q87" i="4" s="1"/>
  <c r="F70" i="5"/>
  <c r="F72" i="5"/>
  <c r="F76" i="5" s="1"/>
  <c r="F78" i="5" s="1"/>
  <c r="F124" i="5" s="1"/>
  <c r="F126" i="5" s="1"/>
  <c r="F69" i="5"/>
  <c r="M49" i="3"/>
  <c r="M50" i="3"/>
  <c r="M54" i="3" s="1"/>
  <c r="M56" i="3" s="1"/>
  <c r="M82" i="3" s="1"/>
  <c r="M84" i="3" s="1"/>
  <c r="D89" i="2"/>
  <c r="D85" i="2"/>
  <c r="D87" i="2" s="1"/>
  <c r="L89" i="2"/>
  <c r="L85" i="2"/>
  <c r="L87" i="2" s="1"/>
  <c r="J50" i="2"/>
  <c r="J54" i="2" s="1"/>
  <c r="J56" i="2" s="1"/>
  <c r="J82" i="2" s="1"/>
  <c r="J84" i="2" s="1"/>
  <c r="E85" i="2"/>
  <c r="P74" i="2"/>
  <c r="E32" i="3"/>
  <c r="E7" i="3"/>
  <c r="E80" i="3"/>
  <c r="E89" i="3"/>
  <c r="E85" i="3"/>
  <c r="E87" i="3" s="1"/>
  <c r="F63" i="3"/>
  <c r="M89" i="3"/>
  <c r="M85" i="3"/>
  <c r="M87" i="3" s="1"/>
  <c r="Q85" i="3"/>
  <c r="Q87" i="3" s="1"/>
  <c r="E22" i="3"/>
  <c r="E61" i="3"/>
  <c r="Q63" i="3"/>
  <c r="P89" i="3"/>
  <c r="J85" i="3"/>
  <c r="J87" i="3" s="1"/>
  <c r="E95" i="3"/>
  <c r="G49" i="4"/>
  <c r="G50" i="4"/>
  <c r="G54" i="4" s="1"/>
  <c r="G56" i="4" s="1"/>
  <c r="G82" i="4" s="1"/>
  <c r="G84" i="4" s="1"/>
  <c r="G47" i="4"/>
  <c r="O49" i="4"/>
  <c r="O50" i="4"/>
  <c r="O54" i="4" s="1"/>
  <c r="O56" i="4" s="1"/>
  <c r="O82" i="4" s="1"/>
  <c r="O84" i="4" s="1"/>
  <c r="O48" i="4"/>
  <c r="O47" i="4"/>
  <c r="D46" i="5"/>
  <c r="D91" i="5" s="1"/>
  <c r="D90" i="5" s="1"/>
  <c r="D47" i="5"/>
  <c r="L46" i="5"/>
  <c r="L91" i="5" s="1"/>
  <c r="L90" i="5" s="1"/>
  <c r="L48" i="5"/>
  <c r="L68" i="5" s="1"/>
  <c r="G46" i="5"/>
  <c r="G91" i="5" s="1"/>
  <c r="G90" i="5" s="1"/>
  <c r="E127" i="5"/>
  <c r="E129" i="5" s="1"/>
  <c r="K131" i="5"/>
  <c r="P125" i="6"/>
  <c r="E137" i="7"/>
  <c r="G47" i="3"/>
  <c r="F48" i="3"/>
  <c r="K74" i="4"/>
  <c r="L116" i="5"/>
  <c r="N127" i="5" s="1"/>
  <c r="N129" i="5" s="1"/>
  <c r="D131" i="6"/>
  <c r="D127" i="6"/>
  <c r="D129" i="6" s="1"/>
  <c r="I111" i="6"/>
  <c r="I110" i="6" s="1"/>
  <c r="I46" i="6"/>
  <c r="I91" i="6" s="1"/>
  <c r="I90" i="6" s="1"/>
  <c r="I77" i="6"/>
  <c r="I125" i="6" s="1"/>
  <c r="Q111" i="6"/>
  <c r="Q110" i="6" s="1"/>
  <c r="Q91" i="6"/>
  <c r="Q90" i="6" s="1"/>
  <c r="Q77" i="6"/>
  <c r="Q47" i="6"/>
  <c r="E69" i="6"/>
  <c r="O46" i="7"/>
  <c r="O91" i="7" s="1"/>
  <c r="O90" i="7" s="1"/>
  <c r="O95" i="7" s="1"/>
  <c r="G85" i="8"/>
  <c r="F96" i="8"/>
  <c r="O85" i="8"/>
  <c r="N96" i="8"/>
  <c r="N95" i="8" s="1"/>
  <c r="N98" i="8" s="1"/>
  <c r="J71" i="8"/>
  <c r="J72" i="8"/>
  <c r="J76" i="8" s="1"/>
  <c r="J69" i="8"/>
  <c r="J70" i="8"/>
  <c r="E95" i="8"/>
  <c r="E98" i="8" s="1"/>
  <c r="G131" i="9"/>
  <c r="G48" i="3"/>
  <c r="E47" i="4"/>
  <c r="E48" i="4"/>
  <c r="E49" i="4"/>
  <c r="M47" i="4"/>
  <c r="M48" i="4"/>
  <c r="M49" i="4"/>
  <c r="E131" i="6"/>
  <c r="E127" i="6"/>
  <c r="E129" i="6" s="1"/>
  <c r="E115" i="6"/>
  <c r="M131" i="6"/>
  <c r="J77" i="6"/>
  <c r="J125" i="6" s="1"/>
  <c r="J46" i="6"/>
  <c r="J91" i="6" s="1"/>
  <c r="J90" i="6" s="1"/>
  <c r="D71" i="6"/>
  <c r="D72" i="6"/>
  <c r="D76" i="6" s="1"/>
  <c r="D78" i="6" s="1"/>
  <c r="D124" i="6" s="1"/>
  <c r="D126" i="6" s="1"/>
  <c r="D130" i="6" s="1"/>
  <c r="G78" i="6"/>
  <c r="G124" i="6" s="1"/>
  <c r="G126" i="6" s="1"/>
  <c r="E118" i="6"/>
  <c r="D69" i="7"/>
  <c r="D70" i="7"/>
  <c r="D71" i="7"/>
  <c r="D72" i="7"/>
  <c r="D76" i="7" s="1"/>
  <c r="H85" i="8"/>
  <c r="G96" i="8"/>
  <c r="P85" i="8"/>
  <c r="O96" i="8"/>
  <c r="I77" i="10"/>
  <c r="I125" i="10" s="1"/>
  <c r="I111" i="10"/>
  <c r="I110" i="10" s="1"/>
  <c r="Q77" i="10"/>
  <c r="Q125" i="10" s="1"/>
  <c r="Q111" i="10"/>
  <c r="Q110" i="10" s="1"/>
  <c r="Q47" i="10"/>
  <c r="J63" i="3"/>
  <c r="J73" i="3" s="1"/>
  <c r="I73" i="3"/>
  <c r="I76" i="3" s="1"/>
  <c r="H85" i="3"/>
  <c r="H87" i="3" s="1"/>
  <c r="F48" i="4"/>
  <c r="F49" i="4"/>
  <c r="F50" i="4"/>
  <c r="F54" i="4" s="1"/>
  <c r="F56" i="4" s="1"/>
  <c r="F82" i="4" s="1"/>
  <c r="F84" i="4" s="1"/>
  <c r="N48" i="4"/>
  <c r="N49" i="4"/>
  <c r="N50" i="4"/>
  <c r="N54" i="4" s="1"/>
  <c r="N56" i="4" s="1"/>
  <c r="N82" i="4" s="1"/>
  <c r="N84" i="4" s="1"/>
  <c r="E105" i="5"/>
  <c r="E115" i="5" s="1"/>
  <c r="D116" i="5"/>
  <c r="N70" i="5"/>
  <c r="N72" i="5"/>
  <c r="N76" i="5" s="1"/>
  <c r="N78" i="5" s="1"/>
  <c r="N124" i="5" s="1"/>
  <c r="N126" i="5" s="1"/>
  <c r="N71" i="5"/>
  <c r="K77" i="6"/>
  <c r="K125" i="6" s="1"/>
  <c r="K46" i="6"/>
  <c r="K91" i="6" s="1"/>
  <c r="K90" i="6" s="1"/>
  <c r="F105" i="6"/>
  <c r="E48" i="7"/>
  <c r="E68" i="7" s="1"/>
  <c r="M111" i="7"/>
  <c r="M110" i="7" s="1"/>
  <c r="M115" i="7" s="1"/>
  <c r="M77" i="7"/>
  <c r="M125" i="7" s="1"/>
  <c r="M127" i="7" s="1"/>
  <c r="M129" i="7" s="1"/>
  <c r="D71" i="8"/>
  <c r="D70" i="8"/>
  <c r="L69" i="8"/>
  <c r="L71" i="8"/>
  <c r="L72" i="8"/>
  <c r="L76" i="8" s="1"/>
  <c r="L70" i="8"/>
  <c r="I47" i="10"/>
  <c r="J48" i="3"/>
  <c r="G131" i="5"/>
  <c r="M115" i="5"/>
  <c r="M118" i="5" s="1"/>
  <c r="M127" i="5"/>
  <c r="M129" i="5" s="1"/>
  <c r="M96" i="6"/>
  <c r="F77" i="7"/>
  <c r="F125" i="7" s="1"/>
  <c r="F127" i="7" s="1"/>
  <c r="F129" i="7" s="1"/>
  <c r="F111" i="7"/>
  <c r="F110" i="7" s="1"/>
  <c r="N77" i="7"/>
  <c r="N125" i="7" s="1"/>
  <c r="F72" i="10"/>
  <c r="F76" i="10" s="1"/>
  <c r="F70" i="10"/>
  <c r="F69" i="10"/>
  <c r="F71" i="10"/>
  <c r="E161" i="5"/>
  <c r="E7" i="5"/>
  <c r="E54" i="5"/>
  <c r="M131" i="5"/>
  <c r="G127" i="6"/>
  <c r="G129" i="6" s="1"/>
  <c r="F111" i="6"/>
  <c r="F110" i="6" s="1"/>
  <c r="F46" i="6"/>
  <c r="F91" i="6" s="1"/>
  <c r="F90" i="6" s="1"/>
  <c r="N111" i="6"/>
  <c r="N110" i="6" s="1"/>
  <c r="N47" i="6"/>
  <c r="N46" i="6"/>
  <c r="N91" i="6" s="1"/>
  <c r="N90" i="6" s="1"/>
  <c r="P69" i="6"/>
  <c r="P70" i="6"/>
  <c r="N96" i="6"/>
  <c r="H116" i="7"/>
  <c r="I105" i="7"/>
  <c r="G116" i="7"/>
  <c r="F105" i="8"/>
  <c r="E116" i="8"/>
  <c r="H111" i="8"/>
  <c r="H110" i="8" s="1"/>
  <c r="H47" i="8"/>
  <c r="H77" i="8"/>
  <c r="H125" i="8" s="1"/>
  <c r="H127" i="8" s="1"/>
  <c r="H129" i="8" s="1"/>
  <c r="P111" i="8"/>
  <c r="P110" i="8" s="1"/>
  <c r="P77" i="8"/>
  <c r="P125" i="8" s="1"/>
  <c r="M78" i="8"/>
  <c r="M124" i="8" s="1"/>
  <c r="M126" i="8" s="1"/>
  <c r="H115" i="8"/>
  <c r="H118" i="8" s="1"/>
  <c r="L105" i="9"/>
  <c r="K116" i="9"/>
  <c r="F122" i="5"/>
  <c r="I131" i="5"/>
  <c r="I127" i="5"/>
  <c r="I129" i="5" s="1"/>
  <c r="E83" i="5"/>
  <c r="P105" i="5"/>
  <c r="H116" i="6"/>
  <c r="I105" i="6"/>
  <c r="H69" i="6"/>
  <c r="H70" i="6"/>
  <c r="H71" i="6"/>
  <c r="I127" i="6"/>
  <c r="I129" i="6" s="1"/>
  <c r="D95" i="7"/>
  <c r="L96" i="7"/>
  <c r="L95" i="7" s="1"/>
  <c r="L98" i="7" s="1"/>
  <c r="M85" i="7"/>
  <c r="F48" i="7"/>
  <c r="F68" i="7" s="1"/>
  <c r="N111" i="7"/>
  <c r="N110" i="7" s="1"/>
  <c r="Q91" i="5"/>
  <c r="Q90" i="5" s="1"/>
  <c r="D71" i="5"/>
  <c r="D96" i="5"/>
  <c r="L96" i="5"/>
  <c r="L48" i="6"/>
  <c r="L68" i="6" s="1"/>
  <c r="Q71" i="6"/>
  <c r="I96" i="6"/>
  <c r="M111" i="6"/>
  <c r="M110" i="6" s="1"/>
  <c r="Q131" i="7"/>
  <c r="O71" i="7"/>
  <c r="J116" i="7"/>
  <c r="J96" i="8"/>
  <c r="K85" i="8"/>
  <c r="K95" i="8" s="1"/>
  <c r="K116" i="8"/>
  <c r="L105" i="8"/>
  <c r="F127" i="8"/>
  <c r="F129" i="8" s="1"/>
  <c r="Q45" i="9"/>
  <c r="Q46" i="9"/>
  <c r="Q91" i="9" s="1"/>
  <c r="Q90" i="9" s="1"/>
  <c r="J69" i="9"/>
  <c r="J71" i="9"/>
  <c r="J72" i="9"/>
  <c r="J76" i="9" s="1"/>
  <c r="J70" i="9"/>
  <c r="K69" i="10"/>
  <c r="K71" i="10"/>
  <c r="K70" i="10"/>
  <c r="K72" i="10"/>
  <c r="K76" i="10" s="1"/>
  <c r="E22" i="6"/>
  <c r="G46" i="6"/>
  <c r="G91" i="6" s="1"/>
  <c r="G90" i="6" s="1"/>
  <c r="E66" i="6"/>
  <c r="E83" i="6"/>
  <c r="D111" i="6"/>
  <c r="D110" i="6" s="1"/>
  <c r="D115" i="6" s="1"/>
  <c r="E83" i="8"/>
  <c r="E66" i="8"/>
  <c r="E103" i="8"/>
  <c r="E122" i="8"/>
  <c r="F3" i="8"/>
  <c r="E22" i="8"/>
  <c r="E137" i="8"/>
  <c r="E37" i="8"/>
  <c r="E7" i="8"/>
  <c r="E54" i="8"/>
  <c r="F131" i="8"/>
  <c r="E161" i="8"/>
  <c r="D96" i="9"/>
  <c r="D95" i="9" s="1"/>
  <c r="E85" i="9"/>
  <c r="L95" i="9"/>
  <c r="L98" i="9" s="1"/>
  <c r="H69" i="9"/>
  <c r="H70" i="9"/>
  <c r="H72" i="9"/>
  <c r="H76" i="9" s="1"/>
  <c r="H78" i="9" s="1"/>
  <c r="H124" i="9" s="1"/>
  <c r="H126" i="9" s="1"/>
  <c r="H71" i="9"/>
  <c r="E37" i="6"/>
  <c r="E54" i="6"/>
  <c r="E122" i="6"/>
  <c r="D131" i="7"/>
  <c r="D111" i="7"/>
  <c r="D110" i="7" s="1"/>
  <c r="D115" i="7" s="1"/>
  <c r="D77" i="7"/>
  <c r="D125" i="7" s="1"/>
  <c r="D127" i="7" s="1"/>
  <c r="D129" i="7" s="1"/>
  <c r="L111" i="7"/>
  <c r="L110" i="7" s="1"/>
  <c r="L77" i="7"/>
  <c r="L125" i="7" s="1"/>
  <c r="L127" i="7" s="1"/>
  <c r="L129" i="7" s="1"/>
  <c r="I131" i="8"/>
  <c r="I47" i="8"/>
  <c r="I77" i="8"/>
  <c r="I125" i="8" s="1"/>
  <c r="Q77" i="8"/>
  <c r="Q47" i="8"/>
  <c r="M96" i="8"/>
  <c r="D131" i="9"/>
  <c r="O72" i="10"/>
  <c r="O76" i="10" s="1"/>
  <c r="O69" i="10"/>
  <c r="O71" i="10"/>
  <c r="O70" i="10"/>
  <c r="I78" i="10"/>
  <c r="I124" i="10" s="1"/>
  <c r="I126" i="10" s="1"/>
  <c r="E105" i="7"/>
  <c r="L96" i="8"/>
  <c r="L95" i="8" s="1"/>
  <c r="L98" i="8" s="1"/>
  <c r="M85" i="8"/>
  <c r="J77" i="8"/>
  <c r="J125" i="8" s="1"/>
  <c r="J111" i="8"/>
  <c r="J110" i="8" s="1"/>
  <c r="H69" i="8"/>
  <c r="H70" i="8"/>
  <c r="P69" i="8"/>
  <c r="P70" i="8"/>
  <c r="P72" i="8"/>
  <c r="P76" i="8" s="1"/>
  <c r="H72" i="8"/>
  <c r="H76" i="8" s="1"/>
  <c r="E72" i="9"/>
  <c r="E76" i="9" s="1"/>
  <c r="E78" i="9" s="1"/>
  <c r="E124" i="9" s="1"/>
  <c r="E126" i="9" s="1"/>
  <c r="E69" i="9"/>
  <c r="E70" i="9"/>
  <c r="I105" i="10"/>
  <c r="H116" i="10"/>
  <c r="Q105" i="10"/>
  <c r="P116" i="10"/>
  <c r="D70" i="10"/>
  <c r="D72" i="10"/>
  <c r="D76" i="10" s="1"/>
  <c r="D78" i="10" s="1"/>
  <c r="D124" i="10" s="1"/>
  <c r="D126" i="10" s="1"/>
  <c r="D71" i="10"/>
  <c r="D69" i="10"/>
  <c r="F105" i="7"/>
  <c r="N105" i="7"/>
  <c r="Q105" i="8"/>
  <c r="P116" i="8"/>
  <c r="F47" i="9"/>
  <c r="F111" i="9"/>
  <c r="F110" i="9" s="1"/>
  <c r="F115" i="9" s="1"/>
  <c r="N111" i="9"/>
  <c r="N110" i="9" s="1"/>
  <c r="N77" i="9"/>
  <c r="N125" i="9" s="1"/>
  <c r="E71" i="10"/>
  <c r="E69" i="10"/>
  <c r="E72" i="10"/>
  <c r="E76" i="10" s="1"/>
  <c r="Q69" i="10"/>
  <c r="Q71" i="10"/>
  <c r="Q70" i="10"/>
  <c r="Q72" i="10"/>
  <c r="Q76" i="10" s="1"/>
  <c r="D127" i="10"/>
  <c r="D129" i="10" s="1"/>
  <c r="D131" i="10"/>
  <c r="O77" i="8"/>
  <c r="O125" i="8" s="1"/>
  <c r="J85" i="8"/>
  <c r="F131" i="9"/>
  <c r="F127" i="9"/>
  <c r="F129" i="9" s="1"/>
  <c r="N116" i="9"/>
  <c r="O105" i="9"/>
  <c r="D77" i="9"/>
  <c r="D125" i="9" s="1"/>
  <c r="D127" i="9" s="1"/>
  <c r="D129" i="9" s="1"/>
  <c r="D47" i="9"/>
  <c r="D111" i="9"/>
  <c r="D110" i="9" s="1"/>
  <c r="D115" i="9" s="1"/>
  <c r="K70" i="9"/>
  <c r="K72" i="9"/>
  <c r="K76" i="9" s="1"/>
  <c r="K78" i="9" s="1"/>
  <c r="K124" i="9" s="1"/>
  <c r="K126" i="9" s="1"/>
  <c r="K71" i="9"/>
  <c r="Q85" i="9"/>
  <c r="E111" i="9"/>
  <c r="E110" i="9" s="1"/>
  <c r="J96" i="10"/>
  <c r="J95" i="10" s="1"/>
  <c r="K85" i="10"/>
  <c r="G71" i="10"/>
  <c r="G69" i="10"/>
  <c r="G72" i="10"/>
  <c r="G76" i="10" s="1"/>
  <c r="G78" i="10" s="1"/>
  <c r="G124" i="10" s="1"/>
  <c r="G126" i="10" s="1"/>
  <c r="G70" i="10"/>
  <c r="M111" i="9"/>
  <c r="M110" i="9" s="1"/>
  <c r="M115" i="9" s="1"/>
  <c r="L71" i="9"/>
  <c r="Q70" i="9"/>
  <c r="P69" i="9"/>
  <c r="Q71" i="9"/>
  <c r="P70" i="9"/>
  <c r="O69" i="9"/>
  <c r="N71" i="9"/>
  <c r="O70" i="9"/>
  <c r="N70" i="9"/>
  <c r="Q69" i="9"/>
  <c r="N69" i="9"/>
  <c r="O72" i="9"/>
  <c r="O76" i="9" s="1"/>
  <c r="D131" i="8"/>
  <c r="L131" i="8"/>
  <c r="I70" i="8"/>
  <c r="I71" i="8"/>
  <c r="Q70" i="8"/>
  <c r="Q71" i="8"/>
  <c r="I72" i="8"/>
  <c r="I76" i="8" s="1"/>
  <c r="F137" i="9"/>
  <c r="F54" i="9"/>
  <c r="F103" i="9"/>
  <c r="F37" i="9"/>
  <c r="F7" i="9"/>
  <c r="F66" i="9"/>
  <c r="F22" i="9"/>
  <c r="G3" i="9"/>
  <c r="G111" i="9"/>
  <c r="G110" i="9" s="1"/>
  <c r="G115" i="9" s="1"/>
  <c r="G47" i="9"/>
  <c r="O111" i="9"/>
  <c r="O110" i="9" s="1"/>
  <c r="O77" i="9"/>
  <c r="O125" i="9" s="1"/>
  <c r="G77" i="9"/>
  <c r="G125" i="9" s="1"/>
  <c r="G127" i="9" s="1"/>
  <c r="G129" i="9" s="1"/>
  <c r="E127" i="9"/>
  <c r="E129" i="9" s="1"/>
  <c r="F161" i="9"/>
  <c r="I116" i="10"/>
  <c r="J105" i="10"/>
  <c r="G111" i="10"/>
  <c r="G110" i="10" s="1"/>
  <c r="G77" i="10"/>
  <c r="G125" i="10" s="1"/>
  <c r="O111" i="10"/>
  <c r="O110" i="10" s="1"/>
  <c r="O47" i="10"/>
  <c r="O77" i="10"/>
  <c r="O125" i="10" s="1"/>
  <c r="L85" i="10"/>
  <c r="K96" i="10"/>
  <c r="J98" i="10"/>
  <c r="M127" i="9"/>
  <c r="M129" i="9" s="1"/>
  <c r="E85" i="10"/>
  <c r="E95" i="10" s="1"/>
  <c r="D96" i="10"/>
  <c r="D95" i="10" s="1"/>
  <c r="J111" i="9"/>
  <c r="J110" i="9" s="1"/>
  <c r="J77" i="9"/>
  <c r="J125" i="9" s="1"/>
  <c r="D70" i="9"/>
  <c r="I71" i="9"/>
  <c r="I96" i="9"/>
  <c r="E122" i="10"/>
  <c r="E83" i="10"/>
  <c r="E22" i="10"/>
  <c r="E137" i="10"/>
  <c r="E7" i="10"/>
  <c r="E103" i="10"/>
  <c r="N85" i="10"/>
  <c r="M96" i="10"/>
  <c r="M95" i="10" s="1"/>
  <c r="M98" i="10" s="1"/>
  <c r="J127" i="10"/>
  <c r="J129" i="10" s="1"/>
  <c r="K77" i="10"/>
  <c r="K125" i="10" s="1"/>
  <c r="E7" i="9"/>
  <c r="P47" i="9"/>
  <c r="E66" i="9"/>
  <c r="E83" i="9"/>
  <c r="F3" i="10"/>
  <c r="D111" i="10"/>
  <c r="D110" i="10" s="1"/>
  <c r="D115" i="10" s="1"/>
  <c r="D47" i="10"/>
  <c r="L111" i="10"/>
  <c r="L110" i="10" s="1"/>
  <c r="L48" i="10"/>
  <c r="L68" i="10" s="1"/>
  <c r="L77" i="10"/>
  <c r="L125" i="10" s="1"/>
  <c r="F85" i="10"/>
  <c r="O131" i="10"/>
  <c r="H96" i="10"/>
  <c r="H95" i="10" s="1"/>
  <c r="H98" i="10" s="1"/>
  <c r="I85" i="10"/>
  <c r="I95" i="10" s="1"/>
  <c r="N72" i="10"/>
  <c r="N76" i="10" s="1"/>
  <c r="N71" i="10"/>
  <c r="N70" i="10"/>
  <c r="P96" i="10"/>
  <c r="G85" i="10"/>
  <c r="G95" i="10" s="1"/>
  <c r="F96" i="10"/>
  <c r="O85" i="10"/>
  <c r="O95" i="10" s="1"/>
  <c r="N96" i="10"/>
  <c r="K116" i="10"/>
  <c r="L105" i="10"/>
  <c r="E111" i="10"/>
  <c r="E110" i="10" s="1"/>
  <c r="E77" i="10"/>
  <c r="E125" i="10" s="1"/>
  <c r="N111" i="10"/>
  <c r="N110" i="10" s="1"/>
  <c r="N77" i="10"/>
  <c r="N125" i="10" s="1"/>
  <c r="M77" i="10"/>
  <c r="M125" i="10" s="1"/>
  <c r="L116" i="10"/>
  <c r="N116" i="10"/>
  <c r="O105" i="10"/>
  <c r="O115" i="10" s="1"/>
  <c r="E47" i="10"/>
  <c r="F111" i="10"/>
  <c r="F110" i="10" s="1"/>
  <c r="E127" i="10"/>
  <c r="E129" i="10" s="1"/>
  <c r="P47" i="10"/>
  <c r="J48" i="10"/>
  <c r="J68" i="10" s="1"/>
  <c r="F105" i="10"/>
  <c r="M116" i="10"/>
  <c r="F61" i="2" l="1"/>
  <c r="T85" i="2"/>
  <c r="F95" i="2"/>
  <c r="F80" i="2"/>
  <c r="I73" i="2"/>
  <c r="I76" i="2" s="1"/>
  <c r="J127" i="9"/>
  <c r="J129" i="9" s="1"/>
  <c r="J115" i="9"/>
  <c r="L78" i="9"/>
  <c r="L124" i="9" s="1"/>
  <c r="L126" i="9" s="1"/>
  <c r="L130" i="9" s="1"/>
  <c r="L127" i="9"/>
  <c r="L129" i="9" s="1"/>
  <c r="O78" i="9"/>
  <c r="O124" i="9" s="1"/>
  <c r="O126" i="9" s="1"/>
  <c r="H127" i="9"/>
  <c r="H129" i="9" s="1"/>
  <c r="K95" i="9"/>
  <c r="P76" i="6"/>
  <c r="P76" i="5"/>
  <c r="P78" i="5" s="1"/>
  <c r="P124" i="5" s="1"/>
  <c r="P126" i="5" s="1"/>
  <c r="T127" i="10"/>
  <c r="L78" i="8"/>
  <c r="L124" i="8" s="1"/>
  <c r="L126" i="8" s="1"/>
  <c r="G95" i="8"/>
  <c r="K69" i="8"/>
  <c r="D78" i="8"/>
  <c r="D124" i="8" s="1"/>
  <c r="D126" i="8" s="1"/>
  <c r="D130" i="8" s="1"/>
  <c r="N127" i="8"/>
  <c r="N129" i="8" s="1"/>
  <c r="P98" i="7"/>
  <c r="E77" i="7"/>
  <c r="E125" i="7" s="1"/>
  <c r="E127" i="7" s="1"/>
  <c r="E129" i="7" s="1"/>
  <c r="P95" i="7"/>
  <c r="J111" i="7"/>
  <c r="J110" i="7" s="1"/>
  <c r="J115" i="7" s="1"/>
  <c r="J118" i="7" s="1"/>
  <c r="I115" i="7"/>
  <c r="O98" i="7"/>
  <c r="Q127" i="5"/>
  <c r="Q129" i="5" s="1"/>
  <c r="Q95" i="5"/>
  <c r="J130" i="5"/>
  <c r="T127" i="5"/>
  <c r="T129" i="5" s="1"/>
  <c r="T130" i="5" s="1"/>
  <c r="T132" i="5" s="1"/>
  <c r="K130" i="5"/>
  <c r="J73" i="4"/>
  <c r="J76" i="4" s="1"/>
  <c r="G7" i="3"/>
  <c r="F119" i="3"/>
  <c r="G22" i="3"/>
  <c r="G119" i="3"/>
  <c r="F22" i="3"/>
  <c r="F61" i="3"/>
  <c r="N88" i="3"/>
  <c r="N90" i="3" s="1"/>
  <c r="H3" i="3"/>
  <c r="H44" i="3" s="1"/>
  <c r="G95" i="3"/>
  <c r="F44" i="3"/>
  <c r="G32" i="3"/>
  <c r="K88" i="3"/>
  <c r="K90" i="3" s="1"/>
  <c r="F80" i="3"/>
  <c r="F95" i="3"/>
  <c r="I88" i="3"/>
  <c r="J88" i="2"/>
  <c r="J90" i="2" s="1"/>
  <c r="F22" i="2"/>
  <c r="M95" i="6"/>
  <c r="N115" i="6"/>
  <c r="G130" i="6"/>
  <c r="G151" i="6" s="1"/>
  <c r="H139" i="6" s="1"/>
  <c r="K78" i="6"/>
  <c r="K124" i="6" s="1"/>
  <c r="K126" i="6" s="1"/>
  <c r="F95" i="6"/>
  <c r="M72" i="6"/>
  <c r="M76" i="6" s="1"/>
  <c r="M78" i="6" s="1"/>
  <c r="M124" i="6" s="1"/>
  <c r="M126" i="6" s="1"/>
  <c r="G115" i="6"/>
  <c r="G118" i="6" s="1"/>
  <c r="M69" i="10"/>
  <c r="M71" i="10"/>
  <c r="T129" i="10"/>
  <c r="T130" i="10" s="1"/>
  <c r="M70" i="10"/>
  <c r="T87" i="4"/>
  <c r="T88" i="4"/>
  <c r="T87" i="3"/>
  <c r="T88" i="3" s="1"/>
  <c r="F98" i="6"/>
  <c r="G88" i="3"/>
  <c r="P95" i="8"/>
  <c r="P98" i="8" s="1"/>
  <c r="L131" i="9"/>
  <c r="M71" i="8"/>
  <c r="I115" i="6"/>
  <c r="F95" i="8"/>
  <c r="F98" i="8" s="1"/>
  <c r="E85" i="4"/>
  <c r="E87" i="4" s="1"/>
  <c r="K69" i="5"/>
  <c r="H69" i="7"/>
  <c r="R47" i="7"/>
  <c r="H73" i="4"/>
  <c r="H76" i="4" s="1"/>
  <c r="I48" i="7"/>
  <c r="I68" i="7" s="1"/>
  <c r="I71" i="7" s="1"/>
  <c r="E78" i="8"/>
  <c r="E124" i="8" s="1"/>
  <c r="E126" i="8" s="1"/>
  <c r="S127" i="10"/>
  <c r="S129" i="10" s="1"/>
  <c r="S130" i="10" s="1"/>
  <c r="M130" i="8"/>
  <c r="D88" i="3"/>
  <c r="D90" i="3" s="1"/>
  <c r="S127" i="5"/>
  <c r="S129" i="5" s="1"/>
  <c r="S130" i="5" s="1"/>
  <c r="F127" i="10"/>
  <c r="F129" i="10" s="1"/>
  <c r="P95" i="10"/>
  <c r="P98" i="10" s="1"/>
  <c r="L115" i="9"/>
  <c r="F78" i="8"/>
  <c r="F124" i="8" s="1"/>
  <c r="F126" i="8" s="1"/>
  <c r="F130" i="8" s="1"/>
  <c r="F132" i="8" s="1"/>
  <c r="S85" i="2"/>
  <c r="S87" i="2" s="1"/>
  <c r="S88" i="2" s="1"/>
  <c r="L88" i="3"/>
  <c r="L109" i="3" s="1"/>
  <c r="M97" i="3" s="1"/>
  <c r="M85" i="2"/>
  <c r="M87" i="2" s="1"/>
  <c r="P77" i="7"/>
  <c r="P125" i="7" s="1"/>
  <c r="H95" i="8"/>
  <c r="J95" i="7"/>
  <c r="J98" i="7" s="1"/>
  <c r="K111" i="7"/>
  <c r="K110" i="7" s="1"/>
  <c r="K115" i="7" s="1"/>
  <c r="K118" i="7" s="1"/>
  <c r="K77" i="7"/>
  <c r="K125" i="7" s="1"/>
  <c r="K127" i="7" s="1"/>
  <c r="K129" i="7" s="1"/>
  <c r="K48" i="7"/>
  <c r="K68" i="7" s="1"/>
  <c r="F32" i="2"/>
  <c r="F44" i="2"/>
  <c r="G3" i="2"/>
  <c r="F7" i="2"/>
  <c r="J115" i="8"/>
  <c r="Q95" i="8"/>
  <c r="Q98" i="8" s="1"/>
  <c r="M118" i="9"/>
  <c r="G48" i="7"/>
  <c r="G68" i="7" s="1"/>
  <c r="G111" i="7"/>
  <c r="G110" i="7" s="1"/>
  <c r="G115" i="7" s="1"/>
  <c r="G118" i="7" s="1"/>
  <c r="G77" i="7"/>
  <c r="G125" i="7" s="1"/>
  <c r="S47" i="7"/>
  <c r="S111" i="7"/>
  <c r="S110" i="7" s="1"/>
  <c r="S115" i="7" s="1"/>
  <c r="S118" i="7" s="1"/>
  <c r="S77" i="7"/>
  <c r="S109" i="4"/>
  <c r="T97" i="4" s="1"/>
  <c r="S90" i="4"/>
  <c r="S109" i="3"/>
  <c r="T97" i="3" s="1"/>
  <c r="Q118" i="7"/>
  <c r="M130" i="6"/>
  <c r="M132" i="6" s="1"/>
  <c r="E88" i="3"/>
  <c r="E90" i="3" s="1"/>
  <c r="R125" i="7"/>
  <c r="R78" i="7"/>
  <c r="R124" i="7" s="1"/>
  <c r="H78" i="10"/>
  <c r="H124" i="10" s="1"/>
  <c r="H126" i="10" s="1"/>
  <c r="H130" i="9"/>
  <c r="R127" i="10"/>
  <c r="R129" i="10" s="1"/>
  <c r="R130" i="10" s="1"/>
  <c r="R151" i="10" s="1"/>
  <c r="S139" i="10" s="1"/>
  <c r="E130" i="6"/>
  <c r="E132" i="6" s="1"/>
  <c r="H73" i="2"/>
  <c r="H76" i="2" s="1"/>
  <c r="R85" i="2"/>
  <c r="R87" i="2" s="1"/>
  <c r="R88" i="2" s="1"/>
  <c r="J69" i="7"/>
  <c r="J70" i="7"/>
  <c r="J72" i="7"/>
  <c r="J76" i="7" s="1"/>
  <c r="J78" i="7" s="1"/>
  <c r="J124" i="7" s="1"/>
  <c r="J126" i="7" s="1"/>
  <c r="J71" i="7"/>
  <c r="G127" i="8"/>
  <c r="G129" i="8" s="1"/>
  <c r="N127" i="9"/>
  <c r="N129" i="9" s="1"/>
  <c r="G118" i="9"/>
  <c r="I85" i="4"/>
  <c r="I87" i="4" s="1"/>
  <c r="F103" i="5"/>
  <c r="F22" i="5"/>
  <c r="F66" i="5"/>
  <c r="G3" i="5"/>
  <c r="F137" i="5"/>
  <c r="F83" i="5"/>
  <c r="F161" i="5"/>
  <c r="K95" i="6"/>
  <c r="K98" i="6" s="1"/>
  <c r="E78" i="10"/>
  <c r="E124" i="10" s="1"/>
  <c r="E126" i="10" s="1"/>
  <c r="E130" i="10" s="1"/>
  <c r="M118" i="8"/>
  <c r="D130" i="10"/>
  <c r="E130" i="9"/>
  <c r="E132" i="9" s="1"/>
  <c r="J127" i="8"/>
  <c r="J129" i="8" s="1"/>
  <c r="F7" i="5"/>
  <c r="I115" i="9"/>
  <c r="I118" i="9" s="1"/>
  <c r="H131" i="9"/>
  <c r="H132" i="9" s="1"/>
  <c r="G98" i="7"/>
  <c r="M71" i="6"/>
  <c r="H78" i="6"/>
  <c r="H124" i="6" s="1"/>
  <c r="H126" i="6" s="1"/>
  <c r="E95" i="9"/>
  <c r="E98" i="9" s="1"/>
  <c r="H88" i="2"/>
  <c r="H109" i="2" s="1"/>
  <c r="I97" i="2" s="1"/>
  <c r="G78" i="8"/>
  <c r="G124" i="8" s="1"/>
  <c r="G126" i="8" s="1"/>
  <c r="F130" i="6"/>
  <c r="R127" i="5"/>
  <c r="R129" i="5" s="1"/>
  <c r="R130" i="5" s="1"/>
  <c r="K73" i="2"/>
  <c r="K76" i="2" s="1"/>
  <c r="G88" i="4"/>
  <c r="I131" i="9"/>
  <c r="H115" i="9"/>
  <c r="H118" i="9" s="1"/>
  <c r="F88" i="2"/>
  <c r="F90" i="2" s="1"/>
  <c r="Q78" i="7"/>
  <c r="Q124" i="7" s="1"/>
  <c r="Q126" i="7" s="1"/>
  <c r="I95" i="9"/>
  <c r="I98" i="9" s="1"/>
  <c r="K95" i="10"/>
  <c r="J131" i="8"/>
  <c r="I127" i="8"/>
  <c r="I129" i="8" s="1"/>
  <c r="M69" i="8"/>
  <c r="D95" i="5"/>
  <c r="F37" i="5"/>
  <c r="F78" i="10"/>
  <c r="F124" i="10" s="1"/>
  <c r="F126" i="10" s="1"/>
  <c r="K98" i="9"/>
  <c r="D78" i="7"/>
  <c r="D124" i="7" s="1"/>
  <c r="D126" i="7" s="1"/>
  <c r="D130" i="7" s="1"/>
  <c r="M70" i="6"/>
  <c r="J78" i="8"/>
  <c r="J124" i="8" s="1"/>
  <c r="J126" i="8" s="1"/>
  <c r="I95" i="7"/>
  <c r="I98" i="7" s="1"/>
  <c r="L95" i="6"/>
  <c r="L98" i="6" s="1"/>
  <c r="N78" i="8"/>
  <c r="N124" i="8" s="1"/>
  <c r="N126" i="8" s="1"/>
  <c r="N130" i="8" s="1"/>
  <c r="E95" i="5"/>
  <c r="E98" i="5" s="1"/>
  <c r="I70" i="7"/>
  <c r="I72" i="7"/>
  <c r="I76" i="7" s="1"/>
  <c r="I78" i="7" s="1"/>
  <c r="I124" i="7" s="1"/>
  <c r="I126" i="7" s="1"/>
  <c r="I130" i="7" s="1"/>
  <c r="I69" i="7"/>
  <c r="L76" i="2"/>
  <c r="O115" i="8"/>
  <c r="O118" i="8" s="1"/>
  <c r="G89" i="2"/>
  <c r="G85" i="2"/>
  <c r="G87" i="2" s="1"/>
  <c r="M118" i="7"/>
  <c r="H89" i="4"/>
  <c r="H85" i="4"/>
  <c r="H87" i="4" s="1"/>
  <c r="G130" i="10"/>
  <c r="G132" i="10" s="1"/>
  <c r="M115" i="6"/>
  <c r="M118" i="6" s="1"/>
  <c r="P127" i="5"/>
  <c r="P129" i="5" s="1"/>
  <c r="P130" i="5" s="1"/>
  <c r="I95" i="5"/>
  <c r="I98" i="5" s="1"/>
  <c r="F85" i="4"/>
  <c r="F87" i="4" s="1"/>
  <c r="F89" i="4"/>
  <c r="F115" i="10"/>
  <c r="F118" i="10" s="1"/>
  <c r="P127" i="8"/>
  <c r="P129" i="8" s="1"/>
  <c r="I89" i="4"/>
  <c r="F95" i="5"/>
  <c r="F98" i="5" s="1"/>
  <c r="L69" i="9"/>
  <c r="L70" i="9"/>
  <c r="H78" i="8"/>
  <c r="H124" i="8" s="1"/>
  <c r="H126" i="8" s="1"/>
  <c r="H130" i="8" s="1"/>
  <c r="H132" i="8" s="1"/>
  <c r="N95" i="10"/>
  <c r="N98" i="10" s="1"/>
  <c r="G127" i="10"/>
  <c r="G129" i="10" s="1"/>
  <c r="Q115" i="8"/>
  <c r="Q118" i="8" s="1"/>
  <c r="P78" i="8"/>
  <c r="P124" i="8" s="1"/>
  <c r="P126" i="8" s="1"/>
  <c r="M70" i="8"/>
  <c r="F54" i="5"/>
  <c r="G115" i="8"/>
  <c r="G118" i="8" s="1"/>
  <c r="Q115" i="5"/>
  <c r="Q118" i="5" s="1"/>
  <c r="G95" i="5"/>
  <c r="G98" i="5" s="1"/>
  <c r="Q89" i="2"/>
  <c r="R115" i="7"/>
  <c r="R118" i="7" s="1"/>
  <c r="N131" i="8"/>
  <c r="I126" i="9"/>
  <c r="P127" i="6"/>
  <c r="P129" i="6" s="1"/>
  <c r="P118" i="6"/>
  <c r="P78" i="9"/>
  <c r="P124" i="9" s="1"/>
  <c r="P126" i="9" s="1"/>
  <c r="P88" i="3"/>
  <c r="P109" i="3" s="1"/>
  <c r="Q97" i="3" s="1"/>
  <c r="R90" i="4"/>
  <c r="R109" i="4"/>
  <c r="S97" i="4" s="1"/>
  <c r="Q88" i="3"/>
  <c r="Q90" i="3" s="1"/>
  <c r="R87" i="3"/>
  <c r="R88" i="3" s="1"/>
  <c r="P115" i="10"/>
  <c r="P118" i="10" s="1"/>
  <c r="P131" i="10"/>
  <c r="L70" i="5"/>
  <c r="L71" i="5"/>
  <c r="L72" i="5"/>
  <c r="L76" i="5" s="1"/>
  <c r="L78" i="5" s="1"/>
  <c r="L124" i="5" s="1"/>
  <c r="L126" i="5" s="1"/>
  <c r="L69" i="5"/>
  <c r="L85" i="4"/>
  <c r="L87" i="4" s="1"/>
  <c r="L89" i="4"/>
  <c r="L73" i="4"/>
  <c r="L76" i="4" s="1"/>
  <c r="P85" i="4"/>
  <c r="P87" i="4" s="1"/>
  <c r="L71" i="6"/>
  <c r="L70" i="6"/>
  <c r="L69" i="6"/>
  <c r="L72" i="6"/>
  <c r="L76" i="6" s="1"/>
  <c r="L78" i="6" s="1"/>
  <c r="L124" i="6" s="1"/>
  <c r="L126" i="6" s="1"/>
  <c r="L130" i="6" s="1"/>
  <c r="H127" i="6"/>
  <c r="H129" i="6" s="1"/>
  <c r="H115" i="6"/>
  <c r="H118" i="6" s="1"/>
  <c r="H131" i="6"/>
  <c r="E73" i="3"/>
  <c r="E76" i="3" s="1"/>
  <c r="K88" i="2"/>
  <c r="J88" i="4"/>
  <c r="M127" i="10"/>
  <c r="M129" i="10" s="1"/>
  <c r="Q127" i="10"/>
  <c r="Q129" i="10" s="1"/>
  <c r="M115" i="10"/>
  <c r="M118" i="10" s="1"/>
  <c r="M131" i="10"/>
  <c r="K131" i="10"/>
  <c r="K127" i="10"/>
  <c r="K129" i="10" s="1"/>
  <c r="K115" i="10"/>
  <c r="K118" i="10" s="1"/>
  <c r="O127" i="10"/>
  <c r="O129" i="10" s="1"/>
  <c r="N78" i="10"/>
  <c r="N124" i="10" s="1"/>
  <c r="N126" i="10" s="1"/>
  <c r="J115" i="10"/>
  <c r="J118" i="10" s="1"/>
  <c r="E98" i="10"/>
  <c r="H131" i="10"/>
  <c r="H127" i="10"/>
  <c r="H115" i="10"/>
  <c r="H118" i="10" s="1"/>
  <c r="O78" i="10"/>
  <c r="O124" i="10" s="1"/>
  <c r="O126" i="10" s="1"/>
  <c r="G78" i="9"/>
  <c r="G124" i="9" s="1"/>
  <c r="G126" i="9" s="1"/>
  <c r="G130" i="9" s="1"/>
  <c r="J127" i="7"/>
  <c r="N127" i="7"/>
  <c r="N129" i="7" s="1"/>
  <c r="J131" i="7"/>
  <c r="N115" i="8"/>
  <c r="N118" i="8" s="1"/>
  <c r="P73" i="2"/>
  <c r="P76" i="2" s="1"/>
  <c r="P89" i="2"/>
  <c r="F54" i="7"/>
  <c r="F161" i="7"/>
  <c r="F122" i="7"/>
  <c r="F66" i="7"/>
  <c r="F37" i="7"/>
  <c r="F22" i="7"/>
  <c r="F83" i="7"/>
  <c r="G3" i="7"/>
  <c r="F137" i="7"/>
  <c r="F103" i="7"/>
  <c r="F7" i="7"/>
  <c r="M73" i="2"/>
  <c r="M76" i="2" s="1"/>
  <c r="N115" i="7"/>
  <c r="N118" i="7" s="1"/>
  <c r="N131" i="7"/>
  <c r="Q115" i="6"/>
  <c r="Q118" i="6" s="1"/>
  <c r="J78" i="6"/>
  <c r="J124" i="6" s="1"/>
  <c r="J126" i="6" s="1"/>
  <c r="N127" i="10"/>
  <c r="N129" i="10" s="1"/>
  <c r="M95" i="8"/>
  <c r="F130" i="9"/>
  <c r="E87" i="2"/>
  <c r="E88" i="2" s="1"/>
  <c r="E95" i="6"/>
  <c r="E98" i="6" s="1"/>
  <c r="K98" i="5"/>
  <c r="N85" i="2"/>
  <c r="M98" i="5"/>
  <c r="N78" i="7"/>
  <c r="N124" i="7" s="1"/>
  <c r="N126" i="7" s="1"/>
  <c r="J72" i="10"/>
  <c r="J76" i="10" s="1"/>
  <c r="J78" i="10" s="1"/>
  <c r="J124" i="10" s="1"/>
  <c r="J126" i="10" s="1"/>
  <c r="J130" i="10" s="1"/>
  <c r="J70" i="10"/>
  <c r="J71" i="10"/>
  <c r="J69" i="10"/>
  <c r="O98" i="10"/>
  <c r="I98" i="10"/>
  <c r="J118" i="9"/>
  <c r="G161" i="9"/>
  <c r="G83" i="9"/>
  <c r="G66" i="9"/>
  <c r="G7" i="9"/>
  <c r="G103" i="9"/>
  <c r="G137" i="9"/>
  <c r="G22" i="9"/>
  <c r="H3" i="9"/>
  <c r="G122" i="9"/>
  <c r="G37" i="9"/>
  <c r="G54" i="9"/>
  <c r="I78" i="8"/>
  <c r="I124" i="8" s="1"/>
  <c r="I126" i="8" s="1"/>
  <c r="K78" i="10"/>
  <c r="K124" i="10" s="1"/>
  <c r="K126" i="10" s="1"/>
  <c r="J78" i="9"/>
  <c r="J124" i="9" s="1"/>
  <c r="J126" i="9" s="1"/>
  <c r="J130" i="9" s="1"/>
  <c r="N78" i="9"/>
  <c r="N124" i="9" s="1"/>
  <c r="N126" i="9" s="1"/>
  <c r="M132" i="8"/>
  <c r="M151" i="8"/>
  <c r="N139" i="8" s="1"/>
  <c r="E131" i="8"/>
  <c r="E127" i="8"/>
  <c r="E115" i="8"/>
  <c r="E118" i="8" s="1"/>
  <c r="D115" i="5"/>
  <c r="D127" i="5"/>
  <c r="D131" i="5"/>
  <c r="O95" i="8"/>
  <c r="O98" i="8" s="1"/>
  <c r="Q130" i="5"/>
  <c r="P115" i="5"/>
  <c r="P118" i="5" s="1"/>
  <c r="J109" i="2"/>
  <c r="K97" i="2" s="1"/>
  <c r="J88" i="3"/>
  <c r="E73" i="4"/>
  <c r="E76" i="4" s="1"/>
  <c r="F73" i="3"/>
  <c r="F76" i="3" s="1"/>
  <c r="M69" i="5"/>
  <c r="M71" i="5"/>
  <c r="M72" i="5"/>
  <c r="M76" i="5" s="1"/>
  <c r="M78" i="5" s="1"/>
  <c r="M124" i="5" s="1"/>
  <c r="M126" i="5" s="1"/>
  <c r="M130" i="5" s="1"/>
  <c r="M70" i="5"/>
  <c r="G119" i="4"/>
  <c r="G95" i="4"/>
  <c r="G32" i="4"/>
  <c r="G22" i="4"/>
  <c r="G7" i="4"/>
  <c r="H3" i="4"/>
  <c r="G61" i="4"/>
  <c r="G44" i="4"/>
  <c r="G80" i="4"/>
  <c r="L115" i="10"/>
  <c r="L118" i="10" s="1"/>
  <c r="L131" i="10"/>
  <c r="P127" i="10"/>
  <c r="L127" i="10"/>
  <c r="L129" i="10" s="1"/>
  <c r="H151" i="9"/>
  <c r="I139" i="9" s="1"/>
  <c r="Q77" i="9"/>
  <c r="Q111" i="9"/>
  <c r="Q110" i="9" s="1"/>
  <c r="Q47" i="9"/>
  <c r="E109" i="3"/>
  <c r="F97" i="3" s="1"/>
  <c r="F131" i="5"/>
  <c r="F115" i="5"/>
  <c r="F118" i="5" s="1"/>
  <c r="F127" i="5"/>
  <c r="F129" i="5" s="1"/>
  <c r="D109" i="3"/>
  <c r="E97" i="3" s="1"/>
  <c r="N73" i="2"/>
  <c r="N76" i="2" s="1"/>
  <c r="N89" i="2"/>
  <c r="L98" i="10"/>
  <c r="I115" i="10"/>
  <c r="I118" i="10" s="1"/>
  <c r="I127" i="10"/>
  <c r="I129" i="10" s="1"/>
  <c r="I131" i="10"/>
  <c r="E115" i="9"/>
  <c r="E118" i="9" s="1"/>
  <c r="O115" i="9"/>
  <c r="O118" i="9" s="1"/>
  <c r="J95" i="8"/>
  <c r="J98" i="8" s="1"/>
  <c r="O47" i="7"/>
  <c r="O77" i="7"/>
  <c r="O111" i="7"/>
  <c r="O110" i="7" s="1"/>
  <c r="O115" i="7" s="1"/>
  <c r="L115" i="5"/>
  <c r="L118" i="5" s="1"/>
  <c r="L131" i="5"/>
  <c r="L127" i="5"/>
  <c r="L129" i="5" s="1"/>
  <c r="P85" i="2"/>
  <c r="P87" i="2" s="1"/>
  <c r="K151" i="5"/>
  <c r="L139" i="5" s="1"/>
  <c r="K132" i="5"/>
  <c r="H61" i="3"/>
  <c r="H80" i="3"/>
  <c r="M76" i="4"/>
  <c r="Q85" i="2"/>
  <c r="Q87" i="2" s="1"/>
  <c r="Q95" i="9"/>
  <c r="Q98" i="9" s="1"/>
  <c r="N131" i="9"/>
  <c r="N115" i="9"/>
  <c r="N118" i="9" s="1"/>
  <c r="M98" i="8"/>
  <c r="L95" i="5"/>
  <c r="L98" i="5" s="1"/>
  <c r="I118" i="7"/>
  <c r="G115" i="5"/>
  <c r="G118" i="5" s="1"/>
  <c r="N130" i="5"/>
  <c r="J127" i="6"/>
  <c r="J129" i="6" s="1"/>
  <c r="J131" i="6"/>
  <c r="J115" i="6"/>
  <c r="J118" i="6" s="1"/>
  <c r="N127" i="6"/>
  <c r="N129" i="6" s="1"/>
  <c r="N85" i="4"/>
  <c r="N87" i="4" s="1"/>
  <c r="I130" i="9"/>
  <c r="G95" i="6"/>
  <c r="G98" i="6" s="1"/>
  <c r="J95" i="5"/>
  <c r="J98" i="5" s="1"/>
  <c r="L118" i="6"/>
  <c r="D85" i="4"/>
  <c r="D87" i="4" s="1"/>
  <c r="D73" i="4"/>
  <c r="D89" i="4"/>
  <c r="L115" i="7"/>
  <c r="L118" i="7" s="1"/>
  <c r="G161" i="6"/>
  <c r="G137" i="6"/>
  <c r="G83" i="6"/>
  <c r="G66" i="6"/>
  <c r="G22" i="6"/>
  <c r="G103" i="6"/>
  <c r="G7" i="6"/>
  <c r="G54" i="6"/>
  <c r="G122" i="6"/>
  <c r="G37" i="6"/>
  <c r="H3" i="6"/>
  <c r="L70" i="10"/>
  <c r="L72" i="10"/>
  <c r="L76" i="10" s="1"/>
  <c r="L78" i="10" s="1"/>
  <c r="L124" i="10" s="1"/>
  <c r="L126" i="10" s="1"/>
  <c r="L71" i="10"/>
  <c r="L69" i="10"/>
  <c r="M72" i="9"/>
  <c r="M76" i="9" s="1"/>
  <c r="M78" i="9" s="1"/>
  <c r="M124" i="9" s="1"/>
  <c r="M126" i="9" s="1"/>
  <c r="M130" i="9" s="1"/>
  <c r="M71" i="9"/>
  <c r="M70" i="9"/>
  <c r="M69" i="9"/>
  <c r="H131" i="7"/>
  <c r="H127" i="7"/>
  <c r="H129" i="7" s="1"/>
  <c r="H115" i="7"/>
  <c r="H118" i="7" s="1"/>
  <c r="P73" i="3"/>
  <c r="P76" i="3" s="1"/>
  <c r="E130" i="5"/>
  <c r="F95" i="9"/>
  <c r="F98" i="9" s="1"/>
  <c r="J132" i="5"/>
  <c r="J151" i="5"/>
  <c r="K139" i="5" s="1"/>
  <c r="N73" i="3"/>
  <c r="N76" i="3" s="1"/>
  <c r="K115" i="6"/>
  <c r="K118" i="6" s="1"/>
  <c r="K131" i="6"/>
  <c r="K127" i="6"/>
  <c r="K129" i="6" s="1"/>
  <c r="N95" i="5"/>
  <c r="N98" i="5" s="1"/>
  <c r="O118" i="10"/>
  <c r="F95" i="10"/>
  <c r="F98" i="10" s="1"/>
  <c r="G115" i="10"/>
  <c r="G118" i="10" s="1"/>
  <c r="Q78" i="10"/>
  <c r="Q124" i="10" s="1"/>
  <c r="Q126" i="10" s="1"/>
  <c r="F118" i="9"/>
  <c r="E115" i="7"/>
  <c r="E118" i="7" s="1"/>
  <c r="Q125" i="8"/>
  <c r="T127" i="8" s="1"/>
  <c r="Q78" i="8"/>
  <c r="Q124" i="8" s="1"/>
  <c r="E115" i="10"/>
  <c r="E118" i="10" s="1"/>
  <c r="Q98" i="5"/>
  <c r="F71" i="7"/>
  <c r="F72" i="7"/>
  <c r="F76" i="7" s="1"/>
  <c r="F78" i="7" s="1"/>
  <c r="F124" i="7" s="1"/>
  <c r="F126" i="7" s="1"/>
  <c r="F130" i="7" s="1"/>
  <c r="F70" i="7"/>
  <c r="F69" i="7"/>
  <c r="K131" i="9"/>
  <c r="K127" i="9"/>
  <c r="K129" i="9" s="1"/>
  <c r="K115" i="9"/>
  <c r="K118" i="9" s="1"/>
  <c r="O127" i="9"/>
  <c r="O129" i="9" s="1"/>
  <c r="F115" i="8"/>
  <c r="F118" i="8" s="1"/>
  <c r="N95" i="6"/>
  <c r="N98" i="6" s="1"/>
  <c r="L130" i="8"/>
  <c r="E118" i="5"/>
  <c r="G98" i="8"/>
  <c r="O85" i="4"/>
  <c r="O87" i="4" s="1"/>
  <c r="K89" i="4"/>
  <c r="K85" i="4"/>
  <c r="K73" i="4"/>
  <c r="K76" i="4" s="1"/>
  <c r="G90" i="4"/>
  <c r="G109" i="4"/>
  <c r="H97" i="4" s="1"/>
  <c r="M88" i="3"/>
  <c r="H151" i="5"/>
  <c r="I139" i="5" s="1"/>
  <c r="H132" i="5"/>
  <c r="L88" i="2"/>
  <c r="F115" i="7"/>
  <c r="F118" i="7" s="1"/>
  <c r="L78" i="7"/>
  <c r="L124" i="7" s="1"/>
  <c r="L126" i="7" s="1"/>
  <c r="L130" i="7" s="1"/>
  <c r="F115" i="6"/>
  <c r="F118" i="6" s="1"/>
  <c r="G76" i="3"/>
  <c r="N118" i="6"/>
  <c r="M88" i="4"/>
  <c r="Q73" i="3"/>
  <c r="Q76" i="3" s="1"/>
  <c r="I88" i="2"/>
  <c r="K98" i="8"/>
  <c r="I118" i="6"/>
  <c r="E70" i="7"/>
  <c r="E71" i="7"/>
  <c r="E72" i="7"/>
  <c r="E76" i="7" s="1"/>
  <c r="E78" i="7" s="1"/>
  <c r="E124" i="7" s="1"/>
  <c r="E126" i="7" s="1"/>
  <c r="E130" i="7" s="1"/>
  <c r="E69" i="7"/>
  <c r="J76" i="3"/>
  <c r="N131" i="10"/>
  <c r="N115" i="10"/>
  <c r="N118" i="10" s="1"/>
  <c r="G98" i="10"/>
  <c r="K98" i="10"/>
  <c r="D78" i="9"/>
  <c r="D124" i="9" s="1"/>
  <c r="D126" i="9" s="1"/>
  <c r="D130" i="9" s="1"/>
  <c r="P115" i="8"/>
  <c r="P118" i="8" s="1"/>
  <c r="P131" i="8"/>
  <c r="D132" i="10"/>
  <c r="D151" i="10"/>
  <c r="E139" i="10" s="1"/>
  <c r="J118" i="8"/>
  <c r="L115" i="8"/>
  <c r="L118" i="8"/>
  <c r="M95" i="7"/>
  <c r="M98" i="7" s="1"/>
  <c r="L118" i="9"/>
  <c r="Q125" i="6"/>
  <c r="S127" i="6" s="1"/>
  <c r="Q78" i="6"/>
  <c r="Q124" i="6" s="1"/>
  <c r="M78" i="7"/>
  <c r="M124" i="7" s="1"/>
  <c r="M126" i="7" s="1"/>
  <c r="M130" i="7" s="1"/>
  <c r="N109" i="3"/>
  <c r="E151" i="6"/>
  <c r="F139" i="6" s="1"/>
  <c r="I78" i="6"/>
  <c r="I124" i="6" s="1"/>
  <c r="I126" i="6" s="1"/>
  <c r="I130" i="6" s="1"/>
  <c r="N131" i="5"/>
  <c r="N115" i="5"/>
  <c r="N118" i="5" s="1"/>
  <c r="K109" i="3"/>
  <c r="L97" i="3" s="1"/>
  <c r="G90" i="3"/>
  <c r="G109" i="3"/>
  <c r="H97" i="3" s="1"/>
  <c r="F137" i="10"/>
  <c r="F103" i="10"/>
  <c r="F66" i="10"/>
  <c r="F54" i="10"/>
  <c r="F122" i="10"/>
  <c r="F22" i="10"/>
  <c r="F7" i="10"/>
  <c r="F161" i="10"/>
  <c r="F83" i="10"/>
  <c r="F37" i="10"/>
  <c r="G3" i="10"/>
  <c r="M78" i="10"/>
  <c r="M124" i="10" s="1"/>
  <c r="M126" i="10" s="1"/>
  <c r="M130" i="10" s="1"/>
  <c r="Q115" i="10"/>
  <c r="Q118" i="10" s="1"/>
  <c r="P127" i="9"/>
  <c r="F103" i="8"/>
  <c r="F137" i="8"/>
  <c r="F37" i="8"/>
  <c r="F7" i="8"/>
  <c r="F66" i="8"/>
  <c r="F54" i="8"/>
  <c r="F122" i="8"/>
  <c r="F83" i="8"/>
  <c r="G3" i="8"/>
  <c r="F22" i="8"/>
  <c r="F161" i="8"/>
  <c r="K131" i="8"/>
  <c r="O127" i="8"/>
  <c r="O129" i="8" s="1"/>
  <c r="K127" i="8"/>
  <c r="K129" i="8" s="1"/>
  <c r="K115" i="8"/>
  <c r="K118" i="8" s="1"/>
  <c r="I95" i="6"/>
  <c r="I98" i="6" s="1"/>
  <c r="O78" i="8"/>
  <c r="O124" i="8" s="1"/>
  <c r="O126" i="8" s="1"/>
  <c r="G127" i="7"/>
  <c r="G129" i="7" s="1"/>
  <c r="G131" i="7"/>
  <c r="H98" i="8"/>
  <c r="D151" i="6"/>
  <c r="E139" i="6" s="1"/>
  <c r="D132" i="6"/>
  <c r="L90" i="3"/>
  <c r="Q98" i="7"/>
  <c r="G132" i="5"/>
  <c r="G151" i="5"/>
  <c r="H139" i="5" s="1"/>
  <c r="J95" i="6"/>
  <c r="J98" i="6" s="1"/>
  <c r="M98" i="6"/>
  <c r="K73" i="3"/>
  <c r="K76" i="3" s="1"/>
  <c r="D88" i="2"/>
  <c r="F90" i="3"/>
  <c r="F109" i="3"/>
  <c r="G97" i="3" s="1"/>
  <c r="Q95" i="6"/>
  <c r="Q98" i="6" s="1"/>
  <c r="Q88" i="4"/>
  <c r="I130" i="5"/>
  <c r="H88" i="3"/>
  <c r="M88" i="2" l="1"/>
  <c r="L132" i="9"/>
  <c r="L151" i="9"/>
  <c r="M139" i="9" s="1"/>
  <c r="E151" i="9"/>
  <c r="F139" i="9" s="1"/>
  <c r="K130" i="9"/>
  <c r="P78" i="6"/>
  <c r="F151" i="8"/>
  <c r="G139" i="8" s="1"/>
  <c r="I130" i="8"/>
  <c r="T151" i="5"/>
  <c r="F130" i="5"/>
  <c r="E88" i="4"/>
  <c r="H32" i="3"/>
  <c r="H95" i="3"/>
  <c r="I109" i="3"/>
  <c r="J97" i="3" s="1"/>
  <c r="I90" i="3"/>
  <c r="G108" i="3"/>
  <c r="I3" i="3"/>
  <c r="H119" i="3"/>
  <c r="H7" i="3"/>
  <c r="H22" i="3"/>
  <c r="G132" i="6"/>
  <c r="T151" i="10"/>
  <c r="T132" i="10"/>
  <c r="T129" i="8"/>
  <c r="T130" i="8"/>
  <c r="P130" i="8"/>
  <c r="P151" i="8" s="1"/>
  <c r="Q139" i="8" s="1"/>
  <c r="T127" i="6"/>
  <c r="T109" i="4"/>
  <c r="T90" i="4"/>
  <c r="T104" i="4" s="1"/>
  <c r="T90" i="3"/>
  <c r="T109" i="3"/>
  <c r="T87" i="2"/>
  <c r="T88" i="2" s="1"/>
  <c r="P90" i="3"/>
  <c r="Q100" i="3" s="1"/>
  <c r="M151" i="6"/>
  <c r="N139" i="6" s="1"/>
  <c r="G7" i="2"/>
  <c r="G95" i="2"/>
  <c r="G80" i="2"/>
  <c r="H3" i="2"/>
  <c r="G61" i="2"/>
  <c r="G22" i="2"/>
  <c r="G119" i="2"/>
  <c r="G44" i="2"/>
  <c r="G32" i="2"/>
  <c r="S151" i="5"/>
  <c r="T139" i="5" s="1"/>
  <c r="S132" i="5"/>
  <c r="K71" i="7"/>
  <c r="K69" i="7"/>
  <c r="K72" i="7"/>
  <c r="K76" i="7" s="1"/>
  <c r="K78" i="7" s="1"/>
  <c r="K124" i="7" s="1"/>
  <c r="K126" i="7" s="1"/>
  <c r="K130" i="7" s="1"/>
  <c r="K70" i="7"/>
  <c r="O130" i="9"/>
  <c r="O151" i="9" s="1"/>
  <c r="P139" i="9" s="1"/>
  <c r="G151" i="10"/>
  <c r="H139" i="10" s="1"/>
  <c r="H88" i="4"/>
  <c r="H90" i="4" s="1"/>
  <c r="H105" i="4" s="1"/>
  <c r="P78" i="7"/>
  <c r="P124" i="7" s="1"/>
  <c r="P126" i="7" s="1"/>
  <c r="O130" i="8"/>
  <c r="O151" i="8" s="1"/>
  <c r="P139" i="8" s="1"/>
  <c r="G72" i="7"/>
  <c r="G76" i="7" s="1"/>
  <c r="G78" i="7" s="1"/>
  <c r="G124" i="7" s="1"/>
  <c r="G126" i="7" s="1"/>
  <c r="G130" i="7" s="1"/>
  <c r="G71" i="7"/>
  <c r="G69" i="7"/>
  <c r="G70" i="7"/>
  <c r="F88" i="4"/>
  <c r="F130" i="10"/>
  <c r="F132" i="10" s="1"/>
  <c r="G148" i="10" s="1"/>
  <c r="G130" i="8"/>
  <c r="G151" i="8" s="1"/>
  <c r="H139" i="8" s="1"/>
  <c r="E108" i="3"/>
  <c r="S125" i="7"/>
  <c r="T127" i="7" s="1"/>
  <c r="S78" i="7"/>
  <c r="S124" i="7" s="1"/>
  <c r="R126" i="7"/>
  <c r="Q126" i="6"/>
  <c r="R132" i="10"/>
  <c r="S151" i="10"/>
  <c r="T139" i="10" s="1"/>
  <c r="S132" i="10"/>
  <c r="Q127" i="8"/>
  <c r="Q129" i="8" s="1"/>
  <c r="S127" i="8"/>
  <c r="S129" i="6"/>
  <c r="S130" i="6" s="1"/>
  <c r="S103" i="4"/>
  <c r="S101" i="4"/>
  <c r="S99" i="4"/>
  <c r="S100" i="4"/>
  <c r="S107" i="4"/>
  <c r="S105" i="4"/>
  <c r="S104" i="4"/>
  <c r="S106" i="4"/>
  <c r="S108" i="4"/>
  <c r="Q109" i="3"/>
  <c r="R97" i="3" s="1"/>
  <c r="S109" i="2"/>
  <c r="T97" i="2" s="1"/>
  <c r="S90" i="2"/>
  <c r="F151" i="6"/>
  <c r="G139" i="6" s="1"/>
  <c r="F132" i="6"/>
  <c r="F148" i="6" s="1"/>
  <c r="H151" i="8"/>
  <c r="I139" i="8" s="1"/>
  <c r="L88" i="4"/>
  <c r="L109" i="4" s="1"/>
  <c r="M97" i="4" s="1"/>
  <c r="G88" i="2"/>
  <c r="J130" i="8"/>
  <c r="H3" i="5"/>
  <c r="G66" i="5"/>
  <c r="G103" i="5"/>
  <c r="G54" i="5"/>
  <c r="G7" i="5"/>
  <c r="G83" i="5"/>
  <c r="G161" i="5"/>
  <c r="G137" i="5"/>
  <c r="G37" i="5"/>
  <c r="G122" i="5"/>
  <c r="G22" i="5"/>
  <c r="F108" i="3"/>
  <c r="I88" i="4"/>
  <c r="I109" i="4" s="1"/>
  <c r="J97" i="4" s="1"/>
  <c r="H109" i="4"/>
  <c r="I97" i="4" s="1"/>
  <c r="H130" i="7"/>
  <c r="H90" i="2"/>
  <c r="K130" i="10"/>
  <c r="K132" i="10" s="1"/>
  <c r="F109" i="2"/>
  <c r="G97" i="2" s="1"/>
  <c r="O118" i="7"/>
  <c r="L130" i="10"/>
  <c r="L151" i="10" s="1"/>
  <c r="M139" i="10" s="1"/>
  <c r="N130" i="9"/>
  <c r="N151" i="9" s="1"/>
  <c r="O139" i="9" s="1"/>
  <c r="N130" i="6"/>
  <c r="Q126" i="8"/>
  <c r="K150" i="5"/>
  <c r="K130" i="8"/>
  <c r="K151" i="8" s="1"/>
  <c r="L139" i="8" s="1"/>
  <c r="R127" i="8"/>
  <c r="R127" i="6"/>
  <c r="Q127" i="6"/>
  <c r="Q129" i="6" s="1"/>
  <c r="R151" i="5"/>
  <c r="S139" i="5" s="1"/>
  <c r="R132" i="5"/>
  <c r="P88" i="4"/>
  <c r="P109" i="4" s="1"/>
  <c r="Q97" i="4" s="1"/>
  <c r="R90" i="3"/>
  <c r="R109" i="3"/>
  <c r="S97" i="3" s="1"/>
  <c r="R90" i="2"/>
  <c r="R109" i="2"/>
  <c r="S97" i="2" s="1"/>
  <c r="E90" i="2"/>
  <c r="F108" i="2" s="1"/>
  <c r="E109" i="2"/>
  <c r="F97" i="2" s="1"/>
  <c r="E146" i="6"/>
  <c r="E143" i="6"/>
  <c r="E149" i="6"/>
  <c r="E147" i="6"/>
  <c r="E148" i="6"/>
  <c r="E145" i="6"/>
  <c r="E144" i="6" s="1"/>
  <c r="E141" i="6"/>
  <c r="E140" i="6" s="1"/>
  <c r="E142" i="6"/>
  <c r="I132" i="6"/>
  <c r="I151" i="6"/>
  <c r="J139" i="6" s="1"/>
  <c r="L151" i="8"/>
  <c r="M139" i="8" s="1"/>
  <c r="L132" i="8"/>
  <c r="K149" i="5"/>
  <c r="K147" i="5"/>
  <c r="K148" i="5"/>
  <c r="K145" i="5"/>
  <c r="K146" i="5"/>
  <c r="K142" i="5"/>
  <c r="K141" i="5"/>
  <c r="K143" i="5"/>
  <c r="G143" i="10"/>
  <c r="G146" i="10"/>
  <c r="J151" i="10"/>
  <c r="K139" i="10" s="1"/>
  <c r="J132" i="10"/>
  <c r="E151" i="10"/>
  <c r="F139" i="10" s="1"/>
  <c r="E132" i="10"/>
  <c r="E148" i="10" s="1"/>
  <c r="Q109" i="4"/>
  <c r="R97" i="4" s="1"/>
  <c r="Q90" i="4"/>
  <c r="G161" i="10"/>
  <c r="G137" i="10"/>
  <c r="G122" i="10"/>
  <c r="G103" i="10"/>
  <c r="G83" i="10"/>
  <c r="G7" i="10"/>
  <c r="G37" i="10"/>
  <c r="G66" i="10"/>
  <c r="H3" i="10"/>
  <c r="G54" i="10"/>
  <c r="G22" i="10"/>
  <c r="E151" i="7"/>
  <c r="F139" i="7" s="1"/>
  <c r="E132" i="7"/>
  <c r="H95" i="4"/>
  <c r="H32" i="4"/>
  <c r="H119" i="4"/>
  <c r="H61" i="4"/>
  <c r="H44" i="4"/>
  <c r="I3" i="4"/>
  <c r="H22" i="4"/>
  <c r="H7" i="4"/>
  <c r="H80" i="4"/>
  <c r="J129" i="7"/>
  <c r="J130" i="7" s="1"/>
  <c r="P88" i="2"/>
  <c r="F146" i="6"/>
  <c r="E150" i="6"/>
  <c r="H130" i="6"/>
  <c r="G132" i="9"/>
  <c r="G151" i="9"/>
  <c r="H139" i="9" s="1"/>
  <c r="N130" i="10"/>
  <c r="P151" i="5"/>
  <c r="Q139" i="5" s="1"/>
  <c r="P132" i="5"/>
  <c r="L108" i="3"/>
  <c r="F132" i="7"/>
  <c r="F151" i="7"/>
  <c r="G139" i="7" s="1"/>
  <c r="E104" i="3"/>
  <c r="E101" i="3"/>
  <c r="E107" i="3"/>
  <c r="E105" i="3"/>
  <c r="E106" i="3"/>
  <c r="E103" i="3"/>
  <c r="E99" i="3"/>
  <c r="E100" i="3"/>
  <c r="K107" i="2"/>
  <c r="K100" i="2"/>
  <c r="D129" i="5"/>
  <c r="D130" i="5" s="1"/>
  <c r="N130" i="7"/>
  <c r="O130" i="10"/>
  <c r="M109" i="4"/>
  <c r="N97" i="4" s="1"/>
  <c r="M90" i="4"/>
  <c r="M90" i="3"/>
  <c r="M101" i="3" s="1"/>
  <c r="M109" i="3"/>
  <c r="N97" i="3" s="1"/>
  <c r="M90" i="2"/>
  <c r="M109" i="2"/>
  <c r="N97" i="2" s="1"/>
  <c r="D151" i="7"/>
  <c r="E139" i="7" s="1"/>
  <c r="D132" i="7"/>
  <c r="H151" i="7"/>
  <c r="I139" i="7" s="1"/>
  <c r="H132" i="7"/>
  <c r="K151" i="9"/>
  <c r="L139" i="9" s="1"/>
  <c r="K132" i="9"/>
  <c r="J109" i="4"/>
  <c r="K97" i="4" s="1"/>
  <c r="J90" i="4"/>
  <c r="L151" i="7"/>
  <c r="M139" i="7" s="1"/>
  <c r="L132" i="7"/>
  <c r="M151" i="9"/>
  <c r="N139" i="9" s="1"/>
  <c r="M132" i="9"/>
  <c r="I151" i="9"/>
  <c r="J139" i="9" s="1"/>
  <c r="I132" i="9"/>
  <c r="I145" i="9" s="1"/>
  <c r="N151" i="5"/>
  <c r="N132" i="5"/>
  <c r="E90" i="4"/>
  <c r="E109" i="4"/>
  <c r="F97" i="4" s="1"/>
  <c r="J151" i="9"/>
  <c r="K139" i="9" s="1"/>
  <c r="J132" i="9"/>
  <c r="J130" i="6"/>
  <c r="H129" i="10"/>
  <c r="H130" i="10" s="1"/>
  <c r="K109" i="2"/>
  <c r="L97" i="2" s="1"/>
  <c r="K90" i="2"/>
  <c r="K99" i="2" s="1"/>
  <c r="N88" i="4"/>
  <c r="I151" i="5"/>
  <c r="J139" i="5" s="1"/>
  <c r="I132" i="5"/>
  <c r="I149" i="5" s="1"/>
  <c r="H148" i="5"/>
  <c r="H146" i="5"/>
  <c r="H143" i="5"/>
  <c r="H149" i="5"/>
  <c r="H147" i="5"/>
  <c r="H141" i="5"/>
  <c r="H142" i="5"/>
  <c r="H145" i="5"/>
  <c r="M132" i="10"/>
  <c r="M151" i="10"/>
  <c r="N139" i="10" s="1"/>
  <c r="I132" i="7"/>
  <c r="I151" i="7"/>
  <c r="J139" i="7" s="1"/>
  <c r="Q151" i="5"/>
  <c r="R139" i="5" s="1"/>
  <c r="Q132" i="5"/>
  <c r="G137" i="8"/>
  <c r="G103" i="8"/>
  <c r="G122" i="8"/>
  <c r="G22" i="8"/>
  <c r="G66" i="8"/>
  <c r="G54" i="8"/>
  <c r="G83" i="8"/>
  <c r="G7" i="8"/>
  <c r="H3" i="8"/>
  <c r="G161" i="8"/>
  <c r="G37" i="8"/>
  <c r="P97" i="2"/>
  <c r="K87" i="4"/>
  <c r="K88" i="4"/>
  <c r="N132" i="6"/>
  <c r="N141" i="6" s="1"/>
  <c r="N151" i="6"/>
  <c r="D151" i="8"/>
  <c r="E139" i="8" s="1"/>
  <c r="D132" i="8"/>
  <c r="F104" i="3"/>
  <c r="F101" i="3"/>
  <c r="F107" i="3"/>
  <c r="F99" i="3"/>
  <c r="F106" i="3"/>
  <c r="F103" i="3"/>
  <c r="F100" i="3"/>
  <c r="F105" i="3"/>
  <c r="H161" i="9"/>
  <c r="H137" i="9"/>
  <c r="H122" i="9"/>
  <c r="H37" i="9"/>
  <c r="H22" i="9"/>
  <c r="H7" i="9"/>
  <c r="I3" i="9"/>
  <c r="H66" i="9"/>
  <c r="H83" i="9"/>
  <c r="H103" i="9"/>
  <c r="H54" i="9"/>
  <c r="H108" i="4"/>
  <c r="L151" i="6"/>
  <c r="M139" i="6" s="1"/>
  <c r="L132" i="6"/>
  <c r="K130" i="6"/>
  <c r="E151" i="5"/>
  <c r="F139" i="5" s="1"/>
  <c r="E132" i="5"/>
  <c r="H137" i="6"/>
  <c r="H161" i="6"/>
  <c r="H122" i="6"/>
  <c r="H83" i="6"/>
  <c r="H54" i="6"/>
  <c r="I3" i="6"/>
  <c r="H66" i="6"/>
  <c r="H7" i="6"/>
  <c r="H103" i="6"/>
  <c r="H37" i="6"/>
  <c r="H22" i="6"/>
  <c r="O88" i="4"/>
  <c r="P129" i="10"/>
  <c r="P130" i="10" s="1"/>
  <c r="F151" i="9"/>
  <c r="G139" i="9" s="1"/>
  <c r="F132" i="9"/>
  <c r="D88" i="4"/>
  <c r="P129" i="9"/>
  <c r="P130" i="9" s="1"/>
  <c r="N132" i="8"/>
  <c r="N148" i="8" s="1"/>
  <c r="N151" i="8"/>
  <c r="O139" i="8" s="1"/>
  <c r="H109" i="3"/>
  <c r="I97" i="3" s="1"/>
  <c r="H90" i="3"/>
  <c r="H106" i="3" s="1"/>
  <c r="G107" i="3"/>
  <c r="G99" i="3"/>
  <c r="G105" i="3"/>
  <c r="G104" i="3"/>
  <c r="G100" i="3"/>
  <c r="G101" i="3"/>
  <c r="G103" i="3"/>
  <c r="G106" i="3"/>
  <c r="I130" i="10"/>
  <c r="D132" i="9"/>
  <c r="D151" i="9"/>
  <c r="E139" i="9" s="1"/>
  <c r="F151" i="5"/>
  <c r="G139" i="5" s="1"/>
  <c r="F132" i="5"/>
  <c r="G150" i="5" s="1"/>
  <c r="H103" i="4"/>
  <c r="H100" i="4"/>
  <c r="H107" i="4"/>
  <c r="H106" i="4"/>
  <c r="Q130" i="10"/>
  <c r="Q115" i="9"/>
  <c r="Q118" i="9" s="1"/>
  <c r="K151" i="10"/>
  <c r="L139" i="10" s="1"/>
  <c r="I151" i="8"/>
  <c r="J139" i="8" s="1"/>
  <c r="I132" i="8"/>
  <c r="Q88" i="2"/>
  <c r="I109" i="2"/>
  <c r="J97" i="2" s="1"/>
  <c r="I90" i="2"/>
  <c r="I105" i="2" s="1"/>
  <c r="L132" i="10"/>
  <c r="L150" i="10" s="1"/>
  <c r="J109" i="3"/>
  <c r="K97" i="3" s="1"/>
  <c r="J90" i="3"/>
  <c r="H150" i="5"/>
  <c r="M151" i="5"/>
  <c r="N139" i="5" s="1"/>
  <c r="M132" i="5"/>
  <c r="D90" i="2"/>
  <c r="D109" i="2"/>
  <c r="E97" i="2" s="1"/>
  <c r="L106" i="3"/>
  <c r="L104" i="3"/>
  <c r="L101" i="3"/>
  <c r="L100" i="3"/>
  <c r="L103" i="3"/>
  <c r="L107" i="3"/>
  <c r="L99" i="3"/>
  <c r="L105" i="3"/>
  <c r="M151" i="7"/>
  <c r="N139" i="7" s="1"/>
  <c r="M132" i="7"/>
  <c r="I147" i="8"/>
  <c r="I146" i="8"/>
  <c r="I141" i="8"/>
  <c r="I142" i="8"/>
  <c r="I148" i="8"/>
  <c r="I143" i="8"/>
  <c r="I149" i="8"/>
  <c r="L90" i="2"/>
  <c r="L109" i="2"/>
  <c r="M97" i="2" s="1"/>
  <c r="I90" i="4"/>
  <c r="I119" i="3"/>
  <c r="I80" i="3"/>
  <c r="I22" i="3"/>
  <c r="J3" i="3"/>
  <c r="I61" i="3"/>
  <c r="I32" i="3"/>
  <c r="I44" i="3"/>
  <c r="I95" i="3"/>
  <c r="I7" i="3"/>
  <c r="O125" i="7"/>
  <c r="R127" i="7" s="1"/>
  <c r="R129" i="7" s="1"/>
  <c r="O78" i="7"/>
  <c r="O124" i="7" s="1"/>
  <c r="O126" i="7" s="1"/>
  <c r="G148" i="6"/>
  <c r="Q125" i="9"/>
  <c r="Q78" i="9"/>
  <c r="Q124" i="9" s="1"/>
  <c r="P97" i="3"/>
  <c r="E129" i="8"/>
  <c r="E130" i="8" s="1"/>
  <c r="N87" i="2"/>
  <c r="N88" i="2" s="1"/>
  <c r="G54" i="7"/>
  <c r="G83" i="7"/>
  <c r="G66" i="7"/>
  <c r="G37" i="7"/>
  <c r="G22" i="7"/>
  <c r="G7" i="7"/>
  <c r="H3" i="7"/>
  <c r="G122" i="7"/>
  <c r="G137" i="7"/>
  <c r="G103" i="7"/>
  <c r="G161" i="7"/>
  <c r="L130" i="5"/>
  <c r="I143" i="9" l="1"/>
  <c r="M147" i="9"/>
  <c r="P124" i="6"/>
  <c r="K132" i="8"/>
  <c r="G132" i="8"/>
  <c r="S126" i="7"/>
  <c r="T101" i="4"/>
  <c r="H101" i="4"/>
  <c r="H99" i="4"/>
  <c r="H98" i="4" s="1"/>
  <c r="T99" i="4"/>
  <c r="T98" i="4" s="1"/>
  <c r="T103" i="4"/>
  <c r="I104" i="4"/>
  <c r="H104" i="4"/>
  <c r="T100" i="4"/>
  <c r="E153" i="6"/>
  <c r="Q130" i="6"/>
  <c r="Q108" i="3"/>
  <c r="Q104" i="3"/>
  <c r="S127" i="7"/>
  <c r="S129" i="7" s="1"/>
  <c r="S130" i="7" s="1"/>
  <c r="T129" i="7"/>
  <c r="T130" i="7" s="1"/>
  <c r="Q126" i="9"/>
  <c r="O132" i="9"/>
  <c r="S127" i="9"/>
  <c r="S129" i="9" s="1"/>
  <c r="S130" i="9" s="1"/>
  <c r="T127" i="9"/>
  <c r="P132" i="8"/>
  <c r="O132" i="8"/>
  <c r="P141" i="8" s="1"/>
  <c r="T151" i="8"/>
  <c r="T132" i="8"/>
  <c r="T129" i="6"/>
  <c r="T130" i="6" s="1"/>
  <c r="T108" i="4"/>
  <c r="T106" i="4"/>
  <c r="T105" i="4"/>
  <c r="T102" i="4" s="1"/>
  <c r="T107" i="4"/>
  <c r="Q103" i="3"/>
  <c r="Q107" i="3"/>
  <c r="Q99" i="3"/>
  <c r="Q106" i="3"/>
  <c r="Q105" i="3"/>
  <c r="Q101" i="3"/>
  <c r="T105" i="3"/>
  <c r="T101" i="3"/>
  <c r="T104" i="3"/>
  <c r="T103" i="3"/>
  <c r="T108" i="3"/>
  <c r="T99" i="3"/>
  <c r="T100" i="3"/>
  <c r="T107" i="3"/>
  <c r="T106" i="3"/>
  <c r="T109" i="2"/>
  <c r="T90" i="2"/>
  <c r="T99" i="2" s="1"/>
  <c r="S146" i="10"/>
  <c r="N132" i="9"/>
  <c r="N141" i="9" s="1"/>
  <c r="T148" i="5"/>
  <c r="T145" i="5"/>
  <c r="T142" i="5"/>
  <c r="T147" i="5"/>
  <c r="T141" i="5"/>
  <c r="T146" i="5"/>
  <c r="T143" i="5"/>
  <c r="T150" i="5"/>
  <c r="T149" i="5"/>
  <c r="T101" i="2"/>
  <c r="N143" i="6"/>
  <c r="T146" i="10"/>
  <c r="T149" i="10"/>
  <c r="T150" i="10"/>
  <c r="T142" i="10"/>
  <c r="T145" i="10"/>
  <c r="T148" i="10"/>
  <c r="T141" i="10"/>
  <c r="T143" i="10"/>
  <c r="T147" i="10"/>
  <c r="I106" i="2"/>
  <c r="G146" i="8"/>
  <c r="G149" i="8"/>
  <c r="F147" i="6"/>
  <c r="G149" i="10"/>
  <c r="G145" i="10"/>
  <c r="G144" i="10" s="1"/>
  <c r="I143" i="5"/>
  <c r="F109" i="4"/>
  <c r="G97" i="4" s="1"/>
  <c r="F90" i="4"/>
  <c r="F105" i="4" s="1"/>
  <c r="K132" i="7"/>
  <c r="K151" i="7"/>
  <c r="L139" i="7" s="1"/>
  <c r="F150" i="5"/>
  <c r="I141" i="9"/>
  <c r="G145" i="8"/>
  <c r="G142" i="8"/>
  <c r="H147" i="8"/>
  <c r="K103" i="2"/>
  <c r="E149" i="10"/>
  <c r="M149" i="9"/>
  <c r="F149" i="6"/>
  <c r="F150" i="10"/>
  <c r="G142" i="10"/>
  <c r="G147" i="10"/>
  <c r="S145" i="10"/>
  <c r="H150" i="8"/>
  <c r="G145" i="6"/>
  <c r="G144" i="6" s="1"/>
  <c r="N149" i="6"/>
  <c r="G148" i="8"/>
  <c r="G143" i="8"/>
  <c r="K105" i="2"/>
  <c r="G150" i="10"/>
  <c r="F143" i="6"/>
  <c r="G141" i="10"/>
  <c r="G140" i="10" s="1"/>
  <c r="L150" i="8"/>
  <c r="G149" i="6"/>
  <c r="F151" i="10"/>
  <c r="G139" i="10" s="1"/>
  <c r="H119" i="2"/>
  <c r="H95" i="2"/>
  <c r="H22" i="2"/>
  <c r="H61" i="2"/>
  <c r="H44" i="2"/>
  <c r="H80" i="2"/>
  <c r="H7" i="2"/>
  <c r="I3" i="2"/>
  <c r="H32" i="2"/>
  <c r="Q130" i="8"/>
  <c r="Q132" i="8" s="1"/>
  <c r="Q143" i="8" s="1"/>
  <c r="S150" i="10"/>
  <c r="S148" i="10"/>
  <c r="S147" i="10"/>
  <c r="S141" i="10"/>
  <c r="S149" i="10"/>
  <c r="S142" i="10"/>
  <c r="S143" i="10"/>
  <c r="S129" i="8"/>
  <c r="S130" i="8" s="1"/>
  <c r="S132" i="6"/>
  <c r="S151" i="6"/>
  <c r="T139" i="6" s="1"/>
  <c r="S108" i="2"/>
  <c r="S147" i="5"/>
  <c r="S150" i="5"/>
  <c r="S149" i="5"/>
  <c r="S146" i="5"/>
  <c r="S143" i="5"/>
  <c r="S141" i="5"/>
  <c r="S148" i="5"/>
  <c r="S145" i="5"/>
  <c r="S142" i="5"/>
  <c r="S98" i="4"/>
  <c r="S102" i="4"/>
  <c r="R108" i="3"/>
  <c r="S100" i="3"/>
  <c r="S103" i="3"/>
  <c r="S101" i="3"/>
  <c r="S107" i="3"/>
  <c r="S99" i="3"/>
  <c r="S106" i="3"/>
  <c r="S104" i="3"/>
  <c r="S105" i="3"/>
  <c r="S108" i="3"/>
  <c r="S104" i="2"/>
  <c r="S107" i="2"/>
  <c r="S106" i="2"/>
  <c r="S103" i="2"/>
  <c r="S105" i="2"/>
  <c r="S100" i="2"/>
  <c r="S99" i="2"/>
  <c r="S101" i="2"/>
  <c r="I105" i="4"/>
  <c r="I103" i="2"/>
  <c r="N148" i="6"/>
  <c r="F150" i="6"/>
  <c r="E147" i="10"/>
  <c r="N142" i="8"/>
  <c r="N142" i="6"/>
  <c r="H103" i="3"/>
  <c r="K106" i="2"/>
  <c r="E142" i="10"/>
  <c r="M146" i="9"/>
  <c r="N141" i="8"/>
  <c r="F145" i="6"/>
  <c r="F144" i="6" s="1"/>
  <c r="L90" i="4"/>
  <c r="I3" i="5"/>
  <c r="H137" i="5"/>
  <c r="H122" i="5"/>
  <c r="H54" i="5"/>
  <c r="H22" i="5"/>
  <c r="H37" i="5"/>
  <c r="H161" i="5"/>
  <c r="H103" i="5"/>
  <c r="H83" i="5"/>
  <c r="H66" i="5"/>
  <c r="H7" i="5"/>
  <c r="R130" i="7"/>
  <c r="R129" i="8"/>
  <c r="R130" i="8" s="1"/>
  <c r="N146" i="6"/>
  <c r="N145" i="6"/>
  <c r="G141" i="6"/>
  <c r="G140" i="6" s="1"/>
  <c r="N147" i="6"/>
  <c r="H107" i="3"/>
  <c r="I106" i="4"/>
  <c r="G147" i="6"/>
  <c r="E146" i="10"/>
  <c r="M143" i="9"/>
  <c r="N145" i="8"/>
  <c r="K144" i="5"/>
  <c r="R101" i="3"/>
  <c r="J132" i="8"/>
  <c r="J149" i="8" s="1"/>
  <c r="J151" i="8"/>
  <c r="K139" i="8" s="1"/>
  <c r="I103" i="4"/>
  <c r="J108" i="2"/>
  <c r="I100" i="2"/>
  <c r="G153" i="10"/>
  <c r="H100" i="3"/>
  <c r="G146" i="6"/>
  <c r="G142" i="6"/>
  <c r="G143" i="6"/>
  <c r="G150" i="6"/>
  <c r="K104" i="2"/>
  <c r="M145" i="9"/>
  <c r="F142" i="6"/>
  <c r="G98" i="3"/>
  <c r="I100" i="4"/>
  <c r="N146" i="8"/>
  <c r="F141" i="6"/>
  <c r="F140" i="6" s="1"/>
  <c r="I99" i="2"/>
  <c r="R103" i="3"/>
  <c r="H143" i="8"/>
  <c r="H145" i="8"/>
  <c r="H148" i="8"/>
  <c r="H149" i="8"/>
  <c r="H146" i="8"/>
  <c r="G150" i="8"/>
  <c r="H142" i="8"/>
  <c r="G109" i="2"/>
  <c r="H97" i="2" s="1"/>
  <c r="G90" i="2"/>
  <c r="Q127" i="9"/>
  <c r="Q129" i="9" s="1"/>
  <c r="R127" i="9"/>
  <c r="R129" i="6"/>
  <c r="R130" i="6" s="1"/>
  <c r="Q150" i="5"/>
  <c r="R143" i="5"/>
  <c r="R150" i="5"/>
  <c r="R149" i="5"/>
  <c r="R142" i="5"/>
  <c r="R141" i="5"/>
  <c r="R147" i="5"/>
  <c r="R148" i="5"/>
  <c r="R146" i="5"/>
  <c r="R145" i="5"/>
  <c r="P90" i="4"/>
  <c r="Q99" i="4" s="1"/>
  <c r="R107" i="3"/>
  <c r="R104" i="3"/>
  <c r="R105" i="3"/>
  <c r="R99" i="3"/>
  <c r="R105" i="4"/>
  <c r="R107" i="4"/>
  <c r="R106" i="4"/>
  <c r="R99" i="4"/>
  <c r="R104" i="4"/>
  <c r="R103" i="4"/>
  <c r="R101" i="4"/>
  <c r="R100" i="4"/>
  <c r="R108" i="4"/>
  <c r="R106" i="3"/>
  <c r="R100" i="3"/>
  <c r="N109" i="2"/>
  <c r="N90" i="2"/>
  <c r="N107" i="2" s="1"/>
  <c r="J151" i="7"/>
  <c r="K139" i="7" s="1"/>
  <c r="J132" i="7"/>
  <c r="J149" i="7" s="1"/>
  <c r="M104" i="2"/>
  <c r="M101" i="2"/>
  <c r="M107" i="2"/>
  <c r="M99" i="2"/>
  <c r="M106" i="2"/>
  <c r="M103" i="2"/>
  <c r="M100" i="2"/>
  <c r="M105" i="2"/>
  <c r="L108" i="2"/>
  <c r="G146" i="9"/>
  <c r="G143" i="9"/>
  <c r="G147" i="9"/>
  <c r="G142" i="9"/>
  <c r="G145" i="9"/>
  <c r="G144" i="9" s="1"/>
  <c r="G141" i="9"/>
  <c r="G140" i="9" s="1"/>
  <c r="G149" i="9"/>
  <c r="G148" i="9"/>
  <c r="F150" i="9"/>
  <c r="M146" i="6"/>
  <c r="M143" i="6"/>
  <c r="M149" i="6"/>
  <c r="M147" i="6"/>
  <c r="M141" i="6"/>
  <c r="M142" i="6"/>
  <c r="M148" i="6"/>
  <c r="M145" i="6"/>
  <c r="M148" i="7"/>
  <c r="M145" i="7"/>
  <c r="M142" i="7"/>
  <c r="M146" i="7"/>
  <c r="M143" i="7"/>
  <c r="M149" i="7"/>
  <c r="M147" i="7"/>
  <c r="M141" i="7"/>
  <c r="L150" i="7"/>
  <c r="D132" i="5"/>
  <c r="D151" i="5"/>
  <c r="E139" i="5" s="1"/>
  <c r="H149" i="9"/>
  <c r="H146" i="9"/>
  <c r="H142" i="9"/>
  <c r="H147" i="9"/>
  <c r="H148" i="9"/>
  <c r="H143" i="9"/>
  <c r="H145" i="9"/>
  <c r="H144" i="9" s="1"/>
  <c r="H141" i="9"/>
  <c r="H140" i="9" s="1"/>
  <c r="G150" i="9"/>
  <c r="L147" i="7"/>
  <c r="H122" i="10"/>
  <c r="H54" i="10"/>
  <c r="H103" i="10"/>
  <c r="H161" i="10"/>
  <c r="H37" i="10"/>
  <c r="I3" i="10"/>
  <c r="H83" i="10"/>
  <c r="H7" i="10"/>
  <c r="H137" i="10"/>
  <c r="H22" i="10"/>
  <c r="H66" i="10"/>
  <c r="F147" i="9"/>
  <c r="Q132" i="6"/>
  <c r="Q151" i="6"/>
  <c r="R139" i="6" s="1"/>
  <c r="H151" i="10"/>
  <c r="I139" i="10" s="1"/>
  <c r="H132" i="10"/>
  <c r="J108" i="4"/>
  <c r="H132" i="6"/>
  <c r="I150" i="6" s="1"/>
  <c r="H151" i="6"/>
  <c r="I139" i="6" s="1"/>
  <c r="M100" i="3"/>
  <c r="I150" i="7"/>
  <c r="M150" i="7"/>
  <c r="G145" i="5"/>
  <c r="G142" i="5"/>
  <c r="G146" i="5"/>
  <c r="G143" i="5"/>
  <c r="G147" i="5"/>
  <c r="G141" i="5"/>
  <c r="G148" i="5"/>
  <c r="G149" i="5"/>
  <c r="J147" i="9"/>
  <c r="J148" i="9"/>
  <c r="J145" i="9"/>
  <c r="J141" i="9"/>
  <c r="J142" i="9"/>
  <c r="J143" i="9"/>
  <c r="J146" i="9"/>
  <c r="J149" i="9"/>
  <c r="I150" i="9"/>
  <c r="M106" i="3"/>
  <c r="M149" i="10"/>
  <c r="M146" i="10"/>
  <c r="M142" i="10"/>
  <c r="M141" i="10"/>
  <c r="M143" i="10"/>
  <c r="M148" i="10"/>
  <c r="M145" i="10"/>
  <c r="M147" i="10"/>
  <c r="I105" i="3"/>
  <c r="I103" i="3"/>
  <c r="I100" i="3"/>
  <c r="I99" i="3"/>
  <c r="I106" i="3"/>
  <c r="I104" i="3"/>
  <c r="I101" i="3"/>
  <c r="I107" i="3"/>
  <c r="I108" i="3"/>
  <c r="H108" i="3"/>
  <c r="P139" i="6"/>
  <c r="F102" i="3"/>
  <c r="I147" i="9"/>
  <c r="H140" i="5"/>
  <c r="G151" i="7"/>
  <c r="H139" i="7" s="1"/>
  <c r="G132" i="7"/>
  <c r="G149" i="7" s="1"/>
  <c r="L148" i="8"/>
  <c r="L149" i="8"/>
  <c r="L145" i="8"/>
  <c r="L143" i="8"/>
  <c r="L141" i="8"/>
  <c r="L146" i="8"/>
  <c r="L142" i="8"/>
  <c r="L147" i="8"/>
  <c r="E98" i="3"/>
  <c r="M103" i="3"/>
  <c r="I147" i="5"/>
  <c r="F149" i="9"/>
  <c r="P147" i="8"/>
  <c r="P149" i="8"/>
  <c r="P146" i="8"/>
  <c r="Q109" i="2"/>
  <c r="R97" i="2" s="1"/>
  <c r="Q90" i="2"/>
  <c r="R108" i="2" s="1"/>
  <c r="H101" i="3"/>
  <c r="P132" i="10"/>
  <c r="P151" i="10"/>
  <c r="Q139" i="10" s="1"/>
  <c r="N90" i="4"/>
  <c r="N107" i="4" s="1"/>
  <c r="N109" i="4"/>
  <c r="O97" i="4" s="1"/>
  <c r="K149" i="9"/>
  <c r="K148" i="9"/>
  <c r="K143" i="9"/>
  <c r="K147" i="9"/>
  <c r="K146" i="9"/>
  <c r="K142" i="9"/>
  <c r="K141" i="9"/>
  <c r="K145" i="9"/>
  <c r="J150" i="9"/>
  <c r="M107" i="3"/>
  <c r="I119" i="4"/>
  <c r="I95" i="4"/>
  <c r="I61" i="4"/>
  <c r="I44" i="4"/>
  <c r="J3" i="4"/>
  <c r="I80" i="4"/>
  <c r="I22" i="4"/>
  <c r="I7" i="4"/>
  <c r="I32" i="4"/>
  <c r="F145" i="7"/>
  <c r="F144" i="7" s="1"/>
  <c r="F142" i="7"/>
  <c r="F146" i="7"/>
  <c r="F143" i="7"/>
  <c r="F149" i="7"/>
  <c r="F148" i="7"/>
  <c r="F147" i="7"/>
  <c r="F141" i="7"/>
  <c r="F140" i="7" s="1"/>
  <c r="E150" i="7"/>
  <c r="F141" i="10"/>
  <c r="F140" i="10" s="1"/>
  <c r="F147" i="10"/>
  <c r="F149" i="10"/>
  <c r="F146" i="10"/>
  <c r="F145" i="10"/>
  <c r="F144" i="10" s="1"/>
  <c r="F148" i="10"/>
  <c r="F143" i="10"/>
  <c r="F142" i="10"/>
  <c r="E150" i="10"/>
  <c r="L132" i="5"/>
  <c r="M150" i="5" s="1"/>
  <c r="L151" i="5"/>
  <c r="M139" i="5" s="1"/>
  <c r="P127" i="7"/>
  <c r="O127" i="7"/>
  <c r="O129" i="7" s="1"/>
  <c r="Q127" i="7"/>
  <c r="L98" i="3"/>
  <c r="J145" i="8"/>
  <c r="J142" i="8"/>
  <c r="I150" i="8"/>
  <c r="J150" i="8"/>
  <c r="E148" i="9"/>
  <c r="E149" i="9"/>
  <c r="E147" i="9"/>
  <c r="E143" i="9"/>
  <c r="E146" i="9"/>
  <c r="E142" i="9"/>
  <c r="E141" i="9"/>
  <c r="E140" i="9" s="1"/>
  <c r="E145" i="9"/>
  <c r="E144" i="9" s="1"/>
  <c r="H105" i="3"/>
  <c r="P132" i="9"/>
  <c r="P151" i="9"/>
  <c r="Q139" i="9" s="1"/>
  <c r="F98" i="3"/>
  <c r="N150" i="6"/>
  <c r="I148" i="9"/>
  <c r="M150" i="9"/>
  <c r="K147" i="8"/>
  <c r="O151" i="10"/>
  <c r="P139" i="10" s="1"/>
  <c r="O132" i="10"/>
  <c r="E143" i="10"/>
  <c r="M148" i="9"/>
  <c r="L148" i="7"/>
  <c r="K140" i="5"/>
  <c r="F146" i="9"/>
  <c r="F107" i="2"/>
  <c r="F99" i="2"/>
  <c r="F105" i="2"/>
  <c r="F103" i="2"/>
  <c r="F106" i="2"/>
  <c r="F101" i="2"/>
  <c r="F100" i="2"/>
  <c r="F104" i="2"/>
  <c r="E108" i="2"/>
  <c r="O109" i="4"/>
  <c r="P97" i="4" s="1"/>
  <c r="O90" i="4"/>
  <c r="N150" i="5"/>
  <c r="I146" i="7"/>
  <c r="I143" i="7"/>
  <c r="I141" i="7"/>
  <c r="I147" i="7"/>
  <c r="I149" i="7"/>
  <c r="I148" i="7"/>
  <c r="I145" i="7"/>
  <c r="I142" i="7"/>
  <c r="N104" i="3"/>
  <c r="N101" i="3"/>
  <c r="N107" i="3"/>
  <c r="N99" i="3"/>
  <c r="N105" i="3"/>
  <c r="N103" i="3"/>
  <c r="N106" i="3"/>
  <c r="N100" i="3"/>
  <c r="N108" i="3"/>
  <c r="M108" i="3"/>
  <c r="M99" i="3"/>
  <c r="H137" i="7"/>
  <c r="H83" i="7"/>
  <c r="H66" i="7"/>
  <c r="H37" i="7"/>
  <c r="H122" i="7"/>
  <c r="I3" i="7"/>
  <c r="H7" i="7"/>
  <c r="H54" i="7"/>
  <c r="H103" i="7"/>
  <c r="H22" i="7"/>
  <c r="H161" i="7"/>
  <c r="H150" i="9"/>
  <c r="I137" i="9"/>
  <c r="I103" i="9"/>
  <c r="I122" i="9"/>
  <c r="I37" i="9"/>
  <c r="J3" i="9"/>
  <c r="I66" i="9"/>
  <c r="I83" i="9"/>
  <c r="I22" i="9"/>
  <c r="I161" i="9"/>
  <c r="I7" i="9"/>
  <c r="I54" i="9"/>
  <c r="H144" i="5"/>
  <c r="J146" i="5"/>
  <c r="J143" i="5"/>
  <c r="J141" i="5"/>
  <c r="J147" i="5"/>
  <c r="J149" i="5"/>
  <c r="J148" i="5"/>
  <c r="J145" i="5"/>
  <c r="J142" i="5"/>
  <c r="J150" i="5"/>
  <c r="I150" i="5"/>
  <c r="N105" i="4"/>
  <c r="N106" i="4"/>
  <c r="G142" i="7"/>
  <c r="F150" i="7"/>
  <c r="L149" i="7"/>
  <c r="I148" i="5"/>
  <c r="F148" i="9"/>
  <c r="E148" i="7"/>
  <c r="E149" i="7"/>
  <c r="E146" i="7"/>
  <c r="E147" i="7"/>
  <c r="E145" i="7"/>
  <c r="E144" i="7" s="1"/>
  <c r="E142" i="7"/>
  <c r="E141" i="7"/>
  <c r="E140" i="7" s="1"/>
  <c r="E143" i="7"/>
  <c r="L143" i="7"/>
  <c r="I145" i="5"/>
  <c r="F143" i="9"/>
  <c r="M150" i="6"/>
  <c r="J80" i="3"/>
  <c r="J22" i="3"/>
  <c r="J61" i="3"/>
  <c r="J119" i="3"/>
  <c r="J32" i="3"/>
  <c r="K3" i="3"/>
  <c r="J95" i="3"/>
  <c r="J44" i="3"/>
  <c r="J7" i="3"/>
  <c r="J151" i="6"/>
  <c r="K139" i="6" s="1"/>
  <c r="J132" i="6"/>
  <c r="J143" i="6" s="1"/>
  <c r="L146" i="7"/>
  <c r="E132" i="8"/>
  <c r="E147" i="8" s="1"/>
  <c r="E151" i="8"/>
  <c r="F139" i="8" s="1"/>
  <c r="J106" i="4"/>
  <c r="J107" i="4"/>
  <c r="J104" i="4"/>
  <c r="J105" i="4"/>
  <c r="J103" i="4"/>
  <c r="J102" i="4" s="1"/>
  <c r="J100" i="4"/>
  <c r="J99" i="4"/>
  <c r="J101" i="4"/>
  <c r="I108" i="4"/>
  <c r="J103" i="2"/>
  <c r="J100" i="2"/>
  <c r="J106" i="2"/>
  <c r="J107" i="2"/>
  <c r="J104" i="2"/>
  <c r="J99" i="2"/>
  <c r="J105" i="2"/>
  <c r="J101" i="2"/>
  <c r="I108" i="2"/>
  <c r="G102" i="3"/>
  <c r="O147" i="8"/>
  <c r="O143" i="8"/>
  <c r="N150" i="8"/>
  <c r="F148" i="5"/>
  <c r="F147" i="5"/>
  <c r="F141" i="5"/>
  <c r="F140" i="5" s="1"/>
  <c r="F146" i="5"/>
  <c r="F143" i="5"/>
  <c r="F145" i="5"/>
  <c r="F144" i="5" s="1"/>
  <c r="F149" i="5"/>
  <c r="F142" i="5"/>
  <c r="I101" i="4"/>
  <c r="I146" i="9"/>
  <c r="I144" i="9" s="1"/>
  <c r="L145" i="9"/>
  <c r="L142" i="9"/>
  <c r="L146" i="9"/>
  <c r="L143" i="9"/>
  <c r="L147" i="9"/>
  <c r="L148" i="9"/>
  <c r="L149" i="9"/>
  <c r="L141" i="9"/>
  <c r="K150" i="9"/>
  <c r="E102" i="3"/>
  <c r="Q149" i="5"/>
  <c r="Q141" i="5"/>
  <c r="Q143" i="5"/>
  <c r="Q142" i="5"/>
  <c r="Q145" i="5"/>
  <c r="Q148" i="5"/>
  <c r="Q147" i="5"/>
  <c r="Q146" i="5"/>
  <c r="N147" i="8"/>
  <c r="L141" i="7"/>
  <c r="I101" i="2"/>
  <c r="M146" i="8"/>
  <c r="M143" i="8"/>
  <c r="M148" i="8"/>
  <c r="M149" i="8"/>
  <c r="M141" i="8"/>
  <c r="M147" i="8"/>
  <c r="M145" i="8"/>
  <c r="M142" i="8"/>
  <c r="M150" i="8"/>
  <c r="I141" i="5"/>
  <c r="F142" i="9"/>
  <c r="L150" i="9"/>
  <c r="I140" i="8"/>
  <c r="N148" i="5"/>
  <c r="N147" i="5"/>
  <c r="N145" i="5"/>
  <c r="N143" i="5"/>
  <c r="N142" i="5"/>
  <c r="N141" i="5"/>
  <c r="N149" i="5"/>
  <c r="N146" i="5"/>
  <c r="H99" i="3"/>
  <c r="Q106" i="4"/>
  <c r="P139" i="5"/>
  <c r="I161" i="6"/>
  <c r="I103" i="6"/>
  <c r="I7" i="6"/>
  <c r="I54" i="6"/>
  <c r="J3" i="6"/>
  <c r="I37" i="6"/>
  <c r="I66" i="6"/>
  <c r="I22" i="6"/>
  <c r="I137" i="6"/>
  <c r="I83" i="6"/>
  <c r="I122" i="6"/>
  <c r="I107" i="4"/>
  <c r="K90" i="4"/>
  <c r="K101" i="4" s="1"/>
  <c r="K109" i="4"/>
  <c r="L97" i="4" s="1"/>
  <c r="H137" i="8"/>
  <c r="H161" i="8"/>
  <c r="H122" i="8"/>
  <c r="H37" i="8"/>
  <c r="H7" i="8"/>
  <c r="H103" i="8"/>
  <c r="H83" i="8"/>
  <c r="I3" i="8"/>
  <c r="H54" i="8"/>
  <c r="H66" i="8"/>
  <c r="H22" i="8"/>
  <c r="I149" i="9"/>
  <c r="M150" i="10"/>
  <c r="N105" i="2"/>
  <c r="M108" i="2"/>
  <c r="E145" i="10"/>
  <c r="E144" i="10" s="1"/>
  <c r="M141" i="9"/>
  <c r="N132" i="10"/>
  <c r="N146" i="10" s="1"/>
  <c r="N151" i="10"/>
  <c r="O139" i="10" s="1"/>
  <c r="N149" i="8"/>
  <c r="P90" i="2"/>
  <c r="P106" i="2" s="1"/>
  <c r="P109" i="2"/>
  <c r="Q97" i="2" s="1"/>
  <c r="M104" i="3"/>
  <c r="L142" i="7"/>
  <c r="I104" i="2"/>
  <c r="K142" i="10"/>
  <c r="K143" i="10"/>
  <c r="K149" i="10"/>
  <c r="K146" i="10"/>
  <c r="K147" i="10"/>
  <c r="K141" i="10"/>
  <c r="K148" i="10"/>
  <c r="K145" i="10"/>
  <c r="I146" i="5"/>
  <c r="M107" i="4"/>
  <c r="M99" i="4"/>
  <c r="M105" i="4"/>
  <c r="M106" i="4"/>
  <c r="M104" i="4"/>
  <c r="M103" i="4"/>
  <c r="M101" i="4"/>
  <c r="M100" i="4"/>
  <c r="F145" i="9"/>
  <c r="F144" i="9" s="1"/>
  <c r="I132" i="10"/>
  <c r="I151" i="10"/>
  <c r="J139" i="10" s="1"/>
  <c r="P99" i="3"/>
  <c r="P105" i="3"/>
  <c r="P106" i="3"/>
  <c r="P103" i="3"/>
  <c r="P107" i="3"/>
  <c r="P104" i="3"/>
  <c r="P100" i="3"/>
  <c r="P101" i="3"/>
  <c r="P108" i="3"/>
  <c r="I145" i="8"/>
  <c r="I144" i="8" s="1"/>
  <c r="L102" i="3"/>
  <c r="E104" i="2"/>
  <c r="E101" i="2"/>
  <c r="E107" i="2"/>
  <c r="E99" i="2"/>
  <c r="E105" i="2"/>
  <c r="E106" i="2"/>
  <c r="E103" i="2"/>
  <c r="E100" i="2"/>
  <c r="K103" i="3"/>
  <c r="K100" i="3"/>
  <c r="K106" i="3"/>
  <c r="K105" i="3"/>
  <c r="K99" i="3"/>
  <c r="K104" i="3"/>
  <c r="K107" i="3"/>
  <c r="K101" i="3"/>
  <c r="J103" i="3"/>
  <c r="J100" i="3"/>
  <c r="J104" i="3"/>
  <c r="J107" i="3"/>
  <c r="J106" i="3"/>
  <c r="J108" i="3"/>
  <c r="J105" i="3"/>
  <c r="J99" i="3"/>
  <c r="J101" i="3"/>
  <c r="K108" i="3"/>
  <c r="E150" i="9"/>
  <c r="L146" i="10"/>
  <c r="L143" i="10"/>
  <c r="L148" i="10"/>
  <c r="L141" i="10"/>
  <c r="L147" i="10"/>
  <c r="L149" i="10"/>
  <c r="L145" i="10"/>
  <c r="L142" i="10"/>
  <c r="K150" i="10"/>
  <c r="Q151" i="10"/>
  <c r="R139" i="10" s="1"/>
  <c r="Q132" i="10"/>
  <c r="H102" i="4"/>
  <c r="H104" i="3"/>
  <c r="D109" i="4"/>
  <c r="E97" i="4" s="1"/>
  <c r="D90" i="4"/>
  <c r="K151" i="6"/>
  <c r="L139" i="6" s="1"/>
  <c r="K132" i="6"/>
  <c r="L150" i="6" s="1"/>
  <c r="I99" i="4"/>
  <c r="M108" i="4"/>
  <c r="I142" i="9"/>
  <c r="I140" i="9" s="1"/>
  <c r="L104" i="2"/>
  <c r="L101" i="2"/>
  <c r="L107" i="2"/>
  <c r="L105" i="2"/>
  <c r="L106" i="2"/>
  <c r="L103" i="2"/>
  <c r="L99" i="2"/>
  <c r="L100" i="2"/>
  <c r="K108" i="2"/>
  <c r="F99" i="4"/>
  <c r="F100" i="4"/>
  <c r="N132" i="7"/>
  <c r="N142" i="7" s="1"/>
  <c r="N151" i="7"/>
  <c r="O139" i="7" s="1"/>
  <c r="K101" i="2"/>
  <c r="K98" i="2" s="1"/>
  <c r="E141" i="10"/>
  <c r="E140" i="10" s="1"/>
  <c r="M142" i="9"/>
  <c r="N143" i="8"/>
  <c r="M105" i="3"/>
  <c r="L145" i="7"/>
  <c r="I107" i="2"/>
  <c r="I142" i="5"/>
  <c r="F141" i="9"/>
  <c r="F140" i="9" s="1"/>
  <c r="K102" i="2" l="1"/>
  <c r="N150" i="9"/>
  <c r="N147" i="9"/>
  <c r="O147" i="9"/>
  <c r="N148" i="9"/>
  <c r="O146" i="9"/>
  <c r="P126" i="6"/>
  <c r="O142" i="8"/>
  <c r="O141" i="8"/>
  <c r="P142" i="8"/>
  <c r="P140" i="8" s="1"/>
  <c r="H141" i="8"/>
  <c r="G141" i="8"/>
  <c r="G140" i="8" s="1"/>
  <c r="G147" i="8"/>
  <c r="G144" i="8" s="1"/>
  <c r="G153" i="8" s="1"/>
  <c r="Q151" i="8"/>
  <c r="R139" i="8" s="1"/>
  <c r="O145" i="8"/>
  <c r="O149" i="8"/>
  <c r="P145" i="8"/>
  <c r="P143" i="8"/>
  <c r="H111" i="4"/>
  <c r="F103" i="4"/>
  <c r="F101" i="4"/>
  <c r="F98" i="4" s="1"/>
  <c r="F107" i="4"/>
  <c r="I102" i="4"/>
  <c r="F108" i="4"/>
  <c r="F104" i="4"/>
  <c r="F106" i="4"/>
  <c r="F102" i="4" s="1"/>
  <c r="G111" i="3"/>
  <c r="H102" i="3"/>
  <c r="N101" i="2"/>
  <c r="N100" i="2"/>
  <c r="I98" i="2"/>
  <c r="I111" i="2" s="1"/>
  <c r="N99" i="2"/>
  <c r="N98" i="2" s="1"/>
  <c r="N104" i="2"/>
  <c r="Q98" i="3"/>
  <c r="T132" i="7"/>
  <c r="T142" i="7" s="1"/>
  <c r="T151" i="7"/>
  <c r="S132" i="7"/>
  <c r="S151" i="7"/>
  <c r="T139" i="7" s="1"/>
  <c r="T140" i="10"/>
  <c r="T144" i="10"/>
  <c r="P146" i="9"/>
  <c r="O141" i="9"/>
  <c r="N142" i="9"/>
  <c r="O148" i="9"/>
  <c r="N146" i="9"/>
  <c r="O145" i="9"/>
  <c r="N145" i="9"/>
  <c r="O142" i="9"/>
  <c r="N149" i="9"/>
  <c r="T129" i="9"/>
  <c r="T130" i="9" s="1"/>
  <c r="O150" i="9"/>
  <c r="O149" i="9"/>
  <c r="O143" i="9"/>
  <c r="N143" i="9"/>
  <c r="O146" i="8"/>
  <c r="O148" i="8"/>
  <c r="P150" i="8"/>
  <c r="O150" i="8"/>
  <c r="P148" i="8"/>
  <c r="T132" i="6"/>
  <c r="T150" i="6" s="1"/>
  <c r="T151" i="6"/>
  <c r="T143" i="6"/>
  <c r="T145" i="6"/>
  <c r="T149" i="6"/>
  <c r="T147" i="6"/>
  <c r="T144" i="5"/>
  <c r="T140" i="5"/>
  <c r="T98" i="3"/>
  <c r="T111" i="4"/>
  <c r="T102" i="3"/>
  <c r="Q102" i="3"/>
  <c r="T106" i="2"/>
  <c r="T105" i="2"/>
  <c r="T104" i="2"/>
  <c r="T107" i="2"/>
  <c r="T108" i="2"/>
  <c r="T103" i="2"/>
  <c r="T100" i="2"/>
  <c r="T98" i="2" s="1"/>
  <c r="N140" i="6"/>
  <c r="N144" i="6"/>
  <c r="N153" i="6" s="1"/>
  <c r="G145" i="7"/>
  <c r="G144" i="7" s="1"/>
  <c r="K153" i="5"/>
  <c r="F153" i="7"/>
  <c r="G144" i="5"/>
  <c r="K106" i="4"/>
  <c r="H153" i="9"/>
  <c r="M144" i="9"/>
  <c r="K144" i="10"/>
  <c r="E153" i="10"/>
  <c r="M102" i="4"/>
  <c r="L140" i="7"/>
  <c r="J98" i="4"/>
  <c r="J111" i="4" s="1"/>
  <c r="J141" i="6"/>
  <c r="G147" i="7"/>
  <c r="J140" i="5"/>
  <c r="K103" i="4"/>
  <c r="G153" i="6"/>
  <c r="S140" i="10"/>
  <c r="I22" i="2"/>
  <c r="I7" i="2"/>
  <c r="J3" i="2"/>
  <c r="I80" i="2"/>
  <c r="I61" i="2"/>
  <c r="I95" i="2"/>
  <c r="I32" i="2"/>
  <c r="I44" i="2"/>
  <c r="I119" i="2"/>
  <c r="F153" i="9"/>
  <c r="J142" i="6"/>
  <c r="J140" i="6" s="1"/>
  <c r="F153" i="10"/>
  <c r="N145" i="7"/>
  <c r="H140" i="8"/>
  <c r="I102" i="2"/>
  <c r="G105" i="4"/>
  <c r="G104" i="4"/>
  <c r="G101" i="4"/>
  <c r="G103" i="4"/>
  <c r="G99" i="4"/>
  <c r="G98" i="4" s="1"/>
  <c r="G106" i="4"/>
  <c r="G108" i="4"/>
  <c r="G100" i="4"/>
  <c r="G107" i="4"/>
  <c r="S144" i="10"/>
  <c r="S132" i="9"/>
  <c r="S151" i="9"/>
  <c r="T139" i="9" s="1"/>
  <c r="S151" i="8"/>
  <c r="T139" i="8" s="1"/>
  <c r="S132" i="8"/>
  <c r="S144" i="5"/>
  <c r="S98" i="2"/>
  <c r="R140" i="5"/>
  <c r="S140" i="5"/>
  <c r="S111" i="4"/>
  <c r="S102" i="2"/>
  <c r="S98" i="3"/>
  <c r="S102" i="3"/>
  <c r="J98" i="3"/>
  <c r="J143" i="8"/>
  <c r="M140" i="6"/>
  <c r="N147" i="7"/>
  <c r="H144" i="8"/>
  <c r="H153" i="8" s="1"/>
  <c r="K98" i="3"/>
  <c r="P150" i="5"/>
  <c r="E141" i="8"/>
  <c r="E140" i="8" s="1"/>
  <c r="N149" i="7"/>
  <c r="E98" i="2"/>
  <c r="K149" i="8"/>
  <c r="E145" i="8"/>
  <c r="E144" i="8" s="1"/>
  <c r="G146" i="7"/>
  <c r="M98" i="3"/>
  <c r="N98" i="3"/>
  <c r="F102" i="2"/>
  <c r="J141" i="7"/>
  <c r="J146" i="8"/>
  <c r="K144" i="9"/>
  <c r="M144" i="10"/>
  <c r="J144" i="9"/>
  <c r="N143" i="7"/>
  <c r="I22" i="5"/>
  <c r="I54" i="5"/>
  <c r="I122" i="5"/>
  <c r="I137" i="5"/>
  <c r="I83" i="5"/>
  <c r="I161" i="5"/>
  <c r="I66" i="5"/>
  <c r="J3" i="5"/>
  <c r="I37" i="5"/>
  <c r="I103" i="5"/>
  <c r="I7" i="5"/>
  <c r="R151" i="8"/>
  <c r="S139" i="8" s="1"/>
  <c r="R132" i="8"/>
  <c r="R149" i="8" s="1"/>
  <c r="E102" i="2"/>
  <c r="L111" i="3"/>
  <c r="R132" i="7"/>
  <c r="R151" i="7"/>
  <c r="S139" i="7" s="1"/>
  <c r="E153" i="7"/>
  <c r="J145" i="6"/>
  <c r="J148" i="8"/>
  <c r="M140" i="8"/>
  <c r="G143" i="7"/>
  <c r="H100" i="2"/>
  <c r="G108" i="2"/>
  <c r="G104" i="2"/>
  <c r="H104" i="2"/>
  <c r="H103" i="2"/>
  <c r="H106" i="2"/>
  <c r="G106" i="2"/>
  <c r="H108" i="2"/>
  <c r="H107" i="2"/>
  <c r="G103" i="2"/>
  <c r="G101" i="2"/>
  <c r="H101" i="2"/>
  <c r="G105" i="2"/>
  <c r="H99" i="2"/>
  <c r="G107" i="2"/>
  <c r="H105" i="2"/>
  <c r="G99" i="2"/>
  <c r="G100" i="2"/>
  <c r="N140" i="8"/>
  <c r="N140" i="5"/>
  <c r="K143" i="8"/>
  <c r="E149" i="8"/>
  <c r="I140" i="7"/>
  <c r="J143" i="7"/>
  <c r="K140" i="9"/>
  <c r="N146" i="7"/>
  <c r="K99" i="4"/>
  <c r="E153" i="9"/>
  <c r="K142" i="8"/>
  <c r="K148" i="8"/>
  <c r="K145" i="8"/>
  <c r="K146" i="8"/>
  <c r="I98" i="4"/>
  <c r="M144" i="8"/>
  <c r="G153" i="9"/>
  <c r="N144" i="8"/>
  <c r="M102" i="2"/>
  <c r="K141" i="8"/>
  <c r="K140" i="8" s="1"/>
  <c r="F153" i="5"/>
  <c r="J147" i="8"/>
  <c r="K150" i="8"/>
  <c r="N106" i="2"/>
  <c r="E146" i="8"/>
  <c r="F98" i="2"/>
  <c r="F111" i="2" s="1"/>
  <c r="J142" i="7"/>
  <c r="J141" i="8"/>
  <c r="J140" i="8" s="1"/>
  <c r="L144" i="8"/>
  <c r="I98" i="3"/>
  <c r="K105" i="4"/>
  <c r="F153" i="6"/>
  <c r="P149" i="9"/>
  <c r="P148" i="9"/>
  <c r="P143" i="9"/>
  <c r="Q130" i="9"/>
  <c r="R129" i="9"/>
  <c r="R130" i="9" s="1"/>
  <c r="R144" i="5"/>
  <c r="R132" i="6"/>
  <c r="R151" i="6"/>
  <c r="S139" i="6" s="1"/>
  <c r="Q150" i="10"/>
  <c r="R146" i="10"/>
  <c r="R150" i="10"/>
  <c r="R143" i="10"/>
  <c r="R148" i="10"/>
  <c r="R145" i="10"/>
  <c r="R149" i="10"/>
  <c r="R142" i="10"/>
  <c r="R141" i="10"/>
  <c r="R147" i="10"/>
  <c r="P141" i="9"/>
  <c r="P145" i="9"/>
  <c r="Q148" i="8"/>
  <c r="Q149" i="8"/>
  <c r="Q142" i="8"/>
  <c r="Q150" i="8"/>
  <c r="Q145" i="8"/>
  <c r="Q147" i="8"/>
  <c r="Q100" i="4"/>
  <c r="Q103" i="4"/>
  <c r="Q105" i="4"/>
  <c r="Q108" i="4"/>
  <c r="P108" i="4"/>
  <c r="Q104" i="4"/>
  <c r="Q101" i="4"/>
  <c r="Q107" i="4"/>
  <c r="R102" i="4"/>
  <c r="R98" i="4"/>
  <c r="R98" i="3"/>
  <c r="P98" i="3"/>
  <c r="R102" i="3"/>
  <c r="P102" i="3"/>
  <c r="P104" i="2"/>
  <c r="P99" i="2"/>
  <c r="P100" i="2"/>
  <c r="P103" i="2"/>
  <c r="P101" i="2"/>
  <c r="Q108" i="2"/>
  <c r="R107" i="2"/>
  <c r="R106" i="2"/>
  <c r="R105" i="2"/>
  <c r="R104" i="2"/>
  <c r="R103" i="2"/>
  <c r="R101" i="2"/>
  <c r="R100" i="2"/>
  <c r="R99" i="2"/>
  <c r="I153" i="9"/>
  <c r="N149" i="10"/>
  <c r="J61" i="4"/>
  <c r="J44" i="4"/>
  <c r="K3" i="4"/>
  <c r="J119" i="4"/>
  <c r="J80" i="4"/>
  <c r="J22" i="4"/>
  <c r="J95" i="4"/>
  <c r="J32" i="4"/>
  <c r="J7" i="4"/>
  <c r="J140" i="9"/>
  <c r="J153" i="9" s="1"/>
  <c r="I144" i="5"/>
  <c r="J161" i="9"/>
  <c r="J137" i="9"/>
  <c r="K3" i="9"/>
  <c r="J22" i="9"/>
  <c r="J83" i="9"/>
  <c r="J122" i="9"/>
  <c r="J103" i="9"/>
  <c r="J66" i="9"/>
  <c r="J7" i="9"/>
  <c r="J54" i="9"/>
  <c r="J37" i="9"/>
  <c r="N145" i="10"/>
  <c r="O107" i="4"/>
  <c r="O105" i="4"/>
  <c r="O104" i="4"/>
  <c r="O100" i="4"/>
  <c r="O101" i="4"/>
  <c r="O99" i="4"/>
  <c r="O103" i="4"/>
  <c r="O106" i="4"/>
  <c r="N108" i="4"/>
  <c r="I145" i="10"/>
  <c r="I142" i="10"/>
  <c r="I147" i="10"/>
  <c r="I143" i="10"/>
  <c r="I141" i="10"/>
  <c r="I149" i="10"/>
  <c r="I146" i="10"/>
  <c r="I148" i="10"/>
  <c r="H147" i="10"/>
  <c r="H146" i="10"/>
  <c r="H150" i="10"/>
  <c r="H143" i="10"/>
  <c r="H145" i="10"/>
  <c r="H144" i="10" s="1"/>
  <c r="H148" i="10"/>
  <c r="H141" i="10"/>
  <c r="H140" i="10" s="1"/>
  <c r="H149" i="10"/>
  <c r="H142" i="10"/>
  <c r="E147" i="5"/>
  <c r="E145" i="5"/>
  <c r="E144" i="5" s="1"/>
  <c r="E142" i="5"/>
  <c r="E148" i="5"/>
  <c r="E141" i="5"/>
  <c r="E140" i="5" s="1"/>
  <c r="E149" i="5"/>
  <c r="E143" i="5"/>
  <c r="E146" i="5"/>
  <c r="E150" i="5"/>
  <c r="J149" i="6"/>
  <c r="N99" i="4"/>
  <c r="J146" i="7"/>
  <c r="E111" i="3"/>
  <c r="L98" i="2"/>
  <c r="L144" i="10"/>
  <c r="P148" i="5"/>
  <c r="P146" i="5"/>
  <c r="P143" i="5"/>
  <c r="P149" i="5"/>
  <c r="P141" i="5"/>
  <c r="P142" i="5"/>
  <c r="P145" i="5"/>
  <c r="P147" i="5"/>
  <c r="E142" i="8"/>
  <c r="J146" i="6"/>
  <c r="N101" i="4"/>
  <c r="J144" i="5"/>
  <c r="N141" i="10"/>
  <c r="J147" i="7"/>
  <c r="P150" i="9"/>
  <c r="H149" i="7"/>
  <c r="H141" i="7"/>
  <c r="H140" i="7" s="1"/>
  <c r="H147" i="7"/>
  <c r="H148" i="7"/>
  <c r="H146" i="7"/>
  <c r="H145" i="7"/>
  <c r="H144" i="7" s="1"/>
  <c r="H143" i="7"/>
  <c r="H142" i="7"/>
  <c r="G150" i="7"/>
  <c r="I102" i="3"/>
  <c r="G140" i="5"/>
  <c r="G153" i="5" s="1"/>
  <c r="K107" i="4"/>
  <c r="M140" i="7"/>
  <c r="L144" i="7"/>
  <c r="L153" i="7" s="1"/>
  <c r="N150" i="7"/>
  <c r="L102" i="2"/>
  <c r="J102" i="3"/>
  <c r="J111" i="3" s="1"/>
  <c r="K102" i="3"/>
  <c r="K111" i="3" s="1"/>
  <c r="Q103" i="2"/>
  <c r="Q100" i="2"/>
  <c r="Q106" i="2"/>
  <c r="Q99" i="2"/>
  <c r="Q101" i="2"/>
  <c r="Q107" i="2"/>
  <c r="Q105" i="2"/>
  <c r="Q104" i="2"/>
  <c r="P108" i="2"/>
  <c r="I161" i="8"/>
  <c r="I122" i="8"/>
  <c r="I66" i="8"/>
  <c r="I54" i="8"/>
  <c r="I103" i="8"/>
  <c r="I7" i="8"/>
  <c r="I83" i="8"/>
  <c r="I22" i="8"/>
  <c r="I137" i="8"/>
  <c r="J3" i="8"/>
  <c r="I37" i="8"/>
  <c r="N144" i="5"/>
  <c r="N153" i="5" s="1"/>
  <c r="I140" i="5"/>
  <c r="L144" i="9"/>
  <c r="P147" i="9"/>
  <c r="G148" i="7"/>
  <c r="N104" i="4"/>
  <c r="I144" i="7"/>
  <c r="P105" i="2"/>
  <c r="P145" i="10"/>
  <c r="P143" i="10"/>
  <c r="P147" i="10"/>
  <c r="P148" i="10"/>
  <c r="P146" i="10"/>
  <c r="P141" i="10"/>
  <c r="P142" i="10"/>
  <c r="P149" i="10"/>
  <c r="O150" i="10"/>
  <c r="Q129" i="7"/>
  <c r="Q130" i="7" s="1"/>
  <c r="P144" i="8"/>
  <c r="O130" i="7"/>
  <c r="Q141" i="8"/>
  <c r="N141" i="7"/>
  <c r="N140" i="7" s="1"/>
  <c r="M144" i="6"/>
  <c r="M153" i="6" s="1"/>
  <c r="O147" i="10"/>
  <c r="O141" i="10"/>
  <c r="O149" i="10"/>
  <c r="O148" i="10"/>
  <c r="O145" i="10"/>
  <c r="O146" i="10"/>
  <c r="O142" i="10"/>
  <c r="O143" i="10"/>
  <c r="N150" i="10"/>
  <c r="I137" i="7"/>
  <c r="I161" i="7"/>
  <c r="I83" i="7"/>
  <c r="I66" i="7"/>
  <c r="I37" i="7"/>
  <c r="I122" i="7"/>
  <c r="J3" i="7"/>
  <c r="I103" i="7"/>
  <c r="I22" i="7"/>
  <c r="I54" i="7"/>
  <c r="I7" i="7"/>
  <c r="E107" i="4"/>
  <c r="E99" i="4"/>
  <c r="E98" i="4" s="1"/>
  <c r="E104" i="4"/>
  <c r="E101" i="4"/>
  <c r="E105" i="4"/>
  <c r="E106" i="4"/>
  <c r="E100" i="4"/>
  <c r="E103" i="4"/>
  <c r="E102" i="4" s="1"/>
  <c r="E108" i="4"/>
  <c r="M140" i="9"/>
  <c r="I153" i="8"/>
  <c r="Q140" i="5"/>
  <c r="N143" i="10"/>
  <c r="F111" i="3"/>
  <c r="M147" i="5"/>
  <c r="M145" i="5"/>
  <c r="M142" i="5"/>
  <c r="M148" i="5"/>
  <c r="M149" i="5"/>
  <c r="M146" i="5"/>
  <c r="M143" i="5"/>
  <c r="M141" i="5"/>
  <c r="L146" i="5"/>
  <c r="L150" i="5"/>
  <c r="L143" i="5"/>
  <c r="L145" i="5"/>
  <c r="L149" i="5"/>
  <c r="L147" i="5"/>
  <c r="L141" i="5"/>
  <c r="L142" i="5"/>
  <c r="L148" i="5"/>
  <c r="M102" i="3"/>
  <c r="K111" i="2"/>
  <c r="I161" i="10"/>
  <c r="I137" i="10"/>
  <c r="I122" i="10"/>
  <c r="I83" i="10"/>
  <c r="I66" i="10"/>
  <c r="I37" i="10"/>
  <c r="I7" i="10"/>
  <c r="J3" i="10"/>
  <c r="I54" i="10"/>
  <c r="I103" i="10"/>
  <c r="I22" i="10"/>
  <c r="K61" i="3"/>
  <c r="K95" i="3"/>
  <c r="K44" i="3"/>
  <c r="K119" i="3"/>
  <c r="K80" i="3"/>
  <c r="K32" i="3"/>
  <c r="L3" i="3"/>
  <c r="K22" i="3"/>
  <c r="K7" i="3"/>
  <c r="M144" i="7"/>
  <c r="K141" i="7"/>
  <c r="K145" i="7"/>
  <c r="K142" i="7"/>
  <c r="K143" i="7"/>
  <c r="K147" i="7"/>
  <c r="K149" i="7"/>
  <c r="K148" i="7"/>
  <c r="K146" i="7"/>
  <c r="K150" i="7"/>
  <c r="J150" i="7"/>
  <c r="K140" i="10"/>
  <c r="O144" i="8"/>
  <c r="J102" i="2"/>
  <c r="K145" i="6"/>
  <c r="K142" i="6"/>
  <c r="K148" i="6"/>
  <c r="K141" i="6"/>
  <c r="K146" i="6"/>
  <c r="K149" i="6"/>
  <c r="K143" i="6"/>
  <c r="K147" i="6"/>
  <c r="J150" i="6"/>
  <c r="N148" i="10"/>
  <c r="M140" i="10"/>
  <c r="M98" i="2"/>
  <c r="I111" i="4"/>
  <c r="J148" i="10"/>
  <c r="J149" i="10"/>
  <c r="J146" i="10"/>
  <c r="J145" i="10"/>
  <c r="J144" i="10" s="1"/>
  <c r="J142" i="10"/>
  <c r="J141" i="10"/>
  <c r="J147" i="10"/>
  <c r="J143" i="10"/>
  <c r="J150" i="10"/>
  <c r="I150" i="10"/>
  <c r="M98" i="4"/>
  <c r="M111" i="4" s="1"/>
  <c r="L106" i="4"/>
  <c r="L104" i="4"/>
  <c r="L101" i="4"/>
  <c r="L107" i="4"/>
  <c r="L105" i="4"/>
  <c r="L103" i="4"/>
  <c r="L99" i="4"/>
  <c r="L100" i="4"/>
  <c r="K108" i="4"/>
  <c r="L108" i="4"/>
  <c r="J122" i="6"/>
  <c r="J54" i="6"/>
  <c r="J37" i="6"/>
  <c r="K3" i="6"/>
  <c r="J7" i="6"/>
  <c r="J103" i="6"/>
  <c r="J66" i="6"/>
  <c r="J83" i="6"/>
  <c r="J137" i="6"/>
  <c r="J22" i="6"/>
  <c r="J161" i="6"/>
  <c r="H98" i="3"/>
  <c r="H111" i="3" s="1"/>
  <c r="Q144" i="5"/>
  <c r="L140" i="9"/>
  <c r="J98" i="2"/>
  <c r="F146" i="8"/>
  <c r="F143" i="8"/>
  <c r="F149" i="8"/>
  <c r="F147" i="8"/>
  <c r="F142" i="8"/>
  <c r="F148" i="8"/>
  <c r="F145" i="8"/>
  <c r="F144" i="8" s="1"/>
  <c r="F141" i="8"/>
  <c r="F140" i="8" s="1"/>
  <c r="E150" i="8"/>
  <c r="F150" i="8"/>
  <c r="E148" i="8"/>
  <c r="J147" i="6"/>
  <c r="N100" i="4"/>
  <c r="N102" i="3"/>
  <c r="N142" i="10"/>
  <c r="P99" i="4"/>
  <c r="P103" i="4"/>
  <c r="P100" i="4"/>
  <c r="P101" i="4"/>
  <c r="P106" i="4"/>
  <c r="P105" i="4"/>
  <c r="P104" i="4"/>
  <c r="P107" i="4"/>
  <c r="O108" i="4"/>
  <c r="J145" i="7"/>
  <c r="Q145" i="10"/>
  <c r="Q142" i="10"/>
  <c r="Q149" i="10"/>
  <c r="Q147" i="10"/>
  <c r="Q146" i="10"/>
  <c r="Q148" i="10"/>
  <c r="Q141" i="10"/>
  <c r="Q143" i="10"/>
  <c r="P150" i="10"/>
  <c r="H153" i="5"/>
  <c r="K104" i="4"/>
  <c r="K102" i="4" s="1"/>
  <c r="N108" i="2"/>
  <c r="L148" i="6"/>
  <c r="L146" i="6"/>
  <c r="L143" i="6"/>
  <c r="L142" i="6"/>
  <c r="L149" i="6"/>
  <c r="L147" i="6"/>
  <c r="L145" i="6"/>
  <c r="L141" i="6"/>
  <c r="K150" i="6"/>
  <c r="L140" i="10"/>
  <c r="N103" i="2"/>
  <c r="O140" i="8"/>
  <c r="P142" i="9"/>
  <c r="E143" i="8"/>
  <c r="J148" i="6"/>
  <c r="G141" i="7"/>
  <c r="G140" i="7" s="1"/>
  <c r="N103" i="4"/>
  <c r="M111" i="3"/>
  <c r="N147" i="10"/>
  <c r="P107" i="2"/>
  <c r="J148" i="7"/>
  <c r="P129" i="7"/>
  <c r="P130" i="7" s="1"/>
  <c r="Q146" i="8"/>
  <c r="L140" i="8"/>
  <c r="L153" i="8" s="1"/>
  <c r="N148" i="7"/>
  <c r="I147" i="6"/>
  <c r="I145" i="6"/>
  <c r="I142" i="6"/>
  <c r="I149" i="6"/>
  <c r="I146" i="6"/>
  <c r="I141" i="6"/>
  <c r="I143" i="6"/>
  <c r="I148" i="6"/>
  <c r="H145" i="6"/>
  <c r="H144" i="6" s="1"/>
  <c r="H143" i="6"/>
  <c r="H150" i="6"/>
  <c r="H147" i="6"/>
  <c r="H148" i="6"/>
  <c r="H146" i="6"/>
  <c r="H142" i="6"/>
  <c r="H149" i="6"/>
  <c r="H141" i="6"/>
  <c r="H140" i="6" s="1"/>
  <c r="K100" i="4"/>
  <c r="H150" i="7"/>
  <c r="P130" i="6" l="1"/>
  <c r="M153" i="9"/>
  <c r="T153" i="10"/>
  <c r="O144" i="9"/>
  <c r="T141" i="7"/>
  <c r="T146" i="7"/>
  <c r="T153" i="5"/>
  <c r="I153" i="7"/>
  <c r="T149" i="7"/>
  <c r="T147" i="7"/>
  <c r="M140" i="5"/>
  <c r="I111" i="3"/>
  <c r="M111" i="2"/>
  <c r="T148" i="6"/>
  <c r="T141" i="6"/>
  <c r="T142" i="6"/>
  <c r="T146" i="6"/>
  <c r="T145" i="7"/>
  <c r="T148" i="7"/>
  <c r="T150" i="7"/>
  <c r="T143" i="7"/>
  <c r="T140" i="7" s="1"/>
  <c r="Q111" i="3"/>
  <c r="T111" i="3"/>
  <c r="N140" i="9"/>
  <c r="O140" i="9"/>
  <c r="N144" i="9"/>
  <c r="T132" i="9"/>
  <c r="T149" i="9" s="1"/>
  <c r="T151" i="9"/>
  <c r="R153" i="5"/>
  <c r="T102" i="2"/>
  <c r="N102" i="2"/>
  <c r="T142" i="8"/>
  <c r="T149" i="8"/>
  <c r="T143" i="8"/>
  <c r="T148" i="8"/>
  <c r="T145" i="8"/>
  <c r="T146" i="8"/>
  <c r="T147" i="8"/>
  <c r="T141" i="8"/>
  <c r="T150" i="8"/>
  <c r="N144" i="7"/>
  <c r="N153" i="7" s="1"/>
  <c r="N102" i="4"/>
  <c r="N111" i="3"/>
  <c r="O98" i="4"/>
  <c r="S153" i="10"/>
  <c r="I140" i="10"/>
  <c r="N153" i="8"/>
  <c r="G102" i="4"/>
  <c r="G111" i="4" s="1"/>
  <c r="J32" i="2"/>
  <c r="J61" i="2"/>
  <c r="J44" i="2"/>
  <c r="J95" i="2"/>
  <c r="J119" i="2"/>
  <c r="J80" i="2"/>
  <c r="K3" i="2"/>
  <c r="J7" i="2"/>
  <c r="J22" i="2"/>
  <c r="H153" i="7"/>
  <c r="J153" i="5"/>
  <c r="H98" i="2"/>
  <c r="J144" i="8"/>
  <c r="M153" i="10"/>
  <c r="K153" i="10"/>
  <c r="I153" i="5"/>
  <c r="E153" i="5"/>
  <c r="K153" i="9"/>
  <c r="S153" i="5"/>
  <c r="Q140" i="8"/>
  <c r="R147" i="8"/>
  <c r="S111" i="2"/>
  <c r="R143" i="8"/>
  <c r="R111" i="4"/>
  <c r="R150" i="8"/>
  <c r="R141" i="8"/>
  <c r="R148" i="6"/>
  <c r="S148" i="6"/>
  <c r="S146" i="6"/>
  <c r="S150" i="6"/>
  <c r="S143" i="6"/>
  <c r="S147" i="6"/>
  <c r="S141" i="6"/>
  <c r="S145" i="6"/>
  <c r="S142" i="6"/>
  <c r="S149" i="6"/>
  <c r="S148" i="7"/>
  <c r="S146" i="7"/>
  <c r="S150" i="7"/>
  <c r="S145" i="7"/>
  <c r="S147" i="7"/>
  <c r="S143" i="7"/>
  <c r="S141" i="7"/>
  <c r="S142" i="7"/>
  <c r="S149" i="7"/>
  <c r="S141" i="8"/>
  <c r="S145" i="8"/>
  <c r="S142" i="8"/>
  <c r="S149" i="8"/>
  <c r="S148" i="8"/>
  <c r="S150" i="8"/>
  <c r="S147" i="8"/>
  <c r="S146" i="8"/>
  <c r="S143" i="8"/>
  <c r="R146" i="8"/>
  <c r="R148" i="8"/>
  <c r="R142" i="8"/>
  <c r="R145" i="8"/>
  <c r="S111" i="3"/>
  <c r="P111" i="3"/>
  <c r="J153" i="8"/>
  <c r="J140" i="7"/>
  <c r="O153" i="8"/>
  <c r="J111" i="2"/>
  <c r="G102" i="2"/>
  <c r="K3" i="5"/>
  <c r="J54" i="5"/>
  <c r="J7" i="5"/>
  <c r="J37" i="5"/>
  <c r="J66" i="5"/>
  <c r="J137" i="5"/>
  <c r="J83" i="5"/>
  <c r="J22" i="5"/>
  <c r="J103" i="5"/>
  <c r="J161" i="5"/>
  <c r="J122" i="5"/>
  <c r="K98" i="4"/>
  <c r="K111" i="4" s="1"/>
  <c r="I144" i="6"/>
  <c r="N111" i="2"/>
  <c r="G98" i="2"/>
  <c r="P140" i="9"/>
  <c r="H102" i="2"/>
  <c r="Q144" i="8"/>
  <c r="Q153" i="8" s="1"/>
  <c r="F153" i="8"/>
  <c r="L153" i="9"/>
  <c r="J144" i="6"/>
  <c r="J153" i="6" s="1"/>
  <c r="E111" i="2"/>
  <c r="E153" i="8"/>
  <c r="E111" i="4"/>
  <c r="L140" i="6"/>
  <c r="I144" i="10"/>
  <c r="I153" i="10" s="1"/>
  <c r="K144" i="8"/>
  <c r="K153" i="8" s="1"/>
  <c r="M153" i="8"/>
  <c r="R141" i="6"/>
  <c r="R142" i="6"/>
  <c r="R145" i="6"/>
  <c r="R146" i="6"/>
  <c r="P98" i="2"/>
  <c r="P144" i="9"/>
  <c r="Q144" i="10"/>
  <c r="R144" i="10"/>
  <c r="R151" i="9"/>
  <c r="S139" i="9" s="1"/>
  <c r="R132" i="9"/>
  <c r="Q151" i="9"/>
  <c r="R139" i="9" s="1"/>
  <c r="Q132" i="9"/>
  <c r="R140" i="10"/>
  <c r="R149" i="6"/>
  <c r="R150" i="6"/>
  <c r="R143" i="6"/>
  <c r="R147" i="6"/>
  <c r="P140" i="10"/>
  <c r="Q102" i="4"/>
  <c r="Q98" i="4"/>
  <c r="Q153" i="5"/>
  <c r="P102" i="2"/>
  <c r="R98" i="2"/>
  <c r="R102" i="2"/>
  <c r="R111" i="3"/>
  <c r="P98" i="4"/>
  <c r="Q102" i="2"/>
  <c r="P132" i="7"/>
  <c r="P151" i="7"/>
  <c r="Q139" i="7" s="1"/>
  <c r="P102" i="4"/>
  <c r="M153" i="7"/>
  <c r="P144" i="10"/>
  <c r="H153" i="6"/>
  <c r="J140" i="10"/>
  <c r="J153" i="10" s="1"/>
  <c r="K144" i="6"/>
  <c r="J103" i="10"/>
  <c r="J161" i="10"/>
  <c r="J122" i="10"/>
  <c r="J54" i="10"/>
  <c r="J7" i="10"/>
  <c r="J37" i="10"/>
  <c r="J22" i="10"/>
  <c r="J66" i="10"/>
  <c r="J137" i="10"/>
  <c r="K3" i="10"/>
  <c r="J83" i="10"/>
  <c r="L144" i="5"/>
  <c r="O144" i="10"/>
  <c r="N140" i="10"/>
  <c r="G153" i="7"/>
  <c r="L153" i="10"/>
  <c r="O151" i="7"/>
  <c r="P139" i="7" s="1"/>
  <c r="O132" i="7"/>
  <c r="M144" i="5"/>
  <c r="M153" i="5" s="1"/>
  <c r="I140" i="6"/>
  <c r="F111" i="4"/>
  <c r="O140" i="10"/>
  <c r="P153" i="8"/>
  <c r="P144" i="5"/>
  <c r="L144" i="6"/>
  <c r="L153" i="6" s="1"/>
  <c r="Q140" i="10"/>
  <c r="L98" i="4"/>
  <c r="K144" i="7"/>
  <c r="J161" i="7"/>
  <c r="J122" i="7"/>
  <c r="K3" i="7"/>
  <c r="J103" i="7"/>
  <c r="J22" i="7"/>
  <c r="J7" i="7"/>
  <c r="J137" i="7"/>
  <c r="J83" i="7"/>
  <c r="J37" i="7"/>
  <c r="J54" i="7"/>
  <c r="J66" i="7"/>
  <c r="Q132" i="7"/>
  <c r="Q151" i="7"/>
  <c r="R139" i="7" s="1"/>
  <c r="Q98" i="2"/>
  <c r="H153" i="10"/>
  <c r="N144" i="10"/>
  <c r="J144" i="7"/>
  <c r="J153" i="7" s="1"/>
  <c r="K54" i="6"/>
  <c r="K37" i="6"/>
  <c r="L3" i="6"/>
  <c r="K7" i="6"/>
  <c r="K122" i="6"/>
  <c r="K103" i="6"/>
  <c r="K66" i="6"/>
  <c r="K22" i="6"/>
  <c r="K83" i="6"/>
  <c r="K137" i="6"/>
  <c r="K161" i="6"/>
  <c r="L102" i="4"/>
  <c r="K140" i="6"/>
  <c r="K140" i="7"/>
  <c r="K153" i="7" s="1"/>
  <c r="L32" i="3"/>
  <c r="M3" i="3"/>
  <c r="L95" i="3"/>
  <c r="L44" i="3"/>
  <c r="L119" i="3"/>
  <c r="L80" i="3"/>
  <c r="L7" i="3"/>
  <c r="L61" i="3"/>
  <c r="L22" i="3"/>
  <c r="L140" i="5"/>
  <c r="J54" i="8"/>
  <c r="J37" i="8"/>
  <c r="J137" i="8"/>
  <c r="J103" i="8"/>
  <c r="J83" i="8"/>
  <c r="J161" i="8"/>
  <c r="K3" i="8"/>
  <c r="J122" i="8"/>
  <c r="J66" i="8"/>
  <c r="J22" i="8"/>
  <c r="J7" i="8"/>
  <c r="P140" i="5"/>
  <c r="L111" i="2"/>
  <c r="N98" i="4"/>
  <c r="O102" i="4"/>
  <c r="K122" i="9"/>
  <c r="K37" i="9"/>
  <c r="K22" i="9"/>
  <c r="K54" i="9"/>
  <c r="K137" i="9"/>
  <c r="K83" i="9"/>
  <c r="L3" i="9"/>
  <c r="K103" i="9"/>
  <c r="K161" i="9"/>
  <c r="K66" i="9"/>
  <c r="K7" i="9"/>
  <c r="K119" i="4"/>
  <c r="K80" i="4"/>
  <c r="K22" i="4"/>
  <c r="K7" i="4"/>
  <c r="L3" i="4"/>
  <c r="K44" i="4"/>
  <c r="K32" i="4"/>
  <c r="K95" i="4"/>
  <c r="K61" i="4"/>
  <c r="O153" i="9" l="1"/>
  <c r="P151" i="6"/>
  <c r="P132" i="6"/>
  <c r="N153" i="9"/>
  <c r="P153" i="10"/>
  <c r="T144" i="7"/>
  <c r="T153" i="7" s="1"/>
  <c r="T144" i="6"/>
  <c r="T111" i="2"/>
  <c r="U109" i="2"/>
  <c r="T140" i="8"/>
  <c r="O111" i="4"/>
  <c r="T140" i="6"/>
  <c r="T153" i="6" s="1"/>
  <c r="T141" i="9"/>
  <c r="T146" i="9"/>
  <c r="T150" i="9"/>
  <c r="T148" i="9"/>
  <c r="T142" i="9"/>
  <c r="T143" i="9"/>
  <c r="T147" i="9"/>
  <c r="T145" i="9"/>
  <c r="T144" i="9" s="1"/>
  <c r="T144" i="8"/>
  <c r="N111" i="4"/>
  <c r="T153" i="8"/>
  <c r="K7" i="2"/>
  <c r="K22" i="2"/>
  <c r="K80" i="2"/>
  <c r="K61" i="2"/>
  <c r="K95" i="2"/>
  <c r="L3" i="2"/>
  <c r="K119" i="2"/>
  <c r="K32" i="2"/>
  <c r="K44" i="2"/>
  <c r="P153" i="9"/>
  <c r="H111" i="2"/>
  <c r="I153" i="6"/>
  <c r="R140" i="8"/>
  <c r="R144" i="8"/>
  <c r="S144" i="6"/>
  <c r="S140" i="6"/>
  <c r="S144" i="7"/>
  <c r="S140" i="7"/>
  <c r="S146" i="9"/>
  <c r="S150" i="9"/>
  <c r="S141" i="9"/>
  <c r="S145" i="9"/>
  <c r="S143" i="9"/>
  <c r="S148" i="9"/>
  <c r="S142" i="9"/>
  <c r="S147" i="9"/>
  <c r="S149" i="9"/>
  <c r="S144" i="8"/>
  <c r="S140" i="8"/>
  <c r="G111" i="2"/>
  <c r="R153" i="10"/>
  <c r="Q153" i="10"/>
  <c r="K54" i="5"/>
  <c r="K83" i="5"/>
  <c r="K37" i="5"/>
  <c r="L3" i="5"/>
  <c r="K7" i="5"/>
  <c r="K137" i="5"/>
  <c r="K22" i="5"/>
  <c r="K103" i="5"/>
  <c r="K161" i="5"/>
  <c r="K122" i="5"/>
  <c r="K66" i="5"/>
  <c r="P111" i="2"/>
  <c r="R144" i="6"/>
  <c r="Q111" i="4"/>
  <c r="R140" i="6"/>
  <c r="R150" i="9"/>
  <c r="Q150" i="9"/>
  <c r="R149" i="9"/>
  <c r="Q147" i="9"/>
  <c r="R146" i="9"/>
  <c r="R143" i="9"/>
  <c r="Q145" i="9"/>
  <c r="R147" i="9"/>
  <c r="Q142" i="9"/>
  <c r="R148" i="9"/>
  <c r="R145" i="9"/>
  <c r="Q148" i="9"/>
  <c r="R142" i="9"/>
  <c r="Q143" i="9"/>
  <c r="Q141" i="9"/>
  <c r="Q149" i="9"/>
  <c r="R141" i="9"/>
  <c r="Q146" i="9"/>
  <c r="Q150" i="7"/>
  <c r="R145" i="7"/>
  <c r="R142" i="7"/>
  <c r="R148" i="7"/>
  <c r="R146" i="7"/>
  <c r="R150" i="7"/>
  <c r="R143" i="7"/>
  <c r="R149" i="7"/>
  <c r="R141" i="7"/>
  <c r="R147" i="7"/>
  <c r="P111" i="4"/>
  <c r="R111" i="2"/>
  <c r="Q111" i="2"/>
  <c r="K153" i="6"/>
  <c r="P153" i="5"/>
  <c r="L111" i="4"/>
  <c r="O153" i="10"/>
  <c r="M3" i="6"/>
  <c r="L122" i="6"/>
  <c r="L83" i="6"/>
  <c r="L66" i="6"/>
  <c r="L22" i="6"/>
  <c r="L7" i="6"/>
  <c r="L103" i="6"/>
  <c r="L137" i="6"/>
  <c r="L54" i="6"/>
  <c r="L37" i="6"/>
  <c r="L161" i="6"/>
  <c r="K137" i="7"/>
  <c r="K122" i="7"/>
  <c r="K103" i="7"/>
  <c r="K22" i="7"/>
  <c r="K7" i="7"/>
  <c r="K54" i="7"/>
  <c r="K37" i="7"/>
  <c r="L3" i="7"/>
  <c r="K83" i="7"/>
  <c r="K66" i="7"/>
  <c r="K161" i="7"/>
  <c r="N153" i="10"/>
  <c r="K161" i="10"/>
  <c r="K122" i="10"/>
  <c r="K83" i="10"/>
  <c r="K66" i="10"/>
  <c r="K37" i="10"/>
  <c r="K22" i="10"/>
  <c r="L3" i="10"/>
  <c r="K137" i="10"/>
  <c r="K7" i="10"/>
  <c r="K54" i="10"/>
  <c r="K103" i="10"/>
  <c r="L137" i="9"/>
  <c r="M3" i="9"/>
  <c r="L54" i="9"/>
  <c r="L161" i="9"/>
  <c r="L83" i="9"/>
  <c r="L66" i="9"/>
  <c r="L7" i="9"/>
  <c r="L122" i="9"/>
  <c r="L22" i="9"/>
  <c r="L37" i="9"/>
  <c r="L103" i="9"/>
  <c r="P149" i="7"/>
  <c r="P141" i="7"/>
  <c r="P147" i="7"/>
  <c r="P142" i="7"/>
  <c r="P146" i="7"/>
  <c r="P148" i="7"/>
  <c r="P145" i="7"/>
  <c r="P143" i="7"/>
  <c r="O150" i="7"/>
  <c r="O145" i="7"/>
  <c r="O148" i="7"/>
  <c r="O146" i="7"/>
  <c r="O143" i="7"/>
  <c r="O149" i="7"/>
  <c r="O141" i="7"/>
  <c r="O142" i="7"/>
  <c r="O147" i="7"/>
  <c r="L153" i="5"/>
  <c r="M32" i="3"/>
  <c r="N3" i="3"/>
  <c r="M95" i="3"/>
  <c r="M44" i="3"/>
  <c r="M119" i="3"/>
  <c r="M7" i="3"/>
  <c r="M80" i="3"/>
  <c r="M61" i="3"/>
  <c r="M22" i="3"/>
  <c r="L80" i="4"/>
  <c r="L22" i="4"/>
  <c r="L7" i="4"/>
  <c r="L119" i="4"/>
  <c r="L44" i="4"/>
  <c r="L32" i="4"/>
  <c r="L95" i="4"/>
  <c r="L61" i="4"/>
  <c r="M3" i="4"/>
  <c r="K161" i="8"/>
  <c r="K54" i="8"/>
  <c r="K37" i="8"/>
  <c r="L3" i="8"/>
  <c r="K122" i="8"/>
  <c r="K83" i="8"/>
  <c r="K66" i="8"/>
  <c r="K22" i="8"/>
  <c r="K137" i="8"/>
  <c r="K7" i="8"/>
  <c r="K103" i="8"/>
  <c r="Q146" i="7"/>
  <c r="Q143" i="7"/>
  <c r="Q141" i="7"/>
  <c r="Q147" i="7"/>
  <c r="Q149" i="7"/>
  <c r="Q145" i="7"/>
  <c r="Q142" i="7"/>
  <c r="Q148" i="7"/>
  <c r="P150" i="7"/>
  <c r="Q150" i="6" l="1"/>
  <c r="Q148" i="6"/>
  <c r="Q142" i="6"/>
  <c r="P141" i="6"/>
  <c r="P149" i="6"/>
  <c r="Q147" i="6"/>
  <c r="P143" i="6"/>
  <c r="P145" i="6"/>
  <c r="Q149" i="6"/>
  <c r="Q141" i="6"/>
  <c r="P147" i="6"/>
  <c r="P146" i="6"/>
  <c r="Q145" i="6"/>
  <c r="P148" i="6"/>
  <c r="Q143" i="6"/>
  <c r="Q146" i="6"/>
  <c r="P142" i="6"/>
  <c r="P150" i="6"/>
  <c r="Q139" i="6"/>
  <c r="T140" i="9"/>
  <c r="T153" i="9"/>
  <c r="L32" i="2"/>
  <c r="L7" i="2"/>
  <c r="L119" i="2"/>
  <c r="L61" i="2"/>
  <c r="L80" i="2"/>
  <c r="L44" i="2"/>
  <c r="L22" i="2"/>
  <c r="M3" i="2"/>
  <c r="L95" i="2"/>
  <c r="P144" i="7"/>
  <c r="S153" i="7"/>
  <c r="S153" i="6"/>
  <c r="R153" i="8"/>
  <c r="S153" i="8"/>
  <c r="S140" i="9"/>
  <c r="S144" i="9"/>
  <c r="L54" i="5"/>
  <c r="L22" i="5"/>
  <c r="L83" i="5"/>
  <c r="L137" i="5"/>
  <c r="L37" i="5"/>
  <c r="L7" i="5"/>
  <c r="L161" i="5"/>
  <c r="M3" i="5"/>
  <c r="L66" i="5"/>
  <c r="L103" i="5"/>
  <c r="L122" i="5"/>
  <c r="O144" i="7"/>
  <c r="R153" i="6"/>
  <c r="R144" i="9"/>
  <c r="R140" i="9"/>
  <c r="Q144" i="9"/>
  <c r="Q140" i="9"/>
  <c r="R144" i="7"/>
  <c r="R140" i="7"/>
  <c r="P140" i="7"/>
  <c r="M54" i="6"/>
  <c r="M37" i="6"/>
  <c r="M122" i="6"/>
  <c r="M83" i="6"/>
  <c r="M66" i="6"/>
  <c r="M22" i="6"/>
  <c r="M161" i="6"/>
  <c r="M137" i="6"/>
  <c r="M103" i="6"/>
  <c r="N3" i="6"/>
  <c r="M7" i="6"/>
  <c r="M22" i="9"/>
  <c r="M161" i="9"/>
  <c r="M83" i="9"/>
  <c r="M66" i="9"/>
  <c r="M7" i="9"/>
  <c r="M122" i="9"/>
  <c r="M54" i="9"/>
  <c r="M137" i="9"/>
  <c r="M37" i="9"/>
  <c r="N3" i="9"/>
  <c r="M103" i="9"/>
  <c r="Q140" i="7"/>
  <c r="L161" i="7"/>
  <c r="L7" i="7"/>
  <c r="L22" i="7"/>
  <c r="L137" i="7"/>
  <c r="M3" i="7"/>
  <c r="L103" i="7"/>
  <c r="L54" i="7"/>
  <c r="L37" i="7"/>
  <c r="L122" i="7"/>
  <c r="L83" i="7"/>
  <c r="L66" i="7"/>
  <c r="Q144" i="7"/>
  <c r="L83" i="10"/>
  <c r="M3" i="10"/>
  <c r="L54" i="10"/>
  <c r="L37" i="10"/>
  <c r="L161" i="10"/>
  <c r="L137" i="10"/>
  <c r="L103" i="10"/>
  <c r="L66" i="10"/>
  <c r="L22" i="10"/>
  <c r="L7" i="10"/>
  <c r="L122" i="10"/>
  <c r="M95" i="4"/>
  <c r="M7" i="4"/>
  <c r="M119" i="4"/>
  <c r="M80" i="4"/>
  <c r="M44" i="4"/>
  <c r="M61" i="4"/>
  <c r="M32" i="4"/>
  <c r="N3" i="4"/>
  <c r="M22" i="4"/>
  <c r="O140" i="7"/>
  <c r="N32" i="3"/>
  <c r="N95" i="3"/>
  <c r="N61" i="3"/>
  <c r="N44" i="3"/>
  <c r="N119" i="3"/>
  <c r="N7" i="3"/>
  <c r="N22" i="3"/>
  <c r="N80" i="3"/>
  <c r="L83" i="8"/>
  <c r="L66" i="8"/>
  <c r="L137" i="8"/>
  <c r="L161" i="8"/>
  <c r="L22" i="8"/>
  <c r="L54" i="8"/>
  <c r="M3" i="8"/>
  <c r="L103" i="8"/>
  <c r="L37" i="8"/>
  <c r="L122" i="8"/>
  <c r="L7" i="8"/>
  <c r="Q144" i="6" l="1"/>
  <c r="Q140" i="6"/>
  <c r="P144" i="6"/>
  <c r="P140" i="6"/>
  <c r="P153" i="7"/>
  <c r="M7" i="2"/>
  <c r="M80" i="2"/>
  <c r="M44" i="2"/>
  <c r="M95" i="2"/>
  <c r="N3" i="2"/>
  <c r="M32" i="2"/>
  <c r="M119" i="2"/>
  <c r="M61" i="2"/>
  <c r="M22" i="2"/>
  <c r="O153" i="7"/>
  <c r="S153" i="9"/>
  <c r="M137" i="5"/>
  <c r="M161" i="5"/>
  <c r="M7" i="5"/>
  <c r="M54" i="5"/>
  <c r="M122" i="5"/>
  <c r="M103" i="5"/>
  <c r="M66" i="5"/>
  <c r="N3" i="5"/>
  <c r="M83" i="5"/>
  <c r="M37" i="5"/>
  <c r="M22" i="5"/>
  <c r="R153" i="7"/>
  <c r="Q153" i="9"/>
  <c r="R153" i="9"/>
  <c r="N137" i="9"/>
  <c r="N54" i="9"/>
  <c r="N103" i="9"/>
  <c r="N37" i="9"/>
  <c r="N122" i="9"/>
  <c r="N22" i="9"/>
  <c r="O3" i="9"/>
  <c r="N66" i="9"/>
  <c r="N7" i="9"/>
  <c r="N83" i="9"/>
  <c r="N161" i="9"/>
  <c r="N95" i="4"/>
  <c r="N119" i="4"/>
  <c r="N32" i="4"/>
  <c r="N61" i="4"/>
  <c r="O3" i="4"/>
  <c r="N44" i="4"/>
  <c r="N7" i="4"/>
  <c r="N80" i="4"/>
  <c r="N22" i="4"/>
  <c r="N137" i="6"/>
  <c r="N161" i="6"/>
  <c r="N103" i="6"/>
  <c r="N7" i="6"/>
  <c r="N122" i="6"/>
  <c r="N66" i="6"/>
  <c r="N22" i="6"/>
  <c r="N37" i="6"/>
  <c r="N54" i="6"/>
  <c r="N83" i="6"/>
  <c r="M137" i="10"/>
  <c r="M103" i="10"/>
  <c r="M161" i="10"/>
  <c r="M22" i="10"/>
  <c r="M7" i="10"/>
  <c r="M66" i="10"/>
  <c r="M83" i="10"/>
  <c r="M122" i="10"/>
  <c r="N3" i="10"/>
  <c r="M54" i="10"/>
  <c r="M37" i="10"/>
  <c r="M83" i="8"/>
  <c r="M66" i="8"/>
  <c r="M137" i="8"/>
  <c r="M161" i="8"/>
  <c r="M103" i="8"/>
  <c r="N3" i="8"/>
  <c r="M22" i="8"/>
  <c r="M122" i="8"/>
  <c r="M7" i="8"/>
  <c r="M37" i="8"/>
  <c r="M54" i="8"/>
  <c r="P3" i="3"/>
  <c r="M122" i="7"/>
  <c r="M7" i="7"/>
  <c r="M137" i="7"/>
  <c r="M54" i="7"/>
  <c r="N3" i="7"/>
  <c r="M103" i="7"/>
  <c r="M83" i="7"/>
  <c r="M22" i="7"/>
  <c r="M161" i="7"/>
  <c r="M37" i="7"/>
  <c r="M66" i="7"/>
  <c r="P153" i="6" l="1"/>
  <c r="Q153" i="6"/>
  <c r="N119" i="2"/>
  <c r="N80" i="2"/>
  <c r="N22" i="2"/>
  <c r="N7" i="2"/>
  <c r="N95" i="2"/>
  <c r="N44" i="2"/>
  <c r="N32" i="2"/>
  <c r="N61" i="2"/>
  <c r="N22" i="8"/>
  <c r="N7" i="8"/>
  <c r="N37" i="5"/>
  <c r="N103" i="5"/>
  <c r="N22" i="5"/>
  <c r="N161" i="5"/>
  <c r="N66" i="5"/>
  <c r="N7" i="5"/>
  <c r="N137" i="5"/>
  <c r="N83" i="5"/>
  <c r="N122" i="5"/>
  <c r="N54" i="5"/>
  <c r="N137" i="7"/>
  <c r="N54" i="7"/>
  <c r="N161" i="7"/>
  <c r="N103" i="7"/>
  <c r="N83" i="7"/>
  <c r="N66" i="7"/>
  <c r="N22" i="7"/>
  <c r="N7" i="7"/>
  <c r="N122" i="7"/>
  <c r="N37" i="7"/>
  <c r="O3" i="7"/>
  <c r="O161" i="9"/>
  <c r="O83" i="9"/>
  <c r="O66" i="9"/>
  <c r="O7" i="9"/>
  <c r="O103" i="9"/>
  <c r="O54" i="9"/>
  <c r="O37" i="9"/>
  <c r="O137" i="9"/>
  <c r="O22" i="9"/>
  <c r="P3" i="9"/>
  <c r="O122" i="9"/>
  <c r="N137" i="8"/>
  <c r="N161" i="8"/>
  <c r="N103" i="8"/>
  <c r="N122" i="8"/>
  <c r="N66" i="8"/>
  <c r="N54" i="8"/>
  <c r="N83" i="8"/>
  <c r="O3" i="8"/>
  <c r="N37" i="8"/>
  <c r="P3" i="6"/>
  <c r="P95" i="3"/>
  <c r="P61" i="3"/>
  <c r="P44" i="3"/>
  <c r="P119" i="3"/>
  <c r="P7" i="3"/>
  <c r="P80" i="3"/>
  <c r="P22" i="3"/>
  <c r="P32" i="3"/>
  <c r="Q3" i="3"/>
  <c r="R3" i="3" s="1"/>
  <c r="S3" i="3" s="1"/>
  <c r="T3" i="3" s="1"/>
  <c r="N137" i="10"/>
  <c r="N103" i="10"/>
  <c r="N122" i="10"/>
  <c r="N83" i="10"/>
  <c r="N66" i="10"/>
  <c r="N54" i="10"/>
  <c r="N22" i="10"/>
  <c r="N37" i="10"/>
  <c r="N161" i="10"/>
  <c r="N7" i="10"/>
  <c r="O3" i="10"/>
  <c r="O119" i="4"/>
  <c r="O32" i="4"/>
  <c r="O61" i="4"/>
  <c r="O44" i="4"/>
  <c r="O80" i="4"/>
  <c r="P3" i="4"/>
  <c r="O95" i="4"/>
  <c r="O7" i="4"/>
  <c r="O22" i="4"/>
  <c r="T119" i="3" l="1"/>
  <c r="T80" i="3"/>
  <c r="T44" i="3"/>
  <c r="T7" i="3"/>
  <c r="T22" i="3"/>
  <c r="T32" i="3"/>
  <c r="T61" i="3"/>
  <c r="T95" i="3"/>
  <c r="P3" i="2"/>
  <c r="S119" i="3"/>
  <c r="S44" i="3"/>
  <c r="S22" i="3"/>
  <c r="S7" i="3"/>
  <c r="S80" i="3"/>
  <c r="S95" i="3"/>
  <c r="S61" i="3"/>
  <c r="S32" i="3"/>
  <c r="R119" i="3"/>
  <c r="R32" i="3"/>
  <c r="R61" i="3"/>
  <c r="R44" i="3"/>
  <c r="R22" i="3"/>
  <c r="R7" i="3"/>
  <c r="R80" i="3"/>
  <c r="R95" i="3"/>
  <c r="P3" i="5"/>
  <c r="O161" i="10"/>
  <c r="O7" i="10"/>
  <c r="O103" i="10"/>
  <c r="O83" i="10"/>
  <c r="O122" i="10"/>
  <c r="O137" i="10"/>
  <c r="O54" i="10"/>
  <c r="O22" i="10"/>
  <c r="O66" i="10"/>
  <c r="P3" i="10"/>
  <c r="O37" i="10"/>
  <c r="O137" i="8"/>
  <c r="O161" i="8"/>
  <c r="O103" i="8"/>
  <c r="O122" i="8"/>
  <c r="O7" i="8"/>
  <c r="O37" i="8"/>
  <c r="O66" i="8"/>
  <c r="O22" i="8"/>
  <c r="O54" i="8"/>
  <c r="P3" i="8"/>
  <c r="O83" i="8"/>
  <c r="P95" i="4"/>
  <c r="P32" i="4"/>
  <c r="P61" i="4"/>
  <c r="P44" i="4"/>
  <c r="Q3" i="4"/>
  <c r="R3" i="4" s="1"/>
  <c r="S3" i="4" s="1"/>
  <c r="T3" i="4" s="1"/>
  <c r="P7" i="4"/>
  <c r="P119" i="4"/>
  <c r="P80" i="4"/>
  <c r="P22" i="4"/>
  <c r="P161" i="9"/>
  <c r="P122" i="9"/>
  <c r="P37" i="9"/>
  <c r="P54" i="9"/>
  <c r="P103" i="9"/>
  <c r="P83" i="9"/>
  <c r="Q3" i="9"/>
  <c r="R3" i="9" s="1"/>
  <c r="S3" i="9" s="1"/>
  <c r="T3" i="9" s="1"/>
  <c r="P66" i="9"/>
  <c r="P137" i="9"/>
  <c r="P22" i="9"/>
  <c r="P7" i="9"/>
  <c r="Q119" i="3"/>
  <c r="Q80" i="3"/>
  <c r="Q22" i="3"/>
  <c r="Q32" i="3"/>
  <c r="Q7" i="3"/>
  <c r="Q44" i="3"/>
  <c r="Q61" i="3"/>
  <c r="Q95" i="3"/>
  <c r="P137" i="6"/>
  <c r="P161" i="6"/>
  <c r="P122" i="6"/>
  <c r="P66" i="6"/>
  <c r="P37" i="6"/>
  <c r="P22" i="6"/>
  <c r="Q3" i="6"/>
  <c r="R3" i="6" s="1"/>
  <c r="S3" i="6" s="1"/>
  <c r="T3" i="6" s="1"/>
  <c r="P103" i="6"/>
  <c r="P83" i="6"/>
  <c r="P54" i="6"/>
  <c r="P7" i="6"/>
  <c r="O137" i="7"/>
  <c r="O54" i="7"/>
  <c r="O161" i="7"/>
  <c r="O83" i="7"/>
  <c r="O66" i="7"/>
  <c r="O37" i="7"/>
  <c r="O103" i="7"/>
  <c r="O7" i="7"/>
  <c r="O122" i="7"/>
  <c r="O22" i="7"/>
  <c r="P3" i="7"/>
  <c r="T122" i="9" l="1"/>
  <c r="T54" i="9"/>
  <c r="T137" i="9"/>
  <c r="T7" i="9"/>
  <c r="T161" i="9"/>
  <c r="T22" i="9"/>
  <c r="T83" i="9"/>
  <c r="T66" i="9"/>
  <c r="T37" i="9"/>
  <c r="T103" i="9"/>
  <c r="T80" i="4"/>
  <c r="T22" i="4"/>
  <c r="T44" i="4"/>
  <c r="T7" i="4"/>
  <c r="T119" i="4"/>
  <c r="T95" i="4"/>
  <c r="T32" i="4"/>
  <c r="T61" i="4"/>
  <c r="T122" i="6"/>
  <c r="T7" i="6"/>
  <c r="T22" i="6"/>
  <c r="T161" i="6"/>
  <c r="T83" i="6"/>
  <c r="T37" i="6"/>
  <c r="T66" i="6"/>
  <c r="T54" i="6"/>
  <c r="T103" i="6"/>
  <c r="T137" i="6"/>
  <c r="S119" i="4"/>
  <c r="S61" i="4"/>
  <c r="S44" i="4"/>
  <c r="S22" i="4"/>
  <c r="S80" i="4"/>
  <c r="S7" i="4"/>
  <c r="S32" i="4"/>
  <c r="S95" i="4"/>
  <c r="S66" i="9"/>
  <c r="S103" i="9"/>
  <c r="S161" i="9"/>
  <c r="S122" i="9"/>
  <c r="S7" i="9"/>
  <c r="S37" i="9"/>
  <c r="S83" i="9"/>
  <c r="S54" i="9"/>
  <c r="S22" i="9"/>
  <c r="S137" i="9"/>
  <c r="S66" i="6"/>
  <c r="S83" i="6"/>
  <c r="S54" i="6"/>
  <c r="S22" i="6"/>
  <c r="S7" i="6"/>
  <c r="S137" i="6"/>
  <c r="S122" i="6"/>
  <c r="S37" i="6"/>
  <c r="S103" i="6"/>
  <c r="S161" i="6"/>
  <c r="P22" i="2"/>
  <c r="P44" i="2"/>
  <c r="P95" i="2"/>
  <c r="P7" i="2"/>
  <c r="P119" i="2"/>
  <c r="P61" i="2"/>
  <c r="P32" i="2"/>
  <c r="P80" i="2"/>
  <c r="Q3" i="2"/>
  <c r="R66" i="6"/>
  <c r="R103" i="6"/>
  <c r="R7" i="6"/>
  <c r="R83" i="6"/>
  <c r="R22" i="6"/>
  <c r="R37" i="6"/>
  <c r="R122" i="6"/>
  <c r="R54" i="6"/>
  <c r="R137" i="6"/>
  <c r="R161" i="6"/>
  <c r="R119" i="4"/>
  <c r="R95" i="4"/>
  <c r="R80" i="4"/>
  <c r="R61" i="4"/>
  <c r="R32" i="4"/>
  <c r="R7" i="4"/>
  <c r="R44" i="4"/>
  <c r="R22" i="4"/>
  <c r="R66" i="9"/>
  <c r="R22" i="9"/>
  <c r="R103" i="9"/>
  <c r="R54" i="9"/>
  <c r="R122" i="9"/>
  <c r="R83" i="9"/>
  <c r="R7" i="9"/>
  <c r="R37" i="9"/>
  <c r="R137" i="9"/>
  <c r="R161" i="9"/>
  <c r="P54" i="5"/>
  <c r="P122" i="5"/>
  <c r="Q3" i="5"/>
  <c r="P83" i="5"/>
  <c r="P161" i="5"/>
  <c r="P7" i="5"/>
  <c r="P66" i="5"/>
  <c r="P137" i="5"/>
  <c r="P22" i="5"/>
  <c r="P103" i="5"/>
  <c r="P37" i="5"/>
  <c r="Q137" i="9"/>
  <c r="Q161" i="9"/>
  <c r="Q103" i="9"/>
  <c r="Q122" i="9"/>
  <c r="Q37" i="9"/>
  <c r="Q22" i="9"/>
  <c r="Q7" i="9"/>
  <c r="Q54" i="9"/>
  <c r="Q66" i="9"/>
  <c r="Q83" i="9"/>
  <c r="P137" i="8"/>
  <c r="P161" i="8"/>
  <c r="P122" i="8"/>
  <c r="P22" i="8"/>
  <c r="P37" i="8"/>
  <c r="P66" i="8"/>
  <c r="P54" i="8"/>
  <c r="P7" i="8"/>
  <c r="P103" i="8"/>
  <c r="P83" i="8"/>
  <c r="Q3" i="8"/>
  <c r="R3" i="8" s="1"/>
  <c r="S3" i="8" s="1"/>
  <c r="T3" i="8" s="1"/>
  <c r="Q161" i="6"/>
  <c r="Q103" i="6"/>
  <c r="Q7" i="6"/>
  <c r="Q122" i="6"/>
  <c r="Q137" i="6"/>
  <c r="Q83" i="6"/>
  <c r="Q37" i="6"/>
  <c r="Q66" i="6"/>
  <c r="Q22" i="6"/>
  <c r="Q54" i="6"/>
  <c r="Q119" i="4"/>
  <c r="Q61" i="4"/>
  <c r="Q44" i="4"/>
  <c r="Q32" i="4"/>
  <c r="Q22" i="4"/>
  <c r="Q7" i="4"/>
  <c r="Q95" i="4"/>
  <c r="Q80" i="4"/>
  <c r="P137" i="7"/>
  <c r="P161" i="7"/>
  <c r="P83" i="7"/>
  <c r="P66" i="7"/>
  <c r="P37" i="7"/>
  <c r="Q3" i="7"/>
  <c r="R3" i="7" s="1"/>
  <c r="S3" i="7" s="1"/>
  <c r="T3" i="7" s="1"/>
  <c r="P103" i="7"/>
  <c r="P122" i="7"/>
  <c r="P54" i="7"/>
  <c r="P7" i="7"/>
  <c r="P22" i="7"/>
  <c r="P122" i="10"/>
  <c r="P137" i="10"/>
  <c r="P103" i="10"/>
  <c r="P83" i="10"/>
  <c r="P66" i="10"/>
  <c r="P54" i="10"/>
  <c r="P161" i="10"/>
  <c r="P22" i="10"/>
  <c r="P7" i="10"/>
  <c r="Q3" i="10"/>
  <c r="R3" i="10" s="1"/>
  <c r="S3" i="10" s="1"/>
  <c r="P37" i="10"/>
  <c r="T122" i="8" l="1"/>
  <c r="T103" i="8"/>
  <c r="T83" i="8"/>
  <c r="T7" i="8"/>
  <c r="T66" i="8"/>
  <c r="T161" i="8"/>
  <c r="T54" i="8"/>
  <c r="T137" i="8"/>
  <c r="T22" i="8"/>
  <c r="T37" i="8"/>
  <c r="T161" i="7"/>
  <c r="T122" i="7"/>
  <c r="T66" i="7"/>
  <c r="T83" i="7"/>
  <c r="T103" i="7"/>
  <c r="T54" i="7"/>
  <c r="T7" i="7"/>
  <c r="T137" i="7"/>
  <c r="T37" i="7"/>
  <c r="T22" i="7"/>
  <c r="S66" i="10"/>
  <c r="S83" i="10"/>
  <c r="S37" i="10"/>
  <c r="S54" i="10"/>
  <c r="S7" i="10"/>
  <c r="S122" i="10"/>
  <c r="S22" i="10"/>
  <c r="S137" i="10"/>
  <c r="S103" i="10"/>
  <c r="S161" i="10"/>
  <c r="S66" i="7"/>
  <c r="S37" i="7"/>
  <c r="S103" i="7"/>
  <c r="S22" i="7"/>
  <c r="S7" i="7"/>
  <c r="S137" i="7"/>
  <c r="S83" i="7"/>
  <c r="S54" i="7"/>
  <c r="S122" i="7"/>
  <c r="S161" i="7"/>
  <c r="S66" i="8"/>
  <c r="S37" i="8"/>
  <c r="S103" i="8"/>
  <c r="S7" i="8"/>
  <c r="S22" i="8"/>
  <c r="S83" i="8"/>
  <c r="S122" i="8"/>
  <c r="S137" i="8"/>
  <c r="S54" i="8"/>
  <c r="S161" i="8"/>
  <c r="R3" i="2"/>
  <c r="Q22" i="2"/>
  <c r="Q119" i="2"/>
  <c r="Q95" i="2"/>
  <c r="Q44" i="2"/>
  <c r="Q80" i="2"/>
  <c r="Q61" i="2"/>
  <c r="Q32" i="2"/>
  <c r="Q7" i="2"/>
  <c r="R66" i="8"/>
  <c r="R83" i="8"/>
  <c r="R22" i="8"/>
  <c r="R7" i="8"/>
  <c r="R103" i="8"/>
  <c r="R122" i="8"/>
  <c r="R37" i="8"/>
  <c r="R54" i="8"/>
  <c r="R137" i="8"/>
  <c r="R161" i="8"/>
  <c r="R3" i="5"/>
  <c r="S3" i="5" s="1"/>
  <c r="T3" i="5" s="1"/>
  <c r="Q103" i="5"/>
  <c r="Q66" i="5"/>
  <c r="Q22" i="5"/>
  <c r="Q137" i="5"/>
  <c r="Q7" i="5"/>
  <c r="Q122" i="5"/>
  <c r="Q37" i="5"/>
  <c r="Q161" i="5"/>
  <c r="Q83" i="5"/>
  <c r="Q54" i="5"/>
  <c r="R66" i="7"/>
  <c r="R122" i="7"/>
  <c r="R83" i="7"/>
  <c r="R37" i="7"/>
  <c r="R7" i="7"/>
  <c r="R103" i="7"/>
  <c r="R54" i="7"/>
  <c r="R137" i="7"/>
  <c r="R22" i="7"/>
  <c r="R161" i="7"/>
  <c r="R66" i="10"/>
  <c r="R22" i="10"/>
  <c r="R7" i="10"/>
  <c r="R122" i="10"/>
  <c r="R161" i="10"/>
  <c r="R37" i="10"/>
  <c r="R83" i="10"/>
  <c r="R103" i="10"/>
  <c r="R137" i="10"/>
  <c r="R54" i="10"/>
  <c r="Q137" i="7"/>
  <c r="Q161" i="7"/>
  <c r="Q83" i="7"/>
  <c r="Q66" i="7"/>
  <c r="Q37" i="7"/>
  <c r="Q103" i="7"/>
  <c r="Q22" i="7"/>
  <c r="Q122" i="7"/>
  <c r="Q54" i="7"/>
  <c r="Q7" i="7"/>
  <c r="Q161" i="8"/>
  <c r="Q122" i="8"/>
  <c r="Q7" i="8"/>
  <c r="Q66" i="8"/>
  <c r="Q54" i="8"/>
  <c r="Q83" i="8"/>
  <c r="Q137" i="8"/>
  <c r="Q37" i="8"/>
  <c r="Q103" i="8"/>
  <c r="Q22" i="8"/>
  <c r="Q122" i="10"/>
  <c r="Q37" i="10"/>
  <c r="Q137" i="10"/>
  <c r="Q66" i="10"/>
  <c r="Q83" i="10"/>
  <c r="Q7" i="10"/>
  <c r="Q103" i="10"/>
  <c r="Q161" i="10"/>
  <c r="Q54" i="10"/>
  <c r="Q22" i="10"/>
  <c r="T122" i="5" l="1"/>
  <c r="T137" i="5"/>
  <c r="T37" i="5"/>
  <c r="T161" i="5"/>
  <c r="T54" i="5"/>
  <c r="T7" i="5"/>
  <c r="T83" i="5"/>
  <c r="T103" i="5"/>
  <c r="T22" i="5"/>
  <c r="T66" i="5"/>
  <c r="S3" i="2"/>
  <c r="T3" i="2" s="1"/>
  <c r="R119" i="2"/>
  <c r="R22" i="2"/>
  <c r="R80" i="2"/>
  <c r="R95" i="2"/>
  <c r="R44" i="2"/>
  <c r="R61" i="2"/>
  <c r="R32" i="2"/>
  <c r="R7" i="2"/>
  <c r="S66" i="5"/>
  <c r="S103" i="5"/>
  <c r="S137" i="5"/>
  <c r="S54" i="5"/>
  <c r="S122" i="5"/>
  <c r="S7" i="5"/>
  <c r="S22" i="5"/>
  <c r="S37" i="5"/>
  <c r="S83" i="5"/>
  <c r="S161" i="5"/>
  <c r="R22" i="5"/>
  <c r="R161" i="5"/>
  <c r="R54" i="5"/>
  <c r="R137" i="5"/>
  <c r="R83" i="5"/>
  <c r="R66" i="5"/>
  <c r="R37" i="5"/>
  <c r="R103" i="5"/>
  <c r="R122" i="5"/>
  <c r="R7" i="5"/>
  <c r="T80" i="2" l="1"/>
  <c r="T44" i="2"/>
  <c r="T61" i="2"/>
  <c r="T119" i="2"/>
  <c r="T22" i="2"/>
  <c r="T95" i="2"/>
  <c r="T7" i="2"/>
  <c r="T32" i="2"/>
  <c r="S119" i="2"/>
  <c r="S7" i="2"/>
  <c r="S80" i="2"/>
  <c r="S61" i="2"/>
  <c r="S44" i="2"/>
  <c r="S22" i="2"/>
  <c r="S95" i="2"/>
  <c r="S32" i="2"/>
  <c r="T46" i="6" l="1"/>
  <c r="T91" i="6" s="1"/>
  <c r="T90" i="6" s="1"/>
  <c r="T41" i="5"/>
  <c r="T46" i="5" s="1"/>
  <c r="T91" i="5" s="1"/>
  <c r="S41" i="5"/>
  <c r="S46" i="6"/>
  <c r="R41" i="5"/>
  <c r="R46" i="6"/>
  <c r="S91" i="6" l="1"/>
  <c r="S46" i="5"/>
  <c r="R91" i="6"/>
  <c r="R46" i="5"/>
  <c r="R90" i="6"/>
  <c r="T90" i="5"/>
  <c r="T95" i="6"/>
  <c r="T98" i="6" s="1"/>
  <c r="S90" i="6"/>
  <c r="R91" i="5" l="1"/>
  <c r="R90" i="5" s="1"/>
  <c r="S91" i="5"/>
  <c r="S90" i="5" s="1"/>
  <c r="S95" i="5" s="1"/>
  <c r="S98" i="5" s="1"/>
  <c r="R95" i="6"/>
  <c r="R98" i="6" s="1"/>
  <c r="S95" i="6"/>
  <c r="S98" i="6" s="1"/>
  <c r="T95" i="5"/>
  <c r="T98" i="5" s="1"/>
  <c r="R95" i="5"/>
  <c r="R9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2" authorId="0" shapeId="0" xr:uid="{00000000-0006-0000-0100-000001000000}">
      <text>
        <r>
          <rPr>
            <sz val="11"/>
            <color theme="1"/>
            <rFont val="Calibri"/>
            <family val="2"/>
            <scheme val="minor"/>
          </rPr>
          <t>======
ID#AAAAki7xILs
zanial    (2022-11-28 00:58:17)
using ratio from SUT 2010</t>
        </r>
      </text>
    </comment>
  </commentList>
  <extLst>
    <ext xmlns:r="http://schemas.openxmlformats.org/officeDocument/2006/relationships" uri="GoogleSheetsCustomDataVersion1">
      <go:sheetsCustomData xmlns:go="http://customooxmlschemas.google.com/" r:id="rId1" roundtripDataSignature="AMtx7mhidzwE01eXZE9KvrkMFTwc5z8jy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Zanial Firdaus (BPS)</author>
  </authors>
  <commentList>
    <comment ref="P40" authorId="0" shapeId="0" xr:uid="{00000000-0006-0000-0400-000001000000}">
      <text>
        <r>
          <rPr>
            <sz val="11"/>
            <color theme="1"/>
            <rFont val="Calibri"/>
            <family val="2"/>
            <scheme val="minor"/>
          </rPr>
          <t>======
ID#AAAAkmjxCN4
Umi Nurlaila    (2022-11-29 20:59:56)
revisi dari 66.19190968
------
ID#AAAAkmoMCG4
Zanial Firdaus    (2022-11-30 01:55:18)
jika dilihat dari berita, data produksi yang lebih tepat sepertinya yang 66 ton, sehingga ada indikasi kalau data produksi di MODI masih underestimate</t>
        </r>
      </text>
    </comment>
    <comment ref="Q41" authorId="1" shapeId="0" xr:uid="{00000000-0006-0000-0400-000002000000}">
      <text>
        <r>
          <rPr>
            <b/>
            <sz val="9"/>
            <color indexed="81"/>
            <rFont val="Tahoma"/>
            <family val="2"/>
          </rPr>
          <t>Zanial Firdaus (BPS):</t>
        </r>
        <r>
          <rPr>
            <sz val="9"/>
            <color indexed="81"/>
            <rFont val="Tahoma"/>
            <family val="2"/>
          </rPr>
          <t xml:space="preserve">
direvisi berdasarkan data produksi bijih emas dari NB</t>
        </r>
      </text>
    </comment>
    <comment ref="R41" authorId="1" shapeId="0" xr:uid="{00000000-0006-0000-0400-000003000000}">
      <text>
        <r>
          <rPr>
            <b/>
            <sz val="9"/>
            <color indexed="81"/>
            <rFont val="Tahoma"/>
            <family val="2"/>
          </rPr>
          <t>Zanial Firdaus (BPS):</t>
        </r>
        <r>
          <rPr>
            <sz val="9"/>
            <color indexed="81"/>
            <rFont val="Tahoma"/>
            <family val="2"/>
          </rPr>
          <t xml:space="preserve">
hanya diketahui total produksi bijih emas dan bijih perak.
Untuk memisahkan dilakukan estimasi berdasarkan kenaikan output yang dideflasi</t>
        </r>
      </text>
    </comment>
    <comment ref="S41" authorId="1" shapeId="0" xr:uid="{A60C897F-E461-4DF2-8725-53437F034D82}">
      <text>
        <r>
          <rPr>
            <b/>
            <sz val="9"/>
            <color indexed="81"/>
            <rFont val="Tahoma"/>
            <family val="2"/>
          </rPr>
          <t>Zanial Firdaus (BPS):</t>
        </r>
        <r>
          <rPr>
            <sz val="9"/>
            <color indexed="81"/>
            <rFont val="Tahoma"/>
            <family val="2"/>
          </rPr>
          <t xml:space="preserve">
hanya diketahui total produksi bijih emas dan bijih perak.
Untuk memisahkan dilakukan estimasi berdasarkan kenaikan output yang dideflasi</t>
        </r>
      </text>
    </comment>
    <comment ref="T41" authorId="1" shapeId="0" xr:uid="{8B17F656-4B96-4A8D-A512-8028086A3BF4}">
      <text>
        <r>
          <rPr>
            <b/>
            <sz val="9"/>
            <color indexed="81"/>
            <rFont val="Tahoma"/>
            <family val="2"/>
          </rPr>
          <t>Zanial Firdaus (BPS):</t>
        </r>
        <r>
          <rPr>
            <sz val="9"/>
            <color indexed="81"/>
            <rFont val="Tahoma"/>
            <family val="2"/>
          </rPr>
          <t xml:space="preserve">
hanya diketahui total produksi bijih emas dan bijih perak.
Untuk memisahkan dilakukan estimasi berdasarkan kenaikan output yang dideflasi</t>
        </r>
      </text>
    </comment>
  </commentList>
  <extLst>
    <ext xmlns:r="http://schemas.openxmlformats.org/officeDocument/2006/relationships" uri="GoogleSheetsCustomDataVersion1">
      <go:sheetsCustomData xmlns:go="http://customooxmlschemas.google.com/" r:id="rId1" roundtripDataSignature="AMtx7mhxQOYhO8Y7Rl2PmgfCwPXaqPfXI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P40" authorId="0" shapeId="0" xr:uid="{00000000-0006-0000-0500-000001000000}">
      <text>
        <r>
          <rPr>
            <sz val="11"/>
            <color theme="1"/>
            <rFont val="Calibri"/>
            <family val="2"/>
            <scheme val="minor"/>
          </rPr>
          <t>======
ID#AAAAkxtSLd0
Suko Haryono    (2022-11-29 02:56:52)
Prev: 338.09591648
------
ID#AAAAkmoMCHA
Zanial Firdaus    (2022-11-30 02:09:42)
jika dilihat dari berita, data produksi yang lebih tepat sepertinya yang 338 ton, sehingga ada indikasi kalau data produksi di MODI masih underestimate</t>
        </r>
      </text>
    </comment>
  </commentList>
  <extLst>
    <ext xmlns:r="http://schemas.openxmlformats.org/officeDocument/2006/relationships" uri="GoogleSheetsCustomDataVersion1">
      <go:sheetsCustomData xmlns:go="http://customooxmlschemas.google.com/" r:id="rId1" roundtripDataSignature="AMtx7mj58fBx2Odu+o94f5/4sdHoDKRkl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Zanial Firdaus (BPS)</author>
    <author>BPS Client</author>
    <author/>
  </authors>
  <commentList>
    <comment ref="R40" authorId="0" shapeId="0" xr:uid="{00000000-0006-0000-0600-000001000000}">
      <text>
        <r>
          <rPr>
            <sz val="9"/>
            <color indexed="81"/>
            <rFont val="Tahoma"/>
            <family val="2"/>
          </rPr>
          <t xml:space="preserve">Data produksi diperoleh dari Ditjen Minerba melalui MOMS.esdm.go.id s/d Desember Tahun 2022 (dikutip dari Tabel 3 Publikasi Neraca SD dan Cadangan Minerba 2022 dari Badan Geologi) : 132.873.238
Data diupdate pada Publikasi Neraca SD dan Cadangan Minerba 2023
</t>
        </r>
      </text>
    </comment>
    <comment ref="S40" authorId="0" shapeId="0" xr:uid="{7DBE7F5A-2C95-44DC-BA9B-F20BE93BD85B}">
      <text>
        <r>
          <rPr>
            <b/>
            <sz val="9"/>
            <color indexed="81"/>
            <rFont val="Tahoma"/>
            <family val="2"/>
          </rPr>
          <t xml:space="preserve">Chaterina D. Puspita:
</t>
        </r>
        <r>
          <rPr>
            <sz val="9"/>
            <color indexed="81"/>
            <rFont val="Tahoma"/>
            <family val="2"/>
          </rPr>
          <t xml:space="preserve">Data produksi diestimasi dari pertumbuhan produksi tembaga dari NB,
</t>
        </r>
      </text>
    </comment>
    <comment ref="T40" authorId="1" shapeId="0" xr:uid="{029BB29D-4F6E-4B7C-8F10-D859CFFA437F}">
      <text>
        <r>
          <rPr>
            <b/>
            <sz val="9"/>
            <color indexed="81"/>
            <rFont val="Tahoma"/>
            <charset val="1"/>
          </rPr>
          <t>BPS Client:</t>
        </r>
        <r>
          <rPr>
            <sz val="9"/>
            <color indexed="81"/>
            <rFont val="Tahoma"/>
            <charset val="1"/>
          </rPr>
          <t xml:space="preserve">
Data produksi diestimasi dari pertumbuhan produksi tembaga dari NB,
</t>
        </r>
      </text>
    </comment>
    <comment ref="B42" authorId="2" shapeId="0" xr:uid="{00000000-0006-0000-0600-000002000000}">
      <text>
        <r>
          <rPr>
            <sz val="11"/>
            <color theme="1"/>
            <rFont val="Calibri"/>
            <family val="2"/>
            <scheme val="minor"/>
          </rPr>
          <t>Zanial    (2022-11-28 00:58:17)
Estimated from the volume of copper concentrate mined (BPS) less the estimated volume of copper concentrate processed into copper cathode (MEMR) as there might be some copper concentrates that had not been processed yet</t>
        </r>
      </text>
    </comment>
    <comment ref="P43" authorId="2" shapeId="0" xr:uid="{00000000-0006-0000-0600-000003000000}">
      <text>
        <r>
          <rPr>
            <sz val="11"/>
            <color theme="1"/>
            <rFont val="Calibri"/>
            <family val="2"/>
            <scheme val="minor"/>
          </rPr>
          <t>======
ID#AAAAk8Hjiug
hanaa prisityowati    (2022-11-29 13:04:14)
berubah mengikuti modi 29.11.22</t>
        </r>
      </text>
    </comment>
  </commentList>
  <extLst>
    <ext xmlns:r="http://schemas.openxmlformats.org/officeDocument/2006/relationships" uri="GoogleSheetsCustomDataVersion1">
      <go:sheetsCustomData xmlns:go="http://customooxmlschemas.google.com/" r:id="rId1" roundtripDataSignature="AMtx7mi+snCVwfGs2yO9EOgINq29nEcgzA=="/>
    </ext>
  </extLst>
</comments>
</file>

<file path=xl/sharedStrings.xml><?xml version="1.0" encoding="utf-8"?>
<sst xmlns="http://schemas.openxmlformats.org/spreadsheetml/2006/main" count="2146" uniqueCount="277">
  <si>
    <t>CRUDE OIL</t>
  </si>
  <si>
    <t>Year</t>
  </si>
  <si>
    <t>Table 1. Reserves and Resources as of 31 December</t>
  </si>
  <si>
    <t>No.</t>
  </si>
  <si>
    <t>Description</t>
  </si>
  <si>
    <t>Unit</t>
  </si>
  <si>
    <t>RESERVES</t>
  </si>
  <si>
    <t>million barrel</t>
  </si>
  <si>
    <t xml:space="preserve"> - Proven</t>
  </si>
  <si>
    <t xml:space="preserve"> - Potential</t>
  </si>
  <si>
    <t>RESOURCES</t>
  </si>
  <si>
    <t xml:space="preserve"> - Hypothetic</t>
  </si>
  <si>
    <t xml:space="preserve"> - Inferred</t>
  </si>
  <si>
    <t xml:space="preserve"> - Indicated</t>
  </si>
  <si>
    <t xml:space="preserve"> - Measured</t>
  </si>
  <si>
    <t>Source: Ministry of Mineral and Energy Resources</t>
  </si>
  <si>
    <t>Table 2. Domestic Production</t>
  </si>
  <si>
    <t>Quantity</t>
  </si>
  <si>
    <t>barrel</t>
  </si>
  <si>
    <t>Price</t>
  </si>
  <si>
    <t>IDR/barrel</t>
  </si>
  <si>
    <t>Output</t>
  </si>
  <si>
    <t>million IDR</t>
  </si>
  <si>
    <t>Source: Good Accounts Subdirectorate, BPS-Statistics Indonesia</t>
  </si>
  <si>
    <t>Table 3. Establishment Input</t>
  </si>
  <si>
    <t>Intermediate Consumption
(including taxes and products)</t>
  </si>
  <si>
    <t>Compensation of employees</t>
  </si>
  <si>
    <t>Other taxes and subsidies on production</t>
  </si>
  <si>
    <t>Gross Operating Surplus</t>
  </si>
  <si>
    <t>Total Input</t>
  </si>
  <si>
    <t>Source: Input-Output Table, BPS-Statistics Indonesia</t>
  </si>
  <si>
    <t>Table 4. Estimation of Resource Rent</t>
  </si>
  <si>
    <t>Intermediate consumption</t>
  </si>
  <si>
    <t>Gross operating surplus</t>
  </si>
  <si>
    <t>Specific taxes and subsidies on extraction</t>
  </si>
  <si>
    <t>Consumption of fixed capital</t>
  </si>
  <si>
    <t>Return to produced assets</t>
  </si>
  <si>
    <t>Resource Rent</t>
  </si>
  <si>
    <t>Quantity of resource extracted</t>
  </si>
  <si>
    <t>Per unit resource rent</t>
  </si>
  <si>
    <t>Table 5. Physical Asset Account</t>
  </si>
  <si>
    <t>Opening Stock</t>
  </si>
  <si>
    <t>miliion barrel</t>
  </si>
  <si>
    <t>Addition to stock</t>
  </si>
  <si>
    <t xml:space="preserve"> - Discoveries</t>
  </si>
  <si>
    <t xml:space="preserve"> - Upward Reappraisals</t>
  </si>
  <si>
    <t xml:space="preserve"> - Reclassifications</t>
  </si>
  <si>
    <t>Reduction in stock</t>
  </si>
  <si>
    <t xml:space="preserve"> - Extraction</t>
  </si>
  <si>
    <t xml:space="preserve"> - Catastrophic Losses</t>
  </si>
  <si>
    <t xml:space="preserve"> - Downward Reappraisals</t>
  </si>
  <si>
    <t>Other Changes in stock</t>
  </si>
  <si>
    <t>Closing Stock</t>
  </si>
  <si>
    <t>Consistency Check</t>
  </si>
  <si>
    <t>Table 6. Net Present Value</t>
  </si>
  <si>
    <t>Price per unit of resource extracted (PS)</t>
  </si>
  <si>
    <t>Quantity of resource extracted (S)</t>
  </si>
  <si>
    <t>Resource Rent (RR)</t>
  </si>
  <si>
    <t>billion IDR</t>
  </si>
  <si>
    <t>Number of remaining periods of extraction (N)</t>
  </si>
  <si>
    <t>year</t>
  </si>
  <si>
    <t>Discount Rate (r)</t>
  </si>
  <si>
    <t>Discount factor</t>
  </si>
  <si>
    <t>Present value of stock at the end of period (V)</t>
  </si>
  <si>
    <t>Quantity of resource in the ground (X)</t>
  </si>
  <si>
    <t>Price per unit of resource in the ground (P)</t>
  </si>
  <si>
    <t>Table 7. Monetary Asset Account</t>
  </si>
  <si>
    <t xml:space="preserve"> - Depletion</t>
  </si>
  <si>
    <t>Other changes in stock</t>
  </si>
  <si>
    <t>Revaluation</t>
  </si>
  <si>
    <t>ADDITIONAL INFORMATION</t>
  </si>
  <si>
    <t>Table 8. Input of Extraction of Crude Petroleum Industry</t>
  </si>
  <si>
    <t>Intermediate Consumption
(including taxes less subsidies on products)</t>
  </si>
  <si>
    <t>Net Operating Surplus</t>
  </si>
  <si>
    <t>Other taxes on production</t>
  </si>
  <si>
    <t>Other subsidies on production (-)</t>
  </si>
  <si>
    <t>Source: Supply and Use Table, BPS-Statistics Indonesia</t>
  </si>
  <si>
    <t>NATURAL GAS</t>
  </si>
  <si>
    <t>MSCF</t>
  </si>
  <si>
    <t>IDR/MSCF</t>
  </si>
  <si>
    <t>BSCF</t>
  </si>
  <si>
    <t>Table 8. Input of Extraction of Natural Gas Industry</t>
  </si>
  <si>
    <t>COAL</t>
  </si>
  <si>
    <t>million tons</t>
  </si>
  <si>
    <t>ton</t>
  </si>
  <si>
    <t>IDR/ton</t>
  </si>
  <si>
    <t>million ton</t>
  </si>
  <si>
    <t>Table 8. Input of Mining of Coal and Lignite Industry</t>
  </si>
  <si>
    <t>PRIMARY GOLD</t>
  </si>
  <si>
    <t>Table 1. Gross Ore Reserves and Resources as of 31 December</t>
  </si>
  <si>
    <t>Table 2. Metal Content Reserves and Resources as of 31 December</t>
  </si>
  <si>
    <t>Table 3. Domestic Production</t>
  </si>
  <si>
    <t>Production</t>
  </si>
  <si>
    <t xml:space="preserve"> - Gold Metal</t>
  </si>
  <si>
    <t>Quantity measured as Metal Content</t>
  </si>
  <si>
    <t>Quantity measured as Gross Ore</t>
  </si>
  <si>
    <t>million IDR/ton</t>
  </si>
  <si>
    <t>Table 4. Establishment Input</t>
  </si>
  <si>
    <t>Table 5. Estimation of Resource Rent</t>
  </si>
  <si>
    <t>Quantity of resource extracted (metal content)</t>
  </si>
  <si>
    <t>Table 6. Physical Asset Account (in gross ore)</t>
  </si>
  <si>
    <t>Table 7. Physical Asset Account (in metal content)</t>
  </si>
  <si>
    <t>Table 8. Net Present Value</t>
  </si>
  <si>
    <t>Table 9. Monetary Asset Account</t>
  </si>
  <si>
    <t>Table 10. Input of Mining of Gold Ores Industry</t>
  </si>
  <si>
    <t>SILVER</t>
  </si>
  <si>
    <t xml:space="preserve"> - Silver Metal</t>
  </si>
  <si>
    <t>thousand ton</t>
  </si>
  <si>
    <t>Table 10. Input of Mining of Silver Ores Industry</t>
  </si>
  <si>
    <t>COPPER</t>
  </si>
  <si>
    <t xml:space="preserve"> - Copper Ore</t>
  </si>
  <si>
    <t xml:space="preserve"> - Copper Metal</t>
  </si>
  <si>
    <t xml:space="preserve"> - Copper Concentrate</t>
  </si>
  <si>
    <t xml:space="preserve"> - Copper Cathode</t>
  </si>
  <si>
    <t>thousand IDR/ton</t>
  </si>
  <si>
    <t>thousand IDR/ ton</t>
  </si>
  <si>
    <t>Table 10. Input of Mining of Copper Ores Industry</t>
  </si>
  <si>
    <t>TIN</t>
  </si>
  <si>
    <t>*)</t>
  </si>
  <si>
    <t>in cubic metres</t>
  </si>
  <si>
    <t xml:space="preserve"> - Tin Metal</t>
  </si>
  <si>
    <t>Table 10. Input of Mining of Tin Ores Industry</t>
  </si>
  <si>
    <t>NICKEL</t>
  </si>
  <si>
    <t xml:space="preserve"> - Nickel Ore</t>
  </si>
  <si>
    <t xml:space="preserve"> - Nickel Matte</t>
  </si>
  <si>
    <t xml:space="preserve"> - Ferronickel</t>
  </si>
  <si>
    <t xml:space="preserve"> - Nickel Pig Iron</t>
  </si>
  <si>
    <t>Table 10. Input of Mining of Nickel Ores Industry</t>
  </si>
  <si>
    <t>BAUXITE</t>
  </si>
  <si>
    <t xml:space="preserve"> - Bauxite Ore</t>
  </si>
  <si>
    <t xml:space="preserve"> - Alumina (CGA)</t>
  </si>
  <si>
    <t xml:space="preserve"> - Alumina (SGA)</t>
  </si>
  <si>
    <t>Table 10. Input of Mining of Bauxite Ores Industry</t>
  </si>
  <si>
    <t>Tabel 1. Daftar Kuotasi Harga SUN Seri Benchmark Harian</t>
  </si>
  <si>
    <t>Tahun</t>
  </si>
  <si>
    <t>Tanggal</t>
  </si>
  <si>
    <t>5 Y</t>
  </si>
  <si>
    <t>FR</t>
  </si>
  <si>
    <t>FR0069</t>
  </si>
  <si>
    <t>FR0053</t>
  </si>
  <si>
    <t>FR0061</t>
  </si>
  <si>
    <t>FR0063</t>
  </si>
  <si>
    <t>FR0077</t>
  </si>
  <si>
    <t>FR0081</t>
  </si>
  <si>
    <t>FR0086</t>
  </si>
  <si>
    <t>FR %</t>
  </si>
  <si>
    <t>End Date</t>
  </si>
  <si>
    <t>Harga / Price</t>
  </si>
  <si>
    <t>Yield</t>
  </si>
  <si>
    <t>10 Y</t>
  </si>
  <si>
    <t>FR0070</t>
  </si>
  <si>
    <t>FR0056</t>
  </si>
  <si>
    <t>FR0059</t>
  </si>
  <si>
    <t>FR0064</t>
  </si>
  <si>
    <t>FR0078</t>
  </si>
  <si>
    <t>FR0082</t>
  </si>
  <si>
    <t>FR0087</t>
  </si>
  <si>
    <t>15 Y</t>
  </si>
  <si>
    <t>FR0071</t>
  </si>
  <si>
    <t>FR0073</t>
  </si>
  <si>
    <t>FR0074</t>
  </si>
  <si>
    <t>FR0065</t>
  </si>
  <si>
    <t>FR0068</t>
  </si>
  <si>
    <t>FR0080</t>
  </si>
  <si>
    <t>FR0088</t>
  </si>
  <si>
    <t>20 Y</t>
  </si>
  <si>
    <t>FR0072</t>
  </si>
  <si>
    <t>FR0075</t>
  </si>
  <si>
    <t>FR0079</t>
  </si>
  <si>
    <t>FR0083</t>
  </si>
  <si>
    <t>Tabel 2. Social Discount Rate</t>
  </si>
  <si>
    <t>Sumber</t>
  </si>
  <si>
    <t>Rate</t>
  </si>
  <si>
    <t>Choice</t>
  </si>
  <si>
    <t>World Bank</t>
  </si>
  <si>
    <t>ADB</t>
  </si>
  <si>
    <t>Eurostat</t>
  </si>
  <si>
    <t>EPA</t>
  </si>
  <si>
    <t>Env NDP</t>
  </si>
  <si>
    <t>GDP</t>
  </si>
  <si>
    <t>HFCE</t>
  </si>
  <si>
    <t>Notes:</t>
  </si>
  <si>
    <t>Discount rate used in the NPV formula is not social discount rate yet. It uses government bond rate as discount rate.</t>
  </si>
  <si>
    <t>Resource rent used in the NPV formula is still constant for all remaining periods of extraction, using present resource rent. It should be expected future resource rent over N periods which is calculated with general rate of inflation</t>
  </si>
  <si>
    <t>Future extraction profile is assumed to be constant as the recent extraction.</t>
  </si>
  <si>
    <t>No</t>
  </si>
  <si>
    <t>Produk</t>
  </si>
  <si>
    <t>Jenis Logam</t>
  </si>
  <si>
    <t>Kadar</t>
  </si>
  <si>
    <t xml:space="preserve">Sumber </t>
  </si>
  <si>
    <t>Keterangan</t>
  </si>
  <si>
    <t>Nickel Pig Iron</t>
  </si>
  <si>
    <t>Nickel (low grade)</t>
  </si>
  <si>
    <t>1,6-1,7%</t>
  </si>
  <si>
    <t xml:space="preserve">Zulhan, Zulfiadi dkk. Permodelan Proses Pembuatan Nickel Pig Iron (NPI) dengan Blast Furnace untuk Menentukan Kebutuhan Kokas, Kompoisi Produk dan Terak serta Kapasitas Pabrik sebagai Fungsi dari Kandungan Nikel di Bijih dan Volume Blast Furnace. The 3rd Indonesian Process Metallurgy Conference (IPM III) 2012 </t>
  </si>
  <si>
    <t>-</t>
  </si>
  <si>
    <t>Nickel (medium grade)</t>
  </si>
  <si>
    <t>4-6%</t>
  </si>
  <si>
    <t>Nickel(high grade)</t>
  </si>
  <si>
    <t>10-15%</t>
  </si>
  <si>
    <t>Nickel</t>
  </si>
  <si>
    <t>&lt;15%</t>
  </si>
  <si>
    <t>Jamali, Adil dkk. Proses Dekarburisasi Nickel Pig Iron. Majalah Metalurgi, V 29.2.2014</t>
  </si>
  <si>
    <t>5%-10%</t>
  </si>
  <si>
    <t>tawadascientific.com</t>
  </si>
  <si>
    <t>Nickel yang digunakan merupakan nickel leburan dari nickel jenis limonit</t>
  </si>
  <si>
    <t>Ferronickel</t>
  </si>
  <si>
    <t>&gt;30%</t>
  </si>
  <si>
    <t>Antam</t>
  </si>
  <si>
    <t>20-24%</t>
  </si>
  <si>
    <t>PT CNI (via Mediaindonesia.com)</t>
  </si>
  <si>
    <t>Nickel Matte</t>
  </si>
  <si>
    <t>70-78%</t>
  </si>
  <si>
    <t>Vale Indonesia(via Kumparan.com)</t>
  </si>
  <si>
    <t>R Subagja. Nickel Extraction from Nickel Matte. Mineral Processing and Technology International Conference 2017</t>
  </si>
  <si>
    <t>Katoda Tembaga</t>
  </si>
  <si>
    <t>Tembaga</t>
  </si>
  <si>
    <t>worldcommoditytraders.com</t>
  </si>
  <si>
    <t>katoda tembaga merupakan katoda yang dibuat menggunakan tembaga</t>
  </si>
  <si>
    <t>Alumina</t>
  </si>
  <si>
    <t>Bauksit</t>
  </si>
  <si>
    <t>whole google</t>
  </si>
  <si>
    <t>Table 1. General conversion factors from metal content towards gross ore, and ore concentrate towards gross ore 'run-of-mine'</t>
  </si>
  <si>
    <t>Metal</t>
  </si>
  <si>
    <t>% of pure metal content in gross ore</t>
  </si>
  <si>
    <t>% of concentrate content in gross ore</t>
  </si>
  <si>
    <t>% of pure metal content in concentrate</t>
  </si>
  <si>
    <t>Iron</t>
  </si>
  <si>
    <t>Copper</t>
  </si>
  <si>
    <t>Lead</t>
  </si>
  <si>
    <t>Zinc</t>
  </si>
  <si>
    <t>Tin</t>
  </si>
  <si>
    <t>Gold</t>
  </si>
  <si>
    <t>Aluminium</t>
  </si>
  <si>
    <t>Silver</t>
  </si>
  <si>
    <t>Uranium</t>
  </si>
  <si>
    <t>NICKEL (USD/dmt)</t>
  </si>
  <si>
    <t>January</t>
  </si>
  <si>
    <t>February</t>
  </si>
  <si>
    <t>March</t>
  </si>
  <si>
    <t>April</t>
  </si>
  <si>
    <t>May</t>
  </si>
  <si>
    <t>June</t>
  </si>
  <si>
    <t>July</t>
  </si>
  <si>
    <t>August</t>
  </si>
  <si>
    <t>September</t>
  </si>
  <si>
    <t>October</t>
  </si>
  <si>
    <t>November</t>
  </si>
  <si>
    <t>December</t>
  </si>
  <si>
    <t>FR0090</t>
  </si>
  <si>
    <t>FR0091</t>
  </si>
  <si>
    <t>FR0093</t>
  </si>
  <si>
    <t>FR0092</t>
  </si>
  <si>
    <t>Laporan Kinerja</t>
  </si>
  <si>
    <t>Direktorat Jenderal Mineral dan Batubara</t>
  </si>
  <si>
    <t>Kementerian Energi dan Sumber Daya Mineral</t>
  </si>
  <si>
    <t>NO</t>
  </si>
  <si>
    <t>MINERAL</t>
  </si>
  <si>
    <t>Emas dan Perak</t>
  </si>
  <si>
    <t>Tembaga (Bijih)</t>
  </si>
  <si>
    <t>Tembaga (Konsentrat)</t>
  </si>
  <si>
    <t>Timah</t>
  </si>
  <si>
    <t>Nikel</t>
  </si>
  <si>
    <t>Tabel 1. Total Produksi Mineral yang Ditambang (juta ton)</t>
  </si>
  <si>
    <t>Tabel 2. Material yang Diproses di Dalam Negeri (juta ton)</t>
  </si>
  <si>
    <t>n.a.</t>
  </si>
  <si>
    <t xml:space="preserve"> - Gold Ore</t>
  </si>
  <si>
    <t xml:space="preserve"> - Silver Ore</t>
  </si>
  <si>
    <t>Tabel 3. Rasio Pengolahan Raw Material terhadap Bijih yang Ditambang</t>
  </si>
  <si>
    <t>:</t>
  </si>
  <si>
    <t>FR0095</t>
  </si>
  <si>
    <t>FR0096</t>
  </si>
  <si>
    <t>FR0098</t>
  </si>
  <si>
    <t>FR0097</t>
  </si>
  <si>
    <t>Source: Directorate General of Budget Financing and Risk Management, Ministry of Finance (https://www.djppr.kemenkeu.go.id/daftarkuotasihargasbnseribenchmarkmingguan)</t>
  </si>
  <si>
    <t>FR0101</t>
  </si>
  <si>
    <t>FR0100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</si>
</sst>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0_);\(0\)"/>
    <numFmt numFmtId="165" formatCode="#,##0.0000"/>
    <numFmt numFmtId="166" formatCode="_-* #,##0_-;\-* #,##0_-;_-* &quot;-&quot;_-;_-@"/>
    <numFmt numFmtId="167" formatCode="0.0000"/>
    <numFmt numFmtId="168" formatCode="d&quot;-&quot;mmm&quot;-&quot;yyyy"/>
    <numFmt numFmtId="169" formatCode="#,##0.00_ ;[Red]\-#,##0.00\ "/>
    <numFmt numFmtId="170" formatCode="_-* #,##0.00_-;\-* #,##0.00_-;_-* &quot;-&quot;_-;_-@_-"/>
    <numFmt numFmtId="171" formatCode="_-* #,##0.0000_-;\-* #,##0.0000_-;_-* &quot;-&quot;_-;_-@_-"/>
    <numFmt numFmtId="172" formatCode="_-* #,##0.000000_-;\-* #,##0.000000_-;_-* &quot;-&quot;_-;_-@_-"/>
    <numFmt numFmtId="173" formatCode="0.00000000"/>
    <numFmt numFmtId="174" formatCode="_-* #,##0.0_-;\-* #,##0.0_-;_-* &quot;-&quot;_-;_-@_-"/>
    <numFmt numFmtId="175" formatCode="_-* #,##0.00000_-;\-* #,##0.00000_-;_-* &quot;-&quot;_-;_-@_-"/>
    <numFmt numFmtId="176" formatCode="_-* #,##0.0_-;\-* #,##0.0_-;_-* &quot;-&quot;?_-;_-@_-"/>
    <numFmt numFmtId="177" formatCode="_ * #,##0.00_ ;_ * \-#,##0.00_ ;_ * &quot;-&quot;??_ ;_ @_ "/>
  </numFmts>
  <fonts count="32">
    <font>
      <sz val="11"/>
      <color theme="1"/>
      <name val="Calibri"/>
      <scheme val="minor"/>
    </font>
    <font>
      <sz val="11"/>
      <color theme="1"/>
      <name val="Calibri"/>
      <family val="2"/>
      <scheme val="minor"/>
    </font>
    <font>
      <sz val="10"/>
      <color theme="1"/>
      <name val="Quattrocento Sans"/>
    </font>
    <font>
      <b/>
      <sz val="10"/>
      <color theme="1"/>
      <name val="Quattrocento Sans"/>
    </font>
    <font>
      <sz val="10"/>
      <color theme="0"/>
      <name val="Quattrocento Sans"/>
    </font>
    <font>
      <i/>
      <sz val="10"/>
      <color theme="1"/>
      <name val="Quattrocento Sans"/>
    </font>
    <font>
      <b/>
      <i/>
      <sz val="10"/>
      <color theme="1"/>
      <name val="Quattrocento Sans"/>
    </font>
    <font>
      <sz val="9"/>
      <color rgb="FF000000"/>
      <name val="Quattrocento Sans"/>
    </font>
    <font>
      <b/>
      <sz val="9"/>
      <color rgb="FF000000"/>
      <name val="Quattrocento Sans"/>
    </font>
    <font>
      <b/>
      <sz val="10"/>
      <color theme="0"/>
      <name val="Quattrocento Sans"/>
    </font>
    <font>
      <b/>
      <i/>
      <sz val="10"/>
      <color theme="0"/>
      <name val="Quattrocento Sans"/>
    </font>
    <font>
      <sz val="11"/>
      <color theme="1"/>
      <name val="Calibri"/>
      <family val="2"/>
    </font>
    <font>
      <sz val="11"/>
      <color theme="1"/>
      <name val="Arial"/>
      <family val="2"/>
    </font>
    <font>
      <sz val="11"/>
      <color theme="0"/>
      <name val="Calibri"/>
      <family val="2"/>
    </font>
    <font>
      <sz val="11"/>
      <name val="Calibri"/>
      <family val="2"/>
    </font>
    <font>
      <sz val="11"/>
      <color rgb="FFFFFFFF"/>
      <name val="Calibri"/>
      <family val="2"/>
    </font>
    <font>
      <b/>
      <sz val="10"/>
      <color theme="0"/>
      <name val="Arial"/>
      <family val="2"/>
    </font>
    <font>
      <b/>
      <sz val="11"/>
      <color theme="1"/>
      <name val="Arial"/>
      <family val="2"/>
    </font>
    <font>
      <sz val="11"/>
      <color theme="1"/>
      <name val="Calibri"/>
      <family val="2"/>
      <scheme val="minor"/>
    </font>
    <font>
      <sz val="9"/>
      <color indexed="81"/>
      <name val="Tahoma"/>
      <family val="2"/>
    </font>
    <font>
      <b/>
      <sz val="9"/>
      <color indexed="81"/>
      <name val="Tahoma"/>
      <family val="2"/>
    </font>
    <font>
      <sz val="11"/>
      <color theme="1"/>
      <name val="Segoe UI"/>
      <family val="2"/>
    </font>
    <font>
      <sz val="12"/>
      <color theme="1"/>
      <name val="Segoe UI Black"/>
      <family val="2"/>
    </font>
    <font>
      <sz val="10"/>
      <color theme="1"/>
      <name val="Segoe UI Semibold"/>
      <family val="2"/>
    </font>
    <font>
      <sz val="10"/>
      <color theme="1"/>
      <name val="Segoe UI"/>
      <family val="2"/>
    </font>
    <font>
      <sz val="11"/>
      <color theme="1"/>
      <name val="Calibri"/>
      <scheme val="minor"/>
    </font>
    <font>
      <b/>
      <sz val="10"/>
      <color theme="1"/>
      <name val="Quattrocento Sans"/>
      <family val="2"/>
    </font>
    <font>
      <sz val="10"/>
      <color theme="1"/>
      <name val="Quattrocento Sans"/>
      <family val="2"/>
    </font>
    <font>
      <sz val="9"/>
      <color indexed="81"/>
      <name val="Tahoma"/>
      <charset val="1"/>
    </font>
    <font>
      <sz val="11"/>
      <color theme="1"/>
      <name val="Calibri"/>
      <charset val="134"/>
      <scheme val="minor"/>
    </font>
    <font>
      <sz val="11"/>
      <color rgb="FF000000"/>
      <name val="Calibri"/>
      <family val="2"/>
    </font>
    <font>
      <b/>
      <sz val="9"/>
      <color indexed="81"/>
      <name val="Tahoma"/>
      <charset val="1"/>
    </font>
  </fonts>
  <fills count="22">
    <fill>
      <patternFill patternType="none"/>
    </fill>
    <fill>
      <patternFill patternType="gray125"/>
    </fill>
    <fill>
      <patternFill patternType="solid">
        <fgColor rgb="FF92D050"/>
        <bgColor rgb="FF92D050"/>
      </patternFill>
    </fill>
    <fill>
      <patternFill patternType="solid">
        <fgColor rgb="FF7F7F7F"/>
        <bgColor rgb="FF7F7F7F"/>
      </patternFill>
    </fill>
    <fill>
      <patternFill patternType="solid">
        <fgColor rgb="FFE2EFD9"/>
        <bgColor rgb="FFE2EFD9"/>
      </patternFill>
    </fill>
    <fill>
      <patternFill patternType="solid">
        <fgColor rgb="FFFEF2CB"/>
        <bgColor rgb="FFFEF2CB"/>
      </patternFill>
    </fill>
    <fill>
      <patternFill patternType="solid">
        <fgColor rgb="FFFFFF00"/>
        <bgColor rgb="FFFFFF00"/>
      </patternFill>
    </fill>
    <fill>
      <patternFill patternType="solid">
        <fgColor rgb="FF00B0F0"/>
        <bgColor rgb="FF00B0F0"/>
      </patternFill>
    </fill>
    <fill>
      <patternFill patternType="solid">
        <fgColor rgb="FFC00000"/>
        <bgColor rgb="FFC00000"/>
      </patternFill>
    </fill>
    <fill>
      <patternFill patternType="solid">
        <fgColor rgb="FFFFDDDD"/>
        <bgColor rgb="FFFFDDDD"/>
      </patternFill>
    </fill>
    <fill>
      <patternFill patternType="solid">
        <fgColor rgb="FFA67C00"/>
        <bgColor rgb="FFA67C00"/>
      </patternFill>
    </fill>
    <fill>
      <patternFill patternType="solid">
        <fgColor rgb="FFA8A9AD"/>
        <bgColor rgb="FFA8A9AD"/>
      </patternFill>
    </fill>
    <fill>
      <patternFill patternType="solid">
        <fgColor rgb="FF7030A0"/>
        <bgColor rgb="FF7030A0"/>
      </patternFill>
    </fill>
    <fill>
      <patternFill patternType="solid">
        <fgColor rgb="FF8496B0"/>
        <bgColor rgb="FF8496B0"/>
      </patternFill>
    </fill>
    <fill>
      <patternFill patternType="solid">
        <fgColor rgb="FF002060"/>
        <bgColor rgb="FF002060"/>
      </patternFill>
    </fill>
    <fill>
      <patternFill patternType="solid">
        <fgColor rgb="FFFFC000"/>
        <bgColor rgb="FFFFC000"/>
      </patternFill>
    </fill>
    <fill>
      <patternFill patternType="solid">
        <fgColor rgb="FF4C1130"/>
        <bgColor rgb="FF4C1130"/>
      </patternFill>
    </fill>
    <fill>
      <patternFill patternType="solid">
        <fgColor rgb="FF385623"/>
        <bgColor rgb="FF385623"/>
      </patternFill>
    </fill>
    <fill>
      <patternFill patternType="solid">
        <fgColor rgb="FFFFD965"/>
        <bgColor rgb="FFFFD965"/>
      </patternFill>
    </fill>
    <fill>
      <patternFill patternType="solid">
        <fgColor rgb="FFFFE598"/>
        <bgColor rgb="FFFFE598"/>
      </patternFill>
    </fill>
    <fill>
      <patternFill patternType="solid">
        <fgColor rgb="FFFFFF00"/>
        <bgColor indexed="64"/>
      </patternFill>
    </fill>
    <fill>
      <patternFill patternType="solid">
        <fgColor rgb="FFFFC000"/>
        <bgColor indexed="64"/>
      </patternFill>
    </fill>
  </fills>
  <borders count="21">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style="thin">
        <color rgb="FF000000"/>
      </right>
      <top style="thin">
        <color rgb="FF000000"/>
      </top>
      <bottom style="medium">
        <color rgb="FFFFFFFF"/>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ck">
        <color rgb="FF000000"/>
      </bottom>
      <diagonal/>
    </border>
    <border>
      <left/>
      <right/>
      <top style="thin">
        <color rgb="FF000000"/>
      </top>
      <bottom style="thin">
        <color rgb="FF000000"/>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s>
  <cellStyleXfs count="7">
    <xf numFmtId="0" fontId="0" fillId="0" borderId="0"/>
    <xf numFmtId="41" fontId="25" fillId="0" borderId="0" applyFont="0" applyFill="0" applyBorder="0" applyAlignment="0" applyProtection="0"/>
    <xf numFmtId="0" fontId="29" fillId="0" borderId="16"/>
    <xf numFmtId="177" fontId="1" fillId="0" borderId="16" applyFont="0" applyFill="0" applyBorder="0" applyAlignment="0" applyProtection="0">
      <alignment vertical="center"/>
    </xf>
    <xf numFmtId="43" fontId="1" fillId="0" borderId="16" applyFont="0" applyFill="0" applyBorder="0" applyAlignment="0" applyProtection="0"/>
    <xf numFmtId="41" fontId="1" fillId="0" borderId="16" applyFont="0" applyFill="0" applyBorder="0" applyAlignment="0" applyProtection="0"/>
    <xf numFmtId="0" fontId="30" fillId="0" borderId="16"/>
  </cellStyleXfs>
  <cellXfs count="218">
    <xf numFmtId="0" fontId="0" fillId="0" borderId="0" xfId="0"/>
    <xf numFmtId="0" fontId="2" fillId="0" borderId="0" xfId="0" applyFont="1" applyAlignment="1">
      <alignment horizontal="center" vertical="center"/>
    </xf>
    <xf numFmtId="0" fontId="2"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xf>
    <xf numFmtId="0" fontId="3" fillId="2" borderId="2" xfId="0"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2" borderId="3" xfId="0" applyFont="1" applyFill="1" applyBorder="1" applyAlignment="1">
      <alignment horizontal="center" vertical="center"/>
    </xf>
    <xf numFmtId="164" fontId="4" fillId="3" borderId="3" xfId="0" applyNumberFormat="1" applyFont="1" applyFill="1" applyBorder="1" applyAlignment="1">
      <alignment horizontal="center" vertical="center"/>
    </xf>
    <xf numFmtId="0" fontId="3" fillId="4" borderId="3" xfId="0" applyFont="1" applyFill="1" applyBorder="1" applyAlignment="1">
      <alignment horizontal="center" vertical="center"/>
    </xf>
    <xf numFmtId="0" fontId="3" fillId="4" borderId="3" xfId="0" applyFont="1" applyFill="1" applyBorder="1"/>
    <xf numFmtId="4" fontId="3" fillId="4" borderId="3" xfId="0" applyNumberFormat="1" applyFont="1" applyFill="1" applyBorder="1"/>
    <xf numFmtId="0" fontId="3" fillId="0" borderId="0" xfId="0" applyFont="1"/>
    <xf numFmtId="0" fontId="2" fillId="0" borderId="3" xfId="0" applyFont="1" applyBorder="1" applyAlignment="1">
      <alignment horizontal="center" vertical="center"/>
    </xf>
    <xf numFmtId="0" fontId="2" fillId="0" borderId="3" xfId="0" applyFont="1" applyBorder="1"/>
    <xf numFmtId="4" fontId="2" fillId="0" borderId="3" xfId="0" applyNumberFormat="1" applyFont="1" applyBorder="1"/>
    <xf numFmtId="0" fontId="5" fillId="0" borderId="0" xfId="0" applyFont="1" applyAlignment="1">
      <alignment horizontal="left" vertical="center"/>
    </xf>
    <xf numFmtId="3" fontId="2" fillId="0" borderId="3" xfId="0" applyNumberFormat="1" applyFont="1" applyBorder="1"/>
    <xf numFmtId="0" fontId="5" fillId="0" borderId="0" xfId="0" applyFont="1" applyAlignment="1">
      <alignment horizontal="center" vertical="center"/>
    </xf>
    <xf numFmtId="3" fontId="2" fillId="0" borderId="0" xfId="0" applyNumberFormat="1" applyFont="1"/>
    <xf numFmtId="0" fontId="2" fillId="0" borderId="3" xfId="0" applyFont="1" applyBorder="1" applyAlignment="1">
      <alignment wrapText="1"/>
    </xf>
    <xf numFmtId="3" fontId="2" fillId="0" borderId="3" xfId="0" applyNumberFormat="1" applyFont="1" applyBorder="1" applyAlignment="1">
      <alignment vertical="center"/>
    </xf>
    <xf numFmtId="0" fontId="3" fillId="5" borderId="3" xfId="0" applyFont="1" applyFill="1" applyBorder="1" applyAlignment="1">
      <alignment horizontal="center" vertical="center"/>
    </xf>
    <xf numFmtId="0" fontId="3" fillId="5" borderId="3" xfId="0" applyFont="1" applyFill="1" applyBorder="1"/>
    <xf numFmtId="3" fontId="3" fillId="5" borderId="3" xfId="0" applyNumberFormat="1" applyFont="1" applyFill="1" applyBorder="1"/>
    <xf numFmtId="0" fontId="2" fillId="0" borderId="3" xfId="0" applyFont="1" applyBorder="1" applyAlignment="1">
      <alignment horizontal="center"/>
    </xf>
    <xf numFmtId="0" fontId="3" fillId="5" borderId="3" xfId="0" applyFont="1" applyFill="1" applyBorder="1" applyAlignment="1">
      <alignment horizontal="center"/>
    </xf>
    <xf numFmtId="0" fontId="2" fillId="6" borderId="4" xfId="0" applyFont="1" applyFill="1" applyBorder="1" applyAlignment="1">
      <alignment horizontal="center" vertical="center"/>
    </xf>
    <xf numFmtId="0" fontId="6" fillId="6" borderId="4" xfId="0" applyFont="1" applyFill="1" applyBorder="1"/>
    <xf numFmtId="0" fontId="2" fillId="6" borderId="4" xfId="0" applyFont="1" applyFill="1" applyBorder="1"/>
    <xf numFmtId="0" fontId="3" fillId="0" borderId="3" xfId="0" applyFont="1" applyBorder="1" applyAlignment="1">
      <alignment horizontal="center" vertical="center"/>
    </xf>
    <xf numFmtId="0" fontId="3" fillId="0" borderId="3" xfId="0" applyFont="1" applyBorder="1"/>
    <xf numFmtId="165" fontId="3" fillId="0" borderId="3" xfId="0" applyNumberFormat="1" applyFont="1" applyBorder="1"/>
    <xf numFmtId="4" fontId="3" fillId="5" borderId="3" xfId="0" applyNumberFormat="1" applyFont="1" applyFill="1" applyBorder="1"/>
    <xf numFmtId="3" fontId="3" fillId="0" borderId="3" xfId="0" applyNumberFormat="1" applyFont="1" applyBorder="1"/>
    <xf numFmtId="0" fontId="3" fillId="2" borderId="4" xfId="0" applyFont="1" applyFill="1" applyBorder="1" applyAlignment="1">
      <alignment horizontal="center" vertical="center"/>
    </xf>
    <xf numFmtId="0" fontId="6" fillId="2" borderId="4" xfId="0" applyFont="1" applyFill="1" applyBorder="1"/>
    <xf numFmtId="0" fontId="3" fillId="2" borderId="4" xfId="0" applyFont="1" applyFill="1" applyBorder="1"/>
    <xf numFmtId="0" fontId="2" fillId="2" borderId="4" xfId="0" applyFont="1" applyFill="1" applyBorder="1"/>
    <xf numFmtId="3" fontId="7" fillId="0" borderId="3" xfId="0" applyNumberFormat="1" applyFont="1" applyBorder="1" applyAlignment="1">
      <alignment horizontal="right" vertical="center"/>
    </xf>
    <xf numFmtId="3" fontId="7" fillId="0" borderId="5" xfId="0" applyNumberFormat="1" applyFont="1" applyBorder="1" applyAlignment="1">
      <alignment horizontal="right" vertical="center"/>
    </xf>
    <xf numFmtId="0" fontId="3" fillId="0" borderId="3" xfId="0" applyFont="1" applyBorder="1" applyAlignment="1">
      <alignment wrapText="1"/>
    </xf>
    <xf numFmtId="3" fontId="3" fillId="0" borderId="3" xfId="0" applyNumberFormat="1" applyFont="1" applyBorder="1" applyAlignment="1">
      <alignment vertical="center"/>
    </xf>
    <xf numFmtId="3" fontId="8" fillId="0" borderId="5" xfId="0" applyNumberFormat="1" applyFont="1" applyBorder="1" applyAlignment="1">
      <alignment horizontal="right" vertical="center"/>
    </xf>
    <xf numFmtId="0" fontId="2" fillId="7" borderId="1" xfId="0" applyFont="1" applyFill="1" applyBorder="1" applyAlignment="1">
      <alignment horizontal="center" vertical="center"/>
    </xf>
    <xf numFmtId="0" fontId="3" fillId="7" borderId="2" xfId="0" applyFont="1" applyFill="1" applyBorder="1" applyAlignment="1">
      <alignment horizontal="center"/>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3" fontId="3" fillId="4" borderId="3" xfId="0" applyNumberFormat="1" applyFont="1" applyFill="1" applyBorder="1"/>
    <xf numFmtId="0" fontId="3" fillId="7" borderId="4" xfId="0" applyFont="1" applyFill="1" applyBorder="1" applyAlignment="1">
      <alignment horizontal="center" vertical="center"/>
    </xf>
    <xf numFmtId="0" fontId="6" fillId="7" borderId="4" xfId="0" applyFont="1" applyFill="1" applyBorder="1"/>
    <xf numFmtId="0" fontId="3" fillId="7" borderId="4" xfId="0" applyFont="1" applyFill="1" applyBorder="1"/>
    <xf numFmtId="0" fontId="2" fillId="7" borderId="4" xfId="0" applyFont="1" applyFill="1" applyBorder="1"/>
    <xf numFmtId="0" fontId="4" fillId="8" borderId="1" xfId="0" applyFont="1" applyFill="1" applyBorder="1" applyAlignment="1">
      <alignment horizontal="center" vertical="center"/>
    </xf>
    <xf numFmtId="0" fontId="9" fillId="8" borderId="2" xfId="0" applyFont="1" applyFill="1" applyBorder="1" applyAlignment="1">
      <alignment horizontal="center"/>
    </xf>
    <xf numFmtId="0" fontId="9" fillId="8"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3" xfId="0" applyFont="1" applyFill="1" applyBorder="1"/>
    <xf numFmtId="4" fontId="3" fillId="9" borderId="3" xfId="0" applyNumberFormat="1" applyFont="1" applyFill="1" applyBorder="1"/>
    <xf numFmtId="37" fontId="2" fillId="0" borderId="0" xfId="0" applyNumberFormat="1" applyFont="1"/>
    <xf numFmtId="3" fontId="3" fillId="9" borderId="3" xfId="0" applyNumberFormat="1" applyFont="1" applyFill="1" applyBorder="1"/>
    <xf numFmtId="0" fontId="9" fillId="8" borderId="4" xfId="0" applyFont="1" applyFill="1" applyBorder="1" applyAlignment="1">
      <alignment horizontal="center" vertical="center"/>
    </xf>
    <xf numFmtId="0" fontId="10" fillId="8" borderId="4" xfId="0" applyFont="1" applyFill="1" applyBorder="1"/>
    <xf numFmtId="0" fontId="9" fillId="8" borderId="4" xfId="0" applyFont="1" applyFill="1" applyBorder="1"/>
    <xf numFmtId="0" fontId="4" fillId="8" borderId="4" xfId="0" applyFont="1" applyFill="1" applyBorder="1"/>
    <xf numFmtId="0" fontId="9" fillId="8" borderId="3" xfId="0" applyFont="1" applyFill="1" applyBorder="1" applyAlignment="1">
      <alignment horizontal="center" vertical="center"/>
    </xf>
    <xf numFmtId="0" fontId="9" fillId="10" borderId="2" xfId="0" applyFont="1" applyFill="1" applyBorder="1" applyAlignment="1">
      <alignment horizontal="center"/>
    </xf>
    <xf numFmtId="0" fontId="9" fillId="10" borderId="2" xfId="0" applyFont="1" applyFill="1" applyBorder="1" applyAlignment="1">
      <alignment horizontal="center" vertical="center"/>
    </xf>
    <xf numFmtId="0" fontId="9" fillId="10" borderId="1" xfId="0" applyFont="1" applyFill="1" applyBorder="1" applyAlignment="1">
      <alignment horizontal="center" vertical="center"/>
    </xf>
    <xf numFmtId="2" fontId="2" fillId="5" borderId="4" xfId="0" applyNumberFormat="1" applyFont="1" applyFill="1" applyBorder="1"/>
    <xf numFmtId="0" fontId="9" fillId="10" borderId="4" xfId="0" applyFont="1" applyFill="1" applyBorder="1" applyAlignment="1">
      <alignment horizontal="center" vertical="center"/>
    </xf>
    <xf numFmtId="0" fontId="10" fillId="10" borderId="4" xfId="0" applyFont="1" applyFill="1" applyBorder="1"/>
    <xf numFmtId="0" fontId="9" fillId="10" borderId="4" xfId="0" applyFont="1" applyFill="1" applyBorder="1"/>
    <xf numFmtId="0" fontId="4" fillId="10" borderId="4" xfId="0" applyFont="1" applyFill="1" applyBorder="1"/>
    <xf numFmtId="0" fontId="9" fillId="10" borderId="3" xfId="0" applyFont="1" applyFill="1" applyBorder="1" applyAlignment="1">
      <alignment horizontal="center" vertical="center"/>
    </xf>
    <xf numFmtId="0" fontId="2" fillId="11" borderId="1" xfId="0" applyFont="1" applyFill="1" applyBorder="1" applyAlignment="1">
      <alignment horizontal="center" vertical="center"/>
    </xf>
    <xf numFmtId="0" fontId="3" fillId="11" borderId="2" xfId="0" applyFont="1" applyFill="1" applyBorder="1" applyAlignment="1">
      <alignment horizontal="center"/>
    </xf>
    <xf numFmtId="0" fontId="3" fillId="11" borderId="2" xfId="0" applyFont="1" applyFill="1" applyBorder="1" applyAlignment="1">
      <alignment horizontal="center" vertical="center"/>
    </xf>
    <xf numFmtId="0" fontId="3" fillId="11" borderId="1" xfId="0" applyFont="1" applyFill="1" applyBorder="1" applyAlignment="1">
      <alignment horizontal="center" vertical="center"/>
    </xf>
    <xf numFmtId="2" fontId="2" fillId="0" borderId="0" xfId="0" applyNumberFormat="1" applyFont="1" applyAlignment="1">
      <alignment horizontal="center" vertical="center"/>
    </xf>
    <xf numFmtId="0" fontId="3" fillId="11" borderId="4" xfId="0" applyFont="1" applyFill="1" applyBorder="1" applyAlignment="1">
      <alignment horizontal="center" vertical="center"/>
    </xf>
    <xf numFmtId="0" fontId="6" fillId="11" borderId="4" xfId="0" applyFont="1" applyFill="1" applyBorder="1"/>
    <xf numFmtId="0" fontId="3" fillId="11" borderId="4" xfId="0" applyFont="1" applyFill="1" applyBorder="1"/>
    <xf numFmtId="0" fontId="2" fillId="11" borderId="4" xfId="0" applyFont="1" applyFill="1" applyBorder="1"/>
    <xf numFmtId="0" fontId="3" fillId="11" borderId="3" xfId="0" applyFont="1" applyFill="1" applyBorder="1" applyAlignment="1">
      <alignment horizontal="center" vertical="center"/>
    </xf>
    <xf numFmtId="0" fontId="4" fillId="12" borderId="1" xfId="0" applyFont="1" applyFill="1" applyBorder="1" applyAlignment="1">
      <alignment horizontal="center" vertical="center"/>
    </xf>
    <xf numFmtId="0" fontId="9" fillId="12" borderId="2" xfId="0" applyFont="1" applyFill="1" applyBorder="1" applyAlignment="1">
      <alignment horizontal="center"/>
    </xf>
    <xf numFmtId="0" fontId="9" fillId="12" borderId="2" xfId="0" applyFont="1" applyFill="1" applyBorder="1" applyAlignment="1">
      <alignment horizontal="center" vertical="center"/>
    </xf>
    <xf numFmtId="0" fontId="9" fillId="12" borderId="1" xfId="0" applyFont="1" applyFill="1" applyBorder="1" applyAlignment="1">
      <alignment horizontal="center" vertical="center"/>
    </xf>
    <xf numFmtId="0" fontId="9" fillId="12" borderId="4" xfId="0" applyFont="1" applyFill="1" applyBorder="1" applyAlignment="1">
      <alignment horizontal="center" vertical="center"/>
    </xf>
    <xf numFmtId="0" fontId="10" fillId="12" borderId="4" xfId="0" applyFont="1" applyFill="1" applyBorder="1"/>
    <xf numFmtId="0" fontId="9" fillId="12" borderId="4" xfId="0" applyFont="1" applyFill="1" applyBorder="1"/>
    <xf numFmtId="0" fontId="4" fillId="12" borderId="4" xfId="0" applyFont="1" applyFill="1" applyBorder="1"/>
    <xf numFmtId="0" fontId="9" fillId="12" borderId="3" xfId="0" applyFont="1" applyFill="1" applyBorder="1" applyAlignment="1">
      <alignment horizontal="center" vertical="center"/>
    </xf>
    <xf numFmtId="0" fontId="2" fillId="13" borderId="1" xfId="0" applyFont="1" applyFill="1" applyBorder="1" applyAlignment="1">
      <alignment horizontal="center" vertical="center"/>
    </xf>
    <xf numFmtId="0" fontId="3" fillId="13" borderId="2" xfId="0" applyFont="1" applyFill="1" applyBorder="1" applyAlignment="1">
      <alignment horizontal="center"/>
    </xf>
    <xf numFmtId="0" fontId="3" fillId="13" borderId="2" xfId="0" applyFont="1" applyFill="1" applyBorder="1" applyAlignment="1">
      <alignment horizontal="center" vertical="center"/>
    </xf>
    <xf numFmtId="0" fontId="3" fillId="13" borderId="1" xfId="0" applyFont="1" applyFill="1" applyBorder="1" applyAlignment="1">
      <alignment horizontal="center" vertical="center"/>
    </xf>
    <xf numFmtId="0" fontId="2" fillId="0" borderId="0" xfId="0" applyFont="1" applyAlignment="1">
      <alignment horizontal="right" vertical="center"/>
    </xf>
    <xf numFmtId="0" fontId="11" fillId="0" borderId="3" xfId="0" applyFont="1" applyBorder="1"/>
    <xf numFmtId="4" fontId="3" fillId="0" borderId="3" xfId="0" applyNumberFormat="1" applyFont="1" applyBorder="1"/>
    <xf numFmtId="0" fontId="3" fillId="13" borderId="4" xfId="0" applyFont="1" applyFill="1" applyBorder="1" applyAlignment="1">
      <alignment horizontal="center" vertical="center"/>
    </xf>
    <xf numFmtId="0" fontId="6" fillId="13" borderId="4" xfId="0" applyFont="1" applyFill="1" applyBorder="1"/>
    <xf numFmtId="0" fontId="3" fillId="13" borderId="4" xfId="0" applyFont="1" applyFill="1" applyBorder="1"/>
    <xf numFmtId="0" fontId="2" fillId="13" borderId="4" xfId="0" applyFont="1" applyFill="1" applyBorder="1"/>
    <xf numFmtId="0" fontId="3" fillId="13" borderId="3" xfId="0" applyFont="1" applyFill="1" applyBorder="1" applyAlignment="1">
      <alignment horizontal="center" vertical="center"/>
    </xf>
    <xf numFmtId="0" fontId="4" fillId="14" borderId="1" xfId="0" applyFont="1" applyFill="1" applyBorder="1" applyAlignment="1">
      <alignment horizontal="center" vertical="center"/>
    </xf>
    <xf numFmtId="0" fontId="9" fillId="14" borderId="2" xfId="0" applyFont="1" applyFill="1" applyBorder="1" applyAlignment="1">
      <alignment horizontal="center"/>
    </xf>
    <xf numFmtId="0" fontId="9" fillId="14" borderId="2" xfId="0" applyFont="1" applyFill="1" applyBorder="1" applyAlignment="1">
      <alignment horizontal="center" vertical="center"/>
    </xf>
    <xf numFmtId="0" fontId="9" fillId="14" borderId="1" xfId="0" applyFont="1" applyFill="1" applyBorder="1" applyAlignment="1">
      <alignment horizontal="center" vertical="center"/>
    </xf>
    <xf numFmtId="3" fontId="7" fillId="0" borderId="3" xfId="0" applyNumberFormat="1" applyFont="1" applyBorder="1" applyAlignment="1">
      <alignment horizontal="right"/>
    </xf>
    <xf numFmtId="3" fontId="7" fillId="0" borderId="5" xfId="0" applyNumberFormat="1" applyFont="1" applyBorder="1" applyAlignment="1">
      <alignment horizontal="right"/>
    </xf>
    <xf numFmtId="3" fontId="3" fillId="0" borderId="3" xfId="0" applyNumberFormat="1" applyFont="1" applyBorder="1" applyAlignment="1">
      <alignment horizontal="center" vertical="center"/>
    </xf>
    <xf numFmtId="165" fontId="3" fillId="0" borderId="3" xfId="0" applyNumberFormat="1" applyFont="1" applyBorder="1" applyAlignment="1">
      <alignment horizontal="center" vertical="center"/>
    </xf>
    <xf numFmtId="3" fontId="2" fillId="0" borderId="3" xfId="0" applyNumberFormat="1" applyFont="1" applyBorder="1" applyAlignment="1">
      <alignment horizontal="center" vertical="center"/>
    </xf>
    <xf numFmtId="3" fontId="3" fillId="5" borderId="3" xfId="0" applyNumberFormat="1" applyFont="1" applyFill="1" applyBorder="1" applyAlignment="1">
      <alignment horizontal="center" vertical="center"/>
    </xf>
    <xf numFmtId="0" fontId="9" fillId="14" borderId="4" xfId="0" applyFont="1" applyFill="1" applyBorder="1" applyAlignment="1">
      <alignment horizontal="center" vertical="center"/>
    </xf>
    <xf numFmtId="0" fontId="10" fillId="14" borderId="4" xfId="0" applyFont="1" applyFill="1" applyBorder="1"/>
    <xf numFmtId="0" fontId="9" fillId="14" borderId="4" xfId="0" applyFont="1" applyFill="1" applyBorder="1"/>
    <xf numFmtId="0" fontId="4" fillId="14" borderId="4" xfId="0" applyFont="1" applyFill="1" applyBorder="1"/>
    <xf numFmtId="0" fontId="9" fillId="14" borderId="3" xfId="0" applyFont="1" applyFill="1" applyBorder="1" applyAlignment="1">
      <alignment horizontal="center" vertical="center"/>
    </xf>
    <xf numFmtId="0" fontId="2" fillId="15" borderId="1" xfId="0" applyFont="1" applyFill="1" applyBorder="1" applyAlignment="1">
      <alignment horizontal="center" vertical="center"/>
    </xf>
    <xf numFmtId="0" fontId="3" fillId="15" borderId="2" xfId="0" applyFont="1" applyFill="1" applyBorder="1" applyAlignment="1">
      <alignment horizontal="center"/>
    </xf>
    <xf numFmtId="0" fontId="3" fillId="15" borderId="2" xfId="0" applyFont="1" applyFill="1" applyBorder="1" applyAlignment="1">
      <alignment horizontal="center" vertical="center"/>
    </xf>
    <xf numFmtId="0" fontId="3" fillId="15" borderId="1" xfId="0" applyFont="1" applyFill="1" applyBorder="1" applyAlignment="1">
      <alignment horizontal="center" vertical="center"/>
    </xf>
    <xf numFmtId="1" fontId="3" fillId="5" borderId="3" xfId="0" applyNumberFormat="1" applyFont="1" applyFill="1" applyBorder="1" applyAlignment="1">
      <alignment horizontal="center" vertical="center"/>
    </xf>
    <xf numFmtId="167" fontId="3" fillId="5" borderId="3" xfId="0" applyNumberFormat="1" applyFont="1" applyFill="1" applyBorder="1"/>
    <xf numFmtId="167" fontId="3" fillId="5" borderId="3" xfId="0" applyNumberFormat="1" applyFont="1" applyFill="1" applyBorder="1" applyAlignment="1">
      <alignment horizontal="center" vertical="center"/>
    </xf>
    <xf numFmtId="1" fontId="2" fillId="0" borderId="3" xfId="0" applyNumberFormat="1" applyFont="1" applyBorder="1" applyAlignment="1">
      <alignment horizontal="center" vertical="center"/>
    </xf>
    <xf numFmtId="0" fontId="3" fillId="15" borderId="4" xfId="0" applyFont="1" applyFill="1" applyBorder="1" applyAlignment="1">
      <alignment horizontal="center" vertical="center"/>
    </xf>
    <xf numFmtId="0" fontId="6" fillId="15" borderId="4" xfId="0" applyFont="1" applyFill="1" applyBorder="1"/>
    <xf numFmtId="0" fontId="3" fillId="15" borderId="4" xfId="0" applyFont="1" applyFill="1" applyBorder="1"/>
    <xf numFmtId="0" fontId="2" fillId="15" borderId="4" xfId="0" applyFont="1" applyFill="1" applyBorder="1"/>
    <xf numFmtId="0" fontId="3" fillId="15" borderId="3" xfId="0" applyFont="1" applyFill="1" applyBorder="1" applyAlignment="1">
      <alignment horizontal="center" vertical="center"/>
    </xf>
    <xf numFmtId="0" fontId="12" fillId="0" borderId="0" xfId="0" applyFont="1"/>
    <xf numFmtId="0" fontId="11" fillId="0" borderId="0" xfId="0" applyFont="1"/>
    <xf numFmtId="0" fontId="13" fillId="16" borderId="8" xfId="0" applyFont="1" applyFill="1" applyBorder="1" applyAlignment="1">
      <alignment horizontal="center" vertical="center"/>
    </xf>
    <xf numFmtId="168" fontId="15" fillId="16" borderId="11" xfId="0" applyNumberFormat="1" applyFont="1" applyFill="1" applyBorder="1" applyAlignment="1">
      <alignment horizontal="center"/>
    </xf>
    <xf numFmtId="168" fontId="13" fillId="16" borderId="11" xfId="0" applyNumberFormat="1" applyFont="1" applyFill="1" applyBorder="1" applyAlignment="1">
      <alignment horizontal="center"/>
    </xf>
    <xf numFmtId="0" fontId="11" fillId="0" borderId="0" xfId="0" applyFont="1" applyAlignment="1">
      <alignment horizontal="center"/>
    </xf>
    <xf numFmtId="0" fontId="11" fillId="0" borderId="3" xfId="0" applyFont="1" applyBorder="1" applyAlignment="1">
      <alignment vertical="center"/>
    </xf>
    <xf numFmtId="0" fontId="11" fillId="0" borderId="3" xfId="0" applyFont="1" applyBorder="1" applyAlignment="1">
      <alignment horizontal="center" vertical="center"/>
    </xf>
    <xf numFmtId="10" fontId="11" fillId="0" borderId="3" xfId="0" applyNumberFormat="1" applyFont="1" applyBorder="1" applyAlignment="1">
      <alignment horizontal="center" vertical="center"/>
    </xf>
    <xf numFmtId="168" fontId="11" fillId="0" borderId="3" xfId="0" applyNumberFormat="1" applyFont="1" applyBorder="1" applyAlignment="1">
      <alignment horizontal="center" vertical="center"/>
    </xf>
    <xf numFmtId="0" fontId="11" fillId="0" borderId="12" xfId="0" applyFont="1" applyBorder="1"/>
    <xf numFmtId="10" fontId="11" fillId="0" borderId="12" xfId="0" applyNumberFormat="1" applyFont="1" applyBorder="1" applyAlignment="1">
      <alignment horizontal="center" vertical="center"/>
    </xf>
    <xf numFmtId="0" fontId="11" fillId="0" borderId="5" xfId="0" applyFont="1" applyBorder="1"/>
    <xf numFmtId="0" fontId="11" fillId="0" borderId="5" xfId="0" applyFont="1" applyBorder="1" applyAlignment="1">
      <alignment vertical="center"/>
    </xf>
    <xf numFmtId="0" fontId="11" fillId="0" borderId="5" xfId="0" applyFont="1" applyBorder="1" applyAlignment="1">
      <alignment horizontal="center" vertical="center"/>
    </xf>
    <xf numFmtId="0" fontId="16" fillId="17" borderId="3" xfId="0" applyFont="1" applyFill="1" applyBorder="1" applyAlignment="1">
      <alignment horizontal="center" vertical="center"/>
    </xf>
    <xf numFmtId="0" fontId="17" fillId="6" borderId="3" xfId="0" applyFont="1" applyFill="1" applyBorder="1" applyAlignment="1">
      <alignment horizontal="center" vertical="center"/>
    </xf>
    <xf numFmtId="10" fontId="17" fillId="6" borderId="3" xfId="0" applyNumberFormat="1" applyFont="1" applyFill="1" applyBorder="1" applyAlignment="1">
      <alignment horizontal="center" vertical="center"/>
    </xf>
    <xf numFmtId="0" fontId="12" fillId="0" borderId="3" xfId="0" applyFont="1" applyBorder="1" applyAlignment="1">
      <alignment horizontal="center"/>
    </xf>
    <xf numFmtId="0" fontId="18" fillId="0" borderId="0" xfId="0" applyFont="1"/>
    <xf numFmtId="0" fontId="11" fillId="18" borderId="13" xfId="0" applyFont="1" applyFill="1" applyBorder="1"/>
    <xf numFmtId="0" fontId="11" fillId="5" borderId="4" xfId="0" applyFont="1" applyFill="1" applyBorder="1"/>
    <xf numFmtId="0" fontId="11" fillId="19" borderId="4" xfId="0" applyFont="1" applyFill="1" applyBorder="1"/>
    <xf numFmtId="9" fontId="11" fillId="19" borderId="4" xfId="0" applyNumberFormat="1" applyFont="1" applyFill="1" applyBorder="1"/>
    <xf numFmtId="9" fontId="11" fillId="5" borderId="4" xfId="0" applyNumberFormat="1" applyFont="1" applyFill="1" applyBorder="1"/>
    <xf numFmtId="10" fontId="11" fillId="19" borderId="4" xfId="0" applyNumberFormat="1" applyFont="1" applyFill="1" applyBorder="1"/>
    <xf numFmtId="167" fontId="11" fillId="0" borderId="0" xfId="0" applyNumberFormat="1" applyFont="1"/>
    <xf numFmtId="169" fontId="18" fillId="0" borderId="0" xfId="0" applyNumberFormat="1" applyFont="1"/>
    <xf numFmtId="0" fontId="21" fillId="0" borderId="0" xfId="0" applyFont="1"/>
    <xf numFmtId="0" fontId="22" fillId="0" borderId="0" xfId="0" applyFont="1"/>
    <xf numFmtId="0" fontId="23" fillId="0" borderId="0" xfId="0" applyFont="1"/>
    <xf numFmtId="0" fontId="24" fillId="0" borderId="0" xfId="0" applyFont="1"/>
    <xf numFmtId="169" fontId="24" fillId="0" borderId="0" xfId="0" applyNumberFormat="1" applyFont="1"/>
    <xf numFmtId="169" fontId="24" fillId="0" borderId="0" xfId="0" applyNumberFormat="1" applyFont="1" applyAlignment="1">
      <alignment horizontal="right"/>
    </xf>
    <xf numFmtId="3" fontId="2" fillId="20" borderId="3" xfId="0" applyNumberFormat="1" applyFont="1" applyFill="1" applyBorder="1"/>
    <xf numFmtId="0" fontId="2" fillId="0" borderId="3" xfId="0" quotePrefix="1" applyFont="1" applyBorder="1"/>
    <xf numFmtId="0" fontId="24" fillId="0" borderId="17" xfId="0" applyFont="1" applyBorder="1"/>
    <xf numFmtId="169" fontId="24" fillId="0" borderId="17" xfId="0" applyNumberFormat="1" applyFont="1" applyBorder="1"/>
    <xf numFmtId="169" fontId="24" fillId="0" borderId="17" xfId="0" applyNumberFormat="1" applyFont="1" applyBorder="1" applyAlignment="1">
      <alignment horizontal="right"/>
    </xf>
    <xf numFmtId="0" fontId="23" fillId="0" borderId="0" xfId="0" applyFont="1" applyAlignment="1">
      <alignment horizontal="center" vertical="center"/>
    </xf>
    <xf numFmtId="0" fontId="24" fillId="0" borderId="17" xfId="0" applyFont="1" applyBorder="1" applyAlignment="1">
      <alignment horizontal="center" vertical="center"/>
    </xf>
    <xf numFmtId="0" fontId="23" fillId="21" borderId="17" xfId="0" applyFont="1" applyFill="1" applyBorder="1" applyAlignment="1">
      <alignment horizontal="center" vertical="center"/>
    </xf>
    <xf numFmtId="166" fontId="2" fillId="0" borderId="0" xfId="0" applyNumberFormat="1" applyFont="1"/>
    <xf numFmtId="41" fontId="2" fillId="0" borderId="0" xfId="0" applyNumberFormat="1" applyFont="1"/>
    <xf numFmtId="4" fontId="2" fillId="0" borderId="0" xfId="0" applyNumberFormat="1" applyFont="1"/>
    <xf numFmtId="4" fontId="2" fillId="0" borderId="3" xfId="0" quotePrefix="1" applyNumberFormat="1" applyFont="1" applyBorder="1"/>
    <xf numFmtId="43" fontId="11" fillId="0" borderId="3" xfId="0" applyNumberFormat="1" applyFont="1" applyBorder="1" applyAlignment="1">
      <alignment horizontal="center" vertical="center"/>
    </xf>
    <xf numFmtId="41" fontId="2" fillId="0" borderId="3" xfId="1" applyFont="1" applyBorder="1"/>
    <xf numFmtId="41" fontId="26" fillId="0" borderId="3" xfId="1" applyFont="1" applyBorder="1"/>
    <xf numFmtId="0" fontId="26" fillId="0" borderId="0" xfId="0" applyFont="1"/>
    <xf numFmtId="41" fontId="2" fillId="0" borderId="0" xfId="1" applyFont="1"/>
    <xf numFmtId="3" fontId="24" fillId="0" borderId="17" xfId="0" applyNumberFormat="1" applyFont="1" applyBorder="1"/>
    <xf numFmtId="41" fontId="0" fillId="0" borderId="17" xfId="1" applyFont="1" applyBorder="1"/>
    <xf numFmtId="3" fontId="2" fillId="0" borderId="18" xfId="0" applyNumberFormat="1" applyFont="1" applyBorder="1"/>
    <xf numFmtId="164" fontId="4" fillId="3" borderId="19" xfId="0" applyNumberFormat="1" applyFont="1" applyFill="1" applyBorder="1" applyAlignment="1">
      <alignment horizontal="center" vertical="center"/>
    </xf>
    <xf numFmtId="41" fontId="2" fillId="0" borderId="17" xfId="1" applyFont="1" applyBorder="1"/>
    <xf numFmtId="3" fontId="2" fillId="0" borderId="17" xfId="0" applyNumberFormat="1" applyFont="1" applyBorder="1"/>
    <xf numFmtId="170" fontId="2" fillId="0" borderId="0" xfId="1" applyNumberFormat="1" applyFont="1"/>
    <xf numFmtId="171" fontId="2" fillId="0" borderId="0" xfId="1" applyNumberFormat="1" applyFont="1"/>
    <xf numFmtId="172" fontId="2" fillId="0" borderId="0" xfId="1" applyNumberFormat="1" applyFont="1"/>
    <xf numFmtId="41" fontId="4" fillId="8" borderId="1" xfId="1" applyFont="1" applyFill="1" applyBorder="1" applyAlignment="1">
      <alignment horizontal="center" vertical="center"/>
    </xf>
    <xf numFmtId="3" fontId="2" fillId="0" borderId="11" xfId="0" applyNumberFormat="1" applyFont="1" applyBorder="1"/>
    <xf numFmtId="0" fontId="27" fillId="0" borderId="0" xfId="0" applyFont="1"/>
    <xf numFmtId="170" fontId="4" fillId="10" borderId="1" xfId="1" applyNumberFormat="1" applyFont="1" applyFill="1" applyBorder="1" applyAlignment="1">
      <alignment horizontal="center" vertical="center"/>
    </xf>
    <xf numFmtId="173" fontId="2" fillId="0" borderId="0" xfId="0" applyNumberFormat="1" applyFont="1"/>
    <xf numFmtId="3" fontId="2" fillId="0" borderId="19" xfId="0" applyNumberFormat="1" applyFont="1" applyBorder="1"/>
    <xf numFmtId="170" fontId="2" fillId="0" borderId="17" xfId="1" applyNumberFormat="1" applyFont="1" applyBorder="1"/>
    <xf numFmtId="174" fontId="2" fillId="0" borderId="0" xfId="1" applyNumberFormat="1" applyFont="1"/>
    <xf numFmtId="175" fontId="2" fillId="0" borderId="0" xfId="1" applyNumberFormat="1" applyFont="1"/>
    <xf numFmtId="41" fontId="3" fillId="4" borderId="3" xfId="1" applyFont="1" applyFill="1" applyBorder="1"/>
    <xf numFmtId="176" fontId="2" fillId="0" borderId="0" xfId="0" applyNumberFormat="1" applyFont="1"/>
    <xf numFmtId="0" fontId="2" fillId="0" borderId="16" xfId="0" applyFont="1" applyBorder="1"/>
    <xf numFmtId="41" fontId="29" fillId="0" borderId="20" xfId="5" applyFont="1" applyFill="1" applyBorder="1"/>
    <xf numFmtId="3" fontId="0" fillId="0" borderId="0" xfId="0" applyNumberFormat="1"/>
    <xf numFmtId="41" fontId="0" fillId="0" borderId="0" xfId="1" applyFont="1"/>
    <xf numFmtId="0" fontId="13" fillId="16" borderId="6" xfId="0" applyFont="1" applyFill="1" applyBorder="1"/>
    <xf numFmtId="0" fontId="14" fillId="0" borderId="7" xfId="0" applyFont="1" applyBorder="1"/>
    <xf numFmtId="0" fontId="13" fillId="16" borderId="9" xfId="0" applyFont="1" applyFill="1" applyBorder="1" applyAlignment="1">
      <alignment horizontal="left"/>
    </xf>
    <xf numFmtId="0" fontId="14" fillId="0" borderId="10" xfId="0" applyFont="1" applyBorder="1"/>
    <xf numFmtId="0" fontId="11" fillId="5" borderId="14" xfId="0" applyFont="1" applyFill="1" applyBorder="1" applyAlignment="1">
      <alignment horizontal="center" vertical="center"/>
    </xf>
    <xf numFmtId="0" fontId="14" fillId="0" borderId="15" xfId="0" applyFont="1" applyBorder="1"/>
    <xf numFmtId="0" fontId="14" fillId="0" borderId="16" xfId="0" applyFont="1" applyBorder="1"/>
    <xf numFmtId="0" fontId="11" fillId="19" borderId="14" xfId="0" applyFont="1" applyFill="1" applyBorder="1" applyAlignment="1">
      <alignment horizontal="center" vertical="center"/>
    </xf>
  </cellXfs>
  <cellStyles count="7">
    <cellStyle name="60% - Accent1 25" xfId="6" xr:uid="{1F652481-B058-4066-BCB2-BA1CF691C382}"/>
    <cellStyle name="Comma [0]" xfId="1" builtinId="6"/>
    <cellStyle name="Comma [0] 2" xfId="5" xr:uid="{93D317CF-8514-4446-9FC2-96B0155AA78E}"/>
    <cellStyle name="Comma 13" xfId="4" xr:uid="{C7070F9B-0A05-4C6F-8FB1-565FF13682D7}"/>
    <cellStyle name="Comma 2" xfId="3" xr:uid="{4CADE405-6F95-45CB-8F42-579CD4C67E6A}"/>
    <cellStyle name="Normal" xfId="0" builtinId="0"/>
    <cellStyle name="Normal 2" xfId="2" xr:uid="{A5532CF0-B1C2-4CCE-8746-2CD59986CFF3}"/>
  </cellStyles>
  <dxfs count="24">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
      <font>
        <b/>
        <color rgb="FF00B050"/>
      </font>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161925</xdr:rowOff>
    </xdr:from>
    <xdr:ext cx="12344400" cy="1247775"/>
    <xdr:sp macro="" textlink="">
      <xdr:nvSpPr>
        <xdr:cNvPr id="3" name="Shape 3">
          <a:extLst>
            <a:ext uri="{FF2B5EF4-FFF2-40B4-BE49-F238E27FC236}">
              <a16:creationId xmlns:a16="http://schemas.microsoft.com/office/drawing/2014/main" id="{00000000-0008-0000-0000-000003000000}"/>
            </a:ext>
          </a:extLst>
        </xdr:cNvPr>
        <xdr:cNvSpPr/>
      </xdr:nvSpPr>
      <xdr:spPr>
        <a:xfrm>
          <a:off x="0" y="3160875"/>
          <a:ext cx="10692000" cy="1238250"/>
        </a:xfrm>
        <a:prstGeom prst="rect">
          <a:avLst/>
        </a:prstGeom>
        <a:solidFill>
          <a:srgbClr val="880000"/>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Quattrocento Sans"/>
              <a:ea typeface="Quattrocento Sans"/>
              <a:cs typeface="Quattrocento Sans"/>
              <a:sym typeface="Quattrocento Sans"/>
            </a:rPr>
            <a:t>LEMBAR KERJA </a:t>
          </a:r>
          <a:endParaRPr sz="1400"/>
        </a:p>
        <a:p>
          <a:pPr marL="0" lvl="0" indent="0" algn="ctr" rtl="0">
            <a:spcBef>
              <a:spcPts val="0"/>
            </a:spcBef>
            <a:spcAft>
              <a:spcPts val="0"/>
            </a:spcAft>
            <a:buNone/>
          </a:pPr>
          <a:r>
            <a:rPr lang="en-US" sz="2000">
              <a:solidFill>
                <a:schemeClr val="lt1"/>
              </a:solidFill>
              <a:latin typeface="Quattrocento Sans"/>
              <a:ea typeface="Quattrocento Sans"/>
              <a:cs typeface="Quattrocento Sans"/>
              <a:sym typeface="Quattrocento Sans"/>
            </a:rPr>
            <a:t>NERACA ASET MINERAL DAN ENERGI</a:t>
          </a:r>
          <a:endParaRPr sz="1400"/>
        </a:p>
        <a:p>
          <a:pPr marL="0" lvl="0" indent="0" algn="ctr" rtl="0">
            <a:spcBef>
              <a:spcPts val="0"/>
            </a:spcBef>
            <a:spcAft>
              <a:spcPts val="0"/>
            </a:spcAft>
            <a:buNone/>
          </a:pPr>
          <a:r>
            <a:rPr lang="en-US" sz="2000">
              <a:solidFill>
                <a:schemeClr val="lt1"/>
              </a:solidFill>
              <a:latin typeface="Quattrocento Sans"/>
              <a:ea typeface="Quattrocento Sans"/>
              <a:cs typeface="Quattrocento Sans"/>
              <a:sym typeface="Quattrocento Sans"/>
            </a:rPr>
            <a:t>INDONESIA</a:t>
          </a:r>
          <a:endParaRPr sz="2000">
            <a:latin typeface="Quattrocento Sans"/>
            <a:ea typeface="Quattrocento Sans"/>
            <a:cs typeface="Quattrocento Sans"/>
            <a:sym typeface="Quattrocento Sans"/>
          </a:endParaRPr>
        </a:p>
      </xdr:txBody>
    </xdr:sp>
    <xdr:clientData fLocksWithSheet="0"/>
  </xdr:oneCellAnchor>
  <xdr:oneCellAnchor>
    <xdr:from>
      <xdr:col>0</xdr:col>
      <xdr:colOff>180975</xdr:colOff>
      <xdr:row>8</xdr:row>
      <xdr:rowOff>66675</xdr:rowOff>
    </xdr:from>
    <xdr:ext cx="2305050" cy="514350"/>
    <xdr:sp macro="" textlink="">
      <xdr:nvSpPr>
        <xdr:cNvPr id="4" name="Shape 4">
          <a:extLst>
            <a:ext uri="{FF2B5EF4-FFF2-40B4-BE49-F238E27FC236}">
              <a16:creationId xmlns:a16="http://schemas.microsoft.com/office/drawing/2014/main" id="{00000000-0008-0000-0000-000004000000}"/>
            </a:ext>
          </a:extLst>
        </xdr:cNvPr>
        <xdr:cNvSpPr/>
      </xdr:nvSpPr>
      <xdr:spPr>
        <a:xfrm>
          <a:off x="4203000" y="3532350"/>
          <a:ext cx="2286000" cy="495300"/>
        </a:xfrm>
        <a:prstGeom prst="rect">
          <a:avLst/>
        </a:prstGeom>
        <a:solidFill>
          <a:srgbClr val="880000"/>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ENTRI DATA</a:t>
          </a:r>
          <a:endParaRPr sz="2000"/>
        </a:p>
      </xdr:txBody>
    </xdr:sp>
    <xdr:clientData fLocksWithSheet="0"/>
  </xdr:oneCellAnchor>
  <xdr:oneCellAnchor>
    <xdr:from>
      <xdr:col>17</xdr:col>
      <xdr:colOff>171450</xdr:colOff>
      <xdr:row>8</xdr:row>
      <xdr:rowOff>38100</xdr:rowOff>
    </xdr:from>
    <xdr:ext cx="2457450" cy="514350"/>
    <xdr:sp macro="" textlink="">
      <xdr:nvSpPr>
        <xdr:cNvPr id="5" name="Shape 5">
          <a:extLst>
            <a:ext uri="{FF2B5EF4-FFF2-40B4-BE49-F238E27FC236}">
              <a16:creationId xmlns:a16="http://schemas.microsoft.com/office/drawing/2014/main" id="{00000000-0008-0000-0000-000005000000}"/>
            </a:ext>
          </a:extLst>
        </xdr:cNvPr>
        <xdr:cNvSpPr/>
      </xdr:nvSpPr>
      <xdr:spPr>
        <a:xfrm>
          <a:off x="4122038" y="3532350"/>
          <a:ext cx="2447925" cy="495300"/>
        </a:xfrm>
        <a:prstGeom prst="rect">
          <a:avLst/>
        </a:prstGeom>
        <a:solidFill>
          <a:srgbClr val="880000"/>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DISEMINASI</a:t>
          </a:r>
          <a:endParaRPr sz="1400"/>
        </a:p>
      </xdr:txBody>
    </xdr:sp>
    <xdr:clientData fLocksWithSheet="0"/>
  </xdr:oneCellAnchor>
  <xdr:oneCellAnchor>
    <xdr:from>
      <xdr:col>4</xdr:col>
      <xdr:colOff>342900</xdr:colOff>
      <xdr:row>8</xdr:row>
      <xdr:rowOff>47625</xdr:rowOff>
    </xdr:from>
    <xdr:ext cx="2990850" cy="514350"/>
    <xdr:sp macro="" textlink="">
      <xdr:nvSpPr>
        <xdr:cNvPr id="6" name="Shape 6">
          <a:extLst>
            <a:ext uri="{FF2B5EF4-FFF2-40B4-BE49-F238E27FC236}">
              <a16:creationId xmlns:a16="http://schemas.microsoft.com/office/drawing/2014/main" id="{00000000-0008-0000-0000-000006000000}"/>
            </a:ext>
          </a:extLst>
        </xdr:cNvPr>
        <xdr:cNvSpPr/>
      </xdr:nvSpPr>
      <xdr:spPr>
        <a:xfrm>
          <a:off x="3855338" y="3532350"/>
          <a:ext cx="2981325" cy="495300"/>
        </a:xfrm>
        <a:prstGeom prst="rect">
          <a:avLst/>
        </a:prstGeom>
        <a:solidFill>
          <a:srgbClr val="880000"/>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ENERGI</a:t>
          </a:r>
          <a:endParaRPr sz="1400"/>
        </a:p>
      </xdr:txBody>
    </xdr:sp>
    <xdr:clientData fLocksWithSheet="0"/>
  </xdr:oneCellAnchor>
  <xdr:oneCellAnchor>
    <xdr:from>
      <xdr:col>9</xdr:col>
      <xdr:colOff>542925</xdr:colOff>
      <xdr:row>8</xdr:row>
      <xdr:rowOff>47625</xdr:rowOff>
    </xdr:from>
    <xdr:ext cx="4200525" cy="514350"/>
    <xdr:sp macro="" textlink="">
      <xdr:nvSpPr>
        <xdr:cNvPr id="7" name="Shape 7">
          <a:extLst>
            <a:ext uri="{FF2B5EF4-FFF2-40B4-BE49-F238E27FC236}">
              <a16:creationId xmlns:a16="http://schemas.microsoft.com/office/drawing/2014/main" id="{00000000-0008-0000-0000-000007000000}"/>
            </a:ext>
          </a:extLst>
        </xdr:cNvPr>
        <xdr:cNvSpPr/>
      </xdr:nvSpPr>
      <xdr:spPr>
        <a:xfrm>
          <a:off x="3255263" y="3532350"/>
          <a:ext cx="4181475" cy="495300"/>
        </a:xfrm>
        <a:prstGeom prst="rect">
          <a:avLst/>
        </a:prstGeom>
        <a:solidFill>
          <a:srgbClr val="88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MINERAL</a:t>
          </a:r>
          <a:endParaRPr sz="1400"/>
        </a:p>
      </xdr:txBody>
    </xdr:sp>
    <xdr:clientData fLocksWithSheet="0"/>
  </xdr:oneCellAnchor>
  <xdr:oneCellAnchor>
    <xdr:from>
      <xdr:col>4</xdr:col>
      <xdr:colOff>485775</xdr:colOff>
      <xdr:row>12</xdr:row>
      <xdr:rowOff>133350</xdr:rowOff>
    </xdr:from>
    <xdr:ext cx="685800" cy="685800"/>
    <xdr:pic>
      <xdr:nvPicPr>
        <xdr:cNvPr id="2" name="image4.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57150</xdr:colOff>
      <xdr:row>1</xdr:row>
      <xdr:rowOff>95250</xdr:rowOff>
    </xdr:from>
    <xdr:ext cx="1314450" cy="1028700"/>
    <xdr:pic>
      <xdr:nvPicPr>
        <xdr:cNvPr id="8" name="image3.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352425</xdr:colOff>
      <xdr:row>12</xdr:row>
      <xdr:rowOff>104775</xdr:rowOff>
    </xdr:from>
    <xdr:ext cx="685800" cy="685800"/>
    <xdr:pic>
      <xdr:nvPicPr>
        <xdr:cNvPr id="9" name="image5.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161925</xdr:colOff>
      <xdr:row>12</xdr:row>
      <xdr:rowOff>95250</xdr:rowOff>
    </xdr:from>
    <xdr:ext cx="685800" cy="685800"/>
    <xdr:pic>
      <xdr:nvPicPr>
        <xdr:cNvPr id="10" name="image2.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1257300</xdr:colOff>
      <xdr:row>0</xdr:row>
      <xdr:rowOff>66675</xdr:rowOff>
    </xdr:from>
    <xdr:ext cx="247650" cy="2667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1247775</xdr:colOff>
      <xdr:row>0</xdr:row>
      <xdr:rowOff>66675</xdr:rowOff>
    </xdr:from>
    <xdr:ext cx="247650" cy="266700"/>
    <xdr:pic>
      <xdr:nvPicPr>
        <xdr:cNvPr id="2" name="image6.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1228725</xdr:colOff>
      <xdr:row>0</xdr:row>
      <xdr:rowOff>66675</xdr:rowOff>
    </xdr:from>
    <xdr:ext cx="247650" cy="266700"/>
    <xdr:pic>
      <xdr:nvPicPr>
        <xdr:cNvPr id="2" name="image7.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ela%20MA\2025\SEEA%20-%20Neraca%20Arus%20Energi%202025\Neraca%20Aset%20Mineral%20dan%20Energi%20(2025)\02%20Data%20asli\Data%20Sumber%20Daya%20Cadangan%20Mineral%20Energi%20sd%202024.xlsx" TargetMode="External"/><Relationship Id="rId1" Type="http://schemas.openxmlformats.org/officeDocument/2006/relationships/externalLinkPath" Target="/Dela%20MA/2025/SEEA%20-%20Neraca%20Arus%20Energi%202025/Neraca%20Aset%20Mineral%20dan%20Energi%20(2025)/02%20Data%20asli/Data%20Sumber%20Daya%20Cadangan%20Mineral%20Energi%20sd%20202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Dela%20MA\2025\SEEA%20-%20Neraca%20Arus%20Energi%202025\Neraca%20Aset%20Mineral%20dan%20Energi%20(2025)\02%20Data%20asli\Permintaan%20Data%20Sisnerling%20-%20Output%20Pertambangan%20Fungsi%20NB_06112025.xlsx" TargetMode="External"/><Relationship Id="rId1" Type="http://schemas.openxmlformats.org/officeDocument/2006/relationships/externalLinkPath" Target="/Dela%20MA/2025/SEEA%20-%20Neraca%20Arus%20Energi%202025/Neraca%20Aset%20Mineral%20dan%20Energi%20(2025)/02%20Data%20asli/Permintaan%20Data%20Sisnerling%20-%20Output%20Pertambangan%20Fungsi%20NB_0611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BPS\@2024\12%20Neraca%20Aset%20Mineral%20dan%20Energi\02%20Data%20asli\Permintaan%20Data%20Sisnerling%20-%20Output%20Pertambangan%20Fungsi%20NB_15112024.xlsx" TargetMode="External"/><Relationship Id="rId1" Type="http://schemas.openxmlformats.org/officeDocument/2006/relationships/externalLinkPath" Target="/@BPS/@2024/12%20Neraca%20Aset%20Mineral%20dan%20Energi/02%20Data%20asli/Permintaan%20Data%20Sisnerling%20-%20Output%20Pertambangan%20Fungsi%20NB_1511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Dela%20MA\2025\SEEA%20-%20Neraca%20Arus%20Energi%202025\Neraca%20Aset%20Mineral%20dan%20Energi%20(2025)\02%20Data%20asli\Daftar%20Kuotasi%20Harga%20SUN%20Seri%20Benchmark%20Harian%202024,%2031%20Dec.xlsx" TargetMode="External"/><Relationship Id="rId1" Type="http://schemas.openxmlformats.org/officeDocument/2006/relationships/externalLinkPath" Target="/Dela%20MA/2025/SEEA%20-%20Neraca%20Arus%20Energi%202025/Neraca%20Aset%20Mineral%20dan%20Energi%20(2025)/02%20Data%20asli/Daftar%20Kuotasi%20Harga%20SUN%20Seri%20Benchmark%20Harian%202024,%2031%20D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el_1"/>
      <sheetName val="Tabel_2"/>
      <sheetName val="Tabel_3"/>
      <sheetName val="Tabel_4"/>
      <sheetName val="Tabel_5"/>
      <sheetName val="Tabel_6"/>
      <sheetName val="Tabel_7"/>
    </sheetNames>
    <sheetDataSet>
      <sheetData sheetId="0"/>
      <sheetData sheetId="1"/>
      <sheetData sheetId="2"/>
      <sheetData sheetId="3">
        <row r="24">
          <cell r="K24">
            <v>5043.22</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B"/>
      <sheetName val="Update"/>
    </sheetNames>
    <sheetDataSet>
      <sheetData sheetId="0"/>
      <sheetData sheetId="1">
        <row r="65">
          <cell r="R65">
            <v>120.42593212823903</v>
          </cell>
          <cell r="S65">
            <v>123.69358104229134</v>
          </cell>
          <cell r="T65">
            <v>127.26813472970467</v>
          </cell>
          <cell r="U65">
            <v>150.71777138618623</v>
          </cell>
        </row>
        <row r="66">
          <cell r="R66">
            <v>1537381.4121155941</v>
          </cell>
          <cell r="S66">
            <v>1178474.9802624003</v>
          </cell>
          <cell r="T66">
            <v>1323677.3249099774</v>
          </cell>
          <cell r="U66">
            <v>2086708.0155669935</v>
          </cell>
        </row>
        <row r="74">
          <cell r="T74">
            <v>2061816.1947113238</v>
          </cell>
          <cell r="U74">
            <v>2235704.3075183029</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B"/>
      <sheetName val="Update"/>
    </sheetNames>
    <sheetDataSet>
      <sheetData sheetId="0" refreshError="1"/>
      <sheetData sheetId="1" refreshError="1">
        <row r="11">
          <cell r="R11">
            <v>2433315890</v>
          </cell>
        </row>
        <row r="72">
          <cell r="S72">
            <v>2134674.9432778894</v>
          </cell>
          <cell r="T72">
            <v>2061816.1947113238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4"/>
    </sheetNames>
    <sheetDataSet>
      <sheetData sheetId="0">
        <row r="243">
          <cell r="A243">
            <v>45656</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showGridLines="0" workbookViewId="0">
      <selection activeCell="C18" sqref="C18"/>
    </sheetView>
  </sheetViews>
  <sheetFormatPr defaultColWidth="14.42578125" defaultRowHeight="15" customHeight="1"/>
  <cols>
    <col min="1" max="26" width="8.710937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U1000"/>
  <sheetViews>
    <sheetView zoomScale="83" zoomScaleNormal="50" workbookViewId="0">
      <pane xSplit="3" ySplit="3" topLeftCell="P4" activePane="bottomRight" state="frozen"/>
      <selection pane="topRight" activeCell="D1" sqref="D1"/>
      <selection pane="bottomLeft" activeCell="A4" sqref="A4"/>
      <selection pane="bottomRight" activeCell="V1" sqref="V1:AC1048576"/>
    </sheetView>
  </sheetViews>
  <sheetFormatPr defaultColWidth="14.42578125" defaultRowHeight="15" customHeight="1"/>
  <cols>
    <col min="1" max="1" width="5.5703125" customWidth="1"/>
    <col min="2" max="2" width="41.28515625" customWidth="1"/>
    <col min="3" max="3" width="13.5703125" customWidth="1"/>
    <col min="4" max="11" width="14.42578125" hidden="1" customWidth="1"/>
    <col min="12" max="12" width="14" customWidth="1"/>
    <col min="13" max="13" width="14.42578125" customWidth="1"/>
    <col min="14" max="15" width="13" customWidth="1"/>
    <col min="16" max="16" width="13.42578125" customWidth="1"/>
    <col min="17" max="20" width="15.140625" customWidth="1"/>
  </cols>
  <sheetData>
    <row r="1" spans="1:20" ht="15.75" customHeight="1">
      <c r="A1" s="1"/>
      <c r="B1" s="2"/>
      <c r="C1" s="2"/>
      <c r="D1" s="2"/>
      <c r="E1" s="2"/>
      <c r="F1" s="2"/>
      <c r="G1" s="2"/>
      <c r="H1" s="2"/>
      <c r="I1" s="2"/>
      <c r="J1" s="2"/>
      <c r="K1" s="2"/>
      <c r="L1" s="2"/>
      <c r="M1" s="2"/>
      <c r="N1" s="2"/>
      <c r="O1" s="2"/>
      <c r="P1" s="2"/>
      <c r="Q1" s="2"/>
      <c r="R1" s="2"/>
      <c r="S1" s="2"/>
      <c r="T1" s="2"/>
    </row>
    <row r="2" spans="1:20" ht="15.75" customHeight="1" thickBot="1">
      <c r="A2" s="1"/>
      <c r="B2" s="2"/>
      <c r="C2" s="2"/>
      <c r="D2" s="2"/>
      <c r="E2" s="2"/>
      <c r="F2" s="2"/>
      <c r="G2" s="2"/>
      <c r="H2" s="2"/>
      <c r="I2" s="2"/>
      <c r="J2" s="2"/>
      <c r="K2" s="2"/>
      <c r="L2" s="2"/>
      <c r="M2" s="2"/>
      <c r="N2" s="2"/>
      <c r="O2" s="2"/>
      <c r="P2" s="2"/>
      <c r="Q2" s="2"/>
      <c r="R2" s="2"/>
      <c r="S2" s="2"/>
      <c r="T2" s="2"/>
    </row>
    <row r="3" spans="1:20" ht="15.75" customHeight="1" thickBot="1">
      <c r="A3" s="3"/>
      <c r="B3" s="4" t="s">
        <v>0</v>
      </c>
      <c r="C3" s="5" t="s">
        <v>1</v>
      </c>
      <c r="D3" s="5">
        <v>2008</v>
      </c>
      <c r="E3" s="5">
        <f t="shared" ref="E3:T3" si="0">D3+1</f>
        <v>2009</v>
      </c>
      <c r="F3" s="5">
        <f t="shared" si="0"/>
        <v>2010</v>
      </c>
      <c r="G3" s="5">
        <f t="shared" si="0"/>
        <v>2011</v>
      </c>
      <c r="H3" s="5">
        <f t="shared" si="0"/>
        <v>2012</v>
      </c>
      <c r="I3" s="5">
        <f t="shared" si="0"/>
        <v>2013</v>
      </c>
      <c r="J3" s="5">
        <f t="shared" si="0"/>
        <v>2014</v>
      </c>
      <c r="K3" s="5">
        <f t="shared" si="0"/>
        <v>2015</v>
      </c>
      <c r="L3" s="5">
        <f t="shared" si="0"/>
        <v>2016</v>
      </c>
      <c r="M3" s="5">
        <f t="shared" si="0"/>
        <v>2017</v>
      </c>
      <c r="N3" s="5">
        <f t="shared" si="0"/>
        <v>2018</v>
      </c>
      <c r="O3" s="5">
        <v>2019</v>
      </c>
      <c r="P3" s="5">
        <f t="shared" si="0"/>
        <v>2020</v>
      </c>
      <c r="Q3" s="5">
        <f t="shared" si="0"/>
        <v>2021</v>
      </c>
      <c r="R3" s="5">
        <f t="shared" si="0"/>
        <v>2022</v>
      </c>
      <c r="S3" s="5">
        <f t="shared" si="0"/>
        <v>2023</v>
      </c>
      <c r="T3" s="5">
        <f t="shared" si="0"/>
        <v>2024</v>
      </c>
    </row>
    <row r="4" spans="1:20" ht="15.75" customHeight="1">
      <c r="A4" s="1"/>
      <c r="B4" s="2"/>
      <c r="C4" s="2"/>
      <c r="D4" s="2"/>
      <c r="E4" s="2"/>
      <c r="F4" s="2"/>
      <c r="G4" s="2"/>
      <c r="H4" s="2"/>
      <c r="I4" s="2"/>
      <c r="J4" s="2"/>
      <c r="K4" s="2"/>
      <c r="L4" s="2"/>
      <c r="M4" s="2"/>
      <c r="N4" s="2"/>
      <c r="O4" s="2"/>
      <c r="P4" s="2"/>
      <c r="Q4" s="2"/>
      <c r="R4" s="2"/>
      <c r="S4" s="2"/>
      <c r="T4" s="2"/>
    </row>
    <row r="5" spans="1:20" ht="15.75" customHeight="1">
      <c r="A5" s="6" t="s">
        <v>2</v>
      </c>
      <c r="B5" s="2"/>
      <c r="C5" s="2"/>
      <c r="D5" s="2"/>
      <c r="E5" s="2"/>
      <c r="F5" s="2"/>
      <c r="G5" s="2"/>
      <c r="H5" s="2"/>
      <c r="I5" s="2"/>
      <c r="J5" s="2"/>
      <c r="K5" s="2"/>
      <c r="L5" s="2"/>
      <c r="M5" s="2"/>
      <c r="N5" s="2"/>
      <c r="O5" s="2"/>
      <c r="P5" s="2"/>
      <c r="Q5" s="2"/>
      <c r="R5" s="2"/>
      <c r="S5" s="2"/>
      <c r="T5" s="2"/>
    </row>
    <row r="6" spans="1:20" ht="6.75" customHeight="1">
      <c r="A6" s="7"/>
      <c r="B6" s="2"/>
      <c r="C6" s="2"/>
      <c r="D6" s="2"/>
      <c r="E6" s="2"/>
      <c r="F6" s="2"/>
      <c r="G6" s="2"/>
      <c r="H6" s="2"/>
      <c r="I6" s="2"/>
      <c r="J6" s="2"/>
      <c r="K6" s="2"/>
      <c r="L6" s="2"/>
      <c r="M6" s="2"/>
      <c r="N6" s="2"/>
      <c r="O6" s="2"/>
      <c r="P6" s="2"/>
      <c r="Q6" s="2"/>
      <c r="R6" s="2"/>
      <c r="S6" s="2"/>
      <c r="T6" s="2"/>
    </row>
    <row r="7" spans="1:20" ht="15.75" customHeight="1">
      <c r="A7" s="8" t="s">
        <v>3</v>
      </c>
      <c r="B7" s="8" t="s">
        <v>4</v>
      </c>
      <c r="C7" s="8" t="s">
        <v>5</v>
      </c>
      <c r="D7" s="8">
        <f t="shared" ref="D7:T7" si="1">D$3</f>
        <v>2008</v>
      </c>
      <c r="E7" s="8">
        <f t="shared" si="1"/>
        <v>2009</v>
      </c>
      <c r="F7" s="8">
        <f t="shared" si="1"/>
        <v>2010</v>
      </c>
      <c r="G7" s="8">
        <f t="shared" si="1"/>
        <v>2011</v>
      </c>
      <c r="H7" s="8">
        <f t="shared" si="1"/>
        <v>2012</v>
      </c>
      <c r="I7" s="8">
        <f t="shared" si="1"/>
        <v>2013</v>
      </c>
      <c r="J7" s="8">
        <f t="shared" si="1"/>
        <v>2014</v>
      </c>
      <c r="K7" s="8">
        <f t="shared" si="1"/>
        <v>2015</v>
      </c>
      <c r="L7" s="8">
        <f t="shared" si="1"/>
        <v>2016</v>
      </c>
      <c r="M7" s="8">
        <f t="shared" si="1"/>
        <v>2017</v>
      </c>
      <c r="N7" s="8">
        <f t="shared" si="1"/>
        <v>2018</v>
      </c>
      <c r="O7" s="8">
        <v>2019</v>
      </c>
      <c r="P7" s="8">
        <f t="shared" si="1"/>
        <v>2020</v>
      </c>
      <c r="Q7" s="8">
        <f t="shared" si="1"/>
        <v>2021</v>
      </c>
      <c r="R7" s="8">
        <f t="shared" si="1"/>
        <v>2022</v>
      </c>
      <c r="S7" s="8">
        <f t="shared" si="1"/>
        <v>2023</v>
      </c>
      <c r="T7" s="8">
        <f t="shared" si="1"/>
        <v>2024</v>
      </c>
    </row>
    <row r="8" spans="1:20"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v>-15</v>
      </c>
      <c r="P8" s="9">
        <f t="shared" si="2"/>
        <v>-16</v>
      </c>
      <c r="Q8" s="9">
        <f t="shared" si="2"/>
        <v>-17</v>
      </c>
      <c r="R8" s="9">
        <f t="shared" si="2"/>
        <v>-18</v>
      </c>
      <c r="S8" s="9">
        <f t="shared" si="2"/>
        <v>-19</v>
      </c>
      <c r="T8" s="9">
        <f t="shared" si="2"/>
        <v>-20</v>
      </c>
    </row>
    <row r="9" spans="1:20" ht="15.75" customHeight="1">
      <c r="A9" s="10">
        <v>1</v>
      </c>
      <c r="B9" s="11" t="s">
        <v>6</v>
      </c>
      <c r="C9" s="10" t="s">
        <v>7</v>
      </c>
      <c r="D9" s="12">
        <f t="shared" ref="D9:Q9" si="3">SUM(D10:D11)</f>
        <v>8219.2000000000007</v>
      </c>
      <c r="E9" s="12">
        <f t="shared" si="3"/>
        <v>7998.5</v>
      </c>
      <c r="F9" s="12">
        <f t="shared" si="3"/>
        <v>7764.48</v>
      </c>
      <c r="G9" s="12">
        <f t="shared" si="3"/>
        <v>7730</v>
      </c>
      <c r="H9" s="12">
        <f t="shared" si="3"/>
        <v>7408.24</v>
      </c>
      <c r="I9" s="12">
        <f t="shared" si="3"/>
        <v>7549.8</v>
      </c>
      <c r="J9" s="12">
        <f t="shared" si="3"/>
        <v>7374.64</v>
      </c>
      <c r="K9" s="12">
        <f t="shared" si="3"/>
        <v>7305.02</v>
      </c>
      <c r="L9" s="12">
        <f t="shared" si="3"/>
        <v>7251.11</v>
      </c>
      <c r="M9" s="12">
        <f t="shared" si="3"/>
        <v>7530</v>
      </c>
      <c r="N9" s="12">
        <f>SUM(N10:N11)</f>
        <v>7512.2</v>
      </c>
      <c r="O9" s="12">
        <v>3774.5899999999997</v>
      </c>
      <c r="P9" s="12">
        <f t="shared" si="3"/>
        <v>4168.71</v>
      </c>
      <c r="Q9" s="12">
        <f t="shared" si="3"/>
        <v>3947.2016960000028</v>
      </c>
      <c r="R9" s="12">
        <f t="shared" ref="R9:S9" si="4">SUM(R10:R11)</f>
        <v>4174.28</v>
      </c>
      <c r="S9" s="12">
        <f t="shared" si="4"/>
        <v>4700.2800000000007</v>
      </c>
      <c r="T9" s="12">
        <f t="shared" ref="T9" si="5">SUM(T10:T11)</f>
        <v>4311.45</v>
      </c>
    </row>
    <row r="10" spans="1:20" ht="15.75" customHeight="1">
      <c r="A10" s="14">
        <v>1.1000000000000001</v>
      </c>
      <c r="B10" s="15" t="s">
        <v>8</v>
      </c>
      <c r="C10" s="14" t="s">
        <v>7</v>
      </c>
      <c r="D10" s="16">
        <v>3747.5</v>
      </c>
      <c r="E10" s="16">
        <v>4303.1000000000004</v>
      </c>
      <c r="F10" s="16">
        <v>4230.17</v>
      </c>
      <c r="G10" s="16">
        <v>4040</v>
      </c>
      <c r="H10" s="16">
        <v>3741.33</v>
      </c>
      <c r="I10" s="16">
        <v>3692.5</v>
      </c>
      <c r="J10" s="16">
        <v>3624.26</v>
      </c>
      <c r="K10" s="16">
        <v>3602.53</v>
      </c>
      <c r="L10" s="16">
        <v>3306.91</v>
      </c>
      <c r="M10" s="16">
        <v>3170</v>
      </c>
      <c r="N10" s="16">
        <v>3154.3</v>
      </c>
      <c r="O10" s="16">
        <v>2483.9699999999998</v>
      </c>
      <c r="P10" s="16">
        <v>2442.09</v>
      </c>
      <c r="Q10" s="16">
        <v>2245.1802471078431</v>
      </c>
      <c r="R10" s="16">
        <v>2271.6</v>
      </c>
      <c r="S10" s="16">
        <v>2413.23</v>
      </c>
      <c r="T10" s="16">
        <v>2287.84</v>
      </c>
    </row>
    <row r="11" spans="1:20" ht="15.75" customHeight="1">
      <c r="A11" s="14">
        <v>1.2</v>
      </c>
      <c r="B11" s="15" t="s">
        <v>9</v>
      </c>
      <c r="C11" s="14" t="s">
        <v>7</v>
      </c>
      <c r="D11" s="16">
        <v>4471.7</v>
      </c>
      <c r="E11" s="16">
        <v>3695.4</v>
      </c>
      <c r="F11" s="16">
        <v>3534.31</v>
      </c>
      <c r="G11" s="16">
        <v>3690</v>
      </c>
      <c r="H11" s="16">
        <v>3666.91</v>
      </c>
      <c r="I11" s="16">
        <v>3857.3</v>
      </c>
      <c r="J11" s="16">
        <v>3750.38</v>
      </c>
      <c r="K11" s="16">
        <v>3702.49</v>
      </c>
      <c r="L11" s="16">
        <v>3944.2</v>
      </c>
      <c r="M11" s="16">
        <v>4360</v>
      </c>
      <c r="N11" s="16">
        <v>4357.8999999999996</v>
      </c>
      <c r="O11" s="16">
        <v>1290.6199999999999</v>
      </c>
      <c r="P11" s="16">
        <v>1726.62</v>
      </c>
      <c r="Q11" s="16">
        <v>1702.0214488921599</v>
      </c>
      <c r="R11" s="16">
        <v>1902.6799999999998</v>
      </c>
      <c r="S11" s="16">
        <v>2287.0500000000002</v>
      </c>
      <c r="T11" s="16">
        <v>2023.6099999999997</v>
      </c>
    </row>
    <row r="12" spans="1:20" ht="15.75" customHeight="1">
      <c r="A12" s="10">
        <v>2</v>
      </c>
      <c r="B12" s="11" t="s">
        <v>10</v>
      </c>
      <c r="C12" s="10" t="s">
        <v>7</v>
      </c>
      <c r="D12" s="12">
        <f t="shared" ref="D12:J12" si="6">SUM(D13:D16)</f>
        <v>262957.64999999997</v>
      </c>
      <c r="E12" s="12">
        <f t="shared" si="6"/>
        <v>430481.90432506346</v>
      </c>
      <c r="F12" s="12">
        <f t="shared" si="6"/>
        <v>297965.212077779</v>
      </c>
      <c r="G12" s="12">
        <f t="shared" si="6"/>
        <v>226995.42687743038</v>
      </c>
      <c r="H12" s="12">
        <f t="shared" si="6"/>
        <v>233873.03468644299</v>
      </c>
      <c r="I12" s="12">
        <f t="shared" si="6"/>
        <v>175748.22259354379</v>
      </c>
      <c r="J12" s="12">
        <f t="shared" si="6"/>
        <v>140182.20081643434</v>
      </c>
      <c r="K12" s="12">
        <v>175680</v>
      </c>
      <c r="L12" s="12">
        <v>163000</v>
      </c>
      <c r="M12" s="12">
        <v>127910</v>
      </c>
      <c r="N12" s="12">
        <v>132330</v>
      </c>
      <c r="O12" s="16">
        <v>710</v>
      </c>
      <c r="P12" s="16">
        <v>634.30906417112294</v>
      </c>
      <c r="Q12" s="16">
        <v>676.36010583957159</v>
      </c>
      <c r="R12" s="16">
        <v>633.25165775401081</v>
      </c>
      <c r="S12" s="16">
        <v>4019.9999999999995</v>
      </c>
      <c r="T12" s="12">
        <f>[1]Tabel_4!K24</f>
        <v>5043.22</v>
      </c>
    </row>
    <row r="13" spans="1:20" ht="15.75" customHeight="1">
      <c r="A13" s="14">
        <v>2.1</v>
      </c>
      <c r="B13" s="15" t="s">
        <v>11</v>
      </c>
      <c r="C13" s="14" t="s">
        <v>7</v>
      </c>
      <c r="D13" s="16">
        <v>78549.849999999991</v>
      </c>
      <c r="E13" s="16">
        <v>277672.13650634553</v>
      </c>
      <c r="F13" s="16">
        <v>160638.58916954006</v>
      </c>
      <c r="G13" s="16">
        <v>120057.65824081076</v>
      </c>
      <c r="H13" s="16">
        <v>124291.98226340083</v>
      </c>
      <c r="I13" s="16">
        <v>94145.55023454738</v>
      </c>
      <c r="J13" s="16">
        <v>80620.317755685828</v>
      </c>
      <c r="K13" s="16"/>
      <c r="L13" s="16"/>
      <c r="M13" s="16"/>
      <c r="N13" s="16"/>
      <c r="O13" s="16"/>
      <c r="P13" s="16"/>
      <c r="Q13" s="16"/>
      <c r="R13" s="16"/>
      <c r="S13" s="16"/>
      <c r="T13" s="16"/>
    </row>
    <row r="14" spans="1:20" ht="15.75" customHeight="1">
      <c r="A14" s="14">
        <v>2.2000000000000002</v>
      </c>
      <c r="B14" s="15" t="s">
        <v>12</v>
      </c>
      <c r="C14" s="14" t="s">
        <v>7</v>
      </c>
      <c r="D14" s="16">
        <v>65344.579999999987</v>
      </c>
      <c r="E14" s="16">
        <v>61532.232100302048</v>
      </c>
      <c r="F14" s="16">
        <v>59141.078938911713</v>
      </c>
      <c r="G14" s="16">
        <v>68556.580217822804</v>
      </c>
      <c r="H14" s="16">
        <v>72631.449806163699</v>
      </c>
      <c r="I14" s="16">
        <v>50774.556548731809</v>
      </c>
      <c r="J14" s="16">
        <v>35140.311750203284</v>
      </c>
      <c r="K14" s="16"/>
      <c r="L14" s="16"/>
      <c r="M14" s="16"/>
      <c r="N14" s="16"/>
      <c r="O14" s="16"/>
      <c r="P14" s="16"/>
      <c r="Q14" s="16"/>
      <c r="R14" s="16"/>
      <c r="S14" s="16"/>
      <c r="T14" s="16"/>
    </row>
    <row r="15" spans="1:20" ht="15.75" customHeight="1">
      <c r="A15" s="14">
        <v>2.2999999999999998</v>
      </c>
      <c r="B15" s="15" t="s">
        <v>13</v>
      </c>
      <c r="C15" s="14" t="s">
        <v>7</v>
      </c>
      <c r="D15" s="16">
        <v>59531.61</v>
      </c>
      <c r="E15" s="16">
        <v>45638.767859207917</v>
      </c>
      <c r="F15" s="16">
        <v>39092.771984663632</v>
      </c>
      <c r="G15" s="16">
        <v>19190.594209398398</v>
      </c>
      <c r="H15" s="16">
        <v>18474.801308439241</v>
      </c>
      <c r="I15" s="16">
        <v>15414.057905132287</v>
      </c>
      <c r="J15" s="16">
        <v>12210.785655272615</v>
      </c>
      <c r="K15" s="16"/>
      <c r="L15" s="16"/>
      <c r="M15" s="16"/>
      <c r="N15" s="16"/>
      <c r="O15" s="16"/>
      <c r="P15" s="16"/>
      <c r="Q15" s="16"/>
      <c r="R15" s="16"/>
      <c r="S15" s="16"/>
      <c r="T15" s="16"/>
    </row>
    <row r="16" spans="1:20" ht="15.75" customHeight="1">
      <c r="A16" s="14">
        <v>2.4</v>
      </c>
      <c r="B16" s="15" t="s">
        <v>14</v>
      </c>
      <c r="C16" s="14" t="s">
        <v>7</v>
      </c>
      <c r="D16" s="16">
        <v>59531.61</v>
      </c>
      <c r="E16" s="16">
        <v>45638.767859207917</v>
      </c>
      <c r="F16" s="16">
        <v>39092.771984663632</v>
      </c>
      <c r="G16" s="16">
        <v>19190.594209398398</v>
      </c>
      <c r="H16" s="16">
        <v>18474.801308439241</v>
      </c>
      <c r="I16" s="16">
        <v>15414.057905132287</v>
      </c>
      <c r="J16" s="16">
        <v>12210.785655272615</v>
      </c>
      <c r="K16" s="16"/>
      <c r="L16" s="16"/>
      <c r="M16" s="16"/>
      <c r="N16" s="16"/>
      <c r="O16" s="16"/>
      <c r="P16" s="16"/>
      <c r="Q16" s="16"/>
      <c r="R16" s="16"/>
      <c r="S16" s="16"/>
      <c r="T16" s="16"/>
    </row>
    <row r="17" spans="1:20" ht="15.75" customHeight="1">
      <c r="A17" s="17" t="s">
        <v>15</v>
      </c>
      <c r="B17" s="2"/>
      <c r="C17" s="2"/>
      <c r="D17" s="2"/>
      <c r="E17" s="2"/>
      <c r="F17" s="2"/>
      <c r="G17" s="2"/>
      <c r="H17" s="2"/>
      <c r="I17" s="2"/>
      <c r="J17" s="2"/>
      <c r="K17" s="2"/>
      <c r="L17" s="2"/>
      <c r="M17" s="2"/>
      <c r="N17" s="2"/>
      <c r="O17" s="2"/>
      <c r="P17" s="2"/>
      <c r="Q17" s="2"/>
      <c r="R17" s="2"/>
      <c r="S17" s="2"/>
      <c r="T17" s="2"/>
    </row>
    <row r="18" spans="1:20" ht="15.75" customHeight="1">
      <c r="A18" s="1"/>
      <c r="B18" s="2"/>
      <c r="C18" s="2"/>
      <c r="D18" s="2"/>
      <c r="E18" s="2"/>
      <c r="F18" s="2"/>
      <c r="G18" s="2"/>
      <c r="H18" s="2"/>
      <c r="I18" s="2"/>
      <c r="J18" s="2"/>
      <c r="K18" s="2"/>
      <c r="L18" s="2"/>
      <c r="M18" s="2"/>
      <c r="N18" s="2"/>
      <c r="O18" s="2"/>
      <c r="P18" s="2"/>
      <c r="Q18" s="2"/>
      <c r="R18" s="2"/>
      <c r="S18" s="2"/>
      <c r="T18" s="2"/>
    </row>
    <row r="19" spans="1:20" ht="15.75" customHeight="1">
      <c r="A19" s="1"/>
      <c r="B19" s="2"/>
      <c r="C19" s="2"/>
      <c r="D19" s="2"/>
      <c r="E19" s="2"/>
      <c r="F19" s="2"/>
      <c r="G19" s="2"/>
      <c r="H19" s="2"/>
      <c r="I19" s="2"/>
      <c r="J19" s="2"/>
      <c r="K19" s="2"/>
      <c r="L19" s="2"/>
      <c r="M19" s="2"/>
      <c r="N19" s="2"/>
      <c r="O19" s="185"/>
      <c r="P19" s="185"/>
      <c r="Q19" s="185"/>
      <c r="R19" s="185"/>
      <c r="S19" s="185"/>
      <c r="T19" s="185"/>
    </row>
    <row r="20" spans="1:20" ht="15.75" customHeight="1">
      <c r="A20" s="6" t="s">
        <v>16</v>
      </c>
      <c r="B20" s="2"/>
      <c r="C20" s="2"/>
      <c r="D20" s="2"/>
      <c r="E20" s="2"/>
      <c r="F20" s="2"/>
      <c r="G20" s="2"/>
      <c r="H20" s="2"/>
      <c r="I20" s="2"/>
      <c r="J20" s="2"/>
      <c r="K20" s="2"/>
      <c r="L20" s="2"/>
      <c r="M20" s="2"/>
      <c r="N20" s="2"/>
      <c r="O20" s="2"/>
      <c r="P20" s="2"/>
      <c r="Q20" s="2"/>
      <c r="R20" s="2"/>
      <c r="S20" s="2"/>
      <c r="T20" s="2"/>
    </row>
    <row r="21" spans="1:20" ht="7.5" customHeight="1">
      <c r="A21" s="7"/>
      <c r="B21" s="2"/>
      <c r="C21" s="2"/>
      <c r="D21" s="2"/>
      <c r="E21" s="2"/>
      <c r="F21" s="2"/>
      <c r="G21" s="2"/>
      <c r="H21" s="2"/>
      <c r="I21" s="2"/>
      <c r="J21" s="2"/>
      <c r="K21" s="2"/>
      <c r="L21" s="2"/>
      <c r="M21" s="2"/>
      <c r="N21" s="2"/>
      <c r="O21" s="2"/>
      <c r="P21" s="2"/>
      <c r="Q21" s="2"/>
      <c r="R21" s="2"/>
      <c r="S21" s="2"/>
      <c r="T21" s="2"/>
    </row>
    <row r="22" spans="1:20" ht="15.75" customHeight="1">
      <c r="A22" s="8" t="s">
        <v>3</v>
      </c>
      <c r="B22" s="8" t="s">
        <v>4</v>
      </c>
      <c r="C22" s="8" t="s">
        <v>5</v>
      </c>
      <c r="D22" s="8">
        <f t="shared" ref="D22:T22" si="7">D$3</f>
        <v>2008</v>
      </c>
      <c r="E22" s="8">
        <f t="shared" si="7"/>
        <v>2009</v>
      </c>
      <c r="F22" s="8">
        <f t="shared" si="7"/>
        <v>2010</v>
      </c>
      <c r="G22" s="8">
        <f t="shared" si="7"/>
        <v>2011</v>
      </c>
      <c r="H22" s="8">
        <f t="shared" si="7"/>
        <v>2012</v>
      </c>
      <c r="I22" s="8">
        <f t="shared" si="7"/>
        <v>2013</v>
      </c>
      <c r="J22" s="8">
        <f t="shared" si="7"/>
        <v>2014</v>
      </c>
      <c r="K22" s="8">
        <f t="shared" si="7"/>
        <v>2015</v>
      </c>
      <c r="L22" s="8">
        <f t="shared" si="7"/>
        <v>2016</v>
      </c>
      <c r="M22" s="8">
        <f t="shared" si="7"/>
        <v>2017</v>
      </c>
      <c r="N22" s="8">
        <f t="shared" si="7"/>
        <v>2018</v>
      </c>
      <c r="O22" s="8">
        <v>2019</v>
      </c>
      <c r="P22" s="8">
        <f t="shared" si="7"/>
        <v>2020</v>
      </c>
      <c r="Q22" s="8">
        <f t="shared" si="7"/>
        <v>2021</v>
      </c>
      <c r="R22" s="8">
        <f t="shared" si="7"/>
        <v>2022</v>
      </c>
      <c r="S22" s="8">
        <f t="shared" si="7"/>
        <v>2023</v>
      </c>
      <c r="T22" s="8">
        <f t="shared" si="7"/>
        <v>2024</v>
      </c>
    </row>
    <row r="23" spans="1:20" ht="15.75" customHeight="1">
      <c r="A23" s="9">
        <v>-1</v>
      </c>
      <c r="B23" s="9">
        <f t="shared" ref="B23:T23" si="8">A23-1</f>
        <v>-2</v>
      </c>
      <c r="C23" s="9">
        <f t="shared" si="8"/>
        <v>-3</v>
      </c>
      <c r="D23" s="9">
        <f t="shared" si="8"/>
        <v>-4</v>
      </c>
      <c r="E23" s="9">
        <f t="shared" si="8"/>
        <v>-5</v>
      </c>
      <c r="F23" s="9">
        <f t="shared" si="8"/>
        <v>-6</v>
      </c>
      <c r="G23" s="9">
        <f t="shared" si="8"/>
        <v>-7</v>
      </c>
      <c r="H23" s="9">
        <f t="shared" si="8"/>
        <v>-8</v>
      </c>
      <c r="I23" s="9">
        <f t="shared" si="8"/>
        <v>-9</v>
      </c>
      <c r="J23" s="9">
        <f t="shared" si="8"/>
        <v>-10</v>
      </c>
      <c r="K23" s="9">
        <f t="shared" si="8"/>
        <v>-11</v>
      </c>
      <c r="L23" s="9">
        <f t="shared" si="8"/>
        <v>-12</v>
      </c>
      <c r="M23" s="9">
        <f t="shared" si="8"/>
        <v>-13</v>
      </c>
      <c r="N23" s="9">
        <f t="shared" si="8"/>
        <v>-14</v>
      </c>
      <c r="O23" s="9">
        <v>-15</v>
      </c>
      <c r="P23" s="9">
        <f t="shared" si="8"/>
        <v>-16</v>
      </c>
      <c r="Q23" s="9">
        <f t="shared" si="8"/>
        <v>-17</v>
      </c>
      <c r="R23" s="9">
        <f t="shared" si="8"/>
        <v>-18</v>
      </c>
      <c r="S23" s="9">
        <f t="shared" si="8"/>
        <v>-19</v>
      </c>
      <c r="T23" s="9">
        <f t="shared" si="8"/>
        <v>-20</v>
      </c>
    </row>
    <row r="24" spans="1:20" ht="15.75" customHeight="1">
      <c r="A24" s="14">
        <v>1</v>
      </c>
      <c r="B24" s="15" t="s">
        <v>17</v>
      </c>
      <c r="C24" s="14" t="s">
        <v>18</v>
      </c>
      <c r="D24" s="18">
        <v>357500613</v>
      </c>
      <c r="E24" s="18">
        <v>346312989</v>
      </c>
      <c r="F24" s="18">
        <v>344826902</v>
      </c>
      <c r="G24" s="18">
        <v>329605628</v>
      </c>
      <c r="H24" s="18">
        <v>314665872</v>
      </c>
      <c r="I24" s="18">
        <v>300830013</v>
      </c>
      <c r="J24" s="18">
        <v>287902164</v>
      </c>
      <c r="K24" s="18">
        <v>286814216</v>
      </c>
      <c r="L24" s="18">
        <v>304167388</v>
      </c>
      <c r="M24" s="18">
        <v>292373702</v>
      </c>
      <c r="N24" s="18">
        <v>281780000</v>
      </c>
      <c r="O24" s="18">
        <v>272025409</v>
      </c>
      <c r="P24" s="186">
        <v>259246804.74980453</v>
      </c>
      <c r="Q24" s="187">
        <v>240361291</v>
      </c>
      <c r="R24" s="187">
        <v>223560840</v>
      </c>
      <c r="S24" s="187">
        <v>221021499.38540033</v>
      </c>
      <c r="T24" s="187">
        <v>212327373</v>
      </c>
    </row>
    <row r="25" spans="1:20" ht="15.75" customHeight="1">
      <c r="A25" s="14">
        <v>2</v>
      </c>
      <c r="B25" s="15" t="s">
        <v>19</v>
      </c>
      <c r="C25" s="14" t="s">
        <v>20</v>
      </c>
      <c r="D25" s="18">
        <f t="shared" ref="D25:R25" si="9">D26/D24*1000000</f>
        <v>872096.91164804902</v>
      </c>
      <c r="E25" s="18">
        <f t="shared" si="9"/>
        <v>601120.38605200127</v>
      </c>
      <c r="F25" s="18">
        <f t="shared" si="9"/>
        <v>681231.98137018527</v>
      </c>
      <c r="G25" s="18">
        <f t="shared" si="9"/>
        <v>922544.61151701049</v>
      </c>
      <c r="H25" s="18">
        <f t="shared" si="9"/>
        <v>1000647.8312567404</v>
      </c>
      <c r="I25" s="18">
        <f t="shared" si="9"/>
        <v>1053787.2178269692</v>
      </c>
      <c r="J25" s="18">
        <f t="shared" si="9"/>
        <v>1094710.3667196946</v>
      </c>
      <c r="K25" s="18">
        <f t="shared" si="9"/>
        <v>630139.23736020911</v>
      </c>
      <c r="L25" s="18">
        <f t="shared" si="9"/>
        <v>533656.1804221652</v>
      </c>
      <c r="M25" s="18">
        <f t="shared" si="9"/>
        <v>730711.61965458165</v>
      </c>
      <c r="N25" s="18">
        <f t="shared" si="9"/>
        <v>1032983.6823053446</v>
      </c>
      <c r="O25" s="18">
        <v>940844.70616493037</v>
      </c>
      <c r="P25" s="200">
        <f t="shared" si="9"/>
        <v>693805.48349351133</v>
      </c>
      <c r="Q25" s="200">
        <f t="shared" si="9"/>
        <v>1156885.9008699076</v>
      </c>
      <c r="R25" s="200">
        <f t="shared" si="9"/>
        <v>1631754.1822815607</v>
      </c>
      <c r="S25" s="200">
        <f t="shared" ref="S25:T25" si="10">S26/S24*1000000</f>
        <v>1413213.5369523379</v>
      </c>
      <c r="T25" s="200">
        <f t="shared" si="10"/>
        <v>1449944.8029499999</v>
      </c>
    </row>
    <row r="26" spans="1:20" ht="15.75" customHeight="1">
      <c r="A26" s="14">
        <v>3</v>
      </c>
      <c r="B26" s="15" t="s">
        <v>21</v>
      </c>
      <c r="C26" s="14" t="s">
        <v>22</v>
      </c>
      <c r="D26" s="18">
        <v>311775180.50958437</v>
      </c>
      <c r="E26" s="18">
        <v>208175797.64250246</v>
      </c>
      <c r="F26" s="18">
        <v>234907113.67920271</v>
      </c>
      <c r="G26" s="18">
        <v>304075896.03708029</v>
      </c>
      <c r="H26" s="18">
        <v>314869722.3873111</v>
      </c>
      <c r="I26" s="18">
        <v>317010822.43812096</v>
      </c>
      <c r="J26" s="18">
        <v>315169483.53183359</v>
      </c>
      <c r="K26" s="18">
        <v>180732891.3343063</v>
      </c>
      <c r="L26" s="18">
        <v>162320806.48906672</v>
      </c>
      <c r="M26" s="18">
        <v>213640861.33282599</v>
      </c>
      <c r="N26" s="18">
        <v>291074142</v>
      </c>
      <c r="O26" s="188">
        <v>255933666</v>
      </c>
      <c r="P26" s="190">
        <v>179866854.71358606</v>
      </c>
      <c r="Q26" s="190">
        <v>278070588.67278898</v>
      </c>
      <c r="R26" s="190">
        <v>364796335.66437882</v>
      </c>
      <c r="S26" s="190">
        <v>312350574.88895059</v>
      </c>
      <c r="T26" s="190">
        <v>307862971.00537616</v>
      </c>
    </row>
    <row r="27" spans="1:20" ht="15.75" customHeight="1">
      <c r="A27" s="17" t="s">
        <v>23</v>
      </c>
      <c r="B27" s="2"/>
      <c r="C27" s="2"/>
      <c r="D27" s="2"/>
      <c r="E27" s="2"/>
      <c r="F27" s="2"/>
      <c r="G27" s="2"/>
      <c r="H27" s="2"/>
      <c r="I27" s="2"/>
      <c r="J27" s="2"/>
      <c r="K27" s="2"/>
      <c r="L27" s="2"/>
      <c r="M27" s="2"/>
      <c r="N27" s="2"/>
      <c r="O27" s="185"/>
      <c r="P27" s="185"/>
      <c r="Q27" s="185"/>
      <c r="R27" s="185"/>
      <c r="S27" s="185"/>
      <c r="T27" s="185"/>
    </row>
    <row r="28" spans="1:20" ht="15.75" customHeight="1">
      <c r="A28" s="19"/>
      <c r="B28" s="2"/>
      <c r="C28" s="2"/>
      <c r="D28" s="2"/>
      <c r="E28" s="2"/>
      <c r="F28" s="2"/>
      <c r="G28" s="2"/>
      <c r="H28" s="2"/>
      <c r="I28" s="2"/>
      <c r="J28" s="2"/>
      <c r="K28" s="2"/>
      <c r="L28" s="2"/>
      <c r="M28" s="2"/>
      <c r="N28" s="2"/>
      <c r="O28" s="20"/>
      <c r="P28" s="2"/>
      <c r="Q28" s="2"/>
      <c r="R28" s="2"/>
      <c r="S28" s="2"/>
      <c r="T28" s="2"/>
    </row>
    <row r="29" spans="1:20" ht="15.75" customHeight="1">
      <c r="A29" s="19"/>
      <c r="B29" s="2"/>
      <c r="C29" s="2"/>
      <c r="D29" s="20"/>
      <c r="E29" s="20"/>
      <c r="F29" s="20"/>
      <c r="G29" s="20"/>
      <c r="H29" s="20"/>
      <c r="I29" s="20"/>
      <c r="J29" s="20"/>
      <c r="K29" s="20"/>
      <c r="L29" s="20"/>
      <c r="M29" s="20"/>
      <c r="N29" s="20"/>
      <c r="O29" s="20"/>
      <c r="P29" s="20"/>
      <c r="Q29" s="20"/>
      <c r="R29" s="20"/>
      <c r="S29" s="20"/>
      <c r="T29" s="20"/>
    </row>
    <row r="30" spans="1:20" ht="15.75" customHeight="1">
      <c r="A30" s="6" t="s">
        <v>24</v>
      </c>
      <c r="B30" s="2"/>
      <c r="C30" s="2"/>
      <c r="D30" s="2"/>
      <c r="E30" s="2"/>
      <c r="F30" s="2"/>
      <c r="G30" s="2"/>
      <c r="H30" s="2"/>
      <c r="I30" s="2"/>
      <c r="J30" s="2"/>
      <c r="K30" s="2"/>
      <c r="L30" s="2"/>
      <c r="M30" s="2"/>
      <c r="N30" s="2"/>
      <c r="O30" s="2"/>
      <c r="P30" s="2"/>
      <c r="Q30" s="2"/>
      <c r="R30" s="2"/>
      <c r="S30" s="2"/>
      <c r="T30" s="2"/>
    </row>
    <row r="31" spans="1:20" ht="7.5" customHeight="1">
      <c r="A31" s="19"/>
      <c r="B31" s="2"/>
      <c r="C31" s="2"/>
      <c r="D31" s="2"/>
      <c r="E31" s="2"/>
      <c r="F31" s="2"/>
      <c r="G31" s="2"/>
      <c r="H31" s="2"/>
      <c r="I31" s="2"/>
      <c r="J31" s="2"/>
      <c r="K31" s="2"/>
      <c r="L31" s="2"/>
      <c r="M31" s="2"/>
      <c r="N31" s="2"/>
      <c r="O31" s="2"/>
      <c r="P31" s="2"/>
      <c r="Q31" s="2"/>
      <c r="R31" s="2"/>
      <c r="S31" s="2"/>
      <c r="T31" s="2"/>
    </row>
    <row r="32" spans="1:20" ht="15.75" customHeight="1">
      <c r="A32" s="8" t="s">
        <v>3</v>
      </c>
      <c r="B32" s="8" t="s">
        <v>4</v>
      </c>
      <c r="C32" s="8" t="s">
        <v>5</v>
      </c>
      <c r="D32" s="8">
        <f t="shared" ref="D32:T32" si="11">D$3</f>
        <v>2008</v>
      </c>
      <c r="E32" s="8">
        <f t="shared" si="11"/>
        <v>2009</v>
      </c>
      <c r="F32" s="8">
        <f t="shared" si="11"/>
        <v>2010</v>
      </c>
      <c r="G32" s="8">
        <f t="shared" si="11"/>
        <v>2011</v>
      </c>
      <c r="H32" s="8">
        <f t="shared" si="11"/>
        <v>2012</v>
      </c>
      <c r="I32" s="8">
        <f t="shared" si="11"/>
        <v>2013</v>
      </c>
      <c r="J32" s="8">
        <f t="shared" si="11"/>
        <v>2014</v>
      </c>
      <c r="K32" s="8">
        <f t="shared" si="11"/>
        <v>2015</v>
      </c>
      <c r="L32" s="8">
        <f t="shared" si="11"/>
        <v>2016</v>
      </c>
      <c r="M32" s="8">
        <f t="shared" si="11"/>
        <v>2017</v>
      </c>
      <c r="N32" s="8">
        <f t="shared" si="11"/>
        <v>2018</v>
      </c>
      <c r="O32" s="8">
        <v>2019</v>
      </c>
      <c r="P32" s="8">
        <f t="shared" si="11"/>
        <v>2020</v>
      </c>
      <c r="Q32" s="8">
        <f t="shared" si="11"/>
        <v>2021</v>
      </c>
      <c r="R32" s="8">
        <f t="shared" si="11"/>
        <v>2022</v>
      </c>
      <c r="S32" s="8">
        <f t="shared" si="11"/>
        <v>2023</v>
      </c>
      <c r="T32" s="8">
        <f t="shared" si="11"/>
        <v>2024</v>
      </c>
    </row>
    <row r="33" spans="1:20" ht="15.75" customHeight="1">
      <c r="A33" s="9">
        <v>-1</v>
      </c>
      <c r="B33" s="9">
        <f t="shared" ref="B33:T33" si="12">A33-1</f>
        <v>-2</v>
      </c>
      <c r="C33" s="9">
        <f t="shared" si="12"/>
        <v>-3</v>
      </c>
      <c r="D33" s="9">
        <f t="shared" si="12"/>
        <v>-4</v>
      </c>
      <c r="E33" s="9">
        <f t="shared" si="12"/>
        <v>-5</v>
      </c>
      <c r="F33" s="9">
        <f t="shared" si="12"/>
        <v>-6</v>
      </c>
      <c r="G33" s="9">
        <f t="shared" si="12"/>
        <v>-7</v>
      </c>
      <c r="H33" s="9">
        <f t="shared" si="12"/>
        <v>-8</v>
      </c>
      <c r="I33" s="9">
        <f t="shared" si="12"/>
        <v>-9</v>
      </c>
      <c r="J33" s="9">
        <f t="shared" si="12"/>
        <v>-10</v>
      </c>
      <c r="K33" s="9">
        <f t="shared" si="12"/>
        <v>-11</v>
      </c>
      <c r="L33" s="9">
        <f t="shared" si="12"/>
        <v>-12</v>
      </c>
      <c r="M33" s="9">
        <f t="shared" si="12"/>
        <v>-13</v>
      </c>
      <c r="N33" s="9">
        <f t="shared" si="12"/>
        <v>-14</v>
      </c>
      <c r="O33" s="9">
        <v>-15</v>
      </c>
      <c r="P33" s="9">
        <f t="shared" si="12"/>
        <v>-16</v>
      </c>
      <c r="Q33" s="9">
        <f t="shared" si="12"/>
        <v>-17</v>
      </c>
      <c r="R33" s="9">
        <f t="shared" si="12"/>
        <v>-18</v>
      </c>
      <c r="S33" s="9">
        <f t="shared" si="12"/>
        <v>-19</v>
      </c>
      <c r="T33" s="9">
        <f t="shared" si="12"/>
        <v>-20</v>
      </c>
    </row>
    <row r="34" spans="1:20" ht="15.75" customHeight="1">
      <c r="A34" s="14">
        <v>1</v>
      </c>
      <c r="B34" s="21" t="s">
        <v>25</v>
      </c>
      <c r="C34" s="14" t="s">
        <v>22</v>
      </c>
      <c r="D34" s="18"/>
      <c r="E34" s="18"/>
      <c r="F34" s="22">
        <v>79145788</v>
      </c>
      <c r="G34" s="18"/>
      <c r="H34" s="18"/>
      <c r="I34" s="18"/>
      <c r="J34" s="18"/>
      <c r="K34" s="18"/>
      <c r="L34" s="18">
        <v>47050365</v>
      </c>
      <c r="M34" s="18"/>
      <c r="N34" s="18"/>
      <c r="O34" s="18"/>
      <c r="P34" s="18"/>
      <c r="Q34" s="18"/>
      <c r="R34" s="18"/>
      <c r="S34" s="18"/>
      <c r="T34" s="18"/>
    </row>
    <row r="35" spans="1:20" ht="15.75" customHeight="1">
      <c r="A35" s="14">
        <v>2</v>
      </c>
      <c r="B35" s="15" t="s">
        <v>26</v>
      </c>
      <c r="C35" s="14" t="s">
        <v>22</v>
      </c>
      <c r="D35" s="18"/>
      <c r="E35" s="18"/>
      <c r="F35" s="22">
        <v>18280023</v>
      </c>
      <c r="G35" s="18"/>
      <c r="H35" s="18"/>
      <c r="I35" s="18"/>
      <c r="J35" s="18"/>
      <c r="K35" s="18"/>
      <c r="L35" s="18">
        <v>29185496</v>
      </c>
      <c r="M35" s="18"/>
      <c r="N35" s="18"/>
      <c r="O35" s="18"/>
      <c r="P35" s="18"/>
      <c r="Q35" s="18"/>
      <c r="R35" s="18"/>
      <c r="S35" s="18"/>
      <c r="T35" s="18"/>
    </row>
    <row r="36" spans="1:20" ht="15.75" customHeight="1">
      <c r="A36" s="14">
        <v>3</v>
      </c>
      <c r="B36" s="21" t="s">
        <v>27</v>
      </c>
      <c r="C36" s="14" t="s">
        <v>22</v>
      </c>
      <c r="D36" s="18"/>
      <c r="E36" s="18"/>
      <c r="F36" s="22">
        <v>1506374</v>
      </c>
      <c r="G36" s="18"/>
      <c r="H36" s="18"/>
      <c r="I36" s="18"/>
      <c r="J36" s="18"/>
      <c r="K36" s="18"/>
      <c r="L36" s="18">
        <v>954683</v>
      </c>
      <c r="M36" s="18"/>
      <c r="N36" s="18"/>
      <c r="O36" s="18"/>
      <c r="P36" s="18"/>
      <c r="Q36" s="18"/>
      <c r="R36" s="18"/>
      <c r="S36" s="18"/>
      <c r="T36" s="18"/>
    </row>
    <row r="37" spans="1:20" ht="15.75" customHeight="1">
      <c r="A37" s="14">
        <v>4</v>
      </c>
      <c r="B37" s="21" t="s">
        <v>28</v>
      </c>
      <c r="C37" s="14" t="s">
        <v>22</v>
      </c>
      <c r="D37" s="18"/>
      <c r="E37" s="18"/>
      <c r="F37" s="22">
        <v>151748081</v>
      </c>
      <c r="G37" s="18"/>
      <c r="H37" s="18"/>
      <c r="I37" s="18"/>
      <c r="J37" s="18"/>
      <c r="K37" s="18"/>
      <c r="L37" s="18">
        <v>117259739</v>
      </c>
      <c r="M37" s="18"/>
      <c r="N37" s="18"/>
      <c r="O37" s="18"/>
      <c r="P37" s="18"/>
      <c r="Q37" s="18"/>
      <c r="R37" s="18"/>
      <c r="S37" s="18"/>
      <c r="T37" s="18"/>
    </row>
    <row r="38" spans="1:20" ht="15.75" customHeight="1">
      <c r="A38" s="14">
        <v>5</v>
      </c>
      <c r="B38" s="21" t="s">
        <v>29</v>
      </c>
      <c r="C38" s="14" t="s">
        <v>22</v>
      </c>
      <c r="D38" s="18"/>
      <c r="E38" s="18"/>
      <c r="F38" s="22">
        <v>250680266</v>
      </c>
      <c r="G38" s="18"/>
      <c r="H38" s="18"/>
      <c r="I38" s="18"/>
      <c r="J38" s="18"/>
      <c r="K38" s="18"/>
      <c r="L38" s="18">
        <v>194450283</v>
      </c>
      <c r="M38" s="18"/>
      <c r="N38" s="18"/>
      <c r="O38" s="18"/>
      <c r="P38" s="18"/>
      <c r="Q38" s="18"/>
      <c r="R38" s="18"/>
      <c r="S38" s="18"/>
      <c r="T38" s="18"/>
    </row>
    <row r="39" spans="1:20" ht="15.75" customHeight="1">
      <c r="A39" s="17" t="s">
        <v>30</v>
      </c>
      <c r="B39" s="2"/>
      <c r="C39" s="2"/>
      <c r="D39" s="2"/>
      <c r="E39" s="2"/>
      <c r="F39" s="2"/>
      <c r="G39" s="2"/>
      <c r="H39" s="2"/>
      <c r="I39" s="2"/>
      <c r="J39" s="2"/>
      <c r="K39" s="2"/>
      <c r="L39" s="2"/>
      <c r="M39" s="2"/>
      <c r="N39" s="2"/>
      <c r="O39" s="2"/>
      <c r="P39" s="2"/>
      <c r="Q39" s="2"/>
      <c r="R39" s="2"/>
      <c r="S39" s="2"/>
      <c r="T39" s="2"/>
    </row>
    <row r="40" spans="1:20" ht="15.75" customHeight="1">
      <c r="A40" s="19"/>
      <c r="B40" s="2"/>
      <c r="C40" s="2"/>
      <c r="D40" s="2"/>
      <c r="E40" s="2"/>
      <c r="F40" s="2"/>
      <c r="G40" s="2"/>
      <c r="H40" s="2"/>
      <c r="I40" s="2"/>
      <c r="J40" s="2"/>
      <c r="K40" s="2"/>
      <c r="L40" s="2"/>
      <c r="M40" s="2"/>
      <c r="N40" s="2"/>
      <c r="O40" s="2"/>
      <c r="P40" s="2"/>
      <c r="Q40" s="2"/>
      <c r="R40" s="2"/>
      <c r="S40" s="2"/>
      <c r="T40" s="2"/>
    </row>
    <row r="41" spans="1:20" ht="15.75" customHeight="1">
      <c r="A41" s="19"/>
      <c r="B41" s="2"/>
      <c r="C41" s="2"/>
      <c r="D41" s="2"/>
      <c r="E41" s="2"/>
      <c r="F41" s="2"/>
      <c r="G41" s="2"/>
      <c r="H41" s="2"/>
      <c r="I41" s="2"/>
      <c r="J41" s="2"/>
      <c r="K41" s="2"/>
      <c r="L41" s="2"/>
      <c r="M41" s="2"/>
      <c r="N41" s="2"/>
      <c r="O41" s="2"/>
      <c r="P41" s="2"/>
      <c r="Q41" s="2"/>
      <c r="R41" s="2"/>
      <c r="S41" s="2"/>
      <c r="T41" s="2"/>
    </row>
    <row r="42" spans="1:20" ht="15.75" customHeight="1">
      <c r="A42" s="6" t="s">
        <v>31</v>
      </c>
      <c r="B42" s="2"/>
      <c r="C42" s="2"/>
      <c r="D42" s="2"/>
      <c r="E42" s="2"/>
      <c r="F42" s="2"/>
      <c r="G42" s="2"/>
      <c r="H42" s="2"/>
      <c r="I42" s="2"/>
      <c r="J42" s="2"/>
      <c r="K42" s="2"/>
      <c r="L42" s="2"/>
      <c r="M42" s="2"/>
      <c r="N42" s="2"/>
      <c r="O42" s="2"/>
      <c r="P42" s="2"/>
      <c r="Q42" s="2"/>
      <c r="R42" s="2"/>
      <c r="S42" s="2"/>
      <c r="T42" s="2"/>
    </row>
    <row r="43" spans="1:20" ht="7.5" customHeight="1">
      <c r="A43" s="7"/>
      <c r="B43" s="2"/>
      <c r="C43" s="2"/>
      <c r="D43" s="2"/>
      <c r="E43" s="2"/>
      <c r="F43" s="2"/>
      <c r="G43" s="2"/>
      <c r="H43" s="2"/>
      <c r="I43" s="2"/>
      <c r="J43" s="2"/>
      <c r="K43" s="2"/>
      <c r="L43" s="2"/>
      <c r="M43" s="2"/>
      <c r="N43" s="2"/>
      <c r="O43" s="2"/>
      <c r="P43" s="2"/>
      <c r="Q43" s="2"/>
      <c r="R43" s="2"/>
      <c r="S43" s="2"/>
      <c r="T43" s="2"/>
    </row>
    <row r="44" spans="1:20" ht="15.75" customHeight="1">
      <c r="A44" s="8" t="s">
        <v>3</v>
      </c>
      <c r="B44" s="8" t="s">
        <v>4</v>
      </c>
      <c r="C44" s="8" t="s">
        <v>5</v>
      </c>
      <c r="D44" s="8">
        <f t="shared" ref="D44:T44" si="13">D$3</f>
        <v>2008</v>
      </c>
      <c r="E44" s="8">
        <f t="shared" si="13"/>
        <v>2009</v>
      </c>
      <c r="F44" s="8">
        <f t="shared" si="13"/>
        <v>2010</v>
      </c>
      <c r="G44" s="8">
        <f t="shared" si="13"/>
        <v>2011</v>
      </c>
      <c r="H44" s="8">
        <f t="shared" si="13"/>
        <v>2012</v>
      </c>
      <c r="I44" s="8">
        <f t="shared" si="13"/>
        <v>2013</v>
      </c>
      <c r="J44" s="8">
        <f t="shared" si="13"/>
        <v>2014</v>
      </c>
      <c r="K44" s="8">
        <f t="shared" si="13"/>
        <v>2015</v>
      </c>
      <c r="L44" s="8">
        <f t="shared" si="13"/>
        <v>2016</v>
      </c>
      <c r="M44" s="8">
        <f t="shared" si="13"/>
        <v>2017</v>
      </c>
      <c r="N44" s="8">
        <f t="shared" si="13"/>
        <v>2018</v>
      </c>
      <c r="O44" s="8">
        <v>2019</v>
      </c>
      <c r="P44" s="8">
        <f t="shared" si="13"/>
        <v>2020</v>
      </c>
      <c r="Q44" s="8">
        <f t="shared" si="13"/>
        <v>2021</v>
      </c>
      <c r="R44" s="8">
        <f t="shared" si="13"/>
        <v>2022</v>
      </c>
      <c r="S44" s="8">
        <f t="shared" si="13"/>
        <v>2023</v>
      </c>
      <c r="T44" s="8">
        <f t="shared" si="13"/>
        <v>2024</v>
      </c>
    </row>
    <row r="45" spans="1:20" ht="15.75" customHeight="1">
      <c r="A45" s="9">
        <v>-1</v>
      </c>
      <c r="B45" s="9">
        <f t="shared" ref="B45:T45" si="14">A45-1</f>
        <v>-2</v>
      </c>
      <c r="C45" s="9">
        <f t="shared" si="14"/>
        <v>-3</v>
      </c>
      <c r="D45" s="9">
        <f t="shared" si="14"/>
        <v>-4</v>
      </c>
      <c r="E45" s="9">
        <f t="shared" si="14"/>
        <v>-5</v>
      </c>
      <c r="F45" s="9">
        <f t="shared" si="14"/>
        <v>-6</v>
      </c>
      <c r="G45" s="9">
        <f t="shared" si="14"/>
        <v>-7</v>
      </c>
      <c r="H45" s="9">
        <f t="shared" si="14"/>
        <v>-8</v>
      </c>
      <c r="I45" s="9">
        <f t="shared" si="14"/>
        <v>-9</v>
      </c>
      <c r="J45" s="9">
        <f t="shared" si="14"/>
        <v>-10</v>
      </c>
      <c r="K45" s="9">
        <f t="shared" si="14"/>
        <v>-11</v>
      </c>
      <c r="L45" s="9">
        <f t="shared" si="14"/>
        <v>-12</v>
      </c>
      <c r="M45" s="9">
        <f t="shared" si="14"/>
        <v>-13</v>
      </c>
      <c r="N45" s="9">
        <f t="shared" si="14"/>
        <v>-14</v>
      </c>
      <c r="O45" s="9">
        <v>-15</v>
      </c>
      <c r="P45" s="9">
        <f t="shared" si="14"/>
        <v>-16</v>
      </c>
      <c r="Q45" s="9">
        <f t="shared" si="14"/>
        <v>-17</v>
      </c>
      <c r="R45" s="9">
        <f t="shared" si="14"/>
        <v>-18</v>
      </c>
      <c r="S45" s="9">
        <f t="shared" si="14"/>
        <v>-19</v>
      </c>
      <c r="T45" s="9">
        <f t="shared" si="14"/>
        <v>-20</v>
      </c>
    </row>
    <row r="46" spans="1:20" ht="15.75" customHeight="1">
      <c r="A46" s="14">
        <v>1</v>
      </c>
      <c r="B46" s="15" t="s">
        <v>21</v>
      </c>
      <c r="C46" s="14" t="s">
        <v>22</v>
      </c>
      <c r="D46" s="18">
        <f t="shared" ref="D46:Q46" si="15">D26</f>
        <v>311775180.50958437</v>
      </c>
      <c r="E46" s="18">
        <f t="shared" si="15"/>
        <v>208175797.64250246</v>
      </c>
      <c r="F46" s="18">
        <f t="shared" si="15"/>
        <v>234907113.67920271</v>
      </c>
      <c r="G46" s="18">
        <f t="shared" si="15"/>
        <v>304075896.03708029</v>
      </c>
      <c r="H46" s="18">
        <f t="shared" si="15"/>
        <v>314869722.3873111</v>
      </c>
      <c r="I46" s="18">
        <f t="shared" si="15"/>
        <v>317010822.43812096</v>
      </c>
      <c r="J46" s="18">
        <f t="shared" si="15"/>
        <v>315169483.53183359</v>
      </c>
      <c r="K46" s="18">
        <f t="shared" si="15"/>
        <v>180732891.3343063</v>
      </c>
      <c r="L46" s="18">
        <f t="shared" si="15"/>
        <v>162320806.48906672</v>
      </c>
      <c r="M46" s="18">
        <f t="shared" si="15"/>
        <v>213640861.33282599</v>
      </c>
      <c r="N46" s="18">
        <f t="shared" si="15"/>
        <v>291074142</v>
      </c>
      <c r="O46" s="18">
        <v>255933666</v>
      </c>
      <c r="P46" s="18">
        <f t="shared" si="15"/>
        <v>179866854.71358606</v>
      </c>
      <c r="Q46" s="18">
        <f t="shared" si="15"/>
        <v>278070588.67278898</v>
      </c>
      <c r="R46" s="18">
        <f t="shared" ref="R46:S46" si="16">R26</f>
        <v>364796335.66437882</v>
      </c>
      <c r="S46" s="18">
        <f t="shared" si="16"/>
        <v>312350574.88895059</v>
      </c>
      <c r="T46" s="18">
        <f t="shared" ref="T46" si="17">T26</f>
        <v>307862971.00537616</v>
      </c>
    </row>
    <row r="47" spans="1:20" ht="15.75" customHeight="1">
      <c r="A47" s="14">
        <f t="shared" ref="A47:A56" si="18">A46+1</f>
        <v>2</v>
      </c>
      <c r="B47" s="15" t="s">
        <v>32</v>
      </c>
      <c r="C47" s="14" t="s">
        <v>22</v>
      </c>
      <c r="D47" s="18">
        <f t="shared" ref="D47:M47" si="19">$F34/$F$38*D$46</f>
        <v>98434921.639477178</v>
      </c>
      <c r="E47" s="18">
        <f t="shared" si="19"/>
        <v>65726105.248924538</v>
      </c>
      <c r="F47" s="18">
        <f t="shared" si="19"/>
        <v>74165824.520650849</v>
      </c>
      <c r="G47" s="18">
        <f t="shared" si="19"/>
        <v>96004072.389410973</v>
      </c>
      <c r="H47" s="18">
        <f t="shared" si="19"/>
        <v>99411942.923680231</v>
      </c>
      <c r="I47" s="18">
        <f t="shared" si="19"/>
        <v>100087939.69603162</v>
      </c>
      <c r="J47" s="18">
        <f t="shared" si="19"/>
        <v>99506584.725261107</v>
      </c>
      <c r="K47" s="18">
        <f t="shared" si="19"/>
        <v>57061719.817115732</v>
      </c>
      <c r="L47" s="18">
        <f t="shared" si="19"/>
        <v>51248581.882279873</v>
      </c>
      <c r="M47" s="18">
        <f t="shared" si="19"/>
        <v>67451557.272502825</v>
      </c>
      <c r="N47" s="18">
        <f t="shared" ref="N47:Q47" si="20">$L34/$L$38*N$46</f>
        <v>70430057.554412663</v>
      </c>
      <c r="O47" s="18">
        <v>61927255.724734999</v>
      </c>
      <c r="P47" s="18">
        <f t="shared" si="20"/>
        <v>43521670.604491711</v>
      </c>
      <c r="Q47" s="18">
        <f t="shared" si="20"/>
        <v>67283639.246848449</v>
      </c>
      <c r="R47" s="18">
        <f t="shared" ref="R47:S47" si="21">$L34/$L$38*R$46</f>
        <v>88268324.832787931</v>
      </c>
      <c r="S47" s="18">
        <f t="shared" si="21"/>
        <v>75578231.770868436</v>
      </c>
      <c r="T47" s="18">
        <f t="shared" ref="T47" si="22">$L34/$L$38*T$46</f>
        <v>74492384.0290187</v>
      </c>
    </row>
    <row r="48" spans="1:20" ht="15.75" customHeight="1">
      <c r="A48" s="14">
        <f t="shared" si="18"/>
        <v>3</v>
      </c>
      <c r="B48" s="15" t="s">
        <v>26</v>
      </c>
      <c r="C48" s="14" t="s">
        <v>22</v>
      </c>
      <c r="D48" s="18">
        <f t="shared" ref="D48:M48" si="23">$F35/$F$38*D$46</f>
        <v>22735166.040331047</v>
      </c>
      <c r="E48" s="18">
        <f t="shared" si="23"/>
        <v>15180526.292198407</v>
      </c>
      <c r="F48" s="18">
        <f t="shared" si="23"/>
        <v>17129818.431417491</v>
      </c>
      <c r="G48" s="18">
        <f t="shared" si="23"/>
        <v>22173721.378225423</v>
      </c>
      <c r="H48" s="18">
        <f t="shared" si="23"/>
        <v>22960825.19412861</v>
      </c>
      <c r="I48" s="18">
        <f t="shared" si="23"/>
        <v>23116957.780066211</v>
      </c>
      <c r="J48" s="18">
        <f t="shared" si="23"/>
        <v>22982684.276631646</v>
      </c>
      <c r="K48" s="18">
        <f t="shared" si="23"/>
        <v>13179343.803822275</v>
      </c>
      <c r="L48" s="18">
        <f t="shared" si="23"/>
        <v>11836703.875201285</v>
      </c>
      <c r="M48" s="18">
        <f t="shared" si="23"/>
        <v>15579047.849358311</v>
      </c>
      <c r="N48" s="18">
        <f t="shared" ref="N48:Q48" si="24">$L35/$L$38*N$46</f>
        <v>43687996.10872478</v>
      </c>
      <c r="O48" s="18">
        <v>38413680.196640991</v>
      </c>
      <c r="P48" s="18">
        <f t="shared" si="24"/>
        <v>26996635.272451349</v>
      </c>
      <c r="Q48" s="18">
        <f t="shared" si="24"/>
        <v>41736262.494548939</v>
      </c>
      <c r="R48" s="18">
        <f t="shared" ref="R48:S48" si="25">$L35/$L$38*R$46</f>
        <v>54753131.911602236</v>
      </c>
      <c r="S48" s="18">
        <f t="shared" si="25"/>
        <v>46881425.490232728</v>
      </c>
      <c r="T48" s="18">
        <f t="shared" ref="T48" si="26">$L35/$L$38*T$46</f>
        <v>46207870.568259969</v>
      </c>
    </row>
    <row r="49" spans="1:20" ht="15.75" customHeight="1">
      <c r="A49" s="14">
        <f t="shared" si="18"/>
        <v>4</v>
      </c>
      <c r="B49" s="21" t="s">
        <v>27</v>
      </c>
      <c r="C49" s="14" t="s">
        <v>22</v>
      </c>
      <c r="D49" s="18">
        <f t="shared" ref="D49:M49" si="27">$F36/$F$38*D$46</f>
        <v>1873502.1837137537</v>
      </c>
      <c r="E49" s="18">
        <f t="shared" si="27"/>
        <v>1250958.4978576933</v>
      </c>
      <c r="F49" s="18">
        <f t="shared" si="27"/>
        <v>1411590.8448150253</v>
      </c>
      <c r="G49" s="18">
        <f t="shared" si="27"/>
        <v>1827236.0689810372</v>
      </c>
      <c r="H49" s="18">
        <f t="shared" si="27"/>
        <v>1892097.7337380971</v>
      </c>
      <c r="I49" s="18">
        <f t="shared" si="27"/>
        <v>1904963.9138303851</v>
      </c>
      <c r="J49" s="18">
        <f t="shared" si="27"/>
        <v>1893899.0418407419</v>
      </c>
      <c r="K49" s="18">
        <f t="shared" si="27"/>
        <v>1086050.1019686342</v>
      </c>
      <c r="L49" s="18">
        <f t="shared" si="27"/>
        <v>975409.21930472739</v>
      </c>
      <c r="M49" s="18">
        <f t="shared" si="27"/>
        <v>1283798.85654571</v>
      </c>
      <c r="N49" s="18">
        <f t="shared" ref="N49:Q49" si="28">$L36/$L$38*N$46</f>
        <v>1429072.412854169</v>
      </c>
      <c r="O49" s="18">
        <v>1256544.9444878309</v>
      </c>
      <c r="P49" s="18">
        <f t="shared" si="28"/>
        <v>883083.4587087254</v>
      </c>
      <c r="Q49" s="18">
        <f t="shared" si="28"/>
        <v>1365229.5060218771</v>
      </c>
      <c r="R49" s="18">
        <f t="shared" ref="R49:S49" si="29">$L36/$L$38*R$46</f>
        <v>1791022.6446987281</v>
      </c>
      <c r="S49" s="18">
        <f t="shared" si="29"/>
        <v>1533532.2699772466</v>
      </c>
      <c r="T49" s="18">
        <f t="shared" ref="T49" si="30">$L36/$L$38*T$46</f>
        <v>1511499.7016914885</v>
      </c>
    </row>
    <row r="50" spans="1:20" ht="15.75" customHeight="1">
      <c r="A50" s="23">
        <f t="shared" si="18"/>
        <v>5</v>
      </c>
      <c r="B50" s="24" t="s">
        <v>33</v>
      </c>
      <c r="C50" s="23" t="s">
        <v>22</v>
      </c>
      <c r="D50" s="25">
        <f t="shared" ref="D50:M50" si="31">$F37/$F$38*D$46</f>
        <v>188731590.6460624</v>
      </c>
      <c r="E50" s="25">
        <f t="shared" si="31"/>
        <v>126018207.60352182</v>
      </c>
      <c r="F50" s="25">
        <f t="shared" si="31"/>
        <v>142199879.88231933</v>
      </c>
      <c r="G50" s="25">
        <f t="shared" si="31"/>
        <v>184070866.20046288</v>
      </c>
      <c r="H50" s="25">
        <f t="shared" si="31"/>
        <v>190604856.53576416</v>
      </c>
      <c r="I50" s="25">
        <f t="shared" si="31"/>
        <v>191900961.04819277</v>
      </c>
      <c r="J50" s="25">
        <f t="shared" si="31"/>
        <v>190786315.48810008</v>
      </c>
      <c r="K50" s="25">
        <f t="shared" si="31"/>
        <v>109405777.61139967</v>
      </c>
      <c r="L50" s="25">
        <f t="shared" si="31"/>
        <v>98260111.512280837</v>
      </c>
      <c r="M50" s="25">
        <f t="shared" si="31"/>
        <v>129326457.35441914</v>
      </c>
      <c r="N50" s="25">
        <f t="shared" ref="N50:Q50" si="32">$L37/$L$38*N$46</f>
        <v>175527015.9240084</v>
      </c>
      <c r="O50" s="25">
        <v>154336185.13413617</v>
      </c>
      <c r="P50" s="25">
        <f t="shared" si="32"/>
        <v>108465465.37793428</v>
      </c>
      <c r="Q50" s="25">
        <f t="shared" si="32"/>
        <v>167685457.42536971</v>
      </c>
      <c r="R50" s="25">
        <f t="shared" ref="R50:S50" si="33">$L37/$L$38*R$46</f>
        <v>219983856.27528992</v>
      </c>
      <c r="S50" s="25">
        <f t="shared" si="33"/>
        <v>188357385.35787216</v>
      </c>
      <c r="T50" s="25">
        <f t="shared" ref="T50" si="34">$L37/$L$38*T$46</f>
        <v>185651216.706406</v>
      </c>
    </row>
    <row r="51" spans="1:20" ht="15.75" customHeight="1">
      <c r="A51" s="14">
        <f t="shared" si="18"/>
        <v>6</v>
      </c>
      <c r="B51" s="21" t="s">
        <v>34</v>
      </c>
      <c r="C51" s="14" t="s">
        <v>22</v>
      </c>
      <c r="D51" s="18"/>
      <c r="E51" s="18"/>
      <c r="F51" s="18"/>
      <c r="G51" s="18"/>
      <c r="H51" s="18"/>
      <c r="I51" s="18"/>
      <c r="J51" s="18"/>
      <c r="K51" s="18"/>
      <c r="L51" s="18"/>
      <c r="M51" s="18"/>
      <c r="N51" s="18"/>
      <c r="O51" s="18"/>
      <c r="P51" s="18"/>
      <c r="Q51" s="18"/>
      <c r="R51" s="18"/>
      <c r="S51" s="18"/>
      <c r="T51" s="18"/>
    </row>
    <row r="52" spans="1:20" ht="15.75" customHeight="1">
      <c r="A52" s="14">
        <f t="shared" si="18"/>
        <v>7</v>
      </c>
      <c r="B52" s="15" t="s">
        <v>35</v>
      </c>
      <c r="C52" s="14" t="s">
        <v>22</v>
      </c>
      <c r="D52" s="18"/>
      <c r="E52" s="18"/>
      <c r="F52" s="18"/>
      <c r="G52" s="18"/>
      <c r="H52" s="18"/>
      <c r="I52" s="18"/>
      <c r="J52" s="18"/>
      <c r="K52" s="18"/>
      <c r="L52" s="18"/>
      <c r="M52" s="18"/>
      <c r="N52" s="18"/>
      <c r="O52" s="18"/>
      <c r="P52" s="18"/>
      <c r="Q52" s="18"/>
      <c r="R52" s="18"/>
      <c r="S52" s="18"/>
      <c r="T52" s="18"/>
    </row>
    <row r="53" spans="1:20" ht="15.75" customHeight="1">
      <c r="A53" s="14">
        <f t="shared" si="18"/>
        <v>8</v>
      </c>
      <c r="B53" s="21" t="s">
        <v>36</v>
      </c>
      <c r="C53" s="14" t="s">
        <v>22</v>
      </c>
      <c r="D53" s="18"/>
      <c r="E53" s="18"/>
      <c r="F53" s="18"/>
      <c r="G53" s="18"/>
      <c r="H53" s="18"/>
      <c r="I53" s="18"/>
      <c r="J53" s="18"/>
      <c r="K53" s="18"/>
      <c r="L53" s="18"/>
      <c r="M53" s="18"/>
      <c r="N53" s="18"/>
      <c r="O53" s="18"/>
      <c r="P53" s="18"/>
      <c r="Q53" s="18"/>
      <c r="R53" s="18"/>
      <c r="S53" s="18"/>
      <c r="T53" s="18"/>
    </row>
    <row r="54" spans="1:20" ht="15.75" customHeight="1">
      <c r="A54" s="23">
        <f t="shared" si="18"/>
        <v>9</v>
      </c>
      <c r="B54" s="24" t="s">
        <v>37</v>
      </c>
      <c r="C54" s="23" t="s">
        <v>22</v>
      </c>
      <c r="D54" s="25">
        <f t="shared" ref="D54:Q54" si="35">D50+D51-D52-D53</f>
        <v>188731590.6460624</v>
      </c>
      <c r="E54" s="25">
        <f t="shared" si="35"/>
        <v>126018207.60352182</v>
      </c>
      <c r="F54" s="25">
        <f t="shared" si="35"/>
        <v>142199879.88231933</v>
      </c>
      <c r="G54" s="25">
        <f t="shared" si="35"/>
        <v>184070866.20046288</v>
      </c>
      <c r="H54" s="25">
        <f t="shared" si="35"/>
        <v>190604856.53576416</v>
      </c>
      <c r="I54" s="25">
        <f t="shared" si="35"/>
        <v>191900961.04819277</v>
      </c>
      <c r="J54" s="25">
        <f t="shared" si="35"/>
        <v>190786315.48810008</v>
      </c>
      <c r="K54" s="25">
        <f t="shared" si="35"/>
        <v>109405777.61139967</v>
      </c>
      <c r="L54" s="25">
        <f t="shared" si="35"/>
        <v>98260111.512280837</v>
      </c>
      <c r="M54" s="25">
        <f t="shared" si="35"/>
        <v>129326457.35441914</v>
      </c>
      <c r="N54" s="25">
        <f t="shared" si="35"/>
        <v>175527015.9240084</v>
      </c>
      <c r="O54" s="25">
        <v>154336185.13413617</v>
      </c>
      <c r="P54" s="25">
        <f t="shared" si="35"/>
        <v>108465465.37793428</v>
      </c>
      <c r="Q54" s="25">
        <f t="shared" si="35"/>
        <v>167685457.42536971</v>
      </c>
      <c r="R54" s="25">
        <f t="shared" ref="R54:S54" si="36">R50+R51-R52-R53</f>
        <v>219983856.27528992</v>
      </c>
      <c r="S54" s="25">
        <f t="shared" si="36"/>
        <v>188357385.35787216</v>
      </c>
      <c r="T54" s="25">
        <f t="shared" ref="T54" si="37">T50+T51-T52-T53</f>
        <v>185651216.706406</v>
      </c>
    </row>
    <row r="55" spans="1:20" ht="15.75" customHeight="1">
      <c r="A55" s="14">
        <f t="shared" si="18"/>
        <v>10</v>
      </c>
      <c r="B55" s="21" t="s">
        <v>38</v>
      </c>
      <c r="C55" s="26" t="s">
        <v>7</v>
      </c>
      <c r="D55" s="18">
        <f t="shared" ref="D55:Q55" si="38">D24/1000000</f>
        <v>357.50061299999999</v>
      </c>
      <c r="E55" s="18">
        <f t="shared" si="38"/>
        <v>346.31298900000002</v>
      </c>
      <c r="F55" s="18">
        <f t="shared" si="38"/>
        <v>344.82690200000002</v>
      </c>
      <c r="G55" s="18">
        <f t="shared" si="38"/>
        <v>329.60562800000002</v>
      </c>
      <c r="H55" s="18">
        <f t="shared" si="38"/>
        <v>314.66587199999998</v>
      </c>
      <c r="I55" s="18">
        <f t="shared" si="38"/>
        <v>300.83001300000001</v>
      </c>
      <c r="J55" s="18">
        <f t="shared" si="38"/>
        <v>287.90216400000003</v>
      </c>
      <c r="K55" s="18">
        <f t="shared" si="38"/>
        <v>286.81421599999999</v>
      </c>
      <c r="L55" s="18">
        <f t="shared" si="38"/>
        <v>304.16738800000002</v>
      </c>
      <c r="M55" s="18">
        <f t="shared" si="38"/>
        <v>292.37370199999998</v>
      </c>
      <c r="N55" s="18">
        <f t="shared" si="38"/>
        <v>281.77999999999997</v>
      </c>
      <c r="O55" s="18">
        <v>272.02540900000002</v>
      </c>
      <c r="P55" s="18">
        <f t="shared" si="38"/>
        <v>259.24680474980454</v>
      </c>
      <c r="Q55" s="18">
        <f t="shared" si="38"/>
        <v>240.36129099999999</v>
      </c>
      <c r="R55" s="18">
        <f t="shared" ref="R55:S55" si="39">R24/1000000</f>
        <v>223.56084000000001</v>
      </c>
      <c r="S55" s="18">
        <f t="shared" si="39"/>
        <v>221.02149938540032</v>
      </c>
      <c r="T55" s="18">
        <f t="shared" ref="T55" si="40">T24/1000000</f>
        <v>212.32737299999999</v>
      </c>
    </row>
    <row r="56" spans="1:20" ht="15.75" customHeight="1">
      <c r="A56" s="23">
        <f t="shared" si="18"/>
        <v>11</v>
      </c>
      <c r="B56" s="24" t="s">
        <v>39</v>
      </c>
      <c r="C56" s="27" t="s">
        <v>20</v>
      </c>
      <c r="D56" s="25">
        <f t="shared" ref="D56:Q56" si="41">D54/D55</f>
        <v>527919.62805966544</v>
      </c>
      <c r="E56" s="25">
        <f t="shared" si="41"/>
        <v>363885.30493010709</v>
      </c>
      <c r="F56" s="25">
        <f t="shared" si="41"/>
        <v>412380.46990405442</v>
      </c>
      <c r="G56" s="25">
        <f t="shared" si="41"/>
        <v>558457.89805647032</v>
      </c>
      <c r="H56" s="25">
        <f t="shared" si="41"/>
        <v>605737.3026324386</v>
      </c>
      <c r="I56" s="25">
        <f t="shared" si="41"/>
        <v>637904.97209529672</v>
      </c>
      <c r="J56" s="25">
        <f t="shared" si="41"/>
        <v>662677.60143720231</v>
      </c>
      <c r="K56" s="25">
        <f t="shared" si="41"/>
        <v>381451.72557067277</v>
      </c>
      <c r="L56" s="25">
        <f t="shared" si="41"/>
        <v>323046.17585196486</v>
      </c>
      <c r="M56" s="25">
        <f t="shared" si="41"/>
        <v>442332.72852432932</v>
      </c>
      <c r="N56" s="25">
        <f t="shared" si="41"/>
        <v>622922.19435023214</v>
      </c>
      <c r="O56" s="25">
        <v>567359.44521320856</v>
      </c>
      <c r="P56" s="25">
        <f t="shared" si="41"/>
        <v>418386.89384277188</v>
      </c>
      <c r="Q56" s="25">
        <f t="shared" si="41"/>
        <v>697639.19442989561</v>
      </c>
      <c r="R56" s="25">
        <f t="shared" ref="R56:S56" si="42">R54/R55</f>
        <v>983999.95399592305</v>
      </c>
      <c r="S56" s="25">
        <f t="shared" si="42"/>
        <v>852212.9561225581</v>
      </c>
      <c r="T56" s="25">
        <f t="shared" ref="T56" si="43">T54/T55</f>
        <v>874363.08415310166</v>
      </c>
    </row>
    <row r="57" spans="1:20" ht="15.75" customHeight="1">
      <c r="A57" s="19"/>
      <c r="B57" s="2"/>
      <c r="C57" s="2"/>
      <c r="D57" s="2"/>
      <c r="E57" s="2"/>
      <c r="F57" s="2"/>
      <c r="G57" s="2"/>
      <c r="H57" s="2"/>
      <c r="I57" s="2"/>
      <c r="J57" s="2"/>
      <c r="K57" s="2"/>
      <c r="L57" s="2"/>
      <c r="M57" s="2"/>
      <c r="N57" s="2"/>
      <c r="O57" s="2"/>
      <c r="P57" s="2"/>
      <c r="Q57" s="2"/>
      <c r="R57" s="2"/>
      <c r="S57" s="2"/>
      <c r="T57" s="2"/>
    </row>
    <row r="58" spans="1:20" ht="15.75" customHeight="1">
      <c r="A58" s="19"/>
      <c r="B58" s="2"/>
      <c r="C58" s="2"/>
      <c r="D58" s="2"/>
      <c r="E58" s="2"/>
      <c r="F58" s="2"/>
      <c r="G58" s="2"/>
      <c r="H58" s="2"/>
      <c r="I58" s="2"/>
      <c r="J58" s="2"/>
      <c r="K58" s="2"/>
      <c r="L58" s="2"/>
      <c r="M58" s="2"/>
      <c r="N58" s="2"/>
      <c r="O58" s="2"/>
      <c r="P58" s="2"/>
      <c r="Q58" s="2"/>
      <c r="R58" s="2"/>
      <c r="S58" s="2"/>
      <c r="T58" s="2"/>
    </row>
    <row r="59" spans="1:20" ht="15.75" customHeight="1">
      <c r="A59" s="6" t="s">
        <v>40</v>
      </c>
      <c r="B59" s="2"/>
      <c r="C59" s="2"/>
      <c r="D59" s="2"/>
      <c r="E59" s="2"/>
      <c r="F59" s="2"/>
      <c r="G59" s="2"/>
      <c r="H59" s="2"/>
      <c r="I59" s="2"/>
      <c r="J59" s="2"/>
      <c r="K59" s="2"/>
      <c r="L59" s="2"/>
      <c r="M59" s="2"/>
      <c r="N59" s="2"/>
      <c r="O59" s="2"/>
      <c r="P59" s="2"/>
      <c r="Q59" s="2"/>
      <c r="R59" s="2"/>
      <c r="S59" s="2"/>
      <c r="T59" s="2"/>
    </row>
    <row r="60" spans="1:20" ht="15.75" customHeight="1">
      <c r="A60" s="19"/>
      <c r="B60" s="2"/>
      <c r="C60" s="2"/>
      <c r="D60" s="2"/>
      <c r="E60" s="2"/>
      <c r="F60" s="2"/>
      <c r="G60" s="2"/>
      <c r="H60" s="2"/>
      <c r="I60" s="2"/>
      <c r="J60" s="2"/>
      <c r="K60" s="2"/>
      <c r="L60" s="2"/>
      <c r="M60" s="2"/>
      <c r="N60" s="2"/>
      <c r="O60" s="2"/>
      <c r="P60" s="2"/>
      <c r="Q60" s="2"/>
      <c r="R60" s="2"/>
      <c r="S60" s="2"/>
      <c r="T60" s="2"/>
    </row>
    <row r="61" spans="1:20" ht="15.75" customHeight="1">
      <c r="A61" s="8" t="s">
        <v>3</v>
      </c>
      <c r="B61" s="8" t="s">
        <v>4</v>
      </c>
      <c r="C61" s="8" t="s">
        <v>5</v>
      </c>
      <c r="D61" s="8">
        <f t="shared" ref="D61:T61" si="44">D$3</f>
        <v>2008</v>
      </c>
      <c r="E61" s="8">
        <f t="shared" si="44"/>
        <v>2009</v>
      </c>
      <c r="F61" s="8">
        <f t="shared" si="44"/>
        <v>2010</v>
      </c>
      <c r="G61" s="8">
        <f t="shared" si="44"/>
        <v>2011</v>
      </c>
      <c r="H61" s="8">
        <f t="shared" si="44"/>
        <v>2012</v>
      </c>
      <c r="I61" s="8">
        <f t="shared" si="44"/>
        <v>2013</v>
      </c>
      <c r="J61" s="8">
        <f t="shared" si="44"/>
        <v>2014</v>
      </c>
      <c r="K61" s="8">
        <f t="shared" si="44"/>
        <v>2015</v>
      </c>
      <c r="L61" s="8">
        <f t="shared" si="44"/>
        <v>2016</v>
      </c>
      <c r="M61" s="8">
        <f t="shared" si="44"/>
        <v>2017</v>
      </c>
      <c r="N61" s="8">
        <f t="shared" si="44"/>
        <v>2018</v>
      </c>
      <c r="O61" s="8">
        <v>2019</v>
      </c>
      <c r="P61" s="8">
        <f t="shared" si="44"/>
        <v>2020</v>
      </c>
      <c r="Q61" s="8">
        <f t="shared" si="44"/>
        <v>2021</v>
      </c>
      <c r="R61" s="8">
        <f t="shared" si="44"/>
        <v>2022</v>
      </c>
      <c r="S61" s="8">
        <f t="shared" si="44"/>
        <v>2023</v>
      </c>
      <c r="T61" s="8">
        <f t="shared" si="44"/>
        <v>2024</v>
      </c>
    </row>
    <row r="62" spans="1:20" ht="15.75" customHeight="1">
      <c r="A62" s="9">
        <v>-1</v>
      </c>
      <c r="B62" s="9">
        <f t="shared" ref="B62:T62" si="45">A62-1</f>
        <v>-2</v>
      </c>
      <c r="C62" s="9">
        <f t="shared" si="45"/>
        <v>-3</v>
      </c>
      <c r="D62" s="9">
        <f t="shared" si="45"/>
        <v>-4</v>
      </c>
      <c r="E62" s="9">
        <f t="shared" si="45"/>
        <v>-5</v>
      </c>
      <c r="F62" s="9">
        <f t="shared" si="45"/>
        <v>-6</v>
      </c>
      <c r="G62" s="9">
        <f t="shared" si="45"/>
        <v>-7</v>
      </c>
      <c r="H62" s="9">
        <f t="shared" si="45"/>
        <v>-8</v>
      </c>
      <c r="I62" s="9">
        <f t="shared" si="45"/>
        <v>-9</v>
      </c>
      <c r="J62" s="9">
        <f t="shared" si="45"/>
        <v>-10</v>
      </c>
      <c r="K62" s="9">
        <f t="shared" si="45"/>
        <v>-11</v>
      </c>
      <c r="L62" s="9">
        <f t="shared" si="45"/>
        <v>-12</v>
      </c>
      <c r="M62" s="9">
        <f t="shared" si="45"/>
        <v>-13</v>
      </c>
      <c r="N62" s="9">
        <f t="shared" si="45"/>
        <v>-14</v>
      </c>
      <c r="O62" s="9">
        <v>-15</v>
      </c>
      <c r="P62" s="9">
        <f t="shared" si="45"/>
        <v>-16</v>
      </c>
      <c r="Q62" s="9">
        <f t="shared" si="45"/>
        <v>-17</v>
      </c>
      <c r="R62" s="9">
        <f t="shared" si="45"/>
        <v>-18</v>
      </c>
      <c r="S62" s="9">
        <f t="shared" si="45"/>
        <v>-19</v>
      </c>
      <c r="T62" s="9">
        <f t="shared" si="45"/>
        <v>-20</v>
      </c>
    </row>
    <row r="63" spans="1:20" ht="15.75" customHeight="1">
      <c r="A63" s="23">
        <v>1</v>
      </c>
      <c r="B63" s="24" t="s">
        <v>41</v>
      </c>
      <c r="C63" s="23" t="s">
        <v>42</v>
      </c>
      <c r="D63" s="25"/>
      <c r="E63" s="25">
        <f t="shared" ref="E63:T63" si="46">D9</f>
        <v>8219.2000000000007</v>
      </c>
      <c r="F63" s="25">
        <f t="shared" si="46"/>
        <v>7998.5</v>
      </c>
      <c r="G63" s="25">
        <f t="shared" si="46"/>
        <v>7764.48</v>
      </c>
      <c r="H63" s="25">
        <f t="shared" si="46"/>
        <v>7730</v>
      </c>
      <c r="I63" s="25">
        <f t="shared" si="46"/>
        <v>7408.24</v>
      </c>
      <c r="J63" s="25">
        <f t="shared" si="46"/>
        <v>7549.8</v>
      </c>
      <c r="K63" s="25">
        <f t="shared" si="46"/>
        <v>7374.64</v>
      </c>
      <c r="L63" s="25">
        <f t="shared" si="46"/>
        <v>7305.02</v>
      </c>
      <c r="M63" s="25">
        <f t="shared" si="46"/>
        <v>7251.11</v>
      </c>
      <c r="N63" s="25">
        <f t="shared" si="46"/>
        <v>7530</v>
      </c>
      <c r="O63" s="25">
        <v>7512.2</v>
      </c>
      <c r="P63" s="25">
        <f t="shared" si="46"/>
        <v>3774.5899999999997</v>
      </c>
      <c r="Q63" s="25">
        <f t="shared" si="46"/>
        <v>4168.71</v>
      </c>
      <c r="R63" s="25">
        <f t="shared" si="46"/>
        <v>3947.2016960000028</v>
      </c>
      <c r="S63" s="25">
        <f t="shared" si="46"/>
        <v>4174.28</v>
      </c>
      <c r="T63" s="25">
        <f t="shared" si="46"/>
        <v>4700.2800000000007</v>
      </c>
    </row>
    <row r="64" spans="1:20" ht="15.75" customHeight="1">
      <c r="A64" s="23">
        <v>2</v>
      </c>
      <c r="B64" s="24" t="s">
        <v>43</v>
      </c>
      <c r="C64" s="23" t="s">
        <v>42</v>
      </c>
      <c r="D64" s="25">
        <f t="shared" ref="D64:Q64" si="47">SUM(D65:D67)</f>
        <v>0</v>
      </c>
      <c r="E64" s="25">
        <f t="shared" si="47"/>
        <v>0</v>
      </c>
      <c r="F64" s="25">
        <f t="shared" si="47"/>
        <v>0</v>
      </c>
      <c r="G64" s="25">
        <f t="shared" si="47"/>
        <v>0</v>
      </c>
      <c r="H64" s="25">
        <f t="shared" si="47"/>
        <v>0</v>
      </c>
      <c r="I64" s="25">
        <f t="shared" si="47"/>
        <v>0</v>
      </c>
      <c r="J64" s="25">
        <f t="shared" si="47"/>
        <v>0</v>
      </c>
      <c r="K64" s="25">
        <f t="shared" si="47"/>
        <v>0</v>
      </c>
      <c r="L64" s="25">
        <f t="shared" si="47"/>
        <v>0</v>
      </c>
      <c r="M64" s="25">
        <f t="shared" si="47"/>
        <v>0</v>
      </c>
      <c r="N64" s="25">
        <f t="shared" si="47"/>
        <v>0</v>
      </c>
      <c r="O64" s="25">
        <v>0</v>
      </c>
      <c r="P64" s="25">
        <f t="shared" si="47"/>
        <v>0</v>
      </c>
      <c r="Q64" s="25">
        <f t="shared" si="47"/>
        <v>0</v>
      </c>
      <c r="R64" s="25">
        <f t="shared" ref="R64:S64" si="48">SUM(R65:R67)</f>
        <v>0</v>
      </c>
      <c r="S64" s="25">
        <f t="shared" si="48"/>
        <v>0</v>
      </c>
      <c r="T64" s="25">
        <f t="shared" ref="T64" si="49">SUM(T65:T67)</f>
        <v>0</v>
      </c>
    </row>
    <row r="65" spans="1:20" ht="15.75" customHeight="1">
      <c r="A65" s="14">
        <v>2.1</v>
      </c>
      <c r="B65" s="15" t="s">
        <v>44</v>
      </c>
      <c r="C65" s="14" t="s">
        <v>42</v>
      </c>
      <c r="D65" s="18"/>
      <c r="E65" s="18"/>
      <c r="F65" s="18"/>
      <c r="G65" s="18"/>
      <c r="H65" s="18"/>
      <c r="I65" s="18"/>
      <c r="J65" s="18"/>
      <c r="K65" s="18"/>
      <c r="L65" s="18"/>
      <c r="M65" s="18"/>
      <c r="N65" s="18"/>
      <c r="O65" s="18"/>
      <c r="P65" s="18"/>
      <c r="Q65" s="18"/>
      <c r="R65" s="18"/>
      <c r="S65" s="18"/>
      <c r="T65" s="18"/>
    </row>
    <row r="66" spans="1:20" ht="15.75" customHeight="1">
      <c r="A66" s="14">
        <v>2.2000000000000002</v>
      </c>
      <c r="B66" s="15" t="s">
        <v>45</v>
      </c>
      <c r="C66" s="14" t="s">
        <v>42</v>
      </c>
      <c r="D66" s="18"/>
      <c r="E66" s="18"/>
      <c r="F66" s="18"/>
      <c r="G66" s="18"/>
      <c r="H66" s="18"/>
      <c r="I66" s="18"/>
      <c r="J66" s="18"/>
      <c r="K66" s="18"/>
      <c r="L66" s="18"/>
      <c r="M66" s="18"/>
      <c r="N66" s="18"/>
      <c r="O66" s="18"/>
      <c r="P66" s="18"/>
      <c r="Q66" s="18"/>
      <c r="R66" s="18"/>
      <c r="S66" s="18"/>
      <c r="T66" s="18"/>
    </row>
    <row r="67" spans="1:20" ht="15.75" customHeight="1">
      <c r="A67" s="14">
        <v>2.2999999999999998</v>
      </c>
      <c r="B67" s="15" t="s">
        <v>46</v>
      </c>
      <c r="C67" s="14" t="s">
        <v>42</v>
      </c>
      <c r="D67" s="18"/>
      <c r="E67" s="18"/>
      <c r="F67" s="18"/>
      <c r="G67" s="18"/>
      <c r="H67" s="18"/>
      <c r="I67" s="18"/>
      <c r="J67" s="18"/>
      <c r="K67" s="18"/>
      <c r="L67" s="18"/>
      <c r="M67" s="18"/>
      <c r="N67" s="18"/>
      <c r="O67" s="18"/>
      <c r="P67" s="18"/>
      <c r="Q67" s="18"/>
      <c r="R67" s="18"/>
      <c r="S67" s="18"/>
      <c r="T67" s="18"/>
    </row>
    <row r="68" spans="1:20" ht="15.75" customHeight="1">
      <c r="A68" s="23">
        <v>3</v>
      </c>
      <c r="B68" s="24" t="s">
        <v>47</v>
      </c>
      <c r="C68" s="23" t="s">
        <v>42</v>
      </c>
      <c r="D68" s="25">
        <f t="shared" ref="D68:Q68" si="50">SUM(D69:D72)</f>
        <v>357.50061299999999</v>
      </c>
      <c r="E68" s="25">
        <f t="shared" si="50"/>
        <v>346.31298900000002</v>
      </c>
      <c r="F68" s="25">
        <f t="shared" si="50"/>
        <v>344.82690200000002</v>
      </c>
      <c r="G68" s="25">
        <f t="shared" si="50"/>
        <v>329.60562800000002</v>
      </c>
      <c r="H68" s="25">
        <f t="shared" si="50"/>
        <v>314.66587199999998</v>
      </c>
      <c r="I68" s="25">
        <f t="shared" si="50"/>
        <v>300.83001300000001</v>
      </c>
      <c r="J68" s="25">
        <f t="shared" si="50"/>
        <v>287.90216400000003</v>
      </c>
      <c r="K68" s="25">
        <f t="shared" si="50"/>
        <v>286.81421599999999</v>
      </c>
      <c r="L68" s="25">
        <f t="shared" si="50"/>
        <v>304.16738800000002</v>
      </c>
      <c r="M68" s="25">
        <f t="shared" si="50"/>
        <v>292.37370199999998</v>
      </c>
      <c r="N68" s="25">
        <f t="shared" si="50"/>
        <v>281.77999999999997</v>
      </c>
      <c r="O68" s="25">
        <v>272.02540900000002</v>
      </c>
      <c r="P68" s="25">
        <f t="shared" si="50"/>
        <v>259.24680474980454</v>
      </c>
      <c r="Q68" s="25">
        <f t="shared" si="50"/>
        <v>240.36129099999999</v>
      </c>
      <c r="R68" s="25">
        <f t="shared" ref="R68:S68" si="51">SUM(R69:R72)</f>
        <v>223.56084000000001</v>
      </c>
      <c r="S68" s="25">
        <f t="shared" si="51"/>
        <v>221.02149938540032</v>
      </c>
      <c r="T68" s="25">
        <f t="shared" ref="T68" si="52">SUM(T69:T72)</f>
        <v>212.32737299999999</v>
      </c>
    </row>
    <row r="69" spans="1:20" ht="15.75" customHeight="1">
      <c r="A69" s="14">
        <v>3.1</v>
      </c>
      <c r="B69" s="15" t="s">
        <v>48</v>
      </c>
      <c r="C69" s="14" t="s">
        <v>42</v>
      </c>
      <c r="D69" s="18">
        <f t="shared" ref="D69:Q69" si="53">D24/1000000</f>
        <v>357.50061299999999</v>
      </c>
      <c r="E69" s="18">
        <f t="shared" si="53"/>
        <v>346.31298900000002</v>
      </c>
      <c r="F69" s="18">
        <f t="shared" si="53"/>
        <v>344.82690200000002</v>
      </c>
      <c r="G69" s="18">
        <f t="shared" si="53"/>
        <v>329.60562800000002</v>
      </c>
      <c r="H69" s="18">
        <f t="shared" si="53"/>
        <v>314.66587199999998</v>
      </c>
      <c r="I69" s="18">
        <f t="shared" si="53"/>
        <v>300.83001300000001</v>
      </c>
      <c r="J69" s="18">
        <f t="shared" si="53"/>
        <v>287.90216400000003</v>
      </c>
      <c r="K69" s="18">
        <f t="shared" si="53"/>
        <v>286.81421599999999</v>
      </c>
      <c r="L69" s="18">
        <f t="shared" si="53"/>
        <v>304.16738800000002</v>
      </c>
      <c r="M69" s="18">
        <f t="shared" si="53"/>
        <v>292.37370199999998</v>
      </c>
      <c r="N69" s="18">
        <f t="shared" si="53"/>
        <v>281.77999999999997</v>
      </c>
      <c r="O69" s="18">
        <v>272.02540900000002</v>
      </c>
      <c r="P69" s="18">
        <f t="shared" si="53"/>
        <v>259.24680474980454</v>
      </c>
      <c r="Q69" s="18">
        <f t="shared" si="53"/>
        <v>240.36129099999999</v>
      </c>
      <c r="R69" s="18">
        <f t="shared" ref="R69:S69" si="54">R24/1000000</f>
        <v>223.56084000000001</v>
      </c>
      <c r="S69" s="18">
        <f t="shared" si="54"/>
        <v>221.02149938540032</v>
      </c>
      <c r="T69" s="18">
        <f t="shared" ref="T69" si="55">T24/1000000</f>
        <v>212.32737299999999</v>
      </c>
    </row>
    <row r="70" spans="1:20" ht="15.75" customHeight="1">
      <c r="A70" s="14">
        <v>3.2</v>
      </c>
      <c r="B70" s="15" t="s">
        <v>49</v>
      </c>
      <c r="C70" s="14" t="s">
        <v>42</v>
      </c>
      <c r="D70" s="18"/>
      <c r="E70" s="18"/>
      <c r="F70" s="18"/>
      <c r="G70" s="18"/>
      <c r="H70" s="18"/>
      <c r="I70" s="18"/>
      <c r="J70" s="18"/>
      <c r="K70" s="18"/>
      <c r="L70" s="18"/>
      <c r="M70" s="18"/>
      <c r="N70" s="18"/>
      <c r="O70" s="18"/>
      <c r="P70" s="18"/>
      <c r="Q70" s="18"/>
      <c r="R70" s="18"/>
      <c r="S70" s="18"/>
      <c r="T70" s="18"/>
    </row>
    <row r="71" spans="1:20" ht="15.75" customHeight="1">
      <c r="A71" s="14">
        <v>3.3</v>
      </c>
      <c r="B71" s="15" t="s">
        <v>50</v>
      </c>
      <c r="C71" s="14" t="s">
        <v>42</v>
      </c>
      <c r="D71" s="18"/>
      <c r="E71" s="18"/>
      <c r="F71" s="18"/>
      <c r="G71" s="18"/>
      <c r="H71" s="18"/>
      <c r="I71" s="18"/>
      <c r="J71" s="18"/>
      <c r="K71" s="18"/>
      <c r="L71" s="18"/>
      <c r="M71" s="18"/>
      <c r="N71" s="18"/>
      <c r="O71" s="18"/>
      <c r="P71" s="18"/>
      <c r="Q71" s="18"/>
      <c r="R71" s="18"/>
      <c r="S71" s="18"/>
      <c r="T71" s="18"/>
    </row>
    <row r="72" spans="1:20" ht="15.75" customHeight="1">
      <c r="A72" s="14">
        <v>3.4</v>
      </c>
      <c r="B72" s="15" t="s">
        <v>46</v>
      </c>
      <c r="C72" s="14" t="s">
        <v>42</v>
      </c>
      <c r="D72" s="18"/>
      <c r="E72" s="18"/>
      <c r="F72" s="18"/>
      <c r="G72" s="18"/>
      <c r="H72" s="18"/>
      <c r="I72" s="18"/>
      <c r="J72" s="18"/>
      <c r="K72" s="18"/>
      <c r="L72" s="18"/>
      <c r="M72" s="18"/>
      <c r="N72" s="18"/>
      <c r="O72" s="18"/>
      <c r="P72" s="18"/>
      <c r="Q72" s="18"/>
      <c r="R72" s="18"/>
      <c r="S72" s="18"/>
      <c r="T72" s="18"/>
    </row>
    <row r="73" spans="1:20" ht="15.75" customHeight="1">
      <c r="A73" s="23">
        <v>4</v>
      </c>
      <c r="B73" s="24" t="s">
        <v>51</v>
      </c>
      <c r="C73" s="23" t="s">
        <v>42</v>
      </c>
      <c r="D73" s="25">
        <f t="shared" ref="D73:Q73" si="56">D74-D63-D64+D68</f>
        <v>8576.7006130000009</v>
      </c>
      <c r="E73" s="25">
        <f t="shared" si="56"/>
        <v>125.61298899999929</v>
      </c>
      <c r="F73" s="25">
        <f t="shared" si="56"/>
        <v>110.80690199999958</v>
      </c>
      <c r="G73" s="25">
        <f t="shared" si="56"/>
        <v>295.12562800000046</v>
      </c>
      <c r="H73" s="25">
        <f t="shared" si="56"/>
        <v>-7.0941280000002394</v>
      </c>
      <c r="I73" s="25">
        <f t="shared" si="56"/>
        <v>442.39001300000041</v>
      </c>
      <c r="J73" s="25">
        <f t="shared" si="56"/>
        <v>112.74216400000017</v>
      </c>
      <c r="K73" s="25">
        <f t="shared" si="56"/>
        <v>217.1942160000001</v>
      </c>
      <c r="L73" s="25">
        <f t="shared" si="56"/>
        <v>250.25738799999925</v>
      </c>
      <c r="M73" s="25">
        <f t="shared" si="56"/>
        <v>571.26370200000031</v>
      </c>
      <c r="N73" s="25">
        <f t="shared" si="56"/>
        <v>263.97999999999979</v>
      </c>
      <c r="O73" s="25">
        <v>-3465.5845910000003</v>
      </c>
      <c r="P73" s="25">
        <f t="shared" si="56"/>
        <v>653.36680474980494</v>
      </c>
      <c r="Q73" s="25">
        <f t="shared" si="56"/>
        <v>18.85298700000277</v>
      </c>
      <c r="R73" s="25">
        <f t="shared" ref="R73:S73" si="57">R74-R63-R64+R68</f>
        <v>450.63914399999692</v>
      </c>
      <c r="S73" s="25">
        <f t="shared" si="57"/>
        <v>747.02149938540128</v>
      </c>
      <c r="T73" s="25">
        <f t="shared" ref="T73" si="58">T74-T63-T64+T68</f>
        <v>-176.50262700000084</v>
      </c>
    </row>
    <row r="74" spans="1:20" ht="15.75" customHeight="1">
      <c r="A74" s="23">
        <v>5</v>
      </c>
      <c r="B74" s="24" t="s">
        <v>52</v>
      </c>
      <c r="C74" s="23" t="s">
        <v>42</v>
      </c>
      <c r="D74" s="25">
        <f t="shared" ref="D74:Q74" si="59">D9</f>
        <v>8219.2000000000007</v>
      </c>
      <c r="E74" s="25">
        <f t="shared" si="59"/>
        <v>7998.5</v>
      </c>
      <c r="F74" s="25">
        <f t="shared" si="59"/>
        <v>7764.48</v>
      </c>
      <c r="G74" s="25">
        <f t="shared" si="59"/>
        <v>7730</v>
      </c>
      <c r="H74" s="25">
        <f t="shared" si="59"/>
        <v>7408.24</v>
      </c>
      <c r="I74" s="25">
        <f t="shared" si="59"/>
        <v>7549.8</v>
      </c>
      <c r="J74" s="25">
        <f t="shared" si="59"/>
        <v>7374.64</v>
      </c>
      <c r="K74" s="25">
        <f t="shared" si="59"/>
        <v>7305.02</v>
      </c>
      <c r="L74" s="25">
        <f t="shared" si="59"/>
        <v>7251.11</v>
      </c>
      <c r="M74" s="25">
        <f t="shared" si="59"/>
        <v>7530</v>
      </c>
      <c r="N74" s="25">
        <f t="shared" si="59"/>
        <v>7512.2</v>
      </c>
      <c r="O74" s="25">
        <v>3774.5899999999997</v>
      </c>
      <c r="P74" s="25">
        <f t="shared" si="59"/>
        <v>4168.71</v>
      </c>
      <c r="Q74" s="25">
        <f t="shared" si="59"/>
        <v>3947.2016960000028</v>
      </c>
      <c r="R74" s="25">
        <f t="shared" ref="R74:S74" si="60">R9</f>
        <v>4174.28</v>
      </c>
      <c r="S74" s="25">
        <f t="shared" si="60"/>
        <v>4700.2800000000007</v>
      </c>
      <c r="T74" s="25">
        <f t="shared" ref="T74" si="61">T9</f>
        <v>4311.45</v>
      </c>
    </row>
    <row r="75" spans="1:20" ht="15.75" customHeight="1">
      <c r="A75" s="1"/>
      <c r="B75" s="2"/>
      <c r="C75" s="2"/>
      <c r="D75" s="20"/>
      <c r="E75" s="2"/>
      <c r="F75" s="2"/>
      <c r="G75" s="2"/>
      <c r="H75" s="2"/>
      <c r="I75" s="2"/>
      <c r="J75" s="2"/>
      <c r="K75" s="2"/>
      <c r="L75" s="2"/>
      <c r="M75" s="2"/>
      <c r="N75" s="2"/>
      <c r="O75" s="2"/>
      <c r="P75" s="2"/>
      <c r="Q75" s="2"/>
      <c r="R75" s="2"/>
      <c r="S75" s="2"/>
      <c r="T75" s="2"/>
    </row>
    <row r="76" spans="1:20" ht="15.75" customHeight="1">
      <c r="A76" s="28"/>
      <c r="B76" s="29" t="s">
        <v>53</v>
      </c>
      <c r="C76" s="30"/>
      <c r="D76" s="2"/>
      <c r="E76" s="2" t="b">
        <f t="shared" ref="E76:Q76" si="62">E63+E64-E68+E73=E74</f>
        <v>1</v>
      </c>
      <c r="F76" s="2" t="b">
        <f t="shared" si="62"/>
        <v>1</v>
      </c>
      <c r="G76" s="2" t="b">
        <f t="shared" si="62"/>
        <v>1</v>
      </c>
      <c r="H76" s="2" t="b">
        <f t="shared" si="62"/>
        <v>1</v>
      </c>
      <c r="I76" s="2" t="b">
        <f t="shared" si="62"/>
        <v>1</v>
      </c>
      <c r="J76" s="2" t="b">
        <f t="shared" si="62"/>
        <v>1</v>
      </c>
      <c r="K76" s="2" t="b">
        <f t="shared" si="62"/>
        <v>1</v>
      </c>
      <c r="L76" s="2" t="b">
        <f t="shared" si="62"/>
        <v>1</v>
      </c>
      <c r="M76" s="2" t="b">
        <f t="shared" si="62"/>
        <v>1</v>
      </c>
      <c r="N76" s="2" t="b">
        <f t="shared" si="62"/>
        <v>1</v>
      </c>
      <c r="O76" s="2" t="b">
        <v>1</v>
      </c>
      <c r="P76" s="2" t="b">
        <f t="shared" si="62"/>
        <v>1</v>
      </c>
      <c r="Q76" s="2" t="b">
        <f t="shared" si="62"/>
        <v>1</v>
      </c>
      <c r="R76" s="2" t="b">
        <f t="shared" ref="R76:S76" si="63">R63+R64-R68+R73=R74</f>
        <v>1</v>
      </c>
      <c r="S76" s="2" t="b">
        <f t="shared" si="63"/>
        <v>1</v>
      </c>
      <c r="T76" s="2" t="b">
        <f t="shared" ref="T76" si="64">T63+T64-T68+T73=T74</f>
        <v>1</v>
      </c>
    </row>
    <row r="77" spans="1:20" ht="15.75" customHeight="1">
      <c r="A77" s="1"/>
      <c r="B77" s="2"/>
      <c r="C77" s="2"/>
      <c r="D77" s="20"/>
      <c r="E77" s="2"/>
      <c r="F77" s="2"/>
      <c r="G77" s="2"/>
      <c r="H77" s="2"/>
      <c r="I77" s="2"/>
      <c r="J77" s="2"/>
      <c r="K77" s="2"/>
      <c r="L77" s="2"/>
      <c r="M77" s="2"/>
      <c r="N77" s="2"/>
      <c r="O77" s="2"/>
      <c r="P77" s="2"/>
      <c r="Q77" s="2"/>
      <c r="R77" s="2"/>
      <c r="S77" s="2"/>
      <c r="T77" s="2"/>
    </row>
    <row r="78" spans="1:20" ht="15.75" customHeight="1">
      <c r="A78" s="6" t="s">
        <v>54</v>
      </c>
      <c r="B78" s="2"/>
      <c r="C78" s="2"/>
      <c r="D78" s="2"/>
      <c r="E78" s="2"/>
      <c r="F78" s="2"/>
      <c r="G78" s="2"/>
      <c r="H78" s="2"/>
      <c r="I78" s="2"/>
      <c r="J78" s="2"/>
      <c r="K78" s="2"/>
      <c r="L78" s="2"/>
      <c r="M78" s="2"/>
      <c r="N78" s="2"/>
      <c r="O78" s="2"/>
      <c r="P78" s="2"/>
      <c r="Q78" s="2"/>
      <c r="R78" s="2"/>
      <c r="S78" s="2"/>
      <c r="T78" s="2"/>
    </row>
    <row r="79" spans="1:20" ht="15.75" customHeight="1">
      <c r="A79" s="7"/>
      <c r="B79" s="2"/>
      <c r="C79" s="2"/>
      <c r="D79" s="2"/>
      <c r="E79" s="2"/>
      <c r="F79" s="2"/>
      <c r="G79" s="2"/>
      <c r="H79" s="2"/>
      <c r="I79" s="2"/>
      <c r="J79" s="2"/>
      <c r="K79" s="2"/>
      <c r="L79" s="2"/>
      <c r="M79" s="2"/>
      <c r="N79" s="2"/>
      <c r="O79" s="2"/>
      <c r="P79" s="2"/>
      <c r="Q79" s="2"/>
      <c r="R79" s="2"/>
      <c r="S79" s="2"/>
      <c r="T79" s="2"/>
    </row>
    <row r="80" spans="1:20" ht="15.75" customHeight="1">
      <c r="A80" s="8" t="s">
        <v>3</v>
      </c>
      <c r="B80" s="8" t="s">
        <v>4</v>
      </c>
      <c r="C80" s="8" t="s">
        <v>5</v>
      </c>
      <c r="D80" s="8">
        <f t="shared" ref="D80:T80" si="65">D$3</f>
        <v>2008</v>
      </c>
      <c r="E80" s="8">
        <f t="shared" si="65"/>
        <v>2009</v>
      </c>
      <c r="F80" s="8">
        <f t="shared" si="65"/>
        <v>2010</v>
      </c>
      <c r="G80" s="8">
        <f t="shared" si="65"/>
        <v>2011</v>
      </c>
      <c r="H80" s="8">
        <f t="shared" si="65"/>
        <v>2012</v>
      </c>
      <c r="I80" s="8">
        <f t="shared" si="65"/>
        <v>2013</v>
      </c>
      <c r="J80" s="8">
        <f t="shared" si="65"/>
        <v>2014</v>
      </c>
      <c r="K80" s="8">
        <f t="shared" si="65"/>
        <v>2015</v>
      </c>
      <c r="L80" s="8">
        <f t="shared" si="65"/>
        <v>2016</v>
      </c>
      <c r="M80" s="8">
        <f t="shared" si="65"/>
        <v>2017</v>
      </c>
      <c r="N80" s="8">
        <f t="shared" si="65"/>
        <v>2018</v>
      </c>
      <c r="O80" s="8">
        <v>2019</v>
      </c>
      <c r="P80" s="8">
        <f t="shared" si="65"/>
        <v>2020</v>
      </c>
      <c r="Q80" s="8">
        <f t="shared" si="65"/>
        <v>2021</v>
      </c>
      <c r="R80" s="8">
        <f t="shared" si="65"/>
        <v>2022</v>
      </c>
      <c r="S80" s="8">
        <f t="shared" si="65"/>
        <v>2023</v>
      </c>
      <c r="T80" s="8">
        <f t="shared" si="65"/>
        <v>2024</v>
      </c>
    </row>
    <row r="81" spans="1:20" ht="15.75" customHeight="1">
      <c r="A81" s="9">
        <v>-1</v>
      </c>
      <c r="B81" s="9">
        <f t="shared" ref="B81:T81" si="66">A81-1</f>
        <v>-2</v>
      </c>
      <c r="C81" s="9">
        <f t="shared" si="66"/>
        <v>-3</v>
      </c>
      <c r="D81" s="9">
        <f t="shared" si="66"/>
        <v>-4</v>
      </c>
      <c r="E81" s="9">
        <f t="shared" si="66"/>
        <v>-5</v>
      </c>
      <c r="F81" s="9">
        <f t="shared" si="66"/>
        <v>-6</v>
      </c>
      <c r="G81" s="9">
        <f t="shared" si="66"/>
        <v>-7</v>
      </c>
      <c r="H81" s="9">
        <f t="shared" si="66"/>
        <v>-8</v>
      </c>
      <c r="I81" s="9">
        <f t="shared" si="66"/>
        <v>-9</v>
      </c>
      <c r="J81" s="9">
        <f t="shared" si="66"/>
        <v>-10</v>
      </c>
      <c r="K81" s="9">
        <f t="shared" si="66"/>
        <v>-11</v>
      </c>
      <c r="L81" s="9">
        <f t="shared" si="66"/>
        <v>-12</v>
      </c>
      <c r="M81" s="9">
        <f t="shared" si="66"/>
        <v>-13</v>
      </c>
      <c r="N81" s="9">
        <f t="shared" si="66"/>
        <v>-14</v>
      </c>
      <c r="O81" s="9">
        <v>-15</v>
      </c>
      <c r="P81" s="9">
        <f t="shared" si="66"/>
        <v>-16</v>
      </c>
      <c r="Q81" s="9">
        <f t="shared" si="66"/>
        <v>-17</v>
      </c>
      <c r="R81" s="9">
        <f t="shared" si="66"/>
        <v>-18</v>
      </c>
      <c r="S81" s="9">
        <f t="shared" si="66"/>
        <v>-19</v>
      </c>
      <c r="T81" s="9">
        <f t="shared" si="66"/>
        <v>-20</v>
      </c>
    </row>
    <row r="82" spans="1:20" ht="15.75" customHeight="1">
      <c r="A82" s="14">
        <v>1</v>
      </c>
      <c r="B82" s="15" t="s">
        <v>55</v>
      </c>
      <c r="C82" s="14" t="s">
        <v>20</v>
      </c>
      <c r="D82" s="18">
        <f t="shared" ref="D82:Q82" si="67">D56</f>
        <v>527919.62805966544</v>
      </c>
      <c r="E82" s="18">
        <f t="shared" si="67"/>
        <v>363885.30493010709</v>
      </c>
      <c r="F82" s="18">
        <f t="shared" si="67"/>
        <v>412380.46990405442</v>
      </c>
      <c r="G82" s="18">
        <f t="shared" si="67"/>
        <v>558457.89805647032</v>
      </c>
      <c r="H82" s="18">
        <f t="shared" si="67"/>
        <v>605737.3026324386</v>
      </c>
      <c r="I82" s="18">
        <f t="shared" si="67"/>
        <v>637904.97209529672</v>
      </c>
      <c r="J82" s="18">
        <f t="shared" si="67"/>
        <v>662677.60143720231</v>
      </c>
      <c r="K82" s="18">
        <f t="shared" si="67"/>
        <v>381451.72557067277</v>
      </c>
      <c r="L82" s="18">
        <f t="shared" si="67"/>
        <v>323046.17585196486</v>
      </c>
      <c r="M82" s="18">
        <f t="shared" si="67"/>
        <v>442332.72852432932</v>
      </c>
      <c r="N82" s="18">
        <f t="shared" si="67"/>
        <v>622922.19435023214</v>
      </c>
      <c r="O82" s="18">
        <v>567359.44521320856</v>
      </c>
      <c r="P82" s="18">
        <f t="shared" si="67"/>
        <v>418386.89384277188</v>
      </c>
      <c r="Q82" s="18">
        <f t="shared" si="67"/>
        <v>697639.19442989561</v>
      </c>
      <c r="R82" s="18">
        <f t="shared" ref="R82:S82" si="68">R56</f>
        <v>983999.95399592305</v>
      </c>
      <c r="S82" s="18">
        <f t="shared" si="68"/>
        <v>852212.9561225581</v>
      </c>
      <c r="T82" s="18">
        <f t="shared" ref="T82" si="69">T56</f>
        <v>874363.08415310166</v>
      </c>
    </row>
    <row r="83" spans="1:20" ht="15.75" customHeight="1">
      <c r="A83" s="14">
        <f t="shared" ref="A83:A90" si="70">A82+1</f>
        <v>2</v>
      </c>
      <c r="B83" s="15" t="s">
        <v>56</v>
      </c>
      <c r="C83" s="14" t="s">
        <v>7</v>
      </c>
      <c r="D83" s="18">
        <f t="shared" ref="D83:Q83" si="71">D55</f>
        <v>357.50061299999999</v>
      </c>
      <c r="E83" s="18">
        <f t="shared" si="71"/>
        <v>346.31298900000002</v>
      </c>
      <c r="F83" s="18">
        <f t="shared" si="71"/>
        <v>344.82690200000002</v>
      </c>
      <c r="G83" s="18">
        <f t="shared" si="71"/>
        <v>329.60562800000002</v>
      </c>
      <c r="H83" s="18">
        <f t="shared" si="71"/>
        <v>314.66587199999998</v>
      </c>
      <c r="I83" s="18">
        <f t="shared" si="71"/>
        <v>300.83001300000001</v>
      </c>
      <c r="J83" s="18">
        <f t="shared" si="71"/>
        <v>287.90216400000003</v>
      </c>
      <c r="K83" s="18">
        <f t="shared" si="71"/>
        <v>286.81421599999999</v>
      </c>
      <c r="L83" s="18">
        <f t="shared" si="71"/>
        <v>304.16738800000002</v>
      </c>
      <c r="M83" s="18">
        <f t="shared" si="71"/>
        <v>292.37370199999998</v>
      </c>
      <c r="N83" s="18">
        <f t="shared" si="71"/>
        <v>281.77999999999997</v>
      </c>
      <c r="O83" s="18">
        <v>272.02540900000002</v>
      </c>
      <c r="P83" s="18">
        <f t="shared" si="71"/>
        <v>259.24680474980454</v>
      </c>
      <c r="Q83" s="18">
        <f t="shared" si="71"/>
        <v>240.36129099999999</v>
      </c>
      <c r="R83" s="18">
        <f t="shared" ref="R83:S83" si="72">R55</f>
        <v>223.56084000000001</v>
      </c>
      <c r="S83" s="18">
        <f t="shared" si="72"/>
        <v>221.02149938540032</v>
      </c>
      <c r="T83" s="18">
        <f>T55</f>
        <v>212.32737299999999</v>
      </c>
    </row>
    <row r="84" spans="1:20" ht="15.75" customHeight="1">
      <c r="A84" s="14">
        <f t="shared" si="70"/>
        <v>3</v>
      </c>
      <c r="B84" s="15" t="s">
        <v>57</v>
      </c>
      <c r="C84" s="14" t="s">
        <v>58</v>
      </c>
      <c r="D84" s="18">
        <f t="shared" ref="D84:Q84" si="73">D82*D83/1000</f>
        <v>188731.59064606237</v>
      </c>
      <c r="E84" s="18">
        <f t="shared" si="73"/>
        <v>126018.20760352182</v>
      </c>
      <c r="F84" s="18">
        <f t="shared" si="73"/>
        <v>142199.87988231934</v>
      </c>
      <c r="G84" s="18">
        <f t="shared" si="73"/>
        <v>184070.86620046292</v>
      </c>
      <c r="H84" s="18">
        <f t="shared" si="73"/>
        <v>190604.85653576418</v>
      </c>
      <c r="I84" s="18">
        <f t="shared" si="73"/>
        <v>191900.96104819275</v>
      </c>
      <c r="J84" s="18">
        <f t="shared" si="73"/>
        <v>190786.31548810008</v>
      </c>
      <c r="K84" s="18">
        <f t="shared" si="73"/>
        <v>109405.77761139967</v>
      </c>
      <c r="L84" s="18">
        <f t="shared" si="73"/>
        <v>98260.111512280841</v>
      </c>
      <c r="M84" s="18">
        <f t="shared" si="73"/>
        <v>129326.45735441915</v>
      </c>
      <c r="N84" s="18">
        <f t="shared" si="73"/>
        <v>175527.01592400839</v>
      </c>
      <c r="O84" s="18">
        <v>154336.18513413618</v>
      </c>
      <c r="P84" s="18">
        <f t="shared" si="73"/>
        <v>108465.46537793428</v>
      </c>
      <c r="Q84" s="18">
        <f t="shared" si="73"/>
        <v>167685.45742536971</v>
      </c>
      <c r="R84" s="18">
        <f t="shared" ref="R84:S84" si="74">R82*R83/1000</f>
        <v>219983.85627528993</v>
      </c>
      <c r="S84" s="18">
        <f t="shared" si="74"/>
        <v>188357.38535787215</v>
      </c>
      <c r="T84" s="18">
        <f t="shared" ref="T84" si="75">T82*T83/1000</f>
        <v>185651.216706406</v>
      </c>
    </row>
    <row r="85" spans="1:20" ht="15.75" customHeight="1">
      <c r="A85" s="14">
        <f t="shared" si="70"/>
        <v>4</v>
      </c>
      <c r="B85" s="21" t="s">
        <v>59</v>
      </c>
      <c r="C85" s="14" t="s">
        <v>60</v>
      </c>
      <c r="D85" s="18">
        <f t="shared" ref="D85:M85" si="76">D74/D83</f>
        <v>22.990729808902458</v>
      </c>
      <c r="E85" s="18">
        <f t="shared" si="76"/>
        <v>23.096159410873266</v>
      </c>
      <c r="F85" s="18">
        <f t="shared" si="76"/>
        <v>22.517036678304173</v>
      </c>
      <c r="G85" s="18">
        <f t="shared" si="76"/>
        <v>23.452269449719466</v>
      </c>
      <c r="H85" s="18">
        <f t="shared" si="76"/>
        <v>23.543195049763771</v>
      </c>
      <c r="I85" s="18">
        <f t="shared" si="76"/>
        <v>25.096565082420817</v>
      </c>
      <c r="J85" s="18">
        <f t="shared" si="76"/>
        <v>25.615090548607338</v>
      </c>
      <c r="K85" s="18">
        <f t="shared" si="76"/>
        <v>25.469518568075443</v>
      </c>
      <c r="L85" s="18">
        <f t="shared" si="76"/>
        <v>23.839209218576713</v>
      </c>
      <c r="M85" s="18">
        <f t="shared" si="76"/>
        <v>25.754710319329611</v>
      </c>
      <c r="N85" s="18">
        <f t="shared" ref="N85:S85" si="77">AVERAGE(J74/J83,K74/K83,L74/L83,M74/M83,N74/N83)</f>
        <v>25.467666835325517</v>
      </c>
      <c r="O85" s="18">
        <v>23.119823304975785</v>
      </c>
      <c r="P85" s="18">
        <f t="shared" si="77"/>
        <v>21.241936085005172</v>
      </c>
      <c r="Q85" s="18">
        <f t="shared" si="77"/>
        <v>19.758484734932171</v>
      </c>
      <c r="R85" s="18">
        <f t="shared" si="77"/>
        <v>18.341899725727522</v>
      </c>
      <c r="S85" s="18">
        <f t="shared" si="77"/>
        <v>17.263171915881827</v>
      </c>
      <c r="T85" s="18">
        <f>AVERAGE(P74/P83,Q74/Q83,R74/R83,S74/S83,T74/T83)</f>
        <v>18.549131743330072</v>
      </c>
    </row>
    <row r="86" spans="1:20" ht="15.75" customHeight="1">
      <c r="A86" s="31">
        <f t="shared" si="70"/>
        <v>5</v>
      </c>
      <c r="B86" s="32" t="s">
        <v>61</v>
      </c>
      <c r="C86" s="31"/>
      <c r="D86" s="33">
        <v>0.1318648305084745</v>
      </c>
      <c r="E86" s="33">
        <v>0.11456120218579237</v>
      </c>
      <c r="F86" s="33">
        <v>9.6083870967741916E-2</v>
      </c>
      <c r="G86" s="33">
        <v>8.4860816326530641E-2</v>
      </c>
      <c r="H86" s="33">
        <v>6.6462195121951215E-2</v>
      </c>
      <c r="I86" s="33">
        <v>7.5548571428571409E-2</v>
      </c>
      <c r="J86" s="33">
        <v>8.6841975308642003E-2</v>
      </c>
      <c r="K86" s="33">
        <v>8.4721074380165282E-2</v>
      </c>
      <c r="L86" s="33">
        <v>7.9230487804878069E-2</v>
      </c>
      <c r="M86" s="33">
        <v>7.6071308016877698E-2</v>
      </c>
      <c r="N86" s="33">
        <f>Bond!M26</f>
        <v>8.3599999999999994E-2</v>
      </c>
      <c r="O86" s="33">
        <v>7.6499999999999999E-2</v>
      </c>
      <c r="P86" s="33">
        <f>Bond!O26</f>
        <v>6.4799999999999996E-2</v>
      </c>
      <c r="Q86" s="33">
        <f>Bond!P26</f>
        <v>7.0499999999999993E-2</v>
      </c>
      <c r="R86" s="33">
        <f>Bond!Q21</f>
        <v>6.7500000000000004E-2</v>
      </c>
      <c r="S86" s="33">
        <f>Bond!R21</f>
        <v>6.6200000000000009E-2</v>
      </c>
      <c r="T86" s="33">
        <f>Bond!S21</f>
        <v>7.0699999999999999E-2</v>
      </c>
    </row>
    <row r="87" spans="1:20" ht="15.75" customHeight="1">
      <c r="A87" s="14">
        <f t="shared" si="70"/>
        <v>6</v>
      </c>
      <c r="B87" s="21" t="s">
        <v>62</v>
      </c>
      <c r="C87" s="14"/>
      <c r="D87" s="16">
        <f t="shared" ref="D87:Q87" si="78">PV(D86,D85,-1/D85)</f>
        <v>0.31072896701233549</v>
      </c>
      <c r="E87" s="16">
        <f t="shared" si="78"/>
        <v>0.3470722256643719</v>
      </c>
      <c r="F87" s="16">
        <f t="shared" si="78"/>
        <v>0.4036389980142232</v>
      </c>
      <c r="G87" s="16">
        <f t="shared" si="78"/>
        <v>0.42807876444787157</v>
      </c>
      <c r="H87" s="16">
        <f t="shared" si="78"/>
        <v>0.49860046985513418</v>
      </c>
      <c r="I87" s="16">
        <f t="shared" si="78"/>
        <v>0.44263157066226355</v>
      </c>
      <c r="J87" s="16">
        <f t="shared" si="78"/>
        <v>0.39629026140787016</v>
      </c>
      <c r="K87" s="16">
        <f t="shared" si="78"/>
        <v>0.40502846185181285</v>
      </c>
      <c r="L87" s="16">
        <f t="shared" si="78"/>
        <v>0.443458494160342</v>
      </c>
      <c r="M87" s="16">
        <f t="shared" si="78"/>
        <v>0.43316973374741713</v>
      </c>
      <c r="N87" s="16">
        <f t="shared" si="78"/>
        <v>0.40890103536094835</v>
      </c>
      <c r="O87" s="16">
        <v>0.46254986614913379</v>
      </c>
      <c r="P87" s="16">
        <f t="shared" si="78"/>
        <v>0.53506435652561246</v>
      </c>
      <c r="Q87" s="16">
        <f t="shared" si="78"/>
        <v>0.53104909161466729</v>
      </c>
      <c r="R87" s="16">
        <f t="shared" ref="R87:S87" si="79">PV(R86,R85,-1/R85)</f>
        <v>0.56396102987269081</v>
      </c>
      <c r="S87" s="16">
        <f t="shared" si="79"/>
        <v>0.58566756682389132</v>
      </c>
      <c r="T87" s="16">
        <f t="shared" ref="T87" si="80">PV(T86,T85,-1/T85)</f>
        <v>0.54777425699277671</v>
      </c>
    </row>
    <row r="88" spans="1:20" ht="15.75" customHeight="1">
      <c r="A88" s="23">
        <f t="shared" si="70"/>
        <v>7</v>
      </c>
      <c r="B88" s="24" t="s">
        <v>63</v>
      </c>
      <c r="C88" s="23" t="s">
        <v>58</v>
      </c>
      <c r="D88" s="34">
        <f t="shared" ref="D88:Q88" si="81">D84*D85*D87</f>
        <v>1348276.9161559292</v>
      </c>
      <c r="E88" s="34">
        <f t="shared" si="81"/>
        <v>1010166.4196252043</v>
      </c>
      <c r="F88" s="34">
        <f t="shared" si="81"/>
        <v>1292419.7445819404</v>
      </c>
      <c r="G88" s="34">
        <f t="shared" si="81"/>
        <v>1847964.4648803882</v>
      </c>
      <c r="H88" s="34">
        <f t="shared" si="81"/>
        <v>2237443.3396362336</v>
      </c>
      <c r="I88" s="34">
        <f t="shared" si="81"/>
        <v>2131737.9705992085</v>
      </c>
      <c r="J88" s="34">
        <f t="shared" si="81"/>
        <v>1936673.9737175689</v>
      </c>
      <c r="K88" s="34">
        <f t="shared" si="81"/>
        <v>1128616.8654583555</v>
      </c>
      <c r="L88" s="34">
        <f t="shared" si="81"/>
        <v>1038776.4033883412</v>
      </c>
      <c r="M88" s="34">
        <f t="shared" si="81"/>
        <v>1442786.7813271717</v>
      </c>
      <c r="N88" s="34">
        <f t="shared" si="81"/>
        <v>1827895.3989000786</v>
      </c>
      <c r="O88" s="34">
        <v>1650482.1487191245</v>
      </c>
      <c r="P88" s="34">
        <f t="shared" si="81"/>
        <v>1232797.0968946044</v>
      </c>
      <c r="Q88" s="34">
        <f t="shared" si="81"/>
        <v>1759477.4533354028</v>
      </c>
      <c r="R88" s="34">
        <f t="shared" ref="R88:S88" si="82">R84*R85*R87</f>
        <v>2275538.6724397279</v>
      </c>
      <c r="S88" s="34">
        <f t="shared" si="82"/>
        <v>1904383.557102096</v>
      </c>
      <c r="T88" s="34">
        <f t="shared" ref="T88" si="83">T84*T85*T87</f>
        <v>1886353.1604259873</v>
      </c>
    </row>
    <row r="89" spans="1:20" ht="15.75" customHeight="1">
      <c r="A89" s="14">
        <f t="shared" si="70"/>
        <v>8</v>
      </c>
      <c r="B89" s="21" t="s">
        <v>64</v>
      </c>
      <c r="C89" s="14" t="s">
        <v>7</v>
      </c>
      <c r="D89" s="18">
        <f t="shared" ref="D89:Q89" si="84">D74</f>
        <v>8219.2000000000007</v>
      </c>
      <c r="E89" s="18">
        <f t="shared" si="84"/>
        <v>7998.5</v>
      </c>
      <c r="F89" s="18">
        <f t="shared" si="84"/>
        <v>7764.48</v>
      </c>
      <c r="G89" s="18">
        <f t="shared" si="84"/>
        <v>7730</v>
      </c>
      <c r="H89" s="18">
        <f t="shared" si="84"/>
        <v>7408.24</v>
      </c>
      <c r="I89" s="18">
        <f t="shared" si="84"/>
        <v>7549.8</v>
      </c>
      <c r="J89" s="18">
        <f t="shared" si="84"/>
        <v>7374.64</v>
      </c>
      <c r="K89" s="18">
        <f t="shared" si="84"/>
        <v>7305.02</v>
      </c>
      <c r="L89" s="18">
        <f t="shared" si="84"/>
        <v>7251.11</v>
      </c>
      <c r="M89" s="18">
        <f t="shared" si="84"/>
        <v>7530</v>
      </c>
      <c r="N89" s="18">
        <f t="shared" si="84"/>
        <v>7512.2</v>
      </c>
      <c r="O89" s="18">
        <v>3774.5899999999997</v>
      </c>
      <c r="P89" s="18">
        <f t="shared" si="84"/>
        <v>4168.71</v>
      </c>
      <c r="Q89" s="18">
        <f t="shared" si="84"/>
        <v>3947.2016960000028</v>
      </c>
      <c r="R89" s="18">
        <f t="shared" ref="R89:S89" si="85">R74</f>
        <v>4174.28</v>
      </c>
      <c r="S89" s="18">
        <f t="shared" si="85"/>
        <v>4700.2800000000007</v>
      </c>
      <c r="T89" s="18">
        <f t="shared" ref="T89" si="86">T74</f>
        <v>4311.45</v>
      </c>
    </row>
    <row r="90" spans="1:20" ht="15.75" customHeight="1">
      <c r="A90" s="14">
        <f t="shared" si="70"/>
        <v>9</v>
      </c>
      <c r="B90" s="15" t="s">
        <v>65</v>
      </c>
      <c r="C90" s="14" t="s">
        <v>20</v>
      </c>
      <c r="D90" s="18">
        <f t="shared" ref="D90:Q90" si="87">D88/D89*1000</f>
        <v>164039.9206925162</v>
      </c>
      <c r="E90" s="18">
        <f t="shared" si="87"/>
        <v>126294.48266865092</v>
      </c>
      <c r="F90" s="18">
        <f t="shared" si="87"/>
        <v>166452.83967270705</v>
      </c>
      <c r="G90" s="18">
        <f t="shared" si="87"/>
        <v>239063.96699616924</v>
      </c>
      <c r="H90" s="18">
        <f t="shared" si="87"/>
        <v>302020.90370131552</v>
      </c>
      <c r="I90" s="18">
        <f t="shared" si="87"/>
        <v>282356.87973180861</v>
      </c>
      <c r="J90" s="18">
        <f t="shared" si="87"/>
        <v>262612.6799026893</v>
      </c>
      <c r="K90" s="18">
        <f t="shared" si="87"/>
        <v>154498.80567860941</v>
      </c>
      <c r="L90" s="18">
        <f t="shared" si="87"/>
        <v>143257.57068756939</v>
      </c>
      <c r="M90" s="18">
        <f t="shared" si="87"/>
        <v>191605.15024265228</v>
      </c>
      <c r="N90" s="18">
        <f t="shared" si="87"/>
        <v>243323.58016294544</v>
      </c>
      <c r="O90" s="18">
        <v>437261.30486201803</v>
      </c>
      <c r="P90" s="18">
        <f t="shared" si="87"/>
        <v>295726.27908744058</v>
      </c>
      <c r="Q90" s="18">
        <f t="shared" si="87"/>
        <v>445753.1154585827</v>
      </c>
      <c r="R90" s="18">
        <f t="shared" ref="R90:S90" si="88">R88/R89*1000</f>
        <v>545133.21397695609</v>
      </c>
      <c r="S90" s="18">
        <f t="shared" si="88"/>
        <v>405163.85345172964</v>
      </c>
      <c r="T90" s="18">
        <f t="shared" ref="T90" si="89">T88/T89*1000</f>
        <v>437521.75264145184</v>
      </c>
    </row>
    <row r="91" spans="1:20" ht="15.75" customHeight="1">
      <c r="A91" s="1"/>
      <c r="B91" s="2"/>
      <c r="C91" s="2"/>
      <c r="D91" s="2"/>
      <c r="E91" s="2"/>
      <c r="F91" s="2"/>
      <c r="G91" s="2"/>
      <c r="H91" s="2"/>
      <c r="I91" s="2"/>
      <c r="J91" s="2"/>
      <c r="K91" s="2"/>
      <c r="L91" s="2"/>
      <c r="M91" s="2"/>
      <c r="N91" s="2"/>
      <c r="O91" s="2"/>
      <c r="P91" s="2"/>
      <c r="Q91" s="2"/>
      <c r="R91" s="2"/>
      <c r="S91" s="2"/>
      <c r="T91" s="2"/>
    </row>
    <row r="92" spans="1:20" ht="15.75" customHeight="1">
      <c r="A92" s="1"/>
      <c r="B92" s="2"/>
      <c r="C92" s="2"/>
      <c r="D92" s="2"/>
      <c r="E92" s="2"/>
      <c r="F92" s="2"/>
      <c r="G92" s="2"/>
      <c r="H92" s="2"/>
      <c r="I92" s="2"/>
      <c r="J92" s="2"/>
      <c r="K92" s="2"/>
      <c r="L92" s="2"/>
      <c r="M92" s="2"/>
      <c r="N92" s="2"/>
      <c r="O92" s="2"/>
      <c r="P92" s="2"/>
      <c r="Q92" s="2"/>
      <c r="R92" s="2"/>
      <c r="S92" s="2"/>
      <c r="T92" s="2"/>
    </row>
    <row r="93" spans="1:20" ht="15.75" customHeight="1">
      <c r="A93" s="6" t="s">
        <v>66</v>
      </c>
      <c r="B93" s="2"/>
      <c r="C93" s="2"/>
      <c r="D93" s="2"/>
      <c r="E93" s="2"/>
      <c r="F93" s="2"/>
      <c r="G93" s="2"/>
      <c r="H93" s="2"/>
      <c r="I93" s="2"/>
      <c r="J93" s="2"/>
      <c r="K93" s="2"/>
      <c r="L93" s="2"/>
      <c r="M93" s="2"/>
      <c r="N93" s="2"/>
      <c r="O93" s="2"/>
      <c r="P93" s="2"/>
      <c r="Q93" s="2"/>
      <c r="R93" s="2"/>
      <c r="S93" s="2"/>
      <c r="T93" s="2"/>
    </row>
    <row r="94" spans="1:20" ht="15.75" customHeight="1">
      <c r="A94" s="19"/>
      <c r="B94" s="2"/>
      <c r="C94" s="2"/>
      <c r="D94" s="2"/>
      <c r="E94" s="2"/>
      <c r="F94" s="2"/>
      <c r="G94" s="2"/>
      <c r="H94" s="2"/>
      <c r="I94" s="2"/>
      <c r="J94" s="2"/>
      <c r="K94" s="2"/>
      <c r="L94" s="2"/>
      <c r="M94" s="2"/>
      <c r="N94" s="2"/>
      <c r="O94" s="2"/>
      <c r="P94" s="2"/>
      <c r="Q94" s="2"/>
      <c r="R94" s="2"/>
      <c r="S94" s="2"/>
      <c r="T94" s="2"/>
    </row>
    <row r="95" spans="1:20" ht="15.75" customHeight="1">
      <c r="A95" s="8" t="s">
        <v>3</v>
      </c>
      <c r="B95" s="8" t="s">
        <v>4</v>
      </c>
      <c r="C95" s="8" t="s">
        <v>5</v>
      </c>
      <c r="D95" s="8">
        <f t="shared" ref="D95:T95" si="90">D$3</f>
        <v>2008</v>
      </c>
      <c r="E95" s="8">
        <f t="shared" si="90"/>
        <v>2009</v>
      </c>
      <c r="F95" s="8">
        <f t="shared" si="90"/>
        <v>2010</v>
      </c>
      <c r="G95" s="8">
        <f t="shared" si="90"/>
        <v>2011</v>
      </c>
      <c r="H95" s="8">
        <f t="shared" si="90"/>
        <v>2012</v>
      </c>
      <c r="I95" s="8">
        <f t="shared" si="90"/>
        <v>2013</v>
      </c>
      <c r="J95" s="8">
        <f t="shared" si="90"/>
        <v>2014</v>
      </c>
      <c r="K95" s="8">
        <f t="shared" si="90"/>
        <v>2015</v>
      </c>
      <c r="L95" s="8">
        <f t="shared" si="90"/>
        <v>2016</v>
      </c>
      <c r="M95" s="8">
        <f t="shared" si="90"/>
        <v>2017</v>
      </c>
      <c r="N95" s="8">
        <f t="shared" si="90"/>
        <v>2018</v>
      </c>
      <c r="O95" s="8">
        <v>2019</v>
      </c>
      <c r="P95" s="8">
        <f t="shared" si="90"/>
        <v>2020</v>
      </c>
      <c r="Q95" s="8">
        <f t="shared" si="90"/>
        <v>2021</v>
      </c>
      <c r="R95" s="8">
        <f t="shared" si="90"/>
        <v>2022</v>
      </c>
      <c r="S95" s="8">
        <f t="shared" si="90"/>
        <v>2023</v>
      </c>
      <c r="T95" s="8">
        <f t="shared" si="90"/>
        <v>2024</v>
      </c>
    </row>
    <row r="96" spans="1:20" ht="15.75" customHeight="1">
      <c r="A96" s="9">
        <v>-1</v>
      </c>
      <c r="B96" s="9">
        <f t="shared" ref="B96:T96" si="91">A96-1</f>
        <v>-2</v>
      </c>
      <c r="C96" s="9">
        <f t="shared" si="91"/>
        <v>-3</v>
      </c>
      <c r="D96" s="9">
        <f t="shared" si="91"/>
        <v>-4</v>
      </c>
      <c r="E96" s="9">
        <f t="shared" si="91"/>
        <v>-5</v>
      </c>
      <c r="F96" s="9">
        <f t="shared" si="91"/>
        <v>-6</v>
      </c>
      <c r="G96" s="9">
        <f t="shared" si="91"/>
        <v>-7</v>
      </c>
      <c r="H96" s="9">
        <f t="shared" si="91"/>
        <v>-8</v>
      </c>
      <c r="I96" s="9">
        <f t="shared" si="91"/>
        <v>-9</v>
      </c>
      <c r="J96" s="9">
        <f t="shared" si="91"/>
        <v>-10</v>
      </c>
      <c r="K96" s="9">
        <f t="shared" si="91"/>
        <v>-11</v>
      </c>
      <c r="L96" s="9">
        <f t="shared" si="91"/>
        <v>-12</v>
      </c>
      <c r="M96" s="9">
        <f t="shared" si="91"/>
        <v>-13</v>
      </c>
      <c r="N96" s="9">
        <f t="shared" si="91"/>
        <v>-14</v>
      </c>
      <c r="O96" s="9">
        <v>-15</v>
      </c>
      <c r="P96" s="9">
        <f t="shared" si="91"/>
        <v>-16</v>
      </c>
      <c r="Q96" s="9">
        <f t="shared" si="91"/>
        <v>-17</v>
      </c>
      <c r="R96" s="9">
        <f t="shared" si="91"/>
        <v>-18</v>
      </c>
      <c r="S96" s="9">
        <f t="shared" si="91"/>
        <v>-19</v>
      </c>
      <c r="T96" s="9">
        <f t="shared" si="91"/>
        <v>-20</v>
      </c>
    </row>
    <row r="97" spans="1:21" ht="15.75" customHeight="1">
      <c r="A97" s="31">
        <v>1</v>
      </c>
      <c r="B97" s="32" t="s">
        <v>41</v>
      </c>
      <c r="C97" s="31" t="s">
        <v>58</v>
      </c>
      <c r="D97" s="35"/>
      <c r="E97" s="35">
        <f t="shared" ref="E97:T97" si="92">D109</f>
        <v>1348276.9161559292</v>
      </c>
      <c r="F97" s="35">
        <f t="shared" si="92"/>
        <v>1010166.4196252043</v>
      </c>
      <c r="G97" s="35">
        <f t="shared" si="92"/>
        <v>1292419.7445819404</v>
      </c>
      <c r="H97" s="35">
        <f t="shared" si="92"/>
        <v>1847964.4648803882</v>
      </c>
      <c r="I97" s="35">
        <f t="shared" si="92"/>
        <v>2237443.3396362336</v>
      </c>
      <c r="J97" s="35">
        <f t="shared" si="92"/>
        <v>2131737.9705992085</v>
      </c>
      <c r="K97" s="35">
        <f t="shared" si="92"/>
        <v>1936673.9737175689</v>
      </c>
      <c r="L97" s="35">
        <f t="shared" si="92"/>
        <v>1128616.8654583555</v>
      </c>
      <c r="M97" s="35">
        <f t="shared" si="92"/>
        <v>1038776.4033883412</v>
      </c>
      <c r="N97" s="35">
        <f t="shared" si="92"/>
        <v>1442786.7813271717</v>
      </c>
      <c r="O97" s="35">
        <v>1827895.3989000786</v>
      </c>
      <c r="P97" s="35">
        <f t="shared" si="92"/>
        <v>1650482.1487191245</v>
      </c>
      <c r="Q97" s="35">
        <f t="shared" si="92"/>
        <v>1232797.0968946044</v>
      </c>
      <c r="R97" s="35">
        <f t="shared" si="92"/>
        <v>1759477.4533354028</v>
      </c>
      <c r="S97" s="35">
        <f t="shared" si="92"/>
        <v>2275538.6724397279</v>
      </c>
      <c r="T97" s="35">
        <f t="shared" si="92"/>
        <v>1904383.557102096</v>
      </c>
    </row>
    <row r="98" spans="1:21" ht="15.75" customHeight="1">
      <c r="A98" s="31">
        <v>2</v>
      </c>
      <c r="B98" s="32" t="s">
        <v>43</v>
      </c>
      <c r="C98" s="31" t="s">
        <v>58</v>
      </c>
      <c r="D98" s="35">
        <f t="shared" ref="D98:Q98" si="93">SUM(D99:D101)</f>
        <v>0</v>
      </c>
      <c r="E98" s="35">
        <f t="shared" si="93"/>
        <v>0</v>
      </c>
      <c r="F98" s="35">
        <f t="shared" si="93"/>
        <v>0</v>
      </c>
      <c r="G98" s="35">
        <f t="shared" si="93"/>
        <v>0</v>
      </c>
      <c r="H98" s="35">
        <f t="shared" si="93"/>
        <v>0</v>
      </c>
      <c r="I98" s="35">
        <f t="shared" si="93"/>
        <v>0</v>
      </c>
      <c r="J98" s="35">
        <f t="shared" si="93"/>
        <v>0</v>
      </c>
      <c r="K98" s="35">
        <f t="shared" si="93"/>
        <v>0</v>
      </c>
      <c r="L98" s="35">
        <f t="shared" si="93"/>
        <v>0</v>
      </c>
      <c r="M98" s="35">
        <f t="shared" si="93"/>
        <v>0</v>
      </c>
      <c r="N98" s="35">
        <f t="shared" si="93"/>
        <v>0</v>
      </c>
      <c r="O98" s="35">
        <v>0</v>
      </c>
      <c r="P98" s="35">
        <f t="shared" si="93"/>
        <v>0</v>
      </c>
      <c r="Q98" s="35">
        <f t="shared" si="93"/>
        <v>0</v>
      </c>
      <c r="R98" s="35">
        <f t="shared" ref="R98:S98" si="94">SUM(R99:R101)</f>
        <v>0</v>
      </c>
      <c r="S98" s="35">
        <f t="shared" si="94"/>
        <v>0</v>
      </c>
      <c r="T98" s="35">
        <f t="shared" ref="T98" si="95">SUM(T99:T101)</f>
        <v>0</v>
      </c>
    </row>
    <row r="99" spans="1:21" ht="15.75" customHeight="1">
      <c r="A99" s="14">
        <v>2.1</v>
      </c>
      <c r="B99" s="15" t="s">
        <v>44</v>
      </c>
      <c r="C99" s="14" t="s">
        <v>58</v>
      </c>
      <c r="D99" s="18"/>
      <c r="E99" s="18">
        <f t="shared" ref="E99:T99" si="96">0.5*(D$90+E$90)*E65/1000</f>
        <v>0</v>
      </c>
      <c r="F99" s="18">
        <f t="shared" si="96"/>
        <v>0</v>
      </c>
      <c r="G99" s="18">
        <f t="shared" si="96"/>
        <v>0</v>
      </c>
      <c r="H99" s="18">
        <f t="shared" si="96"/>
        <v>0</v>
      </c>
      <c r="I99" s="18">
        <f t="shared" si="96"/>
        <v>0</v>
      </c>
      <c r="J99" s="18">
        <f t="shared" si="96"/>
        <v>0</v>
      </c>
      <c r="K99" s="18">
        <f t="shared" si="96"/>
        <v>0</v>
      </c>
      <c r="L99" s="18">
        <f t="shared" si="96"/>
        <v>0</v>
      </c>
      <c r="M99" s="18">
        <f t="shared" si="96"/>
        <v>0</v>
      </c>
      <c r="N99" s="18">
        <f t="shared" si="96"/>
        <v>0</v>
      </c>
      <c r="O99" s="18">
        <v>0</v>
      </c>
      <c r="P99" s="18">
        <f t="shared" si="96"/>
        <v>0</v>
      </c>
      <c r="Q99" s="18">
        <f t="shared" si="96"/>
        <v>0</v>
      </c>
      <c r="R99" s="18">
        <f t="shared" si="96"/>
        <v>0</v>
      </c>
      <c r="S99" s="18">
        <f t="shared" si="96"/>
        <v>0</v>
      </c>
      <c r="T99" s="18">
        <f t="shared" si="96"/>
        <v>0</v>
      </c>
    </row>
    <row r="100" spans="1:21" ht="15.75" customHeight="1">
      <c r="A100" s="14">
        <v>2.2000000000000002</v>
      </c>
      <c r="B100" s="15" t="s">
        <v>45</v>
      </c>
      <c r="C100" s="14" t="s">
        <v>58</v>
      </c>
      <c r="D100" s="18"/>
      <c r="E100" s="18">
        <f t="shared" ref="E100:T100" si="97">0.5*(D$90+E$90)*E66/1000</f>
        <v>0</v>
      </c>
      <c r="F100" s="18">
        <f t="shared" si="97"/>
        <v>0</v>
      </c>
      <c r="G100" s="18">
        <f t="shared" si="97"/>
        <v>0</v>
      </c>
      <c r="H100" s="18">
        <f t="shared" si="97"/>
        <v>0</v>
      </c>
      <c r="I100" s="18">
        <f t="shared" si="97"/>
        <v>0</v>
      </c>
      <c r="J100" s="18">
        <f t="shared" si="97"/>
        <v>0</v>
      </c>
      <c r="K100" s="18">
        <f t="shared" si="97"/>
        <v>0</v>
      </c>
      <c r="L100" s="18">
        <f t="shared" si="97"/>
        <v>0</v>
      </c>
      <c r="M100" s="18">
        <f t="shared" si="97"/>
        <v>0</v>
      </c>
      <c r="N100" s="18">
        <f t="shared" si="97"/>
        <v>0</v>
      </c>
      <c r="O100" s="18">
        <v>0</v>
      </c>
      <c r="P100" s="18">
        <f t="shared" si="97"/>
        <v>0</v>
      </c>
      <c r="Q100" s="18">
        <f t="shared" si="97"/>
        <v>0</v>
      </c>
      <c r="R100" s="18">
        <f t="shared" si="97"/>
        <v>0</v>
      </c>
      <c r="S100" s="18">
        <f t="shared" si="97"/>
        <v>0</v>
      </c>
      <c r="T100" s="18">
        <f t="shared" si="97"/>
        <v>0</v>
      </c>
    </row>
    <row r="101" spans="1:21" ht="15.75" customHeight="1">
      <c r="A101" s="14">
        <v>2.2999999999999998</v>
      </c>
      <c r="B101" s="15" t="s">
        <v>46</v>
      </c>
      <c r="C101" s="14" t="s">
        <v>58</v>
      </c>
      <c r="D101" s="18"/>
      <c r="E101" s="18">
        <f t="shared" ref="E101:T101" si="98">0.5*(D$90+E$90)*E67/1000</f>
        <v>0</v>
      </c>
      <c r="F101" s="18">
        <f t="shared" si="98"/>
        <v>0</v>
      </c>
      <c r="G101" s="18">
        <f t="shared" si="98"/>
        <v>0</v>
      </c>
      <c r="H101" s="18">
        <f t="shared" si="98"/>
        <v>0</v>
      </c>
      <c r="I101" s="18">
        <f t="shared" si="98"/>
        <v>0</v>
      </c>
      <c r="J101" s="18">
        <f t="shared" si="98"/>
        <v>0</v>
      </c>
      <c r="K101" s="18">
        <f t="shared" si="98"/>
        <v>0</v>
      </c>
      <c r="L101" s="18">
        <f t="shared" si="98"/>
        <v>0</v>
      </c>
      <c r="M101" s="18">
        <f t="shared" si="98"/>
        <v>0</v>
      </c>
      <c r="N101" s="18">
        <f t="shared" si="98"/>
        <v>0</v>
      </c>
      <c r="O101" s="18">
        <v>0</v>
      </c>
      <c r="P101" s="18">
        <f t="shared" si="98"/>
        <v>0</v>
      </c>
      <c r="Q101" s="18">
        <f t="shared" si="98"/>
        <v>0</v>
      </c>
      <c r="R101" s="18">
        <f t="shared" si="98"/>
        <v>0</v>
      </c>
      <c r="S101" s="18">
        <f t="shared" si="98"/>
        <v>0</v>
      </c>
      <c r="T101" s="18">
        <f t="shared" si="98"/>
        <v>0</v>
      </c>
    </row>
    <row r="102" spans="1:21" ht="15.75" customHeight="1">
      <c r="A102" s="31">
        <v>3</v>
      </c>
      <c r="B102" s="32" t="s">
        <v>47</v>
      </c>
      <c r="C102" s="31" t="s">
        <v>58</v>
      </c>
      <c r="D102" s="35">
        <f t="shared" ref="D102:Q102" si="99">SUM(D103:D106)</f>
        <v>0</v>
      </c>
      <c r="E102" s="35">
        <f t="shared" si="99"/>
        <v>50273.287518768717</v>
      </c>
      <c r="F102" s="35">
        <f t="shared" si="99"/>
        <v>50473.576115882926</v>
      </c>
      <c r="G102" s="35">
        <f t="shared" si="99"/>
        <v>66830.31086332479</v>
      </c>
      <c r="H102" s="35">
        <f t="shared" si="99"/>
        <v>85130.471332015644</v>
      </c>
      <c r="I102" s="35">
        <f t="shared" si="99"/>
        <v>87899.188093548975</v>
      </c>
      <c r="J102" s="35">
        <f t="shared" si="99"/>
        <v>78448.957766449501</v>
      </c>
      <c r="K102" s="35">
        <f t="shared" si="99"/>
        <v>59816.75186079774</v>
      </c>
      <c r="L102" s="35">
        <f t="shared" si="99"/>
        <v>45283.88962982277</v>
      </c>
      <c r="M102" s="35">
        <f t="shared" si="99"/>
        <v>48952.526690080893</v>
      </c>
      <c r="N102" s="35">
        <f t="shared" si="99"/>
        <v>61277.108826844655</v>
      </c>
      <c r="O102" s="35">
        <v>92568.190854066837</v>
      </c>
      <c r="P102" s="35">
        <f t="shared" si="99"/>
        <v>95012.344530088129</v>
      </c>
      <c r="Q102" s="35">
        <f t="shared" si="99"/>
        <v>89111.472261490257</v>
      </c>
      <c r="R102" s="35">
        <f t="shared" ref="R102:S102" si="100">SUM(R103:R106)</f>
        <v>110761.6900765629</v>
      </c>
      <c r="S102" s="35">
        <f t="shared" si="100"/>
        <v>105018.0413523185</v>
      </c>
      <c r="T102" s="35">
        <f t="shared" ref="T102" si="101">SUM(T103:T106)</f>
        <v>89462.610503339005</v>
      </c>
    </row>
    <row r="103" spans="1:21" ht="15.75" customHeight="1">
      <c r="A103" s="14">
        <v>3.1</v>
      </c>
      <c r="B103" s="15" t="s">
        <v>67</v>
      </c>
      <c r="C103" s="14" t="s">
        <v>58</v>
      </c>
      <c r="D103" s="18"/>
      <c r="E103" s="18">
        <f t="shared" ref="E103:T103" si="102">0.5*(D$90+E$90)*E69/1000</f>
        <v>50273.287518768717</v>
      </c>
      <c r="F103" s="18">
        <f t="shared" si="102"/>
        <v>50473.576115882926</v>
      </c>
      <c r="G103" s="18">
        <f t="shared" si="102"/>
        <v>66830.31086332479</v>
      </c>
      <c r="H103" s="18">
        <f t="shared" si="102"/>
        <v>85130.471332015644</v>
      </c>
      <c r="I103" s="18">
        <f t="shared" si="102"/>
        <v>87899.188093548975</v>
      </c>
      <c r="J103" s="18">
        <f t="shared" si="102"/>
        <v>78448.957766449501</v>
      </c>
      <c r="K103" s="18">
        <f t="shared" si="102"/>
        <v>59816.75186079774</v>
      </c>
      <c r="L103" s="18">
        <f t="shared" si="102"/>
        <v>45283.88962982277</v>
      </c>
      <c r="M103" s="18">
        <f t="shared" si="102"/>
        <v>48952.526690080893</v>
      </c>
      <c r="N103" s="18">
        <f t="shared" si="102"/>
        <v>61277.108826844655</v>
      </c>
      <c r="O103" s="18">
        <v>92568.190854066837</v>
      </c>
      <c r="P103" s="18">
        <f t="shared" si="102"/>
        <v>95012.344530088129</v>
      </c>
      <c r="Q103" s="18">
        <f t="shared" si="102"/>
        <v>89111.472261490257</v>
      </c>
      <c r="R103" s="18">
        <f t="shared" si="102"/>
        <v>110761.6900765629</v>
      </c>
      <c r="S103" s="18">
        <f t="shared" si="102"/>
        <v>105018.0413523185</v>
      </c>
      <c r="T103" s="18">
        <f t="shared" si="102"/>
        <v>89462.610503339005</v>
      </c>
    </row>
    <row r="104" spans="1:21" ht="15.75" customHeight="1">
      <c r="A104" s="14">
        <v>3.2</v>
      </c>
      <c r="B104" s="15" t="s">
        <v>49</v>
      </c>
      <c r="C104" s="14" t="s">
        <v>58</v>
      </c>
      <c r="D104" s="18"/>
      <c r="E104" s="18">
        <f t="shared" ref="E104:T104" si="103">0.5*(D$90+E$90)*E70/1000</f>
        <v>0</v>
      </c>
      <c r="F104" s="18">
        <f t="shared" si="103"/>
        <v>0</v>
      </c>
      <c r="G104" s="18">
        <f t="shared" si="103"/>
        <v>0</v>
      </c>
      <c r="H104" s="18">
        <f t="shared" si="103"/>
        <v>0</v>
      </c>
      <c r="I104" s="18">
        <f t="shared" si="103"/>
        <v>0</v>
      </c>
      <c r="J104" s="18">
        <f t="shared" si="103"/>
        <v>0</v>
      </c>
      <c r="K104" s="18">
        <f t="shared" si="103"/>
        <v>0</v>
      </c>
      <c r="L104" s="18">
        <f t="shared" si="103"/>
        <v>0</v>
      </c>
      <c r="M104" s="18">
        <f t="shared" si="103"/>
        <v>0</v>
      </c>
      <c r="N104" s="18">
        <f t="shared" si="103"/>
        <v>0</v>
      </c>
      <c r="O104" s="18">
        <v>0</v>
      </c>
      <c r="P104" s="18">
        <f t="shared" si="103"/>
        <v>0</v>
      </c>
      <c r="Q104" s="18">
        <f t="shared" si="103"/>
        <v>0</v>
      </c>
      <c r="R104" s="18">
        <f t="shared" si="103"/>
        <v>0</v>
      </c>
      <c r="S104" s="18">
        <f t="shared" si="103"/>
        <v>0</v>
      </c>
      <c r="T104" s="18">
        <f t="shared" si="103"/>
        <v>0</v>
      </c>
    </row>
    <row r="105" spans="1:21" ht="15.75" customHeight="1">
      <c r="A105" s="14">
        <v>3.3</v>
      </c>
      <c r="B105" s="15" t="s">
        <v>50</v>
      </c>
      <c r="C105" s="14" t="s">
        <v>58</v>
      </c>
      <c r="D105" s="18"/>
      <c r="E105" s="18">
        <f t="shared" ref="E105:T105" si="104">0.5*(D$90+E$90)*E71/1000</f>
        <v>0</v>
      </c>
      <c r="F105" s="18">
        <f t="shared" si="104"/>
        <v>0</v>
      </c>
      <c r="G105" s="18">
        <f t="shared" si="104"/>
        <v>0</v>
      </c>
      <c r="H105" s="18">
        <f t="shared" si="104"/>
        <v>0</v>
      </c>
      <c r="I105" s="18">
        <f t="shared" si="104"/>
        <v>0</v>
      </c>
      <c r="J105" s="18">
        <f t="shared" si="104"/>
        <v>0</v>
      </c>
      <c r="K105" s="18">
        <f t="shared" si="104"/>
        <v>0</v>
      </c>
      <c r="L105" s="18">
        <f t="shared" si="104"/>
        <v>0</v>
      </c>
      <c r="M105" s="18">
        <f t="shared" si="104"/>
        <v>0</v>
      </c>
      <c r="N105" s="18">
        <f t="shared" si="104"/>
        <v>0</v>
      </c>
      <c r="O105" s="18">
        <v>0</v>
      </c>
      <c r="P105" s="18">
        <f t="shared" si="104"/>
        <v>0</v>
      </c>
      <c r="Q105" s="18">
        <f t="shared" si="104"/>
        <v>0</v>
      </c>
      <c r="R105" s="18">
        <f t="shared" si="104"/>
        <v>0</v>
      </c>
      <c r="S105" s="18">
        <f t="shared" si="104"/>
        <v>0</v>
      </c>
      <c r="T105" s="18">
        <f t="shared" si="104"/>
        <v>0</v>
      </c>
    </row>
    <row r="106" spans="1:21" ht="15.75" customHeight="1">
      <c r="A106" s="14">
        <v>3.4</v>
      </c>
      <c r="B106" s="15" t="s">
        <v>46</v>
      </c>
      <c r="C106" s="14" t="s">
        <v>58</v>
      </c>
      <c r="D106" s="18"/>
      <c r="E106" s="18">
        <f t="shared" ref="E106:T106" si="105">0.5*(D$90+E$90)*E72/1000</f>
        <v>0</v>
      </c>
      <c r="F106" s="18">
        <f t="shared" si="105"/>
        <v>0</v>
      </c>
      <c r="G106" s="18">
        <f t="shared" si="105"/>
        <v>0</v>
      </c>
      <c r="H106" s="18">
        <f t="shared" si="105"/>
        <v>0</v>
      </c>
      <c r="I106" s="18">
        <f t="shared" si="105"/>
        <v>0</v>
      </c>
      <c r="J106" s="18">
        <f t="shared" si="105"/>
        <v>0</v>
      </c>
      <c r="K106" s="18">
        <f t="shared" si="105"/>
        <v>0</v>
      </c>
      <c r="L106" s="18">
        <f t="shared" si="105"/>
        <v>0</v>
      </c>
      <c r="M106" s="18">
        <f t="shared" si="105"/>
        <v>0</v>
      </c>
      <c r="N106" s="18">
        <f t="shared" si="105"/>
        <v>0</v>
      </c>
      <c r="O106" s="18">
        <v>0</v>
      </c>
      <c r="P106" s="18">
        <f t="shared" si="105"/>
        <v>0</v>
      </c>
      <c r="Q106" s="18">
        <f t="shared" si="105"/>
        <v>0</v>
      </c>
      <c r="R106" s="18">
        <f t="shared" si="105"/>
        <v>0</v>
      </c>
      <c r="S106" s="18">
        <f t="shared" si="105"/>
        <v>0</v>
      </c>
      <c r="T106" s="18">
        <f t="shared" si="105"/>
        <v>0</v>
      </c>
    </row>
    <row r="107" spans="1:21" ht="15.75" customHeight="1">
      <c r="A107" s="31">
        <v>4</v>
      </c>
      <c r="B107" s="32" t="s">
        <v>68</v>
      </c>
      <c r="C107" s="31" t="s">
        <v>58</v>
      </c>
      <c r="D107" s="35"/>
      <c r="E107" s="35">
        <f t="shared" ref="E107:T107" si="106">0.5*(D$90+E$90)*E73/1000</f>
        <v>18234.886107863822</v>
      </c>
      <c r="F107" s="35">
        <f t="shared" si="106"/>
        <v>16219.21192872057</v>
      </c>
      <c r="G107" s="35">
        <f t="shared" si="106"/>
        <v>59839.201116353455</v>
      </c>
      <c r="H107" s="35">
        <f t="shared" si="106"/>
        <v>-1919.262665795768</v>
      </c>
      <c r="I107" s="35">
        <f t="shared" si="106"/>
        <v>129261.44760494561</v>
      </c>
      <c r="J107" s="35">
        <f t="shared" si="106"/>
        <v>30720.523733660219</v>
      </c>
      <c r="K107" s="35">
        <f t="shared" si="106"/>
        <v>45297.101047712757</v>
      </c>
      <c r="L107" s="35">
        <f t="shared" si="106"/>
        <v>37257.866504872305</v>
      </c>
      <c r="M107" s="35">
        <f t="shared" si="106"/>
        <v>95647.45881019572</v>
      </c>
      <c r="N107" s="35">
        <f t="shared" si="106"/>
        <v>57406.243126234796</v>
      </c>
      <c r="O107" s="35">
        <v>-1179312.2452050098</v>
      </c>
      <c r="P107" s="35">
        <f t="shared" si="106"/>
        <v>239454.87782316859</v>
      </c>
      <c r="Q107" s="35">
        <f t="shared" si="106"/>
        <v>6989.5506930730508</v>
      </c>
      <c r="R107" s="35">
        <f t="shared" si="106"/>
        <v>223266.08364906505</v>
      </c>
      <c r="S107" s="35">
        <f t="shared" si="106"/>
        <v>354946.17008606333</v>
      </c>
      <c r="T107" s="35">
        <f t="shared" si="106"/>
        <v>-74368.11160526723</v>
      </c>
    </row>
    <row r="108" spans="1:21" ht="15.75" customHeight="1">
      <c r="A108" s="31">
        <v>5</v>
      </c>
      <c r="B108" s="32" t="s">
        <v>69</v>
      </c>
      <c r="C108" s="31" t="s">
        <v>58</v>
      </c>
      <c r="D108" s="35"/>
      <c r="E108" s="35">
        <f t="shared" ref="E108:T108" si="107">0.5*(D89+E89)*(E90-D90)/1000</f>
        <v>-306072.09511981998</v>
      </c>
      <c r="F108" s="35">
        <f t="shared" si="107"/>
        <v>316507.68914389837</v>
      </c>
      <c r="G108" s="35">
        <f t="shared" si="107"/>
        <v>562535.83004541916</v>
      </c>
      <c r="H108" s="35">
        <f t="shared" si="107"/>
        <v>476528.60875365674</v>
      </c>
      <c r="I108" s="35">
        <f t="shared" si="107"/>
        <v>-147067.62854842152</v>
      </c>
      <c r="J108" s="35">
        <f t="shared" si="107"/>
        <v>-147335.56284885076</v>
      </c>
      <c r="K108" s="35">
        <f t="shared" si="107"/>
        <v>-793537.45744612825</v>
      </c>
      <c r="L108" s="35">
        <f t="shared" si="107"/>
        <v>-81814.43894506371</v>
      </c>
      <c r="M108" s="35">
        <f t="shared" si="107"/>
        <v>357315.44581871561</v>
      </c>
      <c r="N108" s="35">
        <f t="shared" si="107"/>
        <v>388979.48327351687</v>
      </c>
      <c r="O108" s="35">
        <v>1094467.1858781227</v>
      </c>
      <c r="P108" s="35">
        <f t="shared" si="107"/>
        <v>-562127.58511760051</v>
      </c>
      <c r="Q108" s="35">
        <f t="shared" si="107"/>
        <v>608802.27800921549</v>
      </c>
      <c r="R108" s="35">
        <f t="shared" si="107"/>
        <v>403556.82553182321</v>
      </c>
      <c r="S108" s="35">
        <f t="shared" si="107"/>
        <v>-621083.24407137698</v>
      </c>
      <c r="T108" s="35">
        <f t="shared" si="107"/>
        <v>145800.32543249763</v>
      </c>
    </row>
    <row r="109" spans="1:21" ht="15.75" customHeight="1">
      <c r="A109" s="31">
        <v>6</v>
      </c>
      <c r="B109" s="32" t="s">
        <v>52</v>
      </c>
      <c r="C109" s="31" t="s">
        <v>58</v>
      </c>
      <c r="D109" s="35">
        <f t="shared" ref="D109:Q109" si="108">D88</f>
        <v>1348276.9161559292</v>
      </c>
      <c r="E109" s="35">
        <f t="shared" si="108"/>
        <v>1010166.4196252043</v>
      </c>
      <c r="F109" s="35">
        <f t="shared" si="108"/>
        <v>1292419.7445819404</v>
      </c>
      <c r="G109" s="35">
        <f t="shared" si="108"/>
        <v>1847964.4648803882</v>
      </c>
      <c r="H109" s="35">
        <f t="shared" si="108"/>
        <v>2237443.3396362336</v>
      </c>
      <c r="I109" s="35">
        <f t="shared" si="108"/>
        <v>2131737.9705992085</v>
      </c>
      <c r="J109" s="35">
        <f t="shared" si="108"/>
        <v>1936673.9737175689</v>
      </c>
      <c r="K109" s="35">
        <f t="shared" si="108"/>
        <v>1128616.8654583555</v>
      </c>
      <c r="L109" s="35">
        <f t="shared" si="108"/>
        <v>1038776.4033883412</v>
      </c>
      <c r="M109" s="35">
        <f t="shared" si="108"/>
        <v>1442786.7813271717</v>
      </c>
      <c r="N109" s="35">
        <f t="shared" si="108"/>
        <v>1827895.3989000786</v>
      </c>
      <c r="O109" s="35">
        <v>1650482.1487191245</v>
      </c>
      <c r="P109" s="35">
        <f t="shared" si="108"/>
        <v>1232797.0968946044</v>
      </c>
      <c r="Q109" s="35">
        <f t="shared" si="108"/>
        <v>1759477.4533354028</v>
      </c>
      <c r="R109" s="35">
        <f t="shared" ref="R109:S109" si="109">R88</f>
        <v>2275538.6724397279</v>
      </c>
      <c r="S109" s="35">
        <f t="shared" si="109"/>
        <v>1904383.557102096</v>
      </c>
      <c r="T109" s="35">
        <f t="shared" ref="T109" si="110">T88</f>
        <v>1886353.1604259873</v>
      </c>
      <c r="U109" s="208">
        <f>T97-T102+T107-T108</f>
        <v>1594752.5095609922</v>
      </c>
    </row>
    <row r="110" spans="1:21" ht="15.75" customHeight="1">
      <c r="A110" s="1"/>
      <c r="B110" s="2"/>
      <c r="C110" s="2"/>
      <c r="D110" s="2"/>
      <c r="E110" s="2"/>
      <c r="F110" s="2"/>
      <c r="G110" s="2"/>
      <c r="H110" s="2"/>
      <c r="I110" s="2"/>
      <c r="J110" s="2"/>
      <c r="K110" s="2"/>
      <c r="L110" s="2"/>
      <c r="M110" s="2"/>
      <c r="N110" s="2"/>
      <c r="O110" s="2"/>
      <c r="P110" s="2"/>
      <c r="Q110" s="2"/>
      <c r="R110" s="2"/>
      <c r="S110" s="2"/>
      <c r="T110" s="2"/>
    </row>
    <row r="111" spans="1:21" ht="15.75" customHeight="1">
      <c r="A111" s="28"/>
      <c r="B111" s="29" t="s">
        <v>53</v>
      </c>
      <c r="C111" s="30"/>
      <c r="D111" s="2"/>
      <c r="E111" s="2" t="b">
        <f t="shared" ref="E111:Q111" si="111">E97+E98-E102+E107+E108=E109</f>
        <v>1</v>
      </c>
      <c r="F111" s="2" t="b">
        <f t="shared" si="111"/>
        <v>1</v>
      </c>
      <c r="G111" s="2" t="b">
        <f t="shared" si="111"/>
        <v>1</v>
      </c>
      <c r="H111" s="2" t="b">
        <f t="shared" si="111"/>
        <v>1</v>
      </c>
      <c r="I111" s="2" t="b">
        <f t="shared" si="111"/>
        <v>1</v>
      </c>
      <c r="J111" s="2" t="b">
        <f t="shared" si="111"/>
        <v>1</v>
      </c>
      <c r="K111" s="2" t="b">
        <f t="shared" si="111"/>
        <v>1</v>
      </c>
      <c r="L111" s="2" t="b">
        <f t="shared" si="111"/>
        <v>1</v>
      </c>
      <c r="M111" s="2" t="b">
        <f t="shared" si="111"/>
        <v>1</v>
      </c>
      <c r="N111" s="2" t="b">
        <f t="shared" si="111"/>
        <v>1</v>
      </c>
      <c r="O111" s="2" t="b">
        <v>1</v>
      </c>
      <c r="P111" s="2" t="b">
        <f t="shared" si="111"/>
        <v>1</v>
      </c>
      <c r="Q111" s="2" t="b">
        <f t="shared" si="111"/>
        <v>1</v>
      </c>
      <c r="R111" s="2" t="b">
        <f t="shared" ref="R111:S111" si="112">R97+R98-R102+R107+R108=R109</f>
        <v>1</v>
      </c>
      <c r="S111" s="2" t="b">
        <f t="shared" si="112"/>
        <v>1</v>
      </c>
      <c r="T111" s="2" t="b">
        <f t="shared" ref="T111" si="113">T97+T98-T102+T107+T108=T109</f>
        <v>1</v>
      </c>
    </row>
    <row r="112" spans="1:21" ht="15.75" customHeight="1">
      <c r="A112" s="1"/>
      <c r="B112" s="2"/>
      <c r="C112" s="2"/>
      <c r="D112" s="2"/>
      <c r="E112" s="2"/>
      <c r="F112" s="2"/>
      <c r="G112" s="2"/>
      <c r="H112" s="2"/>
      <c r="I112" s="2"/>
      <c r="J112" s="2"/>
      <c r="K112" s="2"/>
      <c r="L112" s="2"/>
      <c r="M112" s="2"/>
      <c r="N112" s="2"/>
      <c r="O112" s="2"/>
      <c r="P112" s="2"/>
      <c r="Q112" s="2"/>
      <c r="R112" s="2"/>
      <c r="S112" s="2"/>
      <c r="T112" s="2"/>
    </row>
    <row r="113" spans="1:20" ht="15.75" customHeight="1">
      <c r="A113" s="1"/>
      <c r="B113" s="2"/>
      <c r="C113" s="2"/>
      <c r="D113" s="2"/>
      <c r="E113" s="2"/>
      <c r="F113" s="2"/>
      <c r="G113" s="2"/>
      <c r="H113" s="2"/>
      <c r="I113" s="2"/>
      <c r="J113" s="2"/>
      <c r="K113" s="2"/>
      <c r="L113" s="2"/>
      <c r="M113" s="2"/>
      <c r="N113" s="2"/>
      <c r="O113" s="2"/>
      <c r="P113" s="2"/>
      <c r="Q113" s="2"/>
      <c r="R113" s="2"/>
      <c r="S113" s="2"/>
      <c r="T113" s="2"/>
    </row>
    <row r="114" spans="1:20" ht="15.75" customHeight="1">
      <c r="A114" s="1"/>
      <c r="B114" s="2"/>
      <c r="C114" s="2"/>
      <c r="D114" s="2"/>
      <c r="E114" s="2"/>
      <c r="F114" s="2"/>
      <c r="G114" s="2"/>
      <c r="H114" s="2"/>
      <c r="I114" s="2"/>
      <c r="J114" s="2"/>
      <c r="K114" s="2"/>
      <c r="L114" s="2"/>
      <c r="M114" s="2"/>
      <c r="N114" s="2"/>
      <c r="O114" s="2"/>
      <c r="P114" s="2"/>
      <c r="Q114" s="2"/>
      <c r="R114" s="2"/>
      <c r="S114" s="2"/>
      <c r="T114" s="2"/>
    </row>
    <row r="115" spans="1:20" ht="15.75" customHeight="1">
      <c r="A115" s="36"/>
      <c r="B115" s="37" t="s">
        <v>70</v>
      </c>
      <c r="C115" s="38"/>
      <c r="D115" s="39"/>
      <c r="E115" s="39"/>
      <c r="F115" s="39"/>
      <c r="G115" s="39"/>
      <c r="H115" s="39"/>
      <c r="I115" s="39"/>
      <c r="J115" s="39"/>
      <c r="K115" s="39"/>
      <c r="L115" s="39"/>
      <c r="M115" s="39"/>
      <c r="N115" s="39"/>
      <c r="O115" s="39"/>
      <c r="P115" s="39"/>
      <c r="Q115" s="39"/>
      <c r="R115" s="39"/>
      <c r="S115" s="39"/>
      <c r="T115" s="39"/>
    </row>
    <row r="116" spans="1:20" ht="15.75" customHeight="1">
      <c r="A116" s="1"/>
      <c r="B116" s="2"/>
      <c r="C116" s="2"/>
      <c r="D116" s="2"/>
      <c r="E116" s="2"/>
      <c r="F116" s="2"/>
      <c r="G116" s="2"/>
      <c r="H116" s="2"/>
      <c r="I116" s="2"/>
      <c r="J116" s="2"/>
      <c r="K116" s="2"/>
      <c r="L116" s="2"/>
      <c r="M116" s="2"/>
      <c r="N116" s="2"/>
      <c r="O116" s="2"/>
      <c r="P116" s="2"/>
      <c r="Q116" s="2"/>
      <c r="R116" s="2"/>
      <c r="S116" s="2"/>
      <c r="T116" s="2"/>
    </row>
    <row r="117" spans="1:20" ht="15.75" customHeight="1">
      <c r="A117" s="6" t="s">
        <v>71</v>
      </c>
      <c r="B117" s="2"/>
      <c r="C117" s="2"/>
      <c r="D117" s="2"/>
      <c r="E117" s="2"/>
      <c r="F117" s="2"/>
      <c r="G117" s="2"/>
      <c r="H117" s="2"/>
      <c r="I117" s="2"/>
      <c r="J117" s="2"/>
      <c r="K117" s="2"/>
      <c r="L117" s="2"/>
      <c r="M117" s="2"/>
      <c r="N117" s="2"/>
      <c r="O117" s="2"/>
      <c r="P117" s="2"/>
      <c r="Q117" s="2"/>
      <c r="R117" s="2"/>
      <c r="S117" s="2"/>
      <c r="T117" s="2"/>
    </row>
    <row r="118" spans="1:20" ht="15.75" customHeight="1">
      <c r="A118" s="1"/>
      <c r="B118" s="2"/>
      <c r="C118" s="2"/>
      <c r="D118" s="2"/>
      <c r="E118" s="2"/>
      <c r="F118" s="2"/>
      <c r="G118" s="2"/>
      <c r="H118" s="2"/>
      <c r="I118" s="2"/>
      <c r="J118" s="2"/>
      <c r="K118" s="2"/>
      <c r="L118" s="2"/>
      <c r="M118" s="2"/>
      <c r="N118" s="2"/>
      <c r="O118" s="2"/>
      <c r="P118" s="2"/>
      <c r="Q118" s="2"/>
      <c r="R118" s="2"/>
      <c r="S118" s="2"/>
      <c r="T118" s="2"/>
    </row>
    <row r="119" spans="1:20" ht="15.75" customHeight="1">
      <c r="A119" s="8" t="s">
        <v>3</v>
      </c>
      <c r="B119" s="8" t="s">
        <v>4</v>
      </c>
      <c r="C119" s="8" t="s">
        <v>5</v>
      </c>
      <c r="D119" s="8">
        <f t="shared" ref="D119:T119" si="114">D$3</f>
        <v>2008</v>
      </c>
      <c r="E119" s="8">
        <f t="shared" si="114"/>
        <v>2009</v>
      </c>
      <c r="F119" s="8">
        <f t="shared" si="114"/>
        <v>2010</v>
      </c>
      <c r="G119" s="8">
        <f t="shared" si="114"/>
        <v>2011</v>
      </c>
      <c r="H119" s="8">
        <f t="shared" si="114"/>
        <v>2012</v>
      </c>
      <c r="I119" s="8">
        <f t="shared" si="114"/>
        <v>2013</v>
      </c>
      <c r="J119" s="8">
        <f t="shared" si="114"/>
        <v>2014</v>
      </c>
      <c r="K119" s="8">
        <f t="shared" si="114"/>
        <v>2015</v>
      </c>
      <c r="L119" s="8">
        <f t="shared" si="114"/>
        <v>2016</v>
      </c>
      <c r="M119" s="8">
        <f t="shared" si="114"/>
        <v>2017</v>
      </c>
      <c r="N119" s="8">
        <f t="shared" si="114"/>
        <v>2018</v>
      </c>
      <c r="O119" s="8">
        <v>2019</v>
      </c>
      <c r="P119" s="8">
        <f t="shared" si="114"/>
        <v>2020</v>
      </c>
      <c r="Q119" s="8">
        <f t="shared" si="114"/>
        <v>2021</v>
      </c>
      <c r="R119" s="8">
        <f t="shared" si="114"/>
        <v>2022</v>
      </c>
      <c r="S119" s="8">
        <f t="shared" si="114"/>
        <v>2023</v>
      </c>
      <c r="T119" s="8">
        <f t="shared" si="114"/>
        <v>2024</v>
      </c>
    </row>
    <row r="120" spans="1:20" ht="15.75" customHeight="1">
      <c r="A120" s="9">
        <v>-1</v>
      </c>
      <c r="B120" s="9">
        <f t="shared" ref="B120:T120" si="115">A120-1</f>
        <v>-2</v>
      </c>
      <c r="C120" s="9">
        <f t="shared" si="115"/>
        <v>-3</v>
      </c>
      <c r="D120" s="9">
        <f t="shared" si="115"/>
        <v>-4</v>
      </c>
      <c r="E120" s="9">
        <f t="shared" si="115"/>
        <v>-5</v>
      </c>
      <c r="F120" s="9">
        <f t="shared" si="115"/>
        <v>-6</v>
      </c>
      <c r="G120" s="9">
        <f t="shared" si="115"/>
        <v>-7</v>
      </c>
      <c r="H120" s="9">
        <f t="shared" si="115"/>
        <v>-8</v>
      </c>
      <c r="I120" s="9">
        <f t="shared" si="115"/>
        <v>-9</v>
      </c>
      <c r="J120" s="9">
        <f t="shared" si="115"/>
        <v>-10</v>
      </c>
      <c r="K120" s="9">
        <f t="shared" si="115"/>
        <v>-11</v>
      </c>
      <c r="L120" s="9">
        <f t="shared" si="115"/>
        <v>-12</v>
      </c>
      <c r="M120" s="9">
        <f t="shared" si="115"/>
        <v>-13</v>
      </c>
      <c r="N120" s="9">
        <f t="shared" si="115"/>
        <v>-14</v>
      </c>
      <c r="O120" s="9">
        <v>-15</v>
      </c>
      <c r="P120" s="9">
        <f t="shared" si="115"/>
        <v>-16</v>
      </c>
      <c r="Q120" s="9">
        <f t="shared" si="115"/>
        <v>-17</v>
      </c>
      <c r="R120" s="9">
        <f t="shared" si="115"/>
        <v>-18</v>
      </c>
      <c r="S120" s="9">
        <f t="shared" si="115"/>
        <v>-19</v>
      </c>
      <c r="T120" s="9">
        <f t="shared" si="115"/>
        <v>-20</v>
      </c>
    </row>
    <row r="121" spans="1:20" ht="15.75" customHeight="1">
      <c r="A121" s="14">
        <v>1</v>
      </c>
      <c r="B121" s="21" t="s">
        <v>72</v>
      </c>
      <c r="C121" s="14" t="s">
        <v>22</v>
      </c>
      <c r="D121" s="22"/>
      <c r="E121" s="22"/>
      <c r="F121" s="22"/>
      <c r="G121" s="22"/>
      <c r="H121" s="22"/>
      <c r="I121" s="22"/>
      <c r="J121" s="22"/>
      <c r="K121" s="22"/>
      <c r="L121" s="40">
        <v>34836337.289444402</v>
      </c>
      <c r="M121" s="22"/>
      <c r="N121" s="22"/>
      <c r="O121" s="22"/>
      <c r="P121" s="22"/>
      <c r="Q121" s="22"/>
      <c r="R121" s="22"/>
      <c r="S121" s="22"/>
      <c r="T121" s="22"/>
    </row>
    <row r="122" spans="1:20" ht="15.75" customHeight="1">
      <c r="A122" s="14">
        <v>2</v>
      </c>
      <c r="B122" s="15" t="s">
        <v>26</v>
      </c>
      <c r="C122" s="14" t="s">
        <v>22</v>
      </c>
      <c r="D122" s="22"/>
      <c r="E122" s="22"/>
      <c r="F122" s="22"/>
      <c r="G122" s="22"/>
      <c r="H122" s="22"/>
      <c r="I122" s="22"/>
      <c r="J122" s="22"/>
      <c r="K122" s="22"/>
      <c r="L122" s="41">
        <v>27442862.6987377</v>
      </c>
      <c r="M122" s="22"/>
      <c r="N122" s="22"/>
      <c r="O122" s="22"/>
      <c r="P122" s="22"/>
      <c r="Q122" s="22"/>
      <c r="R122" s="22"/>
      <c r="S122" s="22"/>
      <c r="T122" s="22"/>
    </row>
    <row r="123" spans="1:20" ht="15.75" customHeight="1">
      <c r="A123" s="14">
        <v>3</v>
      </c>
      <c r="B123" s="21" t="s">
        <v>73</v>
      </c>
      <c r="C123" s="14" t="s">
        <v>22</v>
      </c>
      <c r="D123" s="22"/>
      <c r="E123" s="22"/>
      <c r="F123" s="22"/>
      <c r="G123" s="22"/>
      <c r="H123" s="22"/>
      <c r="I123" s="22"/>
      <c r="J123" s="22"/>
      <c r="K123" s="22"/>
      <c r="L123" s="41">
        <v>77323743.872443005</v>
      </c>
      <c r="M123" s="22"/>
      <c r="N123" s="22"/>
      <c r="O123" s="22"/>
      <c r="P123" s="22"/>
      <c r="Q123" s="22"/>
      <c r="R123" s="22"/>
      <c r="S123" s="22"/>
      <c r="T123" s="22"/>
    </row>
    <row r="124" spans="1:20" ht="15.75" customHeight="1">
      <c r="A124" s="14">
        <v>4</v>
      </c>
      <c r="B124" s="21" t="s">
        <v>35</v>
      </c>
      <c r="C124" s="14" t="s">
        <v>22</v>
      </c>
      <c r="D124" s="22"/>
      <c r="E124" s="22"/>
      <c r="F124" s="22"/>
      <c r="G124" s="22"/>
      <c r="H124" s="22"/>
      <c r="I124" s="22"/>
      <c r="J124" s="22"/>
      <c r="K124" s="22"/>
      <c r="L124" s="41">
        <v>31054209.560959298</v>
      </c>
      <c r="M124" s="22"/>
      <c r="N124" s="22"/>
      <c r="O124" s="22"/>
      <c r="P124" s="22"/>
      <c r="Q124" s="22"/>
      <c r="R124" s="22"/>
      <c r="S124" s="22"/>
      <c r="T124" s="22"/>
    </row>
    <row r="125" spans="1:20" ht="15.75" customHeight="1">
      <c r="A125" s="14">
        <v>5</v>
      </c>
      <c r="B125" s="21" t="s">
        <v>74</v>
      </c>
      <c r="C125" s="14" t="s">
        <v>22</v>
      </c>
      <c r="D125" s="22"/>
      <c r="E125" s="22"/>
      <c r="F125" s="22"/>
      <c r="G125" s="22"/>
      <c r="H125" s="22"/>
      <c r="I125" s="22"/>
      <c r="J125" s="22"/>
      <c r="K125" s="22"/>
      <c r="L125" s="41">
        <v>837024.82341235399</v>
      </c>
      <c r="M125" s="22"/>
      <c r="N125" s="22"/>
      <c r="O125" s="22"/>
      <c r="P125" s="22"/>
      <c r="Q125" s="22"/>
      <c r="R125" s="22"/>
      <c r="S125" s="22"/>
      <c r="T125" s="22"/>
    </row>
    <row r="126" spans="1:20" ht="15.75" customHeight="1">
      <c r="A126" s="14">
        <v>6</v>
      </c>
      <c r="B126" s="21" t="s">
        <v>75</v>
      </c>
      <c r="C126" s="14" t="s">
        <v>22</v>
      </c>
      <c r="D126" s="22"/>
      <c r="E126" s="22"/>
      <c r="F126" s="22"/>
      <c r="G126" s="22"/>
      <c r="H126" s="22"/>
      <c r="I126" s="22"/>
      <c r="J126" s="22"/>
      <c r="K126" s="22"/>
      <c r="L126" s="41">
        <v>0</v>
      </c>
      <c r="M126" s="22"/>
      <c r="N126" s="22"/>
      <c r="O126" s="22"/>
      <c r="P126" s="22"/>
      <c r="Q126" s="22"/>
      <c r="R126" s="22"/>
      <c r="S126" s="22"/>
      <c r="T126" s="22"/>
    </row>
    <row r="127" spans="1:20" ht="15.75" customHeight="1">
      <c r="A127" s="31">
        <v>7</v>
      </c>
      <c r="B127" s="42" t="s">
        <v>29</v>
      </c>
      <c r="C127" s="31" t="s">
        <v>22</v>
      </c>
      <c r="D127" s="43"/>
      <c r="E127" s="43"/>
      <c r="F127" s="43"/>
      <c r="G127" s="43"/>
      <c r="H127" s="43"/>
      <c r="I127" s="43"/>
      <c r="J127" s="43"/>
      <c r="K127" s="43"/>
      <c r="L127" s="44">
        <f>SUM(L121:L126)</f>
        <v>171494178.24499676</v>
      </c>
      <c r="M127" s="43"/>
      <c r="N127" s="43"/>
      <c r="O127" s="43"/>
      <c r="P127" s="43"/>
      <c r="Q127" s="43"/>
      <c r="R127" s="43"/>
      <c r="S127" s="43"/>
      <c r="T127" s="43"/>
    </row>
    <row r="128" spans="1:20" ht="15.75" customHeight="1">
      <c r="A128" s="17" t="s">
        <v>76</v>
      </c>
      <c r="B128" s="2"/>
      <c r="C128" s="2"/>
      <c r="D128" s="2"/>
      <c r="E128" s="2"/>
      <c r="F128" s="2"/>
      <c r="G128" s="2"/>
      <c r="H128" s="2"/>
      <c r="I128" s="2"/>
      <c r="J128" s="2"/>
      <c r="K128" s="2"/>
      <c r="L128" s="2"/>
      <c r="M128" s="2"/>
      <c r="N128" s="2"/>
      <c r="O128" s="2"/>
      <c r="P128" s="2"/>
      <c r="Q128" s="2"/>
      <c r="R128" s="2"/>
      <c r="S128" s="2"/>
      <c r="T128" s="2"/>
    </row>
    <row r="129" spans="1:20" ht="15.75" customHeight="1">
      <c r="A129" s="1"/>
      <c r="B129" s="2"/>
      <c r="C129" s="2"/>
      <c r="D129" s="2"/>
      <c r="E129" s="2"/>
      <c r="F129" s="2"/>
      <c r="G129" s="2"/>
      <c r="H129" s="2"/>
      <c r="I129" s="2"/>
      <c r="J129" s="2"/>
      <c r="K129" s="2"/>
      <c r="L129" s="2"/>
      <c r="M129" s="2"/>
      <c r="N129" s="2"/>
      <c r="O129" s="2"/>
      <c r="P129" s="2"/>
      <c r="Q129" s="2"/>
      <c r="R129" s="2"/>
      <c r="S129" s="2"/>
      <c r="T129" s="2"/>
    </row>
    <row r="130" spans="1:20" ht="15.75" customHeight="1">
      <c r="A130" s="1"/>
      <c r="B130" s="2"/>
      <c r="C130" s="2"/>
      <c r="D130" s="2"/>
      <c r="E130" s="2"/>
      <c r="F130" s="2"/>
      <c r="G130" s="2"/>
      <c r="H130" s="2"/>
      <c r="I130" s="2"/>
      <c r="J130" s="2"/>
      <c r="K130" s="2"/>
      <c r="L130" s="2"/>
      <c r="M130" s="2"/>
      <c r="N130" s="2"/>
      <c r="O130" s="2"/>
      <c r="P130" s="2"/>
      <c r="Q130" s="2"/>
      <c r="R130" s="2"/>
      <c r="S130" s="2"/>
      <c r="T130" s="2"/>
    </row>
    <row r="131" spans="1:20" ht="15.75" customHeight="1">
      <c r="A131" s="1"/>
      <c r="B131" s="2"/>
      <c r="C131" s="2"/>
      <c r="D131" s="2"/>
      <c r="E131" s="2"/>
      <c r="F131" s="2"/>
      <c r="G131" s="2"/>
      <c r="H131" s="2"/>
      <c r="I131" s="2"/>
      <c r="J131" s="2"/>
      <c r="K131" s="2"/>
      <c r="L131" s="2"/>
      <c r="M131" s="2"/>
      <c r="N131" s="2"/>
      <c r="O131" s="2"/>
      <c r="P131" s="2"/>
      <c r="Q131" s="2"/>
      <c r="R131" s="2"/>
      <c r="S131" s="2"/>
      <c r="T131" s="2"/>
    </row>
    <row r="132" spans="1:20" ht="15.75" customHeight="1">
      <c r="A132" s="1"/>
      <c r="B132" s="2"/>
      <c r="C132" s="2"/>
      <c r="D132" s="2"/>
      <c r="E132" s="2"/>
      <c r="F132" s="2"/>
      <c r="G132" s="2"/>
      <c r="H132" s="2"/>
      <c r="I132" s="2"/>
      <c r="J132" s="2"/>
      <c r="K132" s="2"/>
      <c r="L132" s="2"/>
      <c r="M132" s="2"/>
      <c r="N132" s="2"/>
      <c r="O132" s="2"/>
      <c r="P132" s="2"/>
      <c r="Q132" s="2"/>
      <c r="R132" s="2"/>
      <c r="S132" s="2"/>
      <c r="T132" s="2"/>
    </row>
    <row r="133" spans="1:20" ht="15.75" customHeight="1">
      <c r="A133" s="1"/>
      <c r="B133" s="2"/>
      <c r="C133" s="2"/>
      <c r="D133" s="2"/>
      <c r="E133" s="2"/>
      <c r="F133" s="2"/>
      <c r="G133" s="2"/>
      <c r="H133" s="2"/>
      <c r="I133" s="2"/>
      <c r="J133" s="2"/>
      <c r="K133" s="2"/>
      <c r="L133" s="2"/>
      <c r="M133" s="2"/>
      <c r="N133" s="2"/>
      <c r="O133" s="2"/>
      <c r="P133" s="2"/>
      <c r="Q133" s="2"/>
      <c r="R133" s="2"/>
      <c r="S133" s="2"/>
      <c r="T133" s="2"/>
    </row>
    <row r="134" spans="1:20" ht="15.75" customHeight="1">
      <c r="A134" s="1"/>
      <c r="B134" s="2"/>
      <c r="C134" s="2"/>
      <c r="D134" s="2"/>
      <c r="E134" s="2"/>
      <c r="F134" s="2"/>
      <c r="G134" s="2"/>
      <c r="H134" s="2"/>
      <c r="I134" s="2"/>
      <c r="J134" s="2"/>
      <c r="K134" s="2"/>
      <c r="L134" s="2"/>
      <c r="M134" s="2"/>
      <c r="N134" s="2"/>
      <c r="O134" s="2"/>
      <c r="P134" s="2"/>
      <c r="Q134" s="2"/>
      <c r="R134" s="2"/>
      <c r="S134" s="2"/>
      <c r="T134" s="2"/>
    </row>
    <row r="135" spans="1:20" ht="15.75" customHeight="1">
      <c r="A135" s="1"/>
      <c r="B135" s="2"/>
      <c r="C135" s="2"/>
      <c r="D135" s="2"/>
      <c r="E135" s="2"/>
      <c r="F135" s="2"/>
      <c r="G135" s="2"/>
      <c r="H135" s="2"/>
      <c r="I135" s="2"/>
      <c r="J135" s="2"/>
      <c r="K135" s="2"/>
      <c r="L135" s="2"/>
      <c r="M135" s="2"/>
      <c r="N135" s="2"/>
      <c r="O135" s="2"/>
      <c r="P135" s="2"/>
      <c r="Q135" s="2"/>
      <c r="R135" s="2"/>
      <c r="S135" s="2"/>
      <c r="T135" s="2"/>
    </row>
    <row r="136" spans="1:20" ht="15.75" customHeight="1">
      <c r="A136" s="1"/>
      <c r="B136" s="2"/>
      <c r="C136" s="2"/>
      <c r="D136" s="2"/>
      <c r="E136" s="2"/>
      <c r="F136" s="2"/>
      <c r="G136" s="2"/>
      <c r="H136" s="2"/>
      <c r="I136" s="2"/>
      <c r="J136" s="2"/>
      <c r="K136" s="2"/>
      <c r="L136" s="2"/>
      <c r="M136" s="2"/>
      <c r="N136" s="2"/>
      <c r="O136" s="2"/>
      <c r="P136" s="2"/>
      <c r="Q136" s="2"/>
      <c r="R136" s="2"/>
      <c r="S136" s="2"/>
      <c r="T136" s="2"/>
    </row>
    <row r="137" spans="1:20" ht="15.75" customHeight="1">
      <c r="A137" s="1"/>
      <c r="B137" s="2"/>
      <c r="C137" s="2"/>
      <c r="D137" s="2"/>
      <c r="E137" s="2"/>
      <c r="F137" s="2"/>
      <c r="G137" s="2"/>
      <c r="H137" s="2"/>
      <c r="I137" s="2"/>
      <c r="J137" s="2"/>
      <c r="K137" s="2"/>
      <c r="L137" s="2"/>
      <c r="M137" s="2"/>
      <c r="N137" s="2"/>
      <c r="O137" s="2"/>
      <c r="P137" s="2"/>
      <c r="Q137" s="2"/>
      <c r="R137" s="2"/>
      <c r="S137" s="2"/>
      <c r="T137" s="2"/>
    </row>
    <row r="138" spans="1:20" ht="15.75" customHeight="1">
      <c r="A138" s="1"/>
      <c r="B138" s="2"/>
      <c r="C138" s="2"/>
      <c r="D138" s="2"/>
      <c r="E138" s="2"/>
      <c r="F138" s="2"/>
      <c r="G138" s="2"/>
      <c r="H138" s="2"/>
      <c r="I138" s="2"/>
      <c r="J138" s="2"/>
      <c r="K138" s="2"/>
      <c r="L138" s="2"/>
      <c r="M138" s="2"/>
      <c r="N138" s="2"/>
      <c r="O138" s="2"/>
      <c r="P138" s="2"/>
      <c r="Q138" s="2"/>
      <c r="R138" s="2"/>
      <c r="S138" s="2"/>
      <c r="T138" s="2"/>
    </row>
    <row r="139" spans="1:20" ht="15.75" customHeight="1">
      <c r="A139" s="1"/>
      <c r="B139" s="2"/>
      <c r="C139" s="2"/>
      <c r="D139" s="2"/>
      <c r="E139" s="2"/>
      <c r="F139" s="2"/>
      <c r="G139" s="2"/>
      <c r="H139" s="2"/>
      <c r="I139" s="2"/>
      <c r="J139" s="2"/>
      <c r="K139" s="2"/>
      <c r="L139" s="2"/>
      <c r="M139" s="2"/>
      <c r="N139" s="2"/>
      <c r="O139" s="2"/>
      <c r="P139" s="2"/>
      <c r="Q139" s="2"/>
      <c r="R139" s="2"/>
      <c r="S139" s="2"/>
      <c r="T139" s="2"/>
    </row>
    <row r="140" spans="1:20" ht="15.75" customHeight="1">
      <c r="A140" s="1"/>
      <c r="B140" s="2"/>
      <c r="C140" s="2"/>
      <c r="D140" s="2"/>
      <c r="E140" s="2"/>
      <c r="F140" s="2"/>
      <c r="G140" s="2"/>
      <c r="H140" s="2"/>
      <c r="I140" s="2"/>
      <c r="J140" s="2"/>
      <c r="K140" s="2"/>
      <c r="L140" s="2"/>
      <c r="M140" s="2"/>
      <c r="N140" s="2"/>
      <c r="O140" s="2"/>
      <c r="P140" s="2"/>
      <c r="Q140" s="2"/>
      <c r="R140" s="2"/>
      <c r="S140" s="2"/>
      <c r="T140" s="2"/>
    </row>
    <row r="141" spans="1:20" ht="15.75" customHeight="1">
      <c r="A141" s="1"/>
      <c r="B141" s="2"/>
      <c r="C141" s="2"/>
      <c r="D141" s="2"/>
      <c r="E141" s="2"/>
      <c r="F141" s="2"/>
      <c r="G141" s="2"/>
      <c r="H141" s="2"/>
      <c r="I141" s="2"/>
      <c r="J141" s="2"/>
      <c r="K141" s="2"/>
      <c r="L141" s="2"/>
      <c r="M141" s="2"/>
      <c r="N141" s="2"/>
      <c r="O141" s="2"/>
      <c r="P141" s="2"/>
      <c r="Q141" s="2"/>
      <c r="R141" s="2"/>
      <c r="S141" s="2"/>
      <c r="T141" s="2"/>
    </row>
    <row r="142" spans="1:20" ht="15.75" customHeight="1">
      <c r="A142" s="1"/>
      <c r="B142" s="2"/>
      <c r="C142" s="2"/>
      <c r="D142" s="2"/>
      <c r="E142" s="2"/>
      <c r="F142" s="2"/>
      <c r="G142" s="2"/>
      <c r="H142" s="2"/>
      <c r="I142" s="2"/>
      <c r="J142" s="2"/>
      <c r="K142" s="2"/>
      <c r="L142" s="2"/>
      <c r="M142" s="2"/>
      <c r="N142" s="2"/>
      <c r="O142" s="2"/>
      <c r="P142" s="2"/>
      <c r="Q142" s="2"/>
      <c r="R142" s="2"/>
      <c r="S142" s="2"/>
      <c r="T142" s="2"/>
    </row>
    <row r="143" spans="1:20" ht="15.75" customHeight="1">
      <c r="A143" s="1"/>
      <c r="B143" s="2"/>
      <c r="C143" s="2"/>
      <c r="D143" s="2"/>
      <c r="E143" s="2"/>
      <c r="F143" s="2"/>
      <c r="G143" s="2"/>
      <c r="H143" s="2"/>
      <c r="I143" s="2"/>
      <c r="J143" s="2"/>
      <c r="K143" s="2"/>
      <c r="L143" s="2"/>
      <c r="M143" s="2"/>
      <c r="N143" s="2"/>
      <c r="O143" s="2"/>
      <c r="P143" s="2"/>
      <c r="Q143" s="2"/>
      <c r="R143" s="2"/>
      <c r="S143" s="2"/>
      <c r="T143" s="2"/>
    </row>
    <row r="144" spans="1:20" ht="15.75" customHeight="1">
      <c r="A144" s="1"/>
      <c r="B144" s="2"/>
      <c r="C144" s="2"/>
      <c r="D144" s="2"/>
      <c r="E144" s="2"/>
      <c r="F144" s="2"/>
      <c r="G144" s="2"/>
      <c r="H144" s="2"/>
      <c r="I144" s="2"/>
      <c r="J144" s="2"/>
      <c r="K144" s="2"/>
      <c r="L144" s="2"/>
      <c r="M144" s="2"/>
      <c r="N144" s="2"/>
      <c r="O144" s="2"/>
      <c r="P144" s="2"/>
      <c r="Q144" s="2"/>
      <c r="R144" s="2"/>
      <c r="S144" s="2"/>
      <c r="T144" s="2"/>
    </row>
    <row r="145" spans="1:20" ht="15.75" customHeight="1">
      <c r="A145" s="1"/>
      <c r="B145" s="2"/>
      <c r="C145" s="2"/>
      <c r="D145" s="2"/>
      <c r="E145" s="2"/>
      <c r="F145" s="2"/>
      <c r="G145" s="2"/>
      <c r="H145" s="2"/>
      <c r="I145" s="2"/>
      <c r="J145" s="2"/>
      <c r="K145" s="2"/>
      <c r="L145" s="2"/>
      <c r="M145" s="2"/>
      <c r="N145" s="2"/>
      <c r="O145" s="2"/>
      <c r="P145" s="2"/>
      <c r="Q145" s="2"/>
      <c r="R145" s="2"/>
      <c r="S145" s="2"/>
      <c r="T145" s="2"/>
    </row>
    <row r="146" spans="1:20" ht="15.75" customHeight="1">
      <c r="A146" s="1"/>
      <c r="B146" s="2"/>
      <c r="C146" s="2"/>
      <c r="D146" s="2"/>
      <c r="E146" s="2"/>
      <c r="F146" s="2"/>
      <c r="G146" s="2"/>
      <c r="H146" s="2"/>
      <c r="I146" s="2"/>
      <c r="J146" s="2"/>
      <c r="K146" s="2"/>
      <c r="L146" s="2"/>
      <c r="M146" s="2"/>
      <c r="N146" s="2"/>
      <c r="O146" s="2"/>
      <c r="P146" s="2"/>
      <c r="Q146" s="2"/>
      <c r="R146" s="2"/>
      <c r="S146" s="2"/>
      <c r="T146" s="2"/>
    </row>
    <row r="147" spans="1:20" ht="15.75" customHeight="1">
      <c r="A147" s="1"/>
      <c r="B147" s="2"/>
      <c r="C147" s="2"/>
      <c r="D147" s="2"/>
      <c r="E147" s="2"/>
      <c r="F147" s="2"/>
      <c r="G147" s="2"/>
      <c r="H147" s="2"/>
      <c r="I147" s="2"/>
      <c r="J147" s="2"/>
      <c r="K147" s="2"/>
      <c r="L147" s="2"/>
      <c r="M147" s="2"/>
      <c r="N147" s="2"/>
      <c r="O147" s="2"/>
      <c r="P147" s="2"/>
      <c r="Q147" s="2"/>
      <c r="R147" s="2"/>
      <c r="S147" s="2"/>
      <c r="T147" s="2"/>
    </row>
    <row r="148" spans="1:20" ht="15.75" customHeight="1">
      <c r="A148" s="1"/>
      <c r="B148" s="2"/>
      <c r="C148" s="2"/>
      <c r="D148" s="2"/>
      <c r="E148" s="2"/>
      <c r="F148" s="2"/>
      <c r="G148" s="2"/>
      <c r="H148" s="2"/>
      <c r="I148" s="2"/>
      <c r="J148" s="2"/>
      <c r="K148" s="2"/>
      <c r="L148" s="2"/>
      <c r="M148" s="2"/>
      <c r="N148" s="2"/>
      <c r="O148" s="2"/>
      <c r="P148" s="2"/>
      <c r="Q148" s="2"/>
      <c r="R148" s="2"/>
      <c r="S148" s="2"/>
      <c r="T148" s="2"/>
    </row>
    <row r="149" spans="1:20" ht="15.75" customHeight="1">
      <c r="A149" s="1"/>
      <c r="B149" s="2"/>
      <c r="C149" s="2"/>
      <c r="D149" s="2"/>
      <c r="E149" s="2"/>
      <c r="F149" s="2"/>
      <c r="G149" s="2"/>
      <c r="H149" s="2"/>
      <c r="I149" s="2"/>
      <c r="J149" s="2"/>
      <c r="K149" s="2"/>
      <c r="L149" s="2"/>
      <c r="M149" s="2"/>
      <c r="N149" s="2"/>
      <c r="O149" s="2"/>
      <c r="P149" s="2"/>
      <c r="Q149" s="2"/>
      <c r="R149" s="2"/>
      <c r="S149" s="2"/>
      <c r="T149" s="2"/>
    </row>
    <row r="150" spans="1:20" ht="15.75" customHeight="1">
      <c r="A150" s="1"/>
      <c r="B150" s="2"/>
      <c r="C150" s="2"/>
      <c r="D150" s="2"/>
      <c r="E150" s="2"/>
      <c r="F150" s="2"/>
      <c r="G150" s="2"/>
      <c r="H150" s="2"/>
      <c r="I150" s="2"/>
      <c r="J150" s="2"/>
      <c r="K150" s="2"/>
      <c r="L150" s="2"/>
      <c r="M150" s="2"/>
      <c r="N150" s="2"/>
      <c r="O150" s="2"/>
      <c r="P150" s="2"/>
      <c r="Q150" s="2"/>
      <c r="R150" s="2"/>
      <c r="S150" s="2"/>
      <c r="T150" s="2"/>
    </row>
    <row r="151" spans="1:20" ht="15.75" customHeight="1">
      <c r="A151" s="1"/>
      <c r="B151" s="2"/>
      <c r="C151" s="2"/>
      <c r="D151" s="2"/>
      <c r="E151" s="2"/>
      <c r="F151" s="2"/>
      <c r="G151" s="2"/>
      <c r="H151" s="2"/>
      <c r="I151" s="2"/>
      <c r="J151" s="2"/>
      <c r="K151" s="2"/>
      <c r="L151" s="2"/>
      <c r="M151" s="2"/>
      <c r="N151" s="2"/>
      <c r="O151" s="2"/>
      <c r="P151" s="2"/>
      <c r="Q151" s="2"/>
      <c r="R151" s="2"/>
      <c r="S151" s="2"/>
      <c r="T151" s="2"/>
    </row>
    <row r="152" spans="1:20" ht="15.75" customHeight="1">
      <c r="A152" s="1"/>
      <c r="B152" s="2"/>
      <c r="C152" s="2"/>
      <c r="D152" s="2"/>
      <c r="E152" s="2"/>
      <c r="F152" s="2"/>
      <c r="G152" s="2"/>
      <c r="H152" s="2"/>
      <c r="I152" s="2"/>
      <c r="J152" s="2"/>
      <c r="K152" s="2"/>
      <c r="L152" s="2"/>
      <c r="M152" s="2"/>
      <c r="N152" s="2"/>
      <c r="O152" s="2"/>
      <c r="P152" s="2"/>
      <c r="Q152" s="2"/>
      <c r="R152" s="2"/>
      <c r="S152" s="2"/>
      <c r="T152" s="2"/>
    </row>
    <row r="153" spans="1:20" ht="15.75" customHeight="1">
      <c r="A153" s="1"/>
      <c r="B153" s="2"/>
      <c r="C153" s="2"/>
      <c r="D153" s="2"/>
      <c r="E153" s="2"/>
      <c r="F153" s="2"/>
      <c r="G153" s="2"/>
      <c r="H153" s="2"/>
      <c r="I153" s="2"/>
      <c r="J153" s="2"/>
      <c r="K153" s="2"/>
      <c r="L153" s="2"/>
      <c r="M153" s="2"/>
      <c r="N153" s="2"/>
      <c r="O153" s="2"/>
      <c r="P153" s="2"/>
      <c r="Q153" s="2"/>
      <c r="R153" s="2"/>
      <c r="S153" s="2"/>
      <c r="T153" s="2"/>
    </row>
    <row r="154" spans="1:20" ht="15.75" customHeight="1">
      <c r="A154" s="1"/>
      <c r="B154" s="2"/>
      <c r="C154" s="2"/>
      <c r="D154" s="2"/>
      <c r="E154" s="2"/>
      <c r="F154" s="2"/>
      <c r="G154" s="2"/>
      <c r="H154" s="2"/>
      <c r="I154" s="2"/>
      <c r="J154" s="2"/>
      <c r="K154" s="2"/>
      <c r="L154" s="2"/>
      <c r="M154" s="2"/>
      <c r="N154" s="2"/>
      <c r="O154" s="2"/>
      <c r="P154" s="2"/>
      <c r="Q154" s="2"/>
      <c r="R154" s="2"/>
      <c r="S154" s="2"/>
      <c r="T154" s="2"/>
    </row>
    <row r="155" spans="1:20" ht="15.75" customHeight="1">
      <c r="A155" s="1"/>
      <c r="B155" s="2"/>
      <c r="C155" s="2"/>
      <c r="D155" s="2"/>
      <c r="E155" s="2"/>
      <c r="F155" s="2"/>
      <c r="G155" s="2"/>
      <c r="H155" s="2"/>
      <c r="I155" s="2"/>
      <c r="J155" s="2"/>
      <c r="K155" s="2"/>
      <c r="L155" s="2"/>
      <c r="M155" s="2"/>
      <c r="N155" s="2"/>
      <c r="O155" s="2"/>
      <c r="P155" s="2"/>
      <c r="Q155" s="2"/>
      <c r="R155" s="2"/>
      <c r="S155" s="2"/>
      <c r="T155" s="2"/>
    </row>
    <row r="156" spans="1:20" ht="15.75" customHeight="1">
      <c r="A156" s="1"/>
      <c r="B156" s="2"/>
      <c r="C156" s="2"/>
      <c r="D156" s="2"/>
      <c r="E156" s="2"/>
      <c r="F156" s="2"/>
      <c r="G156" s="2"/>
      <c r="H156" s="2"/>
      <c r="I156" s="2"/>
      <c r="J156" s="2"/>
      <c r="K156" s="2"/>
      <c r="L156" s="2"/>
      <c r="M156" s="2"/>
      <c r="N156" s="2"/>
      <c r="O156" s="2"/>
      <c r="P156" s="2"/>
      <c r="Q156" s="2"/>
      <c r="R156" s="2"/>
      <c r="S156" s="2"/>
      <c r="T156" s="2"/>
    </row>
    <row r="157" spans="1:20" ht="15.75" customHeight="1">
      <c r="A157" s="1"/>
      <c r="B157" s="2"/>
      <c r="C157" s="2"/>
      <c r="D157" s="2"/>
      <c r="E157" s="2"/>
      <c r="F157" s="2"/>
      <c r="G157" s="2"/>
      <c r="H157" s="2"/>
      <c r="I157" s="2"/>
      <c r="J157" s="2"/>
      <c r="K157" s="2"/>
      <c r="L157" s="2"/>
      <c r="M157" s="2"/>
      <c r="N157" s="2"/>
      <c r="O157" s="2"/>
      <c r="P157" s="2"/>
      <c r="Q157" s="2"/>
      <c r="R157" s="2"/>
      <c r="S157" s="2"/>
      <c r="T157" s="2"/>
    </row>
    <row r="158" spans="1:20" ht="15.75" customHeight="1">
      <c r="A158" s="1"/>
      <c r="B158" s="2"/>
      <c r="C158" s="2"/>
      <c r="D158" s="2"/>
      <c r="E158" s="2"/>
      <c r="F158" s="2"/>
      <c r="G158" s="2"/>
      <c r="H158" s="2"/>
      <c r="I158" s="2"/>
      <c r="J158" s="2"/>
      <c r="K158" s="2"/>
      <c r="L158" s="2"/>
      <c r="M158" s="2"/>
      <c r="N158" s="2"/>
      <c r="O158" s="2"/>
      <c r="P158" s="2"/>
      <c r="Q158" s="2"/>
      <c r="R158" s="2"/>
      <c r="S158" s="2"/>
      <c r="T158" s="2"/>
    </row>
    <row r="159" spans="1:20" ht="15.75" customHeight="1">
      <c r="A159" s="1"/>
      <c r="B159" s="2"/>
      <c r="C159" s="2"/>
      <c r="D159" s="2"/>
      <c r="E159" s="2"/>
      <c r="F159" s="2"/>
      <c r="G159" s="2"/>
      <c r="H159" s="2"/>
      <c r="I159" s="2"/>
      <c r="J159" s="2"/>
      <c r="K159" s="2"/>
      <c r="L159" s="2"/>
      <c r="M159" s="2"/>
      <c r="N159" s="2"/>
      <c r="O159" s="2"/>
      <c r="P159" s="2"/>
      <c r="Q159" s="2"/>
      <c r="R159" s="2"/>
      <c r="S159" s="2"/>
      <c r="T159" s="2"/>
    </row>
    <row r="160" spans="1:20" ht="15.75" customHeight="1">
      <c r="A160" s="1"/>
      <c r="B160" s="2"/>
      <c r="C160" s="2"/>
      <c r="D160" s="2"/>
      <c r="E160" s="2"/>
      <c r="F160" s="2"/>
      <c r="G160" s="2"/>
      <c r="H160" s="2"/>
      <c r="I160" s="2"/>
      <c r="J160" s="2"/>
      <c r="K160" s="2"/>
      <c r="L160" s="2"/>
      <c r="M160" s="2"/>
      <c r="N160" s="2"/>
      <c r="O160" s="2"/>
      <c r="P160" s="2"/>
      <c r="Q160" s="2"/>
      <c r="R160" s="2"/>
      <c r="S160" s="2"/>
      <c r="T160" s="2"/>
    </row>
    <row r="161" spans="1:20" ht="15.75" customHeight="1">
      <c r="A161" s="1"/>
      <c r="B161" s="2"/>
      <c r="C161" s="2"/>
      <c r="D161" s="2"/>
      <c r="E161" s="2"/>
      <c r="F161" s="2"/>
      <c r="G161" s="2"/>
      <c r="H161" s="2"/>
      <c r="I161" s="2"/>
      <c r="J161" s="2"/>
      <c r="K161" s="2"/>
      <c r="L161" s="2"/>
      <c r="M161" s="2"/>
      <c r="N161" s="2"/>
      <c r="O161" s="2"/>
      <c r="P161" s="2"/>
      <c r="Q161" s="2"/>
      <c r="R161" s="2"/>
      <c r="S161" s="2"/>
      <c r="T161" s="2"/>
    </row>
    <row r="162" spans="1:20" ht="15.75" customHeight="1">
      <c r="A162" s="1"/>
      <c r="B162" s="2"/>
      <c r="C162" s="2"/>
      <c r="D162" s="2"/>
      <c r="E162" s="2"/>
      <c r="F162" s="2"/>
      <c r="G162" s="2"/>
      <c r="H162" s="2"/>
      <c r="I162" s="2"/>
      <c r="J162" s="2"/>
      <c r="K162" s="2"/>
      <c r="L162" s="2"/>
      <c r="M162" s="2"/>
      <c r="N162" s="2"/>
      <c r="O162" s="2"/>
      <c r="P162" s="2"/>
      <c r="Q162" s="2"/>
      <c r="R162" s="2"/>
      <c r="S162" s="2"/>
      <c r="T162" s="2"/>
    </row>
    <row r="163" spans="1:20" ht="15.75" customHeight="1">
      <c r="A163" s="1"/>
      <c r="B163" s="2"/>
      <c r="C163" s="2"/>
      <c r="D163" s="2"/>
      <c r="E163" s="2"/>
      <c r="F163" s="2"/>
      <c r="G163" s="2"/>
      <c r="H163" s="2"/>
      <c r="I163" s="2"/>
      <c r="J163" s="2"/>
      <c r="K163" s="2"/>
      <c r="L163" s="2"/>
      <c r="M163" s="2"/>
      <c r="N163" s="2"/>
      <c r="O163" s="2"/>
      <c r="P163" s="2"/>
      <c r="Q163" s="2"/>
      <c r="R163" s="2"/>
      <c r="S163" s="2"/>
      <c r="T163" s="2"/>
    </row>
    <row r="164" spans="1:20" ht="15.75" customHeight="1">
      <c r="A164" s="1"/>
      <c r="B164" s="2"/>
      <c r="C164" s="2"/>
      <c r="D164" s="2"/>
      <c r="E164" s="2"/>
      <c r="F164" s="2"/>
      <c r="G164" s="2"/>
      <c r="H164" s="2"/>
      <c r="I164" s="2"/>
      <c r="J164" s="2"/>
      <c r="K164" s="2"/>
      <c r="L164" s="2"/>
      <c r="M164" s="2"/>
      <c r="N164" s="2"/>
      <c r="O164" s="2"/>
      <c r="P164" s="2"/>
      <c r="Q164" s="2"/>
      <c r="R164" s="2"/>
      <c r="S164" s="2"/>
      <c r="T164" s="2"/>
    </row>
    <row r="165" spans="1:20" ht="15.75" customHeight="1">
      <c r="A165" s="1"/>
      <c r="B165" s="2"/>
      <c r="C165" s="2"/>
      <c r="D165" s="2"/>
      <c r="E165" s="2"/>
      <c r="F165" s="2"/>
      <c r="G165" s="2"/>
      <c r="H165" s="2"/>
      <c r="I165" s="2"/>
      <c r="J165" s="2"/>
      <c r="K165" s="2"/>
      <c r="L165" s="2"/>
      <c r="M165" s="2"/>
      <c r="N165" s="2"/>
      <c r="O165" s="2"/>
      <c r="P165" s="2"/>
      <c r="Q165" s="2"/>
      <c r="R165" s="2"/>
      <c r="S165" s="2"/>
      <c r="T165" s="2"/>
    </row>
    <row r="166" spans="1:20" ht="15.75" customHeight="1">
      <c r="A166" s="1"/>
      <c r="B166" s="2"/>
      <c r="C166" s="2"/>
      <c r="D166" s="2"/>
      <c r="E166" s="2"/>
      <c r="F166" s="2"/>
      <c r="G166" s="2"/>
      <c r="H166" s="2"/>
      <c r="I166" s="2"/>
      <c r="J166" s="2"/>
      <c r="K166" s="2"/>
      <c r="L166" s="2"/>
      <c r="M166" s="2"/>
      <c r="N166" s="2"/>
      <c r="O166" s="2"/>
      <c r="P166" s="2"/>
      <c r="Q166" s="2"/>
      <c r="R166" s="2"/>
      <c r="S166" s="2"/>
      <c r="T166" s="2"/>
    </row>
    <row r="167" spans="1:20" ht="15.75" customHeight="1">
      <c r="A167" s="1"/>
      <c r="B167" s="2"/>
      <c r="C167" s="2"/>
      <c r="D167" s="2"/>
      <c r="E167" s="2"/>
      <c r="F167" s="2"/>
      <c r="G167" s="2"/>
      <c r="H167" s="2"/>
      <c r="I167" s="2"/>
      <c r="J167" s="2"/>
      <c r="K167" s="2"/>
      <c r="L167" s="2"/>
      <c r="M167" s="2"/>
      <c r="N167" s="2"/>
      <c r="O167" s="2"/>
      <c r="P167" s="2"/>
      <c r="Q167" s="2"/>
      <c r="R167" s="2"/>
      <c r="S167" s="2"/>
      <c r="T167" s="2"/>
    </row>
    <row r="168" spans="1:20" ht="15.75" customHeight="1">
      <c r="A168" s="1"/>
      <c r="B168" s="2"/>
      <c r="C168" s="2"/>
      <c r="D168" s="2"/>
      <c r="E168" s="2"/>
      <c r="F168" s="2"/>
      <c r="G168" s="2"/>
      <c r="H168" s="2"/>
      <c r="I168" s="2"/>
      <c r="J168" s="2"/>
      <c r="K168" s="2"/>
      <c r="L168" s="2"/>
      <c r="M168" s="2"/>
      <c r="N168" s="2"/>
      <c r="O168" s="2"/>
      <c r="P168" s="2"/>
      <c r="Q168" s="2"/>
      <c r="R168" s="2"/>
      <c r="S168" s="2"/>
      <c r="T168" s="2"/>
    </row>
    <row r="169" spans="1:20" ht="15.75" customHeight="1">
      <c r="A169" s="1"/>
      <c r="B169" s="2"/>
      <c r="C169" s="2"/>
      <c r="D169" s="2"/>
      <c r="E169" s="2"/>
      <c r="F169" s="2"/>
      <c r="G169" s="2"/>
      <c r="H169" s="2"/>
      <c r="I169" s="2"/>
      <c r="J169" s="2"/>
      <c r="K169" s="2"/>
      <c r="L169" s="2"/>
      <c r="M169" s="2"/>
      <c r="N169" s="2"/>
      <c r="O169" s="2"/>
      <c r="P169" s="2"/>
      <c r="Q169" s="2"/>
      <c r="R169" s="2"/>
      <c r="S169" s="2"/>
      <c r="T169" s="2"/>
    </row>
    <row r="170" spans="1:20" ht="15.75" customHeight="1">
      <c r="A170" s="1"/>
      <c r="B170" s="2"/>
      <c r="C170" s="2"/>
      <c r="D170" s="2"/>
      <c r="E170" s="2"/>
      <c r="F170" s="2"/>
      <c r="G170" s="2"/>
      <c r="H170" s="2"/>
      <c r="I170" s="2"/>
      <c r="J170" s="2"/>
      <c r="K170" s="2"/>
      <c r="L170" s="2"/>
      <c r="M170" s="2"/>
      <c r="N170" s="2"/>
      <c r="O170" s="2"/>
      <c r="P170" s="2"/>
      <c r="Q170" s="2"/>
      <c r="R170" s="2"/>
      <c r="S170" s="2"/>
      <c r="T170" s="2"/>
    </row>
    <row r="171" spans="1:20" ht="15.75" customHeight="1">
      <c r="A171" s="1"/>
      <c r="B171" s="2"/>
      <c r="C171" s="2"/>
      <c r="D171" s="2"/>
      <c r="E171" s="2"/>
      <c r="F171" s="2"/>
      <c r="G171" s="2"/>
      <c r="H171" s="2"/>
      <c r="I171" s="2"/>
      <c r="J171" s="2"/>
      <c r="K171" s="2"/>
      <c r="L171" s="2"/>
      <c r="M171" s="2"/>
      <c r="N171" s="2"/>
      <c r="O171" s="2"/>
      <c r="P171" s="2"/>
      <c r="Q171" s="2"/>
      <c r="R171" s="2"/>
      <c r="S171" s="2"/>
      <c r="T171" s="2"/>
    </row>
    <row r="172" spans="1:20" ht="15.75" customHeight="1">
      <c r="A172" s="1"/>
      <c r="B172" s="2"/>
      <c r="C172" s="2"/>
      <c r="D172" s="2"/>
      <c r="E172" s="2"/>
      <c r="F172" s="2"/>
      <c r="G172" s="2"/>
      <c r="H172" s="2"/>
      <c r="I172" s="2"/>
      <c r="J172" s="2"/>
      <c r="K172" s="2"/>
      <c r="L172" s="2"/>
      <c r="M172" s="2"/>
      <c r="N172" s="2"/>
      <c r="O172" s="2"/>
      <c r="P172" s="2"/>
      <c r="Q172" s="2"/>
      <c r="R172" s="2"/>
      <c r="S172" s="2"/>
      <c r="T172" s="2"/>
    </row>
    <row r="173" spans="1:20" ht="15.75" customHeight="1">
      <c r="A173" s="1"/>
      <c r="B173" s="2"/>
      <c r="C173" s="2"/>
      <c r="D173" s="2"/>
      <c r="E173" s="2"/>
      <c r="F173" s="2"/>
      <c r="G173" s="2"/>
      <c r="H173" s="2"/>
      <c r="I173" s="2"/>
      <c r="J173" s="2"/>
      <c r="K173" s="2"/>
      <c r="L173" s="2"/>
      <c r="M173" s="2"/>
      <c r="N173" s="2"/>
      <c r="O173" s="2"/>
      <c r="P173" s="2"/>
      <c r="Q173" s="2"/>
      <c r="R173" s="2"/>
      <c r="S173" s="2"/>
      <c r="T173" s="2"/>
    </row>
    <row r="174" spans="1:20" ht="15.75" customHeight="1">
      <c r="A174" s="1"/>
      <c r="B174" s="2"/>
      <c r="C174" s="2"/>
      <c r="D174" s="2"/>
      <c r="E174" s="2"/>
      <c r="F174" s="2"/>
      <c r="G174" s="2"/>
      <c r="H174" s="2"/>
      <c r="I174" s="2"/>
      <c r="J174" s="2"/>
      <c r="K174" s="2"/>
      <c r="L174" s="2"/>
      <c r="M174" s="2"/>
      <c r="N174" s="2"/>
      <c r="O174" s="2"/>
      <c r="P174" s="2"/>
      <c r="Q174" s="2"/>
      <c r="R174" s="2"/>
      <c r="S174" s="2"/>
      <c r="T174" s="2"/>
    </row>
    <row r="175" spans="1:20" ht="15.75" customHeight="1">
      <c r="A175" s="1"/>
      <c r="B175" s="2"/>
      <c r="C175" s="2"/>
      <c r="D175" s="2"/>
      <c r="E175" s="2"/>
      <c r="F175" s="2"/>
      <c r="G175" s="2"/>
      <c r="H175" s="2"/>
      <c r="I175" s="2"/>
      <c r="J175" s="2"/>
      <c r="K175" s="2"/>
      <c r="L175" s="2"/>
      <c r="M175" s="2"/>
      <c r="N175" s="2"/>
      <c r="O175" s="2"/>
      <c r="P175" s="2"/>
      <c r="Q175" s="2"/>
      <c r="R175" s="2"/>
      <c r="S175" s="2"/>
      <c r="T175" s="2"/>
    </row>
    <row r="176" spans="1:20" ht="15.75" customHeight="1">
      <c r="A176" s="1"/>
      <c r="B176" s="2"/>
      <c r="C176" s="2"/>
      <c r="D176" s="2"/>
      <c r="E176" s="2"/>
      <c r="F176" s="2"/>
      <c r="G176" s="2"/>
      <c r="H176" s="2"/>
      <c r="I176" s="2"/>
      <c r="J176" s="2"/>
      <c r="K176" s="2"/>
      <c r="L176" s="2"/>
      <c r="M176" s="2"/>
      <c r="N176" s="2"/>
      <c r="O176" s="2"/>
      <c r="P176" s="2"/>
      <c r="Q176" s="2"/>
      <c r="R176" s="2"/>
      <c r="S176" s="2"/>
      <c r="T176" s="2"/>
    </row>
    <row r="177" spans="1:20" ht="15.75" customHeight="1">
      <c r="A177" s="1"/>
      <c r="B177" s="2"/>
      <c r="C177" s="2"/>
      <c r="D177" s="2"/>
      <c r="E177" s="2"/>
      <c r="F177" s="2"/>
      <c r="G177" s="2"/>
      <c r="H177" s="2"/>
      <c r="I177" s="2"/>
      <c r="J177" s="2"/>
      <c r="K177" s="2"/>
      <c r="L177" s="2"/>
      <c r="M177" s="2"/>
      <c r="N177" s="2"/>
      <c r="O177" s="2"/>
      <c r="P177" s="2"/>
      <c r="Q177" s="2"/>
      <c r="R177" s="2"/>
      <c r="S177" s="2"/>
      <c r="T177" s="2"/>
    </row>
    <row r="178" spans="1:20" ht="15.75" customHeight="1">
      <c r="A178" s="1"/>
      <c r="B178" s="2"/>
      <c r="C178" s="2"/>
      <c r="D178" s="2"/>
      <c r="E178" s="2"/>
      <c r="F178" s="2"/>
      <c r="G178" s="2"/>
      <c r="H178" s="2"/>
      <c r="I178" s="2"/>
      <c r="J178" s="2"/>
      <c r="K178" s="2"/>
      <c r="L178" s="2"/>
      <c r="M178" s="2"/>
      <c r="N178" s="2"/>
      <c r="O178" s="2"/>
      <c r="P178" s="2"/>
      <c r="Q178" s="2"/>
      <c r="R178" s="2"/>
      <c r="S178" s="2"/>
      <c r="T178" s="2"/>
    </row>
    <row r="179" spans="1:20" ht="15.75" customHeight="1">
      <c r="A179" s="1"/>
      <c r="B179" s="2"/>
      <c r="C179" s="2"/>
      <c r="D179" s="2"/>
      <c r="E179" s="2"/>
      <c r="F179" s="2"/>
      <c r="G179" s="2"/>
      <c r="H179" s="2"/>
      <c r="I179" s="2"/>
      <c r="J179" s="2"/>
      <c r="K179" s="2"/>
      <c r="L179" s="2"/>
      <c r="M179" s="2"/>
      <c r="N179" s="2"/>
      <c r="O179" s="2"/>
      <c r="P179" s="2"/>
      <c r="Q179" s="2"/>
      <c r="R179" s="2"/>
      <c r="S179" s="2"/>
      <c r="T179" s="2"/>
    </row>
    <row r="180" spans="1:20" ht="15.75" customHeight="1">
      <c r="A180" s="1"/>
      <c r="B180" s="2"/>
      <c r="C180" s="2"/>
      <c r="D180" s="2"/>
      <c r="E180" s="2"/>
      <c r="F180" s="2"/>
      <c r="G180" s="2"/>
      <c r="H180" s="2"/>
      <c r="I180" s="2"/>
      <c r="J180" s="2"/>
      <c r="K180" s="2"/>
      <c r="L180" s="2"/>
      <c r="M180" s="2"/>
      <c r="N180" s="2"/>
      <c r="O180" s="2"/>
      <c r="P180" s="2"/>
      <c r="Q180" s="2"/>
      <c r="R180" s="2"/>
      <c r="S180" s="2"/>
      <c r="T180" s="2"/>
    </row>
    <row r="181" spans="1:20" ht="15.75" customHeight="1">
      <c r="A181" s="1"/>
      <c r="B181" s="2"/>
      <c r="C181" s="2"/>
      <c r="D181" s="2"/>
      <c r="E181" s="2"/>
      <c r="F181" s="2"/>
      <c r="G181" s="2"/>
      <c r="H181" s="2"/>
      <c r="I181" s="2"/>
      <c r="J181" s="2"/>
      <c r="K181" s="2"/>
      <c r="L181" s="2"/>
      <c r="M181" s="2"/>
      <c r="N181" s="2"/>
      <c r="O181" s="2"/>
      <c r="P181" s="2"/>
      <c r="Q181" s="2"/>
      <c r="R181" s="2"/>
      <c r="S181" s="2"/>
      <c r="T181" s="2"/>
    </row>
    <row r="182" spans="1:20" ht="15.75" customHeight="1">
      <c r="A182" s="1"/>
      <c r="B182" s="2"/>
      <c r="C182" s="2"/>
      <c r="D182" s="2"/>
      <c r="E182" s="2"/>
      <c r="F182" s="2"/>
      <c r="G182" s="2"/>
      <c r="H182" s="2"/>
      <c r="I182" s="2"/>
      <c r="J182" s="2"/>
      <c r="K182" s="2"/>
      <c r="L182" s="2"/>
      <c r="M182" s="2"/>
      <c r="N182" s="2"/>
      <c r="O182" s="2"/>
      <c r="P182" s="2"/>
      <c r="Q182" s="2"/>
      <c r="R182" s="2"/>
      <c r="S182" s="2"/>
      <c r="T182" s="2"/>
    </row>
    <row r="183" spans="1:20" ht="15.75" customHeight="1">
      <c r="A183" s="1"/>
      <c r="B183" s="2"/>
      <c r="C183" s="2"/>
      <c r="D183" s="2"/>
      <c r="E183" s="2"/>
      <c r="F183" s="2"/>
      <c r="G183" s="2"/>
      <c r="H183" s="2"/>
      <c r="I183" s="2"/>
      <c r="J183" s="2"/>
      <c r="K183" s="2"/>
      <c r="L183" s="2"/>
      <c r="M183" s="2"/>
      <c r="N183" s="2"/>
      <c r="O183" s="2"/>
      <c r="P183" s="2"/>
      <c r="Q183" s="2"/>
      <c r="R183" s="2"/>
      <c r="S183" s="2"/>
      <c r="T183" s="2"/>
    </row>
    <row r="184" spans="1:20" ht="15.75" customHeight="1">
      <c r="A184" s="1"/>
      <c r="B184" s="2"/>
      <c r="C184" s="2"/>
      <c r="D184" s="2"/>
      <c r="E184" s="2"/>
      <c r="F184" s="2"/>
      <c r="G184" s="2"/>
      <c r="H184" s="2"/>
      <c r="I184" s="2"/>
      <c r="J184" s="2"/>
      <c r="K184" s="2"/>
      <c r="L184" s="2"/>
      <c r="M184" s="2"/>
      <c r="N184" s="2"/>
      <c r="O184" s="2"/>
      <c r="P184" s="2"/>
      <c r="Q184" s="2"/>
      <c r="R184" s="2"/>
      <c r="S184" s="2"/>
      <c r="T184" s="2"/>
    </row>
    <row r="185" spans="1:20" ht="15.75" customHeight="1">
      <c r="A185" s="1"/>
      <c r="B185" s="2"/>
      <c r="C185" s="2"/>
      <c r="D185" s="2"/>
      <c r="E185" s="2"/>
      <c r="F185" s="2"/>
      <c r="G185" s="2"/>
      <c r="H185" s="2"/>
      <c r="I185" s="2"/>
      <c r="J185" s="2"/>
      <c r="K185" s="2"/>
      <c r="L185" s="2"/>
      <c r="M185" s="2"/>
      <c r="N185" s="2"/>
      <c r="O185" s="2"/>
      <c r="P185" s="2"/>
      <c r="Q185" s="2"/>
      <c r="R185" s="2"/>
      <c r="S185" s="2"/>
      <c r="T185" s="2"/>
    </row>
    <row r="186" spans="1:20" ht="15.75" customHeight="1">
      <c r="A186" s="1"/>
      <c r="B186" s="2"/>
      <c r="C186" s="2"/>
      <c r="D186" s="2"/>
      <c r="E186" s="2"/>
      <c r="F186" s="2"/>
      <c r="G186" s="2"/>
      <c r="H186" s="2"/>
      <c r="I186" s="2"/>
      <c r="J186" s="2"/>
      <c r="K186" s="2"/>
      <c r="L186" s="2"/>
      <c r="M186" s="2"/>
      <c r="N186" s="2"/>
      <c r="O186" s="2"/>
      <c r="P186" s="2"/>
      <c r="Q186" s="2"/>
      <c r="R186" s="2"/>
      <c r="S186" s="2"/>
      <c r="T186" s="2"/>
    </row>
    <row r="187" spans="1:20" ht="15.75" customHeight="1">
      <c r="A187" s="1"/>
      <c r="B187" s="2"/>
      <c r="C187" s="2"/>
      <c r="D187" s="2"/>
      <c r="E187" s="2"/>
      <c r="F187" s="2"/>
      <c r="G187" s="2"/>
      <c r="H187" s="2"/>
      <c r="I187" s="2"/>
      <c r="J187" s="2"/>
      <c r="K187" s="2"/>
      <c r="L187" s="2"/>
      <c r="M187" s="2"/>
      <c r="N187" s="2"/>
      <c r="O187" s="2"/>
      <c r="P187" s="2"/>
      <c r="Q187" s="2"/>
      <c r="R187" s="2"/>
      <c r="S187" s="2"/>
      <c r="T187" s="2"/>
    </row>
    <row r="188" spans="1:20" ht="15.75" customHeight="1">
      <c r="A188" s="1"/>
      <c r="B188" s="2"/>
      <c r="C188" s="2"/>
      <c r="D188" s="2"/>
      <c r="E188" s="2"/>
      <c r="F188" s="2"/>
      <c r="G188" s="2"/>
      <c r="H188" s="2"/>
      <c r="I188" s="2"/>
      <c r="J188" s="2"/>
      <c r="K188" s="2"/>
      <c r="L188" s="2"/>
      <c r="M188" s="2"/>
      <c r="N188" s="2"/>
      <c r="O188" s="2"/>
      <c r="P188" s="2"/>
      <c r="Q188" s="2"/>
      <c r="R188" s="2"/>
      <c r="S188" s="2"/>
      <c r="T188" s="2"/>
    </row>
    <row r="189" spans="1:20" ht="15.75" customHeight="1">
      <c r="A189" s="1"/>
      <c r="B189" s="2"/>
      <c r="C189" s="2"/>
      <c r="D189" s="2"/>
      <c r="E189" s="2"/>
      <c r="F189" s="2"/>
      <c r="G189" s="2"/>
      <c r="H189" s="2"/>
      <c r="I189" s="2"/>
      <c r="J189" s="2"/>
      <c r="K189" s="2"/>
      <c r="L189" s="2"/>
      <c r="M189" s="2"/>
      <c r="N189" s="2"/>
      <c r="O189" s="2"/>
      <c r="P189" s="2"/>
      <c r="Q189" s="2"/>
      <c r="R189" s="2"/>
      <c r="S189" s="2"/>
      <c r="T189" s="2"/>
    </row>
    <row r="190" spans="1:20" ht="15.75" customHeight="1">
      <c r="A190" s="1"/>
      <c r="B190" s="2"/>
      <c r="C190" s="2"/>
      <c r="D190" s="2"/>
      <c r="E190" s="2"/>
      <c r="F190" s="2"/>
      <c r="G190" s="2"/>
      <c r="H190" s="2"/>
      <c r="I190" s="2"/>
      <c r="J190" s="2"/>
      <c r="K190" s="2"/>
      <c r="L190" s="2"/>
      <c r="M190" s="2"/>
      <c r="N190" s="2"/>
      <c r="O190" s="2"/>
      <c r="P190" s="2"/>
      <c r="Q190" s="2"/>
      <c r="R190" s="2"/>
      <c r="S190" s="2"/>
      <c r="T190" s="2"/>
    </row>
    <row r="191" spans="1:20" ht="15.75" customHeight="1">
      <c r="A191" s="1"/>
      <c r="B191" s="2"/>
      <c r="C191" s="2"/>
      <c r="D191" s="2"/>
      <c r="E191" s="2"/>
      <c r="F191" s="2"/>
      <c r="G191" s="2"/>
      <c r="H191" s="2"/>
      <c r="I191" s="2"/>
      <c r="J191" s="2"/>
      <c r="K191" s="2"/>
      <c r="L191" s="2"/>
      <c r="M191" s="2"/>
      <c r="N191" s="2"/>
      <c r="O191" s="2"/>
      <c r="P191" s="2"/>
      <c r="Q191" s="2"/>
      <c r="R191" s="2"/>
      <c r="S191" s="2"/>
      <c r="T191" s="2"/>
    </row>
    <row r="192" spans="1:20" ht="15.75" customHeight="1">
      <c r="A192" s="1"/>
      <c r="B192" s="2"/>
      <c r="C192" s="2"/>
      <c r="D192" s="2"/>
      <c r="E192" s="2"/>
      <c r="F192" s="2"/>
      <c r="G192" s="2"/>
      <c r="H192" s="2"/>
      <c r="I192" s="2"/>
      <c r="J192" s="2"/>
      <c r="K192" s="2"/>
      <c r="L192" s="2"/>
      <c r="M192" s="2"/>
      <c r="N192" s="2"/>
      <c r="O192" s="2"/>
      <c r="P192" s="2"/>
      <c r="Q192" s="2"/>
      <c r="R192" s="2"/>
      <c r="S192" s="2"/>
      <c r="T192" s="2"/>
    </row>
    <row r="193" spans="1:20" ht="15.75" customHeight="1">
      <c r="A193" s="1"/>
      <c r="B193" s="2"/>
      <c r="C193" s="2"/>
      <c r="D193" s="2"/>
      <c r="E193" s="2"/>
      <c r="F193" s="2"/>
      <c r="G193" s="2"/>
      <c r="H193" s="2"/>
      <c r="I193" s="2"/>
      <c r="J193" s="2"/>
      <c r="K193" s="2"/>
      <c r="L193" s="2"/>
      <c r="M193" s="2"/>
      <c r="N193" s="2"/>
      <c r="O193" s="2"/>
      <c r="P193" s="2"/>
      <c r="Q193" s="2"/>
      <c r="R193" s="2"/>
      <c r="S193" s="2"/>
      <c r="T193" s="2"/>
    </row>
    <row r="194" spans="1:20" ht="15.75" customHeight="1">
      <c r="A194" s="1"/>
      <c r="B194" s="2"/>
      <c r="C194" s="2"/>
      <c r="D194" s="2"/>
      <c r="E194" s="2"/>
      <c r="F194" s="2"/>
      <c r="G194" s="2"/>
      <c r="H194" s="2"/>
      <c r="I194" s="2"/>
      <c r="J194" s="2"/>
      <c r="K194" s="2"/>
      <c r="L194" s="2"/>
      <c r="M194" s="2"/>
      <c r="N194" s="2"/>
      <c r="O194" s="2"/>
      <c r="P194" s="2"/>
      <c r="Q194" s="2"/>
      <c r="R194" s="2"/>
      <c r="S194" s="2"/>
      <c r="T194" s="2"/>
    </row>
    <row r="195" spans="1:20" ht="15.75" customHeight="1">
      <c r="A195" s="1"/>
      <c r="B195" s="2"/>
      <c r="C195" s="2"/>
      <c r="D195" s="2"/>
      <c r="E195" s="2"/>
      <c r="F195" s="2"/>
      <c r="G195" s="2"/>
      <c r="H195" s="2"/>
      <c r="I195" s="2"/>
      <c r="J195" s="2"/>
      <c r="K195" s="2"/>
      <c r="L195" s="2"/>
      <c r="M195" s="2"/>
      <c r="N195" s="2"/>
      <c r="O195" s="2"/>
      <c r="P195" s="2"/>
      <c r="Q195" s="2"/>
      <c r="R195" s="2"/>
      <c r="S195" s="2"/>
      <c r="T195" s="2"/>
    </row>
    <row r="196" spans="1:20" ht="15.75" customHeight="1">
      <c r="A196" s="1"/>
      <c r="B196" s="2"/>
      <c r="C196" s="2"/>
      <c r="D196" s="2"/>
      <c r="E196" s="2"/>
      <c r="F196" s="2"/>
      <c r="G196" s="2"/>
      <c r="H196" s="2"/>
      <c r="I196" s="2"/>
      <c r="J196" s="2"/>
      <c r="K196" s="2"/>
      <c r="L196" s="2"/>
      <c r="M196" s="2"/>
      <c r="N196" s="2"/>
      <c r="O196" s="2"/>
      <c r="P196" s="2"/>
      <c r="Q196" s="2"/>
      <c r="R196" s="2"/>
      <c r="S196" s="2"/>
      <c r="T196" s="2"/>
    </row>
    <row r="197" spans="1:20" ht="15.75" customHeight="1">
      <c r="A197" s="1"/>
      <c r="B197" s="2"/>
      <c r="C197" s="2"/>
      <c r="D197" s="2"/>
      <c r="E197" s="2"/>
      <c r="F197" s="2"/>
      <c r="G197" s="2"/>
      <c r="H197" s="2"/>
      <c r="I197" s="2"/>
      <c r="J197" s="2"/>
      <c r="K197" s="2"/>
      <c r="L197" s="2"/>
      <c r="M197" s="2"/>
      <c r="N197" s="2"/>
      <c r="O197" s="2"/>
      <c r="P197" s="2"/>
      <c r="Q197" s="2"/>
      <c r="R197" s="2"/>
      <c r="S197" s="2"/>
      <c r="T197" s="2"/>
    </row>
    <row r="198" spans="1:20" ht="15.75" customHeight="1">
      <c r="A198" s="1"/>
      <c r="B198" s="2"/>
      <c r="C198" s="2"/>
      <c r="D198" s="2"/>
      <c r="E198" s="2"/>
      <c r="F198" s="2"/>
      <c r="G198" s="2"/>
      <c r="H198" s="2"/>
      <c r="I198" s="2"/>
      <c r="J198" s="2"/>
      <c r="K198" s="2"/>
      <c r="L198" s="2"/>
      <c r="M198" s="2"/>
      <c r="N198" s="2"/>
      <c r="O198" s="2"/>
      <c r="P198" s="2"/>
      <c r="Q198" s="2"/>
      <c r="R198" s="2"/>
      <c r="S198" s="2"/>
      <c r="T198" s="2"/>
    </row>
    <row r="199" spans="1:20" ht="15.75" customHeight="1">
      <c r="A199" s="1"/>
      <c r="B199" s="2"/>
      <c r="C199" s="2"/>
      <c r="D199" s="2"/>
      <c r="E199" s="2"/>
      <c r="F199" s="2"/>
      <c r="G199" s="2"/>
      <c r="H199" s="2"/>
      <c r="I199" s="2"/>
      <c r="J199" s="2"/>
      <c r="K199" s="2"/>
      <c r="L199" s="2"/>
      <c r="M199" s="2"/>
      <c r="N199" s="2"/>
      <c r="O199" s="2"/>
      <c r="P199" s="2"/>
      <c r="Q199" s="2"/>
      <c r="R199" s="2"/>
      <c r="S199" s="2"/>
      <c r="T199" s="2"/>
    </row>
    <row r="200" spans="1:20" ht="15.75" customHeight="1">
      <c r="A200" s="1"/>
      <c r="B200" s="2"/>
      <c r="C200" s="2"/>
      <c r="D200" s="2"/>
      <c r="E200" s="2"/>
      <c r="F200" s="2"/>
      <c r="G200" s="2"/>
      <c r="H200" s="2"/>
      <c r="I200" s="2"/>
      <c r="J200" s="2"/>
      <c r="K200" s="2"/>
      <c r="L200" s="2"/>
      <c r="M200" s="2"/>
      <c r="N200" s="2"/>
      <c r="O200" s="2"/>
      <c r="P200" s="2"/>
      <c r="Q200" s="2"/>
      <c r="R200" s="2"/>
      <c r="S200" s="2"/>
      <c r="T200" s="2"/>
    </row>
    <row r="201" spans="1:20" ht="15.75" customHeight="1">
      <c r="A201" s="1"/>
      <c r="B201" s="2"/>
      <c r="C201" s="2"/>
      <c r="D201" s="2"/>
      <c r="E201" s="2"/>
      <c r="F201" s="2"/>
      <c r="G201" s="2"/>
      <c r="H201" s="2"/>
      <c r="I201" s="2"/>
      <c r="J201" s="2"/>
      <c r="K201" s="2"/>
      <c r="L201" s="2"/>
      <c r="M201" s="2"/>
      <c r="N201" s="2"/>
      <c r="O201" s="2"/>
      <c r="P201" s="2"/>
      <c r="Q201" s="2"/>
      <c r="R201" s="2"/>
      <c r="S201" s="2"/>
      <c r="T201" s="2"/>
    </row>
    <row r="202" spans="1:20" ht="15.75" customHeight="1">
      <c r="A202" s="1"/>
      <c r="B202" s="2"/>
      <c r="C202" s="2"/>
      <c r="D202" s="2"/>
      <c r="E202" s="2"/>
      <c r="F202" s="2"/>
      <c r="G202" s="2"/>
      <c r="H202" s="2"/>
      <c r="I202" s="2"/>
      <c r="J202" s="2"/>
      <c r="K202" s="2"/>
      <c r="L202" s="2"/>
      <c r="M202" s="2"/>
      <c r="N202" s="2"/>
      <c r="O202" s="2"/>
      <c r="P202" s="2"/>
      <c r="Q202" s="2"/>
      <c r="R202" s="2"/>
      <c r="S202" s="2"/>
      <c r="T202" s="2"/>
    </row>
    <row r="203" spans="1:20" ht="15.75" customHeight="1">
      <c r="A203" s="1"/>
      <c r="B203" s="2"/>
      <c r="C203" s="2"/>
      <c r="D203" s="2"/>
      <c r="E203" s="2"/>
      <c r="F203" s="2"/>
      <c r="G203" s="2"/>
      <c r="H203" s="2"/>
      <c r="I203" s="2"/>
      <c r="J203" s="2"/>
      <c r="K203" s="2"/>
      <c r="L203" s="2"/>
      <c r="M203" s="2"/>
      <c r="N203" s="2"/>
      <c r="O203" s="2"/>
      <c r="P203" s="2"/>
      <c r="Q203" s="2"/>
      <c r="R203" s="2"/>
      <c r="S203" s="2"/>
      <c r="T203" s="2"/>
    </row>
    <row r="204" spans="1:20" ht="15.75" customHeight="1">
      <c r="A204" s="1"/>
      <c r="B204" s="2"/>
      <c r="C204" s="2"/>
      <c r="D204" s="2"/>
      <c r="E204" s="2"/>
      <c r="F204" s="2"/>
      <c r="G204" s="2"/>
      <c r="H204" s="2"/>
      <c r="I204" s="2"/>
      <c r="J204" s="2"/>
      <c r="K204" s="2"/>
      <c r="L204" s="2"/>
      <c r="M204" s="2"/>
      <c r="N204" s="2"/>
      <c r="O204" s="2"/>
      <c r="P204" s="2"/>
      <c r="Q204" s="2"/>
      <c r="R204" s="2"/>
      <c r="S204" s="2"/>
      <c r="T204" s="2"/>
    </row>
    <row r="205" spans="1:20" ht="15.75" customHeight="1">
      <c r="A205" s="1"/>
      <c r="B205" s="2"/>
      <c r="C205" s="2"/>
      <c r="D205" s="2"/>
      <c r="E205" s="2"/>
      <c r="F205" s="2"/>
      <c r="G205" s="2"/>
      <c r="H205" s="2"/>
      <c r="I205" s="2"/>
      <c r="J205" s="2"/>
      <c r="K205" s="2"/>
      <c r="L205" s="2"/>
      <c r="M205" s="2"/>
      <c r="N205" s="2"/>
      <c r="O205" s="2"/>
      <c r="P205" s="2"/>
      <c r="Q205" s="2"/>
      <c r="R205" s="2"/>
      <c r="S205" s="2"/>
      <c r="T205" s="2"/>
    </row>
    <row r="206" spans="1:20" ht="15.75" customHeight="1">
      <c r="A206" s="1"/>
      <c r="B206" s="2"/>
      <c r="C206" s="2"/>
      <c r="D206" s="2"/>
      <c r="E206" s="2"/>
      <c r="F206" s="2"/>
      <c r="G206" s="2"/>
      <c r="H206" s="2"/>
      <c r="I206" s="2"/>
      <c r="J206" s="2"/>
      <c r="K206" s="2"/>
      <c r="L206" s="2"/>
      <c r="M206" s="2"/>
      <c r="N206" s="2"/>
      <c r="O206" s="2"/>
      <c r="P206" s="2"/>
      <c r="Q206" s="2"/>
      <c r="R206" s="2"/>
      <c r="S206" s="2"/>
      <c r="T206" s="2"/>
    </row>
    <row r="207" spans="1:20" ht="15.75" customHeight="1">
      <c r="A207" s="1"/>
      <c r="B207" s="2"/>
      <c r="C207" s="2"/>
      <c r="D207" s="2"/>
      <c r="E207" s="2"/>
      <c r="F207" s="2"/>
      <c r="G207" s="2"/>
      <c r="H207" s="2"/>
      <c r="I207" s="2"/>
      <c r="J207" s="2"/>
      <c r="K207" s="2"/>
      <c r="L207" s="2"/>
      <c r="M207" s="2"/>
      <c r="N207" s="2"/>
      <c r="O207" s="2"/>
      <c r="P207" s="2"/>
      <c r="Q207" s="2"/>
      <c r="R207" s="2"/>
      <c r="S207" s="2"/>
      <c r="T207" s="2"/>
    </row>
    <row r="208" spans="1:20" ht="15.75" customHeight="1">
      <c r="A208" s="1"/>
      <c r="B208" s="2"/>
      <c r="C208" s="2"/>
      <c r="D208" s="2"/>
      <c r="E208" s="2"/>
      <c r="F208" s="2"/>
      <c r="G208" s="2"/>
      <c r="H208" s="2"/>
      <c r="I208" s="2"/>
      <c r="J208" s="2"/>
      <c r="K208" s="2"/>
      <c r="L208" s="2"/>
      <c r="M208" s="2"/>
      <c r="N208" s="2"/>
      <c r="O208" s="2"/>
      <c r="P208" s="2"/>
      <c r="Q208" s="2"/>
      <c r="R208" s="2"/>
      <c r="S208" s="2"/>
      <c r="T208" s="2"/>
    </row>
    <row r="209" spans="1:20" ht="15.75" customHeight="1">
      <c r="A209" s="1"/>
      <c r="B209" s="2"/>
      <c r="C209" s="2"/>
      <c r="D209" s="2"/>
      <c r="E209" s="2"/>
      <c r="F209" s="2"/>
      <c r="G209" s="2"/>
      <c r="H209" s="2"/>
      <c r="I209" s="2"/>
      <c r="J209" s="2"/>
      <c r="K209" s="2"/>
      <c r="L209" s="2"/>
      <c r="M209" s="2"/>
      <c r="N209" s="2"/>
      <c r="O209" s="2"/>
      <c r="P209" s="2"/>
      <c r="Q209" s="2"/>
      <c r="R209" s="2"/>
      <c r="S209" s="2"/>
      <c r="T209" s="2"/>
    </row>
    <row r="210" spans="1:20" ht="15.75" customHeight="1">
      <c r="A210" s="1"/>
      <c r="B210" s="2"/>
      <c r="C210" s="2"/>
      <c r="D210" s="2"/>
      <c r="E210" s="2"/>
      <c r="F210" s="2"/>
      <c r="G210" s="2"/>
      <c r="H210" s="2"/>
      <c r="I210" s="2"/>
      <c r="J210" s="2"/>
      <c r="K210" s="2"/>
      <c r="L210" s="2"/>
      <c r="M210" s="2"/>
      <c r="N210" s="2"/>
      <c r="O210" s="2"/>
      <c r="P210" s="2"/>
      <c r="Q210" s="2"/>
      <c r="R210" s="2"/>
      <c r="S210" s="2"/>
      <c r="T210" s="2"/>
    </row>
    <row r="211" spans="1:20" ht="15.75" customHeight="1">
      <c r="A211" s="1"/>
      <c r="B211" s="2"/>
      <c r="C211" s="2"/>
      <c r="D211" s="2"/>
      <c r="E211" s="2"/>
      <c r="F211" s="2"/>
      <c r="G211" s="2"/>
      <c r="H211" s="2"/>
      <c r="I211" s="2"/>
      <c r="J211" s="2"/>
      <c r="K211" s="2"/>
      <c r="L211" s="2"/>
      <c r="M211" s="2"/>
      <c r="N211" s="2"/>
      <c r="O211" s="2"/>
      <c r="P211" s="2"/>
      <c r="Q211" s="2"/>
      <c r="R211" s="2"/>
      <c r="S211" s="2"/>
      <c r="T211" s="2"/>
    </row>
    <row r="212" spans="1:20" ht="15.75" customHeight="1">
      <c r="A212" s="1"/>
      <c r="B212" s="2"/>
      <c r="C212" s="2"/>
      <c r="D212" s="2"/>
      <c r="E212" s="2"/>
      <c r="F212" s="2"/>
      <c r="G212" s="2"/>
      <c r="H212" s="2"/>
      <c r="I212" s="2"/>
      <c r="J212" s="2"/>
      <c r="K212" s="2"/>
      <c r="L212" s="2"/>
      <c r="M212" s="2"/>
      <c r="N212" s="2"/>
      <c r="O212" s="2"/>
      <c r="P212" s="2"/>
      <c r="Q212" s="2"/>
      <c r="R212" s="2"/>
      <c r="S212" s="2"/>
      <c r="T212" s="2"/>
    </row>
    <row r="213" spans="1:20" ht="15.75" customHeight="1">
      <c r="A213" s="1"/>
      <c r="B213" s="2"/>
      <c r="C213" s="2"/>
      <c r="D213" s="2"/>
      <c r="E213" s="2"/>
      <c r="F213" s="2"/>
      <c r="G213" s="2"/>
      <c r="H213" s="2"/>
      <c r="I213" s="2"/>
      <c r="J213" s="2"/>
      <c r="K213" s="2"/>
      <c r="L213" s="2"/>
      <c r="M213" s="2"/>
      <c r="N213" s="2"/>
      <c r="O213" s="2"/>
      <c r="P213" s="2"/>
      <c r="Q213" s="2"/>
      <c r="R213" s="2"/>
      <c r="S213" s="2"/>
      <c r="T213" s="2"/>
    </row>
    <row r="214" spans="1:20" ht="15.75" customHeight="1">
      <c r="A214" s="1"/>
      <c r="B214" s="2"/>
      <c r="C214" s="2"/>
      <c r="D214" s="2"/>
      <c r="E214" s="2"/>
      <c r="F214" s="2"/>
      <c r="G214" s="2"/>
      <c r="H214" s="2"/>
      <c r="I214" s="2"/>
      <c r="J214" s="2"/>
      <c r="K214" s="2"/>
      <c r="L214" s="2"/>
      <c r="M214" s="2"/>
      <c r="N214" s="2"/>
      <c r="O214" s="2"/>
      <c r="P214" s="2"/>
      <c r="Q214" s="2"/>
      <c r="R214" s="2"/>
      <c r="S214" s="2"/>
      <c r="T214" s="2"/>
    </row>
    <row r="215" spans="1:20" ht="15.75" customHeight="1">
      <c r="A215" s="1"/>
      <c r="B215" s="2"/>
      <c r="C215" s="2"/>
      <c r="D215" s="2"/>
      <c r="E215" s="2"/>
      <c r="F215" s="2"/>
      <c r="G215" s="2"/>
      <c r="H215" s="2"/>
      <c r="I215" s="2"/>
      <c r="J215" s="2"/>
      <c r="K215" s="2"/>
      <c r="L215" s="2"/>
      <c r="M215" s="2"/>
      <c r="N215" s="2"/>
      <c r="O215" s="2"/>
      <c r="P215" s="2"/>
      <c r="Q215" s="2"/>
      <c r="R215" s="2"/>
      <c r="S215" s="2"/>
      <c r="T215" s="2"/>
    </row>
    <row r="216" spans="1:20" ht="15.75" customHeight="1">
      <c r="A216" s="1"/>
      <c r="B216" s="2"/>
      <c r="C216" s="2"/>
      <c r="D216" s="2"/>
      <c r="E216" s="2"/>
      <c r="F216" s="2"/>
      <c r="G216" s="2"/>
      <c r="H216" s="2"/>
      <c r="I216" s="2"/>
      <c r="J216" s="2"/>
      <c r="K216" s="2"/>
      <c r="L216" s="2"/>
      <c r="M216" s="2"/>
      <c r="N216" s="2"/>
      <c r="O216" s="2"/>
      <c r="P216" s="2"/>
      <c r="Q216" s="2"/>
      <c r="R216" s="2"/>
      <c r="S216" s="2"/>
      <c r="T216" s="2"/>
    </row>
    <row r="217" spans="1:20" ht="15.75" customHeight="1">
      <c r="A217" s="1"/>
      <c r="B217" s="2"/>
      <c r="C217" s="2"/>
      <c r="D217" s="2"/>
      <c r="E217" s="2"/>
      <c r="F217" s="2"/>
      <c r="G217" s="2"/>
      <c r="H217" s="2"/>
      <c r="I217" s="2"/>
      <c r="J217" s="2"/>
      <c r="K217" s="2"/>
      <c r="L217" s="2"/>
      <c r="M217" s="2"/>
      <c r="N217" s="2"/>
      <c r="O217" s="2"/>
      <c r="P217" s="2"/>
      <c r="Q217" s="2"/>
      <c r="R217" s="2"/>
      <c r="S217" s="2"/>
      <c r="T217" s="2"/>
    </row>
    <row r="218" spans="1:20" ht="15.75" customHeight="1">
      <c r="A218" s="1"/>
      <c r="B218" s="2"/>
      <c r="C218" s="2"/>
      <c r="D218" s="2"/>
      <c r="E218" s="2"/>
      <c r="F218" s="2"/>
      <c r="G218" s="2"/>
      <c r="H218" s="2"/>
      <c r="I218" s="2"/>
      <c r="J218" s="2"/>
      <c r="K218" s="2"/>
      <c r="L218" s="2"/>
      <c r="M218" s="2"/>
      <c r="N218" s="2"/>
      <c r="O218" s="2"/>
      <c r="P218" s="2"/>
      <c r="Q218" s="2"/>
      <c r="R218" s="2"/>
      <c r="S218" s="2"/>
      <c r="T218" s="2"/>
    </row>
    <row r="219" spans="1:20" ht="15.75" customHeight="1">
      <c r="A219" s="1"/>
      <c r="B219" s="2"/>
      <c r="C219" s="2"/>
      <c r="D219" s="2"/>
      <c r="E219" s="2"/>
      <c r="F219" s="2"/>
      <c r="G219" s="2"/>
      <c r="H219" s="2"/>
      <c r="I219" s="2"/>
      <c r="J219" s="2"/>
      <c r="K219" s="2"/>
      <c r="L219" s="2"/>
      <c r="M219" s="2"/>
      <c r="N219" s="2"/>
      <c r="O219" s="2"/>
      <c r="P219" s="2"/>
      <c r="Q219" s="2"/>
      <c r="R219" s="2"/>
      <c r="S219" s="2"/>
      <c r="T219" s="2"/>
    </row>
    <row r="220" spans="1:20" ht="15.75" customHeight="1">
      <c r="A220" s="1"/>
      <c r="B220" s="2"/>
      <c r="C220" s="2"/>
      <c r="D220" s="2"/>
      <c r="E220" s="2"/>
      <c r="F220" s="2"/>
      <c r="G220" s="2"/>
      <c r="H220" s="2"/>
      <c r="I220" s="2"/>
      <c r="J220" s="2"/>
      <c r="K220" s="2"/>
      <c r="L220" s="2"/>
      <c r="M220" s="2"/>
      <c r="N220" s="2"/>
      <c r="O220" s="2"/>
      <c r="P220" s="2"/>
      <c r="Q220" s="2"/>
      <c r="R220" s="2"/>
      <c r="S220" s="2"/>
      <c r="T220" s="2"/>
    </row>
    <row r="221" spans="1:20" ht="15.75" customHeight="1">
      <c r="A221" s="1"/>
      <c r="B221" s="2"/>
      <c r="C221" s="2"/>
      <c r="D221" s="2"/>
      <c r="E221" s="2"/>
      <c r="F221" s="2"/>
      <c r="G221" s="2"/>
      <c r="H221" s="2"/>
      <c r="I221" s="2"/>
      <c r="J221" s="2"/>
      <c r="K221" s="2"/>
      <c r="L221" s="2"/>
      <c r="M221" s="2"/>
      <c r="N221" s="2"/>
      <c r="O221" s="2"/>
      <c r="P221" s="2"/>
      <c r="Q221" s="2"/>
      <c r="R221" s="2"/>
      <c r="S221" s="2"/>
      <c r="T221" s="2"/>
    </row>
    <row r="222" spans="1:20" ht="15.75" customHeight="1">
      <c r="A222" s="1"/>
      <c r="B222" s="2"/>
      <c r="C222" s="2"/>
      <c r="D222" s="2"/>
      <c r="E222" s="2"/>
      <c r="F222" s="2"/>
      <c r="G222" s="2"/>
      <c r="H222" s="2"/>
      <c r="I222" s="2"/>
      <c r="J222" s="2"/>
      <c r="K222" s="2"/>
      <c r="L222" s="2"/>
      <c r="M222" s="2"/>
      <c r="N222" s="2"/>
      <c r="O222" s="2"/>
      <c r="P222" s="2"/>
      <c r="Q222" s="2"/>
      <c r="R222" s="2"/>
      <c r="S222" s="2"/>
      <c r="T222" s="2"/>
    </row>
    <row r="223" spans="1:20" ht="15.75" customHeight="1">
      <c r="A223" s="1"/>
      <c r="B223" s="2"/>
      <c r="C223" s="2"/>
      <c r="D223" s="2"/>
      <c r="E223" s="2"/>
      <c r="F223" s="2"/>
      <c r="G223" s="2"/>
      <c r="H223" s="2"/>
      <c r="I223" s="2"/>
      <c r="J223" s="2"/>
      <c r="K223" s="2"/>
      <c r="L223" s="2"/>
      <c r="M223" s="2"/>
      <c r="N223" s="2"/>
      <c r="O223" s="2"/>
      <c r="P223" s="2"/>
      <c r="Q223" s="2"/>
      <c r="R223" s="2"/>
      <c r="S223" s="2"/>
      <c r="T223" s="2"/>
    </row>
    <row r="224" spans="1:20" ht="15.75" customHeight="1">
      <c r="A224" s="1"/>
      <c r="B224" s="2"/>
      <c r="C224" s="2"/>
      <c r="D224" s="2"/>
      <c r="E224" s="2"/>
      <c r="F224" s="2"/>
      <c r="G224" s="2"/>
      <c r="H224" s="2"/>
      <c r="I224" s="2"/>
      <c r="J224" s="2"/>
      <c r="K224" s="2"/>
      <c r="L224" s="2"/>
      <c r="M224" s="2"/>
      <c r="N224" s="2"/>
      <c r="O224" s="2"/>
      <c r="P224" s="2"/>
      <c r="Q224" s="2"/>
      <c r="R224" s="2"/>
      <c r="S224" s="2"/>
      <c r="T224" s="2"/>
    </row>
    <row r="225" spans="1:20" ht="15.75" customHeight="1">
      <c r="A225" s="1"/>
      <c r="B225" s="2"/>
      <c r="C225" s="2"/>
      <c r="D225" s="2"/>
      <c r="E225" s="2"/>
      <c r="F225" s="2"/>
      <c r="G225" s="2"/>
      <c r="H225" s="2"/>
      <c r="I225" s="2"/>
      <c r="J225" s="2"/>
      <c r="K225" s="2"/>
      <c r="L225" s="2"/>
      <c r="M225" s="2"/>
      <c r="N225" s="2"/>
      <c r="O225" s="2"/>
      <c r="P225" s="2"/>
      <c r="Q225" s="2"/>
      <c r="R225" s="2"/>
      <c r="S225" s="2"/>
      <c r="T225" s="2"/>
    </row>
    <row r="226" spans="1:20" ht="15.75" customHeight="1">
      <c r="A226" s="1"/>
      <c r="B226" s="2"/>
      <c r="C226" s="2"/>
      <c r="D226" s="2"/>
      <c r="E226" s="2"/>
      <c r="F226" s="2"/>
      <c r="G226" s="2"/>
      <c r="H226" s="2"/>
      <c r="I226" s="2"/>
      <c r="J226" s="2"/>
      <c r="K226" s="2"/>
      <c r="L226" s="2"/>
      <c r="M226" s="2"/>
      <c r="N226" s="2"/>
      <c r="O226" s="2"/>
      <c r="P226" s="2"/>
      <c r="Q226" s="2"/>
      <c r="R226" s="2"/>
      <c r="S226" s="2"/>
      <c r="T226" s="2"/>
    </row>
    <row r="227" spans="1:20" ht="15.75" customHeight="1">
      <c r="A227" s="1"/>
      <c r="B227" s="2"/>
      <c r="C227" s="2"/>
      <c r="D227" s="2"/>
      <c r="E227" s="2"/>
      <c r="F227" s="2"/>
      <c r="G227" s="2"/>
      <c r="H227" s="2"/>
      <c r="I227" s="2"/>
      <c r="J227" s="2"/>
      <c r="K227" s="2"/>
      <c r="L227" s="2"/>
      <c r="M227" s="2"/>
      <c r="N227" s="2"/>
      <c r="O227" s="2"/>
      <c r="P227" s="2"/>
      <c r="Q227" s="2"/>
      <c r="R227" s="2"/>
      <c r="S227" s="2"/>
      <c r="T227" s="2"/>
    </row>
    <row r="228" spans="1:20" ht="15.75" customHeight="1">
      <c r="A228" s="1"/>
      <c r="B228" s="2"/>
      <c r="C228" s="2"/>
      <c r="D228" s="2"/>
      <c r="E228" s="2"/>
      <c r="F228" s="2"/>
      <c r="G228" s="2"/>
      <c r="H228" s="2"/>
      <c r="I228" s="2"/>
      <c r="J228" s="2"/>
      <c r="K228" s="2"/>
      <c r="L228" s="2"/>
      <c r="M228" s="2"/>
      <c r="N228" s="2"/>
      <c r="O228" s="2"/>
      <c r="P228" s="2"/>
      <c r="Q228" s="2"/>
      <c r="R228" s="2"/>
      <c r="S228" s="2"/>
      <c r="T228" s="2"/>
    </row>
    <row r="229" spans="1:20" ht="15.75" customHeight="1">
      <c r="A229" s="1"/>
      <c r="B229" s="2"/>
      <c r="C229" s="2"/>
      <c r="D229" s="2"/>
      <c r="E229" s="2"/>
      <c r="F229" s="2"/>
      <c r="G229" s="2"/>
      <c r="H229" s="2"/>
      <c r="I229" s="2"/>
      <c r="J229" s="2"/>
      <c r="K229" s="2"/>
      <c r="L229" s="2"/>
      <c r="M229" s="2"/>
      <c r="N229" s="2"/>
      <c r="O229" s="2"/>
      <c r="P229" s="2"/>
      <c r="Q229" s="2"/>
      <c r="R229" s="2"/>
      <c r="S229" s="2"/>
      <c r="T229" s="2"/>
    </row>
    <row r="230" spans="1:20" ht="15.75" customHeight="1">
      <c r="A230" s="1"/>
      <c r="B230" s="2"/>
      <c r="C230" s="2"/>
      <c r="D230" s="2"/>
      <c r="E230" s="2"/>
      <c r="F230" s="2"/>
      <c r="G230" s="2"/>
      <c r="H230" s="2"/>
      <c r="I230" s="2"/>
      <c r="J230" s="2"/>
      <c r="K230" s="2"/>
      <c r="L230" s="2"/>
      <c r="M230" s="2"/>
      <c r="N230" s="2"/>
      <c r="O230" s="2"/>
      <c r="P230" s="2"/>
      <c r="Q230" s="2"/>
      <c r="R230" s="2"/>
      <c r="S230" s="2"/>
      <c r="T230" s="2"/>
    </row>
    <row r="231" spans="1:20" ht="15.75" customHeight="1">
      <c r="A231" s="1"/>
      <c r="B231" s="2"/>
      <c r="C231" s="2"/>
      <c r="D231" s="2"/>
      <c r="E231" s="2"/>
      <c r="F231" s="2"/>
      <c r="G231" s="2"/>
      <c r="H231" s="2"/>
      <c r="I231" s="2"/>
      <c r="J231" s="2"/>
      <c r="K231" s="2"/>
      <c r="L231" s="2"/>
      <c r="M231" s="2"/>
      <c r="N231" s="2"/>
      <c r="O231" s="2"/>
      <c r="P231" s="2"/>
      <c r="Q231" s="2"/>
      <c r="R231" s="2"/>
      <c r="S231" s="2"/>
      <c r="T231" s="2"/>
    </row>
    <row r="232" spans="1:20" ht="15.75" customHeight="1">
      <c r="A232" s="1"/>
      <c r="B232" s="2"/>
      <c r="C232" s="2"/>
      <c r="D232" s="2"/>
      <c r="E232" s="2"/>
      <c r="F232" s="2"/>
      <c r="G232" s="2"/>
      <c r="H232" s="2"/>
      <c r="I232" s="2"/>
      <c r="J232" s="2"/>
      <c r="K232" s="2"/>
      <c r="L232" s="2"/>
      <c r="M232" s="2"/>
      <c r="N232" s="2"/>
      <c r="O232" s="2"/>
      <c r="P232" s="2"/>
      <c r="Q232" s="2"/>
      <c r="R232" s="2"/>
      <c r="S232" s="2"/>
      <c r="T232" s="2"/>
    </row>
    <row r="233" spans="1:20" ht="15.75" customHeight="1">
      <c r="A233" s="1"/>
      <c r="B233" s="2"/>
      <c r="C233" s="2"/>
      <c r="D233" s="2"/>
      <c r="E233" s="2"/>
      <c r="F233" s="2"/>
      <c r="G233" s="2"/>
      <c r="H233" s="2"/>
      <c r="I233" s="2"/>
      <c r="J233" s="2"/>
      <c r="K233" s="2"/>
      <c r="L233" s="2"/>
      <c r="M233" s="2"/>
      <c r="N233" s="2"/>
      <c r="O233" s="2"/>
      <c r="P233" s="2"/>
      <c r="Q233" s="2"/>
      <c r="R233" s="2"/>
      <c r="S233" s="2"/>
      <c r="T233" s="2"/>
    </row>
    <row r="234" spans="1:20" ht="15.75" customHeight="1">
      <c r="A234" s="1"/>
      <c r="B234" s="2"/>
      <c r="C234" s="2"/>
      <c r="D234" s="2"/>
      <c r="E234" s="2"/>
      <c r="F234" s="2"/>
      <c r="G234" s="2"/>
      <c r="H234" s="2"/>
      <c r="I234" s="2"/>
      <c r="J234" s="2"/>
      <c r="K234" s="2"/>
      <c r="L234" s="2"/>
      <c r="M234" s="2"/>
      <c r="N234" s="2"/>
      <c r="O234" s="2"/>
      <c r="P234" s="2"/>
      <c r="Q234" s="2"/>
      <c r="R234" s="2"/>
      <c r="S234" s="2"/>
      <c r="T234" s="2"/>
    </row>
    <row r="235" spans="1:20" ht="15.75" customHeight="1">
      <c r="A235" s="1"/>
      <c r="B235" s="2"/>
      <c r="C235" s="2"/>
      <c r="D235" s="2"/>
      <c r="E235" s="2"/>
      <c r="F235" s="2"/>
      <c r="G235" s="2"/>
      <c r="H235" s="2"/>
      <c r="I235" s="2"/>
      <c r="J235" s="2"/>
      <c r="K235" s="2"/>
      <c r="L235" s="2"/>
      <c r="M235" s="2"/>
      <c r="N235" s="2"/>
      <c r="O235" s="2"/>
      <c r="P235" s="2"/>
      <c r="Q235" s="2"/>
      <c r="R235" s="2"/>
      <c r="S235" s="2"/>
      <c r="T235" s="2"/>
    </row>
    <row r="236" spans="1:20" ht="15.75" customHeight="1">
      <c r="A236" s="1"/>
      <c r="B236" s="2"/>
      <c r="C236" s="2"/>
      <c r="D236" s="2"/>
      <c r="E236" s="2"/>
      <c r="F236" s="2"/>
      <c r="G236" s="2"/>
      <c r="H236" s="2"/>
      <c r="I236" s="2"/>
      <c r="J236" s="2"/>
      <c r="K236" s="2"/>
      <c r="L236" s="2"/>
      <c r="M236" s="2"/>
      <c r="N236" s="2"/>
      <c r="O236" s="2"/>
      <c r="P236" s="2"/>
      <c r="Q236" s="2"/>
      <c r="R236" s="2"/>
      <c r="S236" s="2"/>
      <c r="T236" s="2"/>
    </row>
    <row r="237" spans="1:20" ht="15.75" customHeight="1">
      <c r="A237" s="1"/>
      <c r="B237" s="2"/>
      <c r="C237" s="2"/>
      <c r="D237" s="2"/>
      <c r="E237" s="2"/>
      <c r="F237" s="2"/>
      <c r="G237" s="2"/>
      <c r="H237" s="2"/>
      <c r="I237" s="2"/>
      <c r="J237" s="2"/>
      <c r="K237" s="2"/>
      <c r="L237" s="2"/>
      <c r="M237" s="2"/>
      <c r="N237" s="2"/>
      <c r="O237" s="2"/>
      <c r="P237" s="2"/>
      <c r="Q237" s="2"/>
      <c r="R237" s="2"/>
      <c r="S237" s="2"/>
      <c r="T237" s="2"/>
    </row>
    <row r="238" spans="1:20" ht="15.75" customHeight="1">
      <c r="A238" s="1"/>
      <c r="B238" s="2"/>
      <c r="C238" s="2"/>
      <c r="D238" s="2"/>
      <c r="E238" s="2"/>
      <c r="F238" s="2"/>
      <c r="G238" s="2"/>
      <c r="H238" s="2"/>
      <c r="I238" s="2"/>
      <c r="J238" s="2"/>
      <c r="K238" s="2"/>
      <c r="L238" s="2"/>
      <c r="M238" s="2"/>
      <c r="N238" s="2"/>
      <c r="O238" s="2"/>
      <c r="P238" s="2"/>
      <c r="Q238" s="2"/>
      <c r="R238" s="2"/>
      <c r="S238" s="2"/>
      <c r="T238" s="2"/>
    </row>
    <row r="239" spans="1:20" ht="15.75" customHeight="1">
      <c r="A239" s="1"/>
      <c r="B239" s="2"/>
      <c r="C239" s="2"/>
      <c r="D239" s="2"/>
      <c r="E239" s="2"/>
      <c r="F239" s="2"/>
      <c r="G239" s="2"/>
      <c r="H239" s="2"/>
      <c r="I239" s="2"/>
      <c r="J239" s="2"/>
      <c r="K239" s="2"/>
      <c r="L239" s="2"/>
      <c r="M239" s="2"/>
      <c r="N239" s="2"/>
      <c r="O239" s="2"/>
      <c r="P239" s="2"/>
      <c r="Q239" s="2"/>
      <c r="R239" s="2"/>
      <c r="S239" s="2"/>
      <c r="T239" s="2"/>
    </row>
    <row r="240" spans="1:20" ht="15.75" customHeight="1">
      <c r="A240" s="1"/>
      <c r="B240" s="2"/>
      <c r="C240" s="2"/>
      <c r="D240" s="2"/>
      <c r="E240" s="2"/>
      <c r="F240" s="2"/>
      <c r="G240" s="2"/>
      <c r="H240" s="2"/>
      <c r="I240" s="2"/>
      <c r="J240" s="2"/>
      <c r="K240" s="2"/>
      <c r="L240" s="2"/>
      <c r="M240" s="2"/>
      <c r="N240" s="2"/>
      <c r="O240" s="2"/>
      <c r="P240" s="2"/>
      <c r="Q240" s="2"/>
      <c r="R240" s="2"/>
      <c r="S240" s="2"/>
      <c r="T240" s="2"/>
    </row>
    <row r="241" spans="1:20" ht="15.75" customHeight="1">
      <c r="A241" s="1"/>
      <c r="B241" s="2"/>
      <c r="C241" s="2"/>
      <c r="D241" s="2"/>
      <c r="E241" s="2"/>
      <c r="F241" s="2"/>
      <c r="G241" s="2"/>
      <c r="H241" s="2"/>
      <c r="I241" s="2"/>
      <c r="J241" s="2"/>
      <c r="K241" s="2"/>
      <c r="L241" s="2"/>
      <c r="M241" s="2"/>
      <c r="N241" s="2"/>
      <c r="O241" s="2"/>
      <c r="P241" s="2"/>
      <c r="Q241" s="2"/>
      <c r="R241" s="2"/>
      <c r="S241" s="2"/>
      <c r="T241" s="2"/>
    </row>
    <row r="242" spans="1:20" ht="15.75" customHeight="1">
      <c r="A242" s="1"/>
      <c r="B242" s="2"/>
      <c r="C242" s="2"/>
      <c r="D242" s="2"/>
      <c r="E242" s="2"/>
      <c r="F242" s="2"/>
      <c r="G242" s="2"/>
      <c r="H242" s="2"/>
      <c r="I242" s="2"/>
      <c r="J242" s="2"/>
      <c r="K242" s="2"/>
      <c r="L242" s="2"/>
      <c r="M242" s="2"/>
      <c r="N242" s="2"/>
      <c r="O242" s="2"/>
      <c r="P242" s="2"/>
      <c r="Q242" s="2"/>
      <c r="R242" s="2"/>
      <c r="S242" s="2"/>
      <c r="T242" s="2"/>
    </row>
    <row r="243" spans="1:20" ht="15.75" customHeight="1">
      <c r="A243" s="1"/>
      <c r="B243" s="2"/>
      <c r="C243" s="2"/>
      <c r="D243" s="2"/>
      <c r="E243" s="2"/>
      <c r="F243" s="2"/>
      <c r="G243" s="2"/>
      <c r="H243" s="2"/>
      <c r="I243" s="2"/>
      <c r="J243" s="2"/>
      <c r="K243" s="2"/>
      <c r="L243" s="2"/>
      <c r="M243" s="2"/>
      <c r="N243" s="2"/>
      <c r="O243" s="2"/>
      <c r="P243" s="2"/>
      <c r="Q243" s="2"/>
      <c r="R243" s="2"/>
      <c r="S243" s="2"/>
      <c r="T243" s="2"/>
    </row>
    <row r="244" spans="1:20" ht="15.75" customHeight="1">
      <c r="A244" s="1"/>
      <c r="B244" s="2"/>
      <c r="C244" s="2"/>
      <c r="D244" s="2"/>
      <c r="E244" s="2"/>
      <c r="F244" s="2"/>
      <c r="G244" s="2"/>
      <c r="H244" s="2"/>
      <c r="I244" s="2"/>
      <c r="J244" s="2"/>
      <c r="K244" s="2"/>
      <c r="L244" s="2"/>
      <c r="M244" s="2"/>
      <c r="N244" s="2"/>
      <c r="O244" s="2"/>
      <c r="P244" s="2"/>
      <c r="Q244" s="2"/>
      <c r="R244" s="2"/>
      <c r="S244" s="2"/>
      <c r="T244" s="2"/>
    </row>
    <row r="245" spans="1:20" ht="15.75" customHeight="1">
      <c r="A245" s="1"/>
      <c r="B245" s="2"/>
      <c r="C245" s="2"/>
      <c r="D245" s="2"/>
      <c r="E245" s="2"/>
      <c r="F245" s="2"/>
      <c r="G245" s="2"/>
      <c r="H245" s="2"/>
      <c r="I245" s="2"/>
      <c r="J245" s="2"/>
      <c r="K245" s="2"/>
      <c r="L245" s="2"/>
      <c r="M245" s="2"/>
      <c r="N245" s="2"/>
      <c r="O245" s="2"/>
      <c r="P245" s="2"/>
      <c r="Q245" s="2"/>
      <c r="R245" s="2"/>
      <c r="S245" s="2"/>
      <c r="T245" s="2"/>
    </row>
    <row r="246" spans="1:20" ht="15.75" customHeight="1">
      <c r="A246" s="1"/>
      <c r="B246" s="2"/>
      <c r="C246" s="2"/>
      <c r="D246" s="2"/>
      <c r="E246" s="2"/>
      <c r="F246" s="2"/>
      <c r="G246" s="2"/>
      <c r="H246" s="2"/>
      <c r="I246" s="2"/>
      <c r="J246" s="2"/>
      <c r="K246" s="2"/>
      <c r="L246" s="2"/>
      <c r="M246" s="2"/>
      <c r="N246" s="2"/>
      <c r="O246" s="2"/>
      <c r="P246" s="2"/>
      <c r="Q246" s="2"/>
      <c r="R246" s="2"/>
      <c r="S246" s="2"/>
      <c r="T246" s="2"/>
    </row>
    <row r="247" spans="1:20" ht="15.75" customHeight="1">
      <c r="A247" s="1"/>
      <c r="B247" s="2"/>
      <c r="C247" s="2"/>
      <c r="D247" s="2"/>
      <c r="E247" s="2"/>
      <c r="F247" s="2"/>
      <c r="G247" s="2"/>
      <c r="H247" s="2"/>
      <c r="I247" s="2"/>
      <c r="J247" s="2"/>
      <c r="K247" s="2"/>
      <c r="L247" s="2"/>
      <c r="M247" s="2"/>
      <c r="N247" s="2"/>
      <c r="O247" s="2"/>
      <c r="P247" s="2"/>
      <c r="Q247" s="2"/>
      <c r="R247" s="2"/>
      <c r="S247" s="2"/>
      <c r="T247" s="2"/>
    </row>
    <row r="248" spans="1:20" ht="15.75" customHeight="1">
      <c r="A248" s="1"/>
      <c r="B248" s="2"/>
      <c r="C248" s="2"/>
      <c r="D248" s="2"/>
      <c r="E248" s="2"/>
      <c r="F248" s="2"/>
      <c r="G248" s="2"/>
      <c r="H248" s="2"/>
      <c r="I248" s="2"/>
      <c r="J248" s="2"/>
      <c r="K248" s="2"/>
      <c r="L248" s="2"/>
      <c r="M248" s="2"/>
      <c r="N248" s="2"/>
      <c r="O248" s="2"/>
      <c r="P248" s="2"/>
      <c r="Q248" s="2"/>
      <c r="R248" s="2"/>
      <c r="S248" s="2"/>
      <c r="T248" s="2"/>
    </row>
    <row r="249" spans="1:20" ht="15.75" customHeight="1">
      <c r="A249" s="1"/>
      <c r="B249" s="2"/>
      <c r="C249" s="2"/>
      <c r="D249" s="2"/>
      <c r="E249" s="2"/>
      <c r="F249" s="2"/>
      <c r="G249" s="2"/>
      <c r="H249" s="2"/>
      <c r="I249" s="2"/>
      <c r="J249" s="2"/>
      <c r="K249" s="2"/>
      <c r="L249" s="2"/>
      <c r="M249" s="2"/>
      <c r="N249" s="2"/>
      <c r="O249" s="2"/>
      <c r="P249" s="2"/>
      <c r="Q249" s="2"/>
      <c r="R249" s="2"/>
      <c r="S249" s="2"/>
      <c r="T249" s="2"/>
    </row>
    <row r="250" spans="1:20" ht="15.75" customHeight="1">
      <c r="A250" s="1"/>
      <c r="B250" s="2"/>
      <c r="C250" s="2"/>
      <c r="D250" s="2"/>
      <c r="E250" s="2"/>
      <c r="F250" s="2"/>
      <c r="G250" s="2"/>
      <c r="H250" s="2"/>
      <c r="I250" s="2"/>
      <c r="J250" s="2"/>
      <c r="K250" s="2"/>
      <c r="L250" s="2"/>
      <c r="M250" s="2"/>
      <c r="N250" s="2"/>
      <c r="O250" s="2"/>
      <c r="P250" s="2"/>
      <c r="Q250" s="2"/>
      <c r="R250" s="2"/>
      <c r="S250" s="2"/>
      <c r="T250" s="2"/>
    </row>
    <row r="251" spans="1:20" ht="15.75" customHeight="1">
      <c r="A251" s="1"/>
      <c r="B251" s="2"/>
      <c r="C251" s="2"/>
      <c r="D251" s="2"/>
      <c r="E251" s="2"/>
      <c r="F251" s="2"/>
      <c r="G251" s="2"/>
      <c r="H251" s="2"/>
      <c r="I251" s="2"/>
      <c r="J251" s="2"/>
      <c r="K251" s="2"/>
      <c r="L251" s="2"/>
      <c r="M251" s="2"/>
      <c r="N251" s="2"/>
      <c r="O251" s="2"/>
      <c r="P251" s="2"/>
      <c r="Q251" s="2"/>
      <c r="R251" s="2"/>
      <c r="S251" s="2"/>
      <c r="T251" s="2"/>
    </row>
    <row r="252" spans="1:20" ht="15.75" customHeight="1">
      <c r="A252" s="1"/>
      <c r="B252" s="2"/>
      <c r="C252" s="2"/>
      <c r="D252" s="2"/>
      <c r="E252" s="2"/>
      <c r="F252" s="2"/>
      <c r="G252" s="2"/>
      <c r="H252" s="2"/>
      <c r="I252" s="2"/>
      <c r="J252" s="2"/>
      <c r="K252" s="2"/>
      <c r="L252" s="2"/>
      <c r="M252" s="2"/>
      <c r="N252" s="2"/>
      <c r="O252" s="2"/>
      <c r="P252" s="2"/>
      <c r="Q252" s="2"/>
      <c r="R252" s="2"/>
      <c r="S252" s="2"/>
      <c r="T252" s="2"/>
    </row>
    <row r="253" spans="1:20" ht="15.75" customHeight="1">
      <c r="A253" s="1"/>
      <c r="B253" s="2"/>
      <c r="C253" s="2"/>
      <c r="D253" s="2"/>
      <c r="E253" s="2"/>
      <c r="F253" s="2"/>
      <c r="G253" s="2"/>
      <c r="H253" s="2"/>
      <c r="I253" s="2"/>
      <c r="J253" s="2"/>
      <c r="K253" s="2"/>
      <c r="L253" s="2"/>
      <c r="M253" s="2"/>
      <c r="N253" s="2"/>
      <c r="O253" s="2"/>
      <c r="P253" s="2"/>
      <c r="Q253" s="2"/>
      <c r="R253" s="2"/>
      <c r="S253" s="2"/>
      <c r="T253" s="2"/>
    </row>
    <row r="254" spans="1:20" ht="15.75" customHeight="1">
      <c r="A254" s="1"/>
      <c r="B254" s="2"/>
      <c r="C254" s="2"/>
      <c r="D254" s="2"/>
      <c r="E254" s="2"/>
      <c r="F254" s="2"/>
      <c r="G254" s="2"/>
      <c r="H254" s="2"/>
      <c r="I254" s="2"/>
      <c r="J254" s="2"/>
      <c r="K254" s="2"/>
      <c r="L254" s="2"/>
      <c r="M254" s="2"/>
      <c r="N254" s="2"/>
      <c r="O254" s="2"/>
      <c r="P254" s="2"/>
      <c r="Q254" s="2"/>
      <c r="R254" s="2"/>
      <c r="S254" s="2"/>
      <c r="T254" s="2"/>
    </row>
    <row r="255" spans="1:20" ht="15.75" customHeight="1">
      <c r="A255" s="1"/>
      <c r="B255" s="2"/>
      <c r="C255" s="2"/>
      <c r="D255" s="2"/>
      <c r="E255" s="2"/>
      <c r="F255" s="2"/>
      <c r="G255" s="2"/>
      <c r="H255" s="2"/>
      <c r="I255" s="2"/>
      <c r="J255" s="2"/>
      <c r="K255" s="2"/>
      <c r="L255" s="2"/>
      <c r="M255" s="2"/>
      <c r="N255" s="2"/>
      <c r="O255" s="2"/>
      <c r="P255" s="2"/>
      <c r="Q255" s="2"/>
      <c r="R255" s="2"/>
      <c r="S255" s="2"/>
      <c r="T255" s="2"/>
    </row>
    <row r="256" spans="1:20" ht="15.75" customHeight="1">
      <c r="A256" s="1"/>
      <c r="B256" s="2"/>
      <c r="C256" s="2"/>
      <c r="D256" s="2"/>
      <c r="E256" s="2"/>
      <c r="F256" s="2"/>
      <c r="G256" s="2"/>
      <c r="H256" s="2"/>
      <c r="I256" s="2"/>
      <c r="J256" s="2"/>
      <c r="K256" s="2"/>
      <c r="L256" s="2"/>
      <c r="M256" s="2"/>
      <c r="N256" s="2"/>
      <c r="O256" s="2"/>
      <c r="P256" s="2"/>
      <c r="Q256" s="2"/>
      <c r="R256" s="2"/>
      <c r="S256" s="2"/>
      <c r="T256" s="2"/>
    </row>
    <row r="257" spans="1:20" ht="15.75" customHeight="1">
      <c r="A257" s="1"/>
      <c r="B257" s="2"/>
      <c r="C257" s="2"/>
      <c r="D257" s="2"/>
      <c r="E257" s="2"/>
      <c r="F257" s="2"/>
      <c r="G257" s="2"/>
      <c r="H257" s="2"/>
      <c r="I257" s="2"/>
      <c r="J257" s="2"/>
      <c r="K257" s="2"/>
      <c r="L257" s="2"/>
      <c r="M257" s="2"/>
      <c r="N257" s="2"/>
      <c r="O257" s="2"/>
      <c r="P257" s="2"/>
      <c r="Q257" s="2"/>
      <c r="R257" s="2"/>
      <c r="S257" s="2"/>
      <c r="T257" s="2"/>
    </row>
    <row r="258" spans="1:20" ht="15.75" customHeight="1">
      <c r="A258" s="1"/>
      <c r="B258" s="2"/>
      <c r="C258" s="2"/>
      <c r="D258" s="2"/>
      <c r="E258" s="2"/>
      <c r="F258" s="2"/>
      <c r="G258" s="2"/>
      <c r="H258" s="2"/>
      <c r="I258" s="2"/>
      <c r="J258" s="2"/>
      <c r="K258" s="2"/>
      <c r="L258" s="2"/>
      <c r="M258" s="2"/>
      <c r="N258" s="2"/>
      <c r="O258" s="2"/>
      <c r="P258" s="2"/>
      <c r="Q258" s="2"/>
      <c r="R258" s="2"/>
      <c r="S258" s="2"/>
      <c r="T258" s="2"/>
    </row>
    <row r="259" spans="1:20" ht="15.75" customHeight="1">
      <c r="A259" s="1"/>
      <c r="B259" s="2"/>
      <c r="C259" s="2"/>
      <c r="D259" s="2"/>
      <c r="E259" s="2"/>
      <c r="F259" s="2"/>
      <c r="G259" s="2"/>
      <c r="H259" s="2"/>
      <c r="I259" s="2"/>
      <c r="J259" s="2"/>
      <c r="K259" s="2"/>
      <c r="L259" s="2"/>
      <c r="M259" s="2"/>
      <c r="N259" s="2"/>
      <c r="O259" s="2"/>
      <c r="P259" s="2"/>
      <c r="Q259" s="2"/>
      <c r="R259" s="2"/>
      <c r="S259" s="2"/>
      <c r="T259" s="2"/>
    </row>
    <row r="260" spans="1:20" ht="15.75" customHeight="1">
      <c r="A260" s="1"/>
      <c r="B260" s="2"/>
      <c r="C260" s="2"/>
      <c r="D260" s="2"/>
      <c r="E260" s="2"/>
      <c r="F260" s="2"/>
      <c r="G260" s="2"/>
      <c r="H260" s="2"/>
      <c r="I260" s="2"/>
      <c r="J260" s="2"/>
      <c r="K260" s="2"/>
      <c r="L260" s="2"/>
      <c r="M260" s="2"/>
      <c r="N260" s="2"/>
      <c r="O260" s="2"/>
      <c r="P260" s="2"/>
      <c r="Q260" s="2"/>
      <c r="R260" s="2"/>
      <c r="S260" s="2"/>
      <c r="T260" s="2"/>
    </row>
    <row r="261" spans="1:20" ht="15.75" customHeight="1">
      <c r="A261" s="1"/>
      <c r="B261" s="2"/>
      <c r="C261" s="2"/>
      <c r="D261" s="2"/>
      <c r="E261" s="2"/>
      <c r="F261" s="2"/>
      <c r="G261" s="2"/>
      <c r="H261" s="2"/>
      <c r="I261" s="2"/>
      <c r="J261" s="2"/>
      <c r="K261" s="2"/>
      <c r="L261" s="2"/>
      <c r="M261" s="2"/>
      <c r="N261" s="2"/>
      <c r="O261" s="2"/>
      <c r="P261" s="2"/>
      <c r="Q261" s="2"/>
      <c r="R261" s="2"/>
      <c r="S261" s="2"/>
      <c r="T261" s="2"/>
    </row>
    <row r="262" spans="1:20" ht="15.75" customHeight="1">
      <c r="A262" s="1"/>
      <c r="B262" s="2"/>
      <c r="C262" s="2"/>
      <c r="D262" s="2"/>
      <c r="E262" s="2"/>
      <c r="F262" s="2"/>
      <c r="G262" s="2"/>
      <c r="H262" s="2"/>
      <c r="I262" s="2"/>
      <c r="J262" s="2"/>
      <c r="K262" s="2"/>
      <c r="L262" s="2"/>
      <c r="M262" s="2"/>
      <c r="N262" s="2"/>
      <c r="O262" s="2"/>
      <c r="P262" s="2"/>
      <c r="Q262" s="2"/>
      <c r="R262" s="2"/>
      <c r="S262" s="2"/>
      <c r="T262" s="2"/>
    </row>
    <row r="263" spans="1:20" ht="15.75" customHeight="1">
      <c r="A263" s="1"/>
      <c r="B263" s="2"/>
      <c r="C263" s="2"/>
      <c r="D263" s="2"/>
      <c r="E263" s="2"/>
      <c r="F263" s="2"/>
      <c r="G263" s="2"/>
      <c r="H263" s="2"/>
      <c r="I263" s="2"/>
      <c r="J263" s="2"/>
      <c r="K263" s="2"/>
      <c r="L263" s="2"/>
      <c r="M263" s="2"/>
      <c r="N263" s="2"/>
      <c r="O263" s="2"/>
      <c r="P263" s="2"/>
      <c r="Q263" s="2"/>
      <c r="R263" s="2"/>
      <c r="S263" s="2"/>
      <c r="T263" s="2"/>
    </row>
    <row r="264" spans="1:20" ht="15.75" customHeight="1">
      <c r="A264" s="1"/>
      <c r="B264" s="2"/>
      <c r="C264" s="2"/>
      <c r="D264" s="2"/>
      <c r="E264" s="2"/>
      <c r="F264" s="2"/>
      <c r="G264" s="2"/>
      <c r="H264" s="2"/>
      <c r="I264" s="2"/>
      <c r="J264" s="2"/>
      <c r="K264" s="2"/>
      <c r="L264" s="2"/>
      <c r="M264" s="2"/>
      <c r="N264" s="2"/>
      <c r="O264" s="2"/>
      <c r="P264" s="2"/>
      <c r="Q264" s="2"/>
      <c r="R264" s="2"/>
      <c r="S264" s="2"/>
      <c r="T264" s="2"/>
    </row>
    <row r="265" spans="1:20" ht="15.75" customHeight="1">
      <c r="A265" s="1"/>
      <c r="B265" s="2"/>
      <c r="C265" s="2"/>
      <c r="D265" s="2"/>
      <c r="E265" s="2"/>
      <c r="F265" s="2"/>
      <c r="G265" s="2"/>
      <c r="H265" s="2"/>
      <c r="I265" s="2"/>
      <c r="J265" s="2"/>
      <c r="K265" s="2"/>
      <c r="L265" s="2"/>
      <c r="M265" s="2"/>
      <c r="N265" s="2"/>
      <c r="O265" s="2"/>
      <c r="P265" s="2"/>
      <c r="Q265" s="2"/>
      <c r="R265" s="2"/>
      <c r="S265" s="2"/>
      <c r="T265" s="2"/>
    </row>
    <row r="266" spans="1:20" ht="15.75" customHeight="1">
      <c r="A266" s="1"/>
      <c r="B266" s="2"/>
      <c r="C266" s="2"/>
      <c r="D266" s="2"/>
      <c r="E266" s="2"/>
      <c r="F266" s="2"/>
      <c r="G266" s="2"/>
      <c r="H266" s="2"/>
      <c r="I266" s="2"/>
      <c r="J266" s="2"/>
      <c r="K266" s="2"/>
      <c r="L266" s="2"/>
      <c r="M266" s="2"/>
      <c r="N266" s="2"/>
      <c r="O266" s="2"/>
      <c r="P266" s="2"/>
      <c r="Q266" s="2"/>
      <c r="R266" s="2"/>
      <c r="S266" s="2"/>
      <c r="T266" s="2"/>
    </row>
    <row r="267" spans="1:20" ht="15.75" customHeight="1">
      <c r="A267" s="1"/>
      <c r="B267" s="2"/>
      <c r="C267" s="2"/>
      <c r="D267" s="2"/>
      <c r="E267" s="2"/>
      <c r="F267" s="2"/>
      <c r="G267" s="2"/>
      <c r="H267" s="2"/>
      <c r="I267" s="2"/>
      <c r="J267" s="2"/>
      <c r="K267" s="2"/>
      <c r="L267" s="2"/>
      <c r="M267" s="2"/>
      <c r="N267" s="2"/>
      <c r="O267" s="2"/>
      <c r="P267" s="2"/>
      <c r="Q267" s="2"/>
      <c r="R267" s="2"/>
      <c r="S267" s="2"/>
      <c r="T267" s="2"/>
    </row>
    <row r="268" spans="1:20" ht="15.75" customHeight="1">
      <c r="A268" s="1"/>
      <c r="B268" s="2"/>
      <c r="C268" s="2"/>
      <c r="D268" s="2"/>
      <c r="E268" s="2"/>
      <c r="F268" s="2"/>
      <c r="G268" s="2"/>
      <c r="H268" s="2"/>
      <c r="I268" s="2"/>
      <c r="J268" s="2"/>
      <c r="K268" s="2"/>
      <c r="L268" s="2"/>
      <c r="M268" s="2"/>
      <c r="N268" s="2"/>
      <c r="O268" s="2"/>
      <c r="P268" s="2"/>
      <c r="Q268" s="2"/>
      <c r="R268" s="2"/>
      <c r="S268" s="2"/>
      <c r="T268" s="2"/>
    </row>
    <row r="269" spans="1:20" ht="15.75" customHeight="1">
      <c r="A269" s="1"/>
      <c r="B269" s="2"/>
      <c r="C269" s="2"/>
      <c r="D269" s="2"/>
      <c r="E269" s="2"/>
      <c r="F269" s="2"/>
      <c r="G269" s="2"/>
      <c r="H269" s="2"/>
      <c r="I269" s="2"/>
      <c r="J269" s="2"/>
      <c r="K269" s="2"/>
      <c r="L269" s="2"/>
      <c r="M269" s="2"/>
      <c r="N269" s="2"/>
      <c r="O269" s="2"/>
      <c r="P269" s="2"/>
      <c r="Q269" s="2"/>
      <c r="R269" s="2"/>
      <c r="S269" s="2"/>
      <c r="T269" s="2"/>
    </row>
    <row r="270" spans="1:20" ht="15.75" customHeight="1">
      <c r="A270" s="1"/>
      <c r="B270" s="2"/>
      <c r="C270" s="2"/>
      <c r="D270" s="2"/>
      <c r="E270" s="2"/>
      <c r="F270" s="2"/>
      <c r="G270" s="2"/>
      <c r="H270" s="2"/>
      <c r="I270" s="2"/>
      <c r="J270" s="2"/>
      <c r="K270" s="2"/>
      <c r="L270" s="2"/>
      <c r="M270" s="2"/>
      <c r="N270" s="2"/>
      <c r="O270" s="2"/>
      <c r="P270" s="2"/>
      <c r="Q270" s="2"/>
      <c r="R270" s="2"/>
      <c r="S270" s="2"/>
      <c r="T270" s="2"/>
    </row>
    <row r="271" spans="1:20" ht="15.75" customHeight="1">
      <c r="A271" s="1"/>
      <c r="B271" s="2"/>
      <c r="C271" s="2"/>
      <c r="D271" s="2"/>
      <c r="E271" s="2"/>
      <c r="F271" s="2"/>
      <c r="G271" s="2"/>
      <c r="H271" s="2"/>
      <c r="I271" s="2"/>
      <c r="J271" s="2"/>
      <c r="K271" s="2"/>
      <c r="L271" s="2"/>
      <c r="M271" s="2"/>
      <c r="N271" s="2"/>
      <c r="O271" s="2"/>
      <c r="P271" s="2"/>
      <c r="Q271" s="2"/>
      <c r="R271" s="2"/>
      <c r="S271" s="2"/>
      <c r="T271" s="2"/>
    </row>
    <row r="272" spans="1:20" ht="15.75" customHeight="1">
      <c r="A272" s="1"/>
      <c r="B272" s="2"/>
      <c r="C272" s="2"/>
      <c r="D272" s="2"/>
      <c r="E272" s="2"/>
      <c r="F272" s="2"/>
      <c r="G272" s="2"/>
      <c r="H272" s="2"/>
      <c r="I272" s="2"/>
      <c r="J272" s="2"/>
      <c r="K272" s="2"/>
      <c r="L272" s="2"/>
      <c r="M272" s="2"/>
      <c r="N272" s="2"/>
      <c r="O272" s="2"/>
      <c r="P272" s="2"/>
      <c r="Q272" s="2"/>
      <c r="R272" s="2"/>
      <c r="S272" s="2"/>
      <c r="T272" s="2"/>
    </row>
    <row r="273" spans="1:20" ht="15.75" customHeight="1">
      <c r="A273" s="1"/>
      <c r="B273" s="2"/>
      <c r="C273" s="2"/>
      <c r="D273" s="2"/>
      <c r="E273" s="2"/>
      <c r="F273" s="2"/>
      <c r="G273" s="2"/>
      <c r="H273" s="2"/>
      <c r="I273" s="2"/>
      <c r="J273" s="2"/>
      <c r="K273" s="2"/>
      <c r="L273" s="2"/>
      <c r="M273" s="2"/>
      <c r="N273" s="2"/>
      <c r="O273" s="2"/>
      <c r="P273" s="2"/>
      <c r="Q273" s="2"/>
      <c r="R273" s="2"/>
      <c r="S273" s="2"/>
      <c r="T273" s="2"/>
    </row>
    <row r="274" spans="1:20" ht="15.75" customHeight="1">
      <c r="A274" s="1"/>
      <c r="B274" s="2"/>
      <c r="C274" s="2"/>
      <c r="D274" s="2"/>
      <c r="E274" s="2"/>
      <c r="F274" s="2"/>
      <c r="G274" s="2"/>
      <c r="H274" s="2"/>
      <c r="I274" s="2"/>
      <c r="J274" s="2"/>
      <c r="K274" s="2"/>
      <c r="L274" s="2"/>
      <c r="M274" s="2"/>
      <c r="N274" s="2"/>
      <c r="O274" s="2"/>
      <c r="P274" s="2"/>
      <c r="Q274" s="2"/>
      <c r="R274" s="2"/>
      <c r="S274" s="2"/>
      <c r="T274" s="2"/>
    </row>
    <row r="275" spans="1:20" ht="15.75" customHeight="1">
      <c r="A275" s="1"/>
      <c r="B275" s="2"/>
      <c r="C275" s="2"/>
      <c r="D275" s="2"/>
      <c r="E275" s="2"/>
      <c r="F275" s="2"/>
      <c r="G275" s="2"/>
      <c r="H275" s="2"/>
      <c r="I275" s="2"/>
      <c r="J275" s="2"/>
      <c r="K275" s="2"/>
      <c r="L275" s="2"/>
      <c r="M275" s="2"/>
      <c r="N275" s="2"/>
      <c r="O275" s="2"/>
      <c r="P275" s="2"/>
      <c r="Q275" s="2"/>
      <c r="R275" s="2"/>
      <c r="S275" s="2"/>
      <c r="T275" s="2"/>
    </row>
    <row r="276" spans="1:20" ht="15.75" customHeight="1">
      <c r="A276" s="1"/>
      <c r="B276" s="2"/>
      <c r="C276" s="2"/>
      <c r="D276" s="2"/>
      <c r="E276" s="2"/>
      <c r="F276" s="2"/>
      <c r="G276" s="2"/>
      <c r="H276" s="2"/>
      <c r="I276" s="2"/>
      <c r="J276" s="2"/>
      <c r="K276" s="2"/>
      <c r="L276" s="2"/>
      <c r="M276" s="2"/>
      <c r="N276" s="2"/>
      <c r="O276" s="2"/>
      <c r="P276" s="2"/>
      <c r="Q276" s="2"/>
      <c r="R276" s="2"/>
      <c r="S276" s="2"/>
      <c r="T276" s="2"/>
    </row>
    <row r="277" spans="1:20" ht="15.75" customHeight="1">
      <c r="A277" s="1"/>
      <c r="B277" s="2"/>
      <c r="C277" s="2"/>
      <c r="D277" s="2"/>
      <c r="E277" s="2"/>
      <c r="F277" s="2"/>
      <c r="G277" s="2"/>
      <c r="H277" s="2"/>
      <c r="I277" s="2"/>
      <c r="J277" s="2"/>
      <c r="K277" s="2"/>
      <c r="L277" s="2"/>
      <c r="M277" s="2"/>
      <c r="N277" s="2"/>
      <c r="O277" s="2"/>
      <c r="P277" s="2"/>
      <c r="Q277" s="2"/>
      <c r="R277" s="2"/>
      <c r="S277" s="2"/>
      <c r="T277" s="2"/>
    </row>
    <row r="278" spans="1:20" ht="15.75" customHeight="1">
      <c r="A278" s="1"/>
      <c r="B278" s="2"/>
      <c r="C278" s="2"/>
      <c r="D278" s="2"/>
      <c r="E278" s="2"/>
      <c r="F278" s="2"/>
      <c r="G278" s="2"/>
      <c r="H278" s="2"/>
      <c r="I278" s="2"/>
      <c r="J278" s="2"/>
      <c r="K278" s="2"/>
      <c r="L278" s="2"/>
      <c r="M278" s="2"/>
      <c r="N278" s="2"/>
      <c r="O278" s="2"/>
      <c r="P278" s="2"/>
      <c r="Q278" s="2"/>
      <c r="R278" s="2"/>
      <c r="S278" s="2"/>
      <c r="T278" s="2"/>
    </row>
    <row r="279" spans="1:20" ht="15.75" customHeight="1">
      <c r="A279" s="1"/>
      <c r="B279" s="2"/>
      <c r="C279" s="2"/>
      <c r="D279" s="2"/>
      <c r="E279" s="2"/>
      <c r="F279" s="2"/>
      <c r="G279" s="2"/>
      <c r="H279" s="2"/>
      <c r="I279" s="2"/>
      <c r="J279" s="2"/>
      <c r="K279" s="2"/>
      <c r="L279" s="2"/>
      <c r="M279" s="2"/>
      <c r="N279" s="2"/>
      <c r="O279" s="2"/>
      <c r="P279" s="2"/>
      <c r="Q279" s="2"/>
      <c r="R279" s="2"/>
      <c r="S279" s="2"/>
      <c r="T279" s="2"/>
    </row>
    <row r="280" spans="1:20" ht="15.75" customHeight="1">
      <c r="A280" s="1"/>
      <c r="B280" s="2"/>
      <c r="C280" s="2"/>
      <c r="D280" s="2"/>
      <c r="E280" s="2"/>
      <c r="F280" s="2"/>
      <c r="G280" s="2"/>
      <c r="H280" s="2"/>
      <c r="I280" s="2"/>
      <c r="J280" s="2"/>
      <c r="K280" s="2"/>
      <c r="L280" s="2"/>
      <c r="M280" s="2"/>
      <c r="N280" s="2"/>
      <c r="O280" s="2"/>
      <c r="P280" s="2"/>
      <c r="Q280" s="2"/>
      <c r="R280" s="2"/>
      <c r="S280" s="2"/>
      <c r="T280" s="2"/>
    </row>
    <row r="281" spans="1:20" ht="15.75" customHeight="1">
      <c r="A281" s="1"/>
      <c r="B281" s="2"/>
      <c r="C281" s="2"/>
      <c r="D281" s="2"/>
      <c r="E281" s="2"/>
      <c r="F281" s="2"/>
      <c r="G281" s="2"/>
      <c r="H281" s="2"/>
      <c r="I281" s="2"/>
      <c r="J281" s="2"/>
      <c r="K281" s="2"/>
      <c r="L281" s="2"/>
      <c r="M281" s="2"/>
      <c r="N281" s="2"/>
      <c r="O281" s="2"/>
      <c r="P281" s="2"/>
      <c r="Q281" s="2"/>
      <c r="R281" s="2"/>
      <c r="S281" s="2"/>
      <c r="T281" s="2"/>
    </row>
    <row r="282" spans="1:20" ht="15.75" customHeight="1">
      <c r="A282" s="1"/>
      <c r="B282" s="2"/>
      <c r="C282" s="2"/>
      <c r="D282" s="2"/>
      <c r="E282" s="2"/>
      <c r="F282" s="2"/>
      <c r="G282" s="2"/>
      <c r="H282" s="2"/>
      <c r="I282" s="2"/>
      <c r="J282" s="2"/>
      <c r="K282" s="2"/>
      <c r="L282" s="2"/>
      <c r="M282" s="2"/>
      <c r="N282" s="2"/>
      <c r="O282" s="2"/>
      <c r="P282" s="2"/>
      <c r="Q282" s="2"/>
      <c r="R282" s="2"/>
      <c r="S282" s="2"/>
      <c r="T282" s="2"/>
    </row>
    <row r="283" spans="1:20" ht="15.75" customHeight="1">
      <c r="A283" s="1"/>
      <c r="B283" s="2"/>
      <c r="C283" s="2"/>
      <c r="D283" s="2"/>
      <c r="E283" s="2"/>
      <c r="F283" s="2"/>
      <c r="G283" s="2"/>
      <c r="H283" s="2"/>
      <c r="I283" s="2"/>
      <c r="J283" s="2"/>
      <c r="K283" s="2"/>
      <c r="L283" s="2"/>
      <c r="M283" s="2"/>
      <c r="N283" s="2"/>
      <c r="O283" s="2"/>
      <c r="P283" s="2"/>
      <c r="Q283" s="2"/>
      <c r="R283" s="2"/>
      <c r="S283" s="2"/>
      <c r="T283" s="2"/>
    </row>
    <row r="284" spans="1:20" ht="15.75" customHeight="1">
      <c r="A284" s="1"/>
      <c r="B284" s="2"/>
      <c r="C284" s="2"/>
      <c r="D284" s="2"/>
      <c r="E284" s="2"/>
      <c r="F284" s="2"/>
      <c r="G284" s="2"/>
      <c r="H284" s="2"/>
      <c r="I284" s="2"/>
      <c r="J284" s="2"/>
      <c r="K284" s="2"/>
      <c r="L284" s="2"/>
      <c r="M284" s="2"/>
      <c r="N284" s="2"/>
      <c r="O284" s="2"/>
      <c r="P284" s="2"/>
      <c r="Q284" s="2"/>
      <c r="R284" s="2"/>
      <c r="S284" s="2"/>
      <c r="T284" s="2"/>
    </row>
    <row r="285" spans="1:20" ht="15.75" customHeight="1">
      <c r="A285" s="1"/>
      <c r="B285" s="2"/>
      <c r="C285" s="2"/>
      <c r="D285" s="2"/>
      <c r="E285" s="2"/>
      <c r="F285" s="2"/>
      <c r="G285" s="2"/>
      <c r="H285" s="2"/>
      <c r="I285" s="2"/>
      <c r="J285" s="2"/>
      <c r="K285" s="2"/>
      <c r="L285" s="2"/>
      <c r="M285" s="2"/>
      <c r="N285" s="2"/>
      <c r="O285" s="2"/>
      <c r="P285" s="2"/>
      <c r="Q285" s="2"/>
      <c r="R285" s="2"/>
      <c r="S285" s="2"/>
      <c r="T285" s="2"/>
    </row>
    <row r="286" spans="1:20" ht="15.75" customHeight="1">
      <c r="A286" s="1"/>
      <c r="B286" s="2"/>
      <c r="C286" s="2"/>
      <c r="D286" s="2"/>
      <c r="E286" s="2"/>
      <c r="F286" s="2"/>
      <c r="G286" s="2"/>
      <c r="H286" s="2"/>
      <c r="I286" s="2"/>
      <c r="J286" s="2"/>
      <c r="K286" s="2"/>
      <c r="L286" s="2"/>
      <c r="M286" s="2"/>
      <c r="N286" s="2"/>
      <c r="O286" s="2"/>
      <c r="P286" s="2"/>
      <c r="Q286" s="2"/>
      <c r="R286" s="2"/>
      <c r="S286" s="2"/>
      <c r="T286" s="2"/>
    </row>
    <row r="287" spans="1:20" ht="15.75" customHeight="1">
      <c r="A287" s="1"/>
      <c r="B287" s="2"/>
      <c r="C287" s="2"/>
      <c r="D287" s="2"/>
      <c r="E287" s="2"/>
      <c r="F287" s="2"/>
      <c r="G287" s="2"/>
      <c r="H287" s="2"/>
      <c r="I287" s="2"/>
      <c r="J287" s="2"/>
      <c r="K287" s="2"/>
      <c r="L287" s="2"/>
      <c r="M287" s="2"/>
      <c r="N287" s="2"/>
      <c r="O287" s="2"/>
      <c r="P287" s="2"/>
      <c r="Q287" s="2"/>
      <c r="R287" s="2"/>
      <c r="S287" s="2"/>
      <c r="T287" s="2"/>
    </row>
    <row r="288" spans="1:20" ht="15.75" customHeight="1">
      <c r="A288" s="1"/>
      <c r="B288" s="2"/>
      <c r="C288" s="2"/>
      <c r="D288" s="2"/>
      <c r="E288" s="2"/>
      <c r="F288" s="2"/>
      <c r="G288" s="2"/>
      <c r="H288" s="2"/>
      <c r="I288" s="2"/>
      <c r="J288" s="2"/>
      <c r="K288" s="2"/>
      <c r="L288" s="2"/>
      <c r="M288" s="2"/>
      <c r="N288" s="2"/>
      <c r="O288" s="2"/>
      <c r="P288" s="2"/>
      <c r="Q288" s="2"/>
      <c r="R288" s="2"/>
      <c r="S288" s="2"/>
      <c r="T288" s="2"/>
    </row>
    <row r="289" spans="1:20" ht="15.75" customHeight="1">
      <c r="A289" s="1"/>
      <c r="B289" s="2"/>
      <c r="C289" s="2"/>
      <c r="D289" s="2"/>
      <c r="E289" s="2"/>
      <c r="F289" s="2"/>
      <c r="G289" s="2"/>
      <c r="H289" s="2"/>
      <c r="I289" s="2"/>
      <c r="J289" s="2"/>
      <c r="K289" s="2"/>
      <c r="L289" s="2"/>
      <c r="M289" s="2"/>
      <c r="N289" s="2"/>
      <c r="O289" s="2"/>
      <c r="P289" s="2"/>
      <c r="Q289" s="2"/>
      <c r="R289" s="2"/>
      <c r="S289" s="2"/>
      <c r="T289" s="2"/>
    </row>
    <row r="290" spans="1:20" ht="15.75" customHeight="1">
      <c r="A290" s="1"/>
      <c r="B290" s="2"/>
      <c r="C290" s="2"/>
      <c r="D290" s="2"/>
      <c r="E290" s="2"/>
      <c r="F290" s="2"/>
      <c r="G290" s="2"/>
      <c r="H290" s="2"/>
      <c r="I290" s="2"/>
      <c r="J290" s="2"/>
      <c r="K290" s="2"/>
      <c r="L290" s="2"/>
      <c r="M290" s="2"/>
      <c r="N290" s="2"/>
      <c r="O290" s="2"/>
      <c r="P290" s="2"/>
      <c r="Q290" s="2"/>
      <c r="R290" s="2"/>
      <c r="S290" s="2"/>
      <c r="T290" s="2"/>
    </row>
    <row r="291" spans="1:20" ht="15.75" customHeight="1">
      <c r="A291" s="1"/>
      <c r="B291" s="2"/>
      <c r="C291" s="2"/>
      <c r="D291" s="2"/>
      <c r="E291" s="2"/>
      <c r="F291" s="2"/>
      <c r="G291" s="2"/>
      <c r="H291" s="2"/>
      <c r="I291" s="2"/>
      <c r="J291" s="2"/>
      <c r="K291" s="2"/>
      <c r="L291" s="2"/>
      <c r="M291" s="2"/>
      <c r="N291" s="2"/>
      <c r="O291" s="2"/>
      <c r="P291" s="2"/>
      <c r="Q291" s="2"/>
      <c r="R291" s="2"/>
      <c r="S291" s="2"/>
      <c r="T291" s="2"/>
    </row>
    <row r="292" spans="1:20" ht="15.75" customHeight="1">
      <c r="A292" s="1"/>
      <c r="B292" s="2"/>
      <c r="C292" s="2"/>
      <c r="D292" s="2"/>
      <c r="E292" s="2"/>
      <c r="F292" s="2"/>
      <c r="G292" s="2"/>
      <c r="H292" s="2"/>
      <c r="I292" s="2"/>
      <c r="J292" s="2"/>
      <c r="K292" s="2"/>
      <c r="L292" s="2"/>
      <c r="M292" s="2"/>
      <c r="N292" s="2"/>
      <c r="O292" s="2"/>
      <c r="P292" s="2"/>
      <c r="Q292" s="2"/>
      <c r="R292" s="2"/>
      <c r="S292" s="2"/>
      <c r="T292" s="2"/>
    </row>
    <row r="293" spans="1:20" ht="15.75" customHeight="1">
      <c r="A293" s="1"/>
      <c r="B293" s="2"/>
      <c r="C293" s="2"/>
      <c r="D293" s="2"/>
      <c r="E293" s="2"/>
      <c r="F293" s="2"/>
      <c r="G293" s="2"/>
      <c r="H293" s="2"/>
      <c r="I293" s="2"/>
      <c r="J293" s="2"/>
      <c r="K293" s="2"/>
      <c r="L293" s="2"/>
      <c r="M293" s="2"/>
      <c r="N293" s="2"/>
      <c r="O293" s="2"/>
      <c r="P293" s="2"/>
      <c r="Q293" s="2"/>
      <c r="R293" s="2"/>
      <c r="S293" s="2"/>
      <c r="T293" s="2"/>
    </row>
    <row r="294" spans="1:20" ht="15.75" customHeight="1">
      <c r="A294" s="1"/>
      <c r="B294" s="2"/>
      <c r="C294" s="2"/>
      <c r="D294" s="2"/>
      <c r="E294" s="2"/>
      <c r="F294" s="2"/>
      <c r="G294" s="2"/>
      <c r="H294" s="2"/>
      <c r="I294" s="2"/>
      <c r="J294" s="2"/>
      <c r="K294" s="2"/>
      <c r="L294" s="2"/>
      <c r="M294" s="2"/>
      <c r="N294" s="2"/>
      <c r="O294" s="2"/>
      <c r="P294" s="2"/>
      <c r="Q294" s="2"/>
      <c r="R294" s="2"/>
      <c r="S294" s="2"/>
      <c r="T294" s="2"/>
    </row>
    <row r="295" spans="1:20" ht="15.75" customHeight="1">
      <c r="A295" s="1"/>
      <c r="B295" s="2"/>
      <c r="C295" s="2"/>
      <c r="D295" s="2"/>
      <c r="E295" s="2"/>
      <c r="F295" s="2"/>
      <c r="G295" s="2"/>
      <c r="H295" s="2"/>
      <c r="I295" s="2"/>
      <c r="J295" s="2"/>
      <c r="K295" s="2"/>
      <c r="L295" s="2"/>
      <c r="M295" s="2"/>
      <c r="N295" s="2"/>
      <c r="O295" s="2"/>
      <c r="P295" s="2"/>
      <c r="Q295" s="2"/>
      <c r="R295" s="2"/>
      <c r="S295" s="2"/>
      <c r="T295" s="2"/>
    </row>
    <row r="296" spans="1:20" ht="15.75" customHeight="1">
      <c r="A296" s="1"/>
      <c r="B296" s="2"/>
      <c r="C296" s="2"/>
      <c r="D296" s="2"/>
      <c r="E296" s="2"/>
      <c r="F296" s="2"/>
      <c r="G296" s="2"/>
      <c r="H296" s="2"/>
      <c r="I296" s="2"/>
      <c r="J296" s="2"/>
      <c r="K296" s="2"/>
      <c r="L296" s="2"/>
      <c r="M296" s="2"/>
      <c r="N296" s="2"/>
      <c r="O296" s="2"/>
      <c r="P296" s="2"/>
      <c r="Q296" s="2"/>
      <c r="R296" s="2"/>
      <c r="S296" s="2"/>
      <c r="T296" s="2"/>
    </row>
    <row r="297" spans="1:20" ht="15.75" customHeight="1">
      <c r="A297" s="1"/>
      <c r="B297" s="2"/>
      <c r="C297" s="2"/>
      <c r="D297" s="2"/>
      <c r="E297" s="2"/>
      <c r="F297" s="2"/>
      <c r="G297" s="2"/>
      <c r="H297" s="2"/>
      <c r="I297" s="2"/>
      <c r="J297" s="2"/>
      <c r="K297" s="2"/>
      <c r="L297" s="2"/>
      <c r="M297" s="2"/>
      <c r="N297" s="2"/>
      <c r="O297" s="2"/>
      <c r="P297" s="2"/>
      <c r="Q297" s="2"/>
      <c r="R297" s="2"/>
      <c r="S297" s="2"/>
      <c r="T297" s="2"/>
    </row>
    <row r="298" spans="1:20" ht="15.75" customHeight="1">
      <c r="A298" s="1"/>
      <c r="B298" s="2"/>
      <c r="C298" s="2"/>
      <c r="D298" s="2"/>
      <c r="E298" s="2"/>
      <c r="F298" s="2"/>
      <c r="G298" s="2"/>
      <c r="H298" s="2"/>
      <c r="I298" s="2"/>
      <c r="J298" s="2"/>
      <c r="K298" s="2"/>
      <c r="L298" s="2"/>
      <c r="M298" s="2"/>
      <c r="N298" s="2"/>
      <c r="O298" s="2"/>
      <c r="P298" s="2"/>
      <c r="Q298" s="2"/>
      <c r="R298" s="2"/>
      <c r="S298" s="2"/>
      <c r="T298" s="2"/>
    </row>
    <row r="299" spans="1:20" ht="15.75" customHeight="1">
      <c r="A299" s="1"/>
      <c r="B299" s="2"/>
      <c r="C299" s="2"/>
      <c r="D299" s="2"/>
      <c r="E299" s="2"/>
      <c r="F299" s="2"/>
      <c r="G299" s="2"/>
      <c r="H299" s="2"/>
      <c r="I299" s="2"/>
      <c r="J299" s="2"/>
      <c r="K299" s="2"/>
      <c r="L299" s="2"/>
      <c r="M299" s="2"/>
      <c r="N299" s="2"/>
      <c r="O299" s="2"/>
      <c r="P299" s="2"/>
      <c r="Q299" s="2"/>
      <c r="R299" s="2"/>
      <c r="S299" s="2"/>
      <c r="T299" s="2"/>
    </row>
    <row r="300" spans="1:20" ht="15.75" customHeight="1">
      <c r="A300" s="1"/>
      <c r="B300" s="2"/>
      <c r="C300" s="2"/>
      <c r="D300" s="2"/>
      <c r="E300" s="2"/>
      <c r="F300" s="2"/>
      <c r="G300" s="2"/>
      <c r="H300" s="2"/>
      <c r="I300" s="2"/>
      <c r="J300" s="2"/>
      <c r="K300" s="2"/>
      <c r="L300" s="2"/>
      <c r="M300" s="2"/>
      <c r="N300" s="2"/>
      <c r="O300" s="2"/>
      <c r="P300" s="2"/>
      <c r="Q300" s="2"/>
      <c r="R300" s="2"/>
      <c r="S300" s="2"/>
      <c r="T300" s="2"/>
    </row>
    <row r="301" spans="1:20" ht="15.75" customHeight="1">
      <c r="A301" s="1"/>
      <c r="B301" s="2"/>
      <c r="C301" s="2"/>
      <c r="D301" s="2"/>
      <c r="E301" s="2"/>
      <c r="F301" s="2"/>
      <c r="G301" s="2"/>
      <c r="H301" s="2"/>
      <c r="I301" s="2"/>
      <c r="J301" s="2"/>
      <c r="K301" s="2"/>
      <c r="L301" s="2"/>
      <c r="M301" s="2"/>
      <c r="N301" s="2"/>
      <c r="O301" s="2"/>
      <c r="P301" s="2"/>
      <c r="Q301" s="2"/>
      <c r="R301" s="2"/>
      <c r="S301" s="2"/>
      <c r="T301" s="2"/>
    </row>
    <row r="302" spans="1:20" ht="15.75" customHeight="1">
      <c r="A302" s="1"/>
      <c r="B302" s="2"/>
      <c r="C302" s="2"/>
      <c r="D302" s="2"/>
      <c r="E302" s="2"/>
      <c r="F302" s="2"/>
      <c r="G302" s="2"/>
      <c r="H302" s="2"/>
      <c r="I302" s="2"/>
      <c r="J302" s="2"/>
      <c r="K302" s="2"/>
      <c r="L302" s="2"/>
      <c r="M302" s="2"/>
      <c r="N302" s="2"/>
      <c r="O302" s="2"/>
      <c r="P302" s="2"/>
      <c r="Q302" s="2"/>
      <c r="R302" s="2"/>
      <c r="S302" s="2"/>
      <c r="T302" s="2"/>
    </row>
    <row r="303" spans="1:20" ht="15.75" customHeight="1">
      <c r="A303" s="1"/>
      <c r="B303" s="2"/>
      <c r="C303" s="2"/>
      <c r="D303" s="2"/>
      <c r="E303" s="2"/>
      <c r="F303" s="2"/>
      <c r="G303" s="2"/>
      <c r="H303" s="2"/>
      <c r="I303" s="2"/>
      <c r="J303" s="2"/>
      <c r="K303" s="2"/>
      <c r="L303" s="2"/>
      <c r="M303" s="2"/>
      <c r="N303" s="2"/>
      <c r="O303" s="2"/>
      <c r="P303" s="2"/>
      <c r="Q303" s="2"/>
      <c r="R303" s="2"/>
      <c r="S303" s="2"/>
      <c r="T303" s="2"/>
    </row>
    <row r="304" spans="1:20" ht="15.75" customHeight="1">
      <c r="A304" s="1"/>
      <c r="B304" s="2"/>
      <c r="C304" s="2"/>
      <c r="D304" s="2"/>
      <c r="E304" s="2"/>
      <c r="F304" s="2"/>
      <c r="G304" s="2"/>
      <c r="H304" s="2"/>
      <c r="I304" s="2"/>
      <c r="J304" s="2"/>
      <c r="K304" s="2"/>
      <c r="L304" s="2"/>
      <c r="M304" s="2"/>
      <c r="N304" s="2"/>
      <c r="O304" s="2"/>
      <c r="P304" s="2"/>
      <c r="Q304" s="2"/>
      <c r="R304" s="2"/>
      <c r="S304" s="2"/>
      <c r="T304" s="2"/>
    </row>
    <row r="305" spans="1:20" ht="15.75" customHeight="1">
      <c r="A305" s="1"/>
      <c r="B305" s="2"/>
      <c r="C305" s="2"/>
      <c r="D305" s="2"/>
      <c r="E305" s="2"/>
      <c r="F305" s="2"/>
      <c r="G305" s="2"/>
      <c r="H305" s="2"/>
      <c r="I305" s="2"/>
      <c r="J305" s="2"/>
      <c r="K305" s="2"/>
      <c r="L305" s="2"/>
      <c r="M305" s="2"/>
      <c r="N305" s="2"/>
      <c r="O305" s="2"/>
      <c r="P305" s="2"/>
      <c r="Q305" s="2"/>
      <c r="R305" s="2"/>
      <c r="S305" s="2"/>
      <c r="T305" s="2"/>
    </row>
    <row r="306" spans="1:20" ht="15.75" customHeight="1">
      <c r="A306" s="1"/>
      <c r="B306" s="2"/>
      <c r="C306" s="2"/>
      <c r="D306" s="2"/>
      <c r="E306" s="2"/>
      <c r="F306" s="2"/>
      <c r="G306" s="2"/>
      <c r="H306" s="2"/>
      <c r="I306" s="2"/>
      <c r="J306" s="2"/>
      <c r="K306" s="2"/>
      <c r="L306" s="2"/>
      <c r="M306" s="2"/>
      <c r="N306" s="2"/>
      <c r="O306" s="2"/>
      <c r="P306" s="2"/>
      <c r="Q306" s="2"/>
      <c r="R306" s="2"/>
      <c r="S306" s="2"/>
      <c r="T306" s="2"/>
    </row>
    <row r="307" spans="1:20" ht="15.75" customHeight="1">
      <c r="A307" s="1"/>
      <c r="B307" s="2"/>
      <c r="C307" s="2"/>
      <c r="D307" s="2"/>
      <c r="E307" s="2"/>
      <c r="F307" s="2"/>
      <c r="G307" s="2"/>
      <c r="H307" s="2"/>
      <c r="I307" s="2"/>
      <c r="J307" s="2"/>
      <c r="K307" s="2"/>
      <c r="L307" s="2"/>
      <c r="M307" s="2"/>
      <c r="N307" s="2"/>
      <c r="O307" s="2"/>
      <c r="P307" s="2"/>
      <c r="Q307" s="2"/>
      <c r="R307" s="2"/>
      <c r="S307" s="2"/>
      <c r="T307" s="2"/>
    </row>
    <row r="308" spans="1:20" ht="15.75" customHeight="1">
      <c r="A308" s="1"/>
      <c r="B308" s="2"/>
      <c r="C308" s="2"/>
      <c r="D308" s="2"/>
      <c r="E308" s="2"/>
      <c r="F308" s="2"/>
      <c r="G308" s="2"/>
      <c r="H308" s="2"/>
      <c r="I308" s="2"/>
      <c r="J308" s="2"/>
      <c r="K308" s="2"/>
      <c r="L308" s="2"/>
      <c r="M308" s="2"/>
      <c r="N308" s="2"/>
      <c r="O308" s="2"/>
      <c r="P308" s="2"/>
      <c r="Q308" s="2"/>
      <c r="R308" s="2"/>
      <c r="S308" s="2"/>
      <c r="T308" s="2"/>
    </row>
    <row r="309" spans="1:20" ht="15.75" customHeight="1">
      <c r="A309" s="1"/>
      <c r="B309" s="2"/>
      <c r="C309" s="2"/>
      <c r="D309" s="2"/>
      <c r="E309" s="2"/>
      <c r="F309" s="2"/>
      <c r="G309" s="2"/>
      <c r="H309" s="2"/>
      <c r="I309" s="2"/>
      <c r="J309" s="2"/>
      <c r="K309" s="2"/>
      <c r="L309" s="2"/>
      <c r="M309" s="2"/>
      <c r="N309" s="2"/>
      <c r="O309" s="2"/>
      <c r="P309" s="2"/>
      <c r="Q309" s="2"/>
      <c r="R309" s="2"/>
      <c r="S309" s="2"/>
      <c r="T309" s="2"/>
    </row>
    <row r="310" spans="1:20" ht="15.75" customHeight="1">
      <c r="A310" s="1"/>
      <c r="B310" s="2"/>
      <c r="C310" s="2"/>
      <c r="D310" s="2"/>
      <c r="E310" s="2"/>
      <c r="F310" s="2"/>
      <c r="G310" s="2"/>
      <c r="H310" s="2"/>
      <c r="I310" s="2"/>
      <c r="J310" s="2"/>
      <c r="K310" s="2"/>
      <c r="L310" s="2"/>
      <c r="M310" s="2"/>
      <c r="N310" s="2"/>
      <c r="O310" s="2"/>
      <c r="P310" s="2"/>
      <c r="Q310" s="2"/>
      <c r="R310" s="2"/>
      <c r="S310" s="2"/>
      <c r="T310" s="2"/>
    </row>
    <row r="311" spans="1:20" ht="15.75" customHeight="1">
      <c r="A311" s="1"/>
      <c r="B311" s="2"/>
      <c r="C311" s="2"/>
      <c r="D311" s="2"/>
      <c r="E311" s="2"/>
      <c r="F311" s="2"/>
      <c r="G311" s="2"/>
      <c r="H311" s="2"/>
      <c r="I311" s="2"/>
      <c r="J311" s="2"/>
      <c r="K311" s="2"/>
      <c r="L311" s="2"/>
      <c r="M311" s="2"/>
      <c r="N311" s="2"/>
      <c r="O311" s="2"/>
      <c r="P311" s="2"/>
      <c r="Q311" s="2"/>
      <c r="R311" s="2"/>
      <c r="S311" s="2"/>
      <c r="T311" s="2"/>
    </row>
    <row r="312" spans="1:20" ht="15.75" customHeight="1">
      <c r="A312" s="1"/>
      <c r="B312" s="2"/>
      <c r="C312" s="2"/>
      <c r="D312" s="2"/>
      <c r="E312" s="2"/>
      <c r="F312" s="2"/>
      <c r="G312" s="2"/>
      <c r="H312" s="2"/>
      <c r="I312" s="2"/>
      <c r="J312" s="2"/>
      <c r="K312" s="2"/>
      <c r="L312" s="2"/>
      <c r="M312" s="2"/>
      <c r="N312" s="2"/>
      <c r="O312" s="2"/>
      <c r="P312" s="2"/>
      <c r="Q312" s="2"/>
      <c r="R312" s="2"/>
      <c r="S312" s="2"/>
      <c r="T312" s="2"/>
    </row>
    <row r="313" spans="1:20" ht="15.75" customHeight="1">
      <c r="A313" s="1"/>
      <c r="B313" s="2"/>
      <c r="C313" s="2"/>
      <c r="D313" s="2"/>
      <c r="E313" s="2"/>
      <c r="F313" s="2"/>
      <c r="G313" s="2"/>
      <c r="H313" s="2"/>
      <c r="I313" s="2"/>
      <c r="J313" s="2"/>
      <c r="K313" s="2"/>
      <c r="L313" s="2"/>
      <c r="M313" s="2"/>
      <c r="N313" s="2"/>
      <c r="O313" s="2"/>
      <c r="P313" s="2"/>
      <c r="Q313" s="2"/>
      <c r="R313" s="2"/>
      <c r="S313" s="2"/>
      <c r="T313" s="2"/>
    </row>
    <row r="314" spans="1:20" ht="15.75" customHeight="1">
      <c r="A314" s="1"/>
      <c r="B314" s="2"/>
      <c r="C314" s="2"/>
      <c r="D314" s="2"/>
      <c r="E314" s="2"/>
      <c r="F314" s="2"/>
      <c r="G314" s="2"/>
      <c r="H314" s="2"/>
      <c r="I314" s="2"/>
      <c r="J314" s="2"/>
      <c r="K314" s="2"/>
      <c r="L314" s="2"/>
      <c r="M314" s="2"/>
      <c r="N314" s="2"/>
      <c r="O314" s="2"/>
      <c r="P314" s="2"/>
      <c r="Q314" s="2"/>
      <c r="R314" s="2"/>
      <c r="S314" s="2"/>
      <c r="T314" s="2"/>
    </row>
    <row r="315" spans="1:20" ht="15.75" customHeight="1">
      <c r="A315" s="1"/>
      <c r="B315" s="2"/>
      <c r="C315" s="2"/>
      <c r="D315" s="2"/>
      <c r="E315" s="2"/>
      <c r="F315" s="2"/>
      <c r="G315" s="2"/>
      <c r="H315" s="2"/>
      <c r="I315" s="2"/>
      <c r="J315" s="2"/>
      <c r="K315" s="2"/>
      <c r="L315" s="2"/>
      <c r="M315" s="2"/>
      <c r="N315" s="2"/>
      <c r="O315" s="2"/>
      <c r="P315" s="2"/>
      <c r="Q315" s="2"/>
      <c r="R315" s="2"/>
      <c r="S315" s="2"/>
      <c r="T315" s="2"/>
    </row>
    <row r="316" spans="1:20" ht="15.75" customHeight="1">
      <c r="A316" s="1"/>
      <c r="B316" s="2"/>
      <c r="C316" s="2"/>
      <c r="D316" s="2"/>
      <c r="E316" s="2"/>
      <c r="F316" s="2"/>
      <c r="G316" s="2"/>
      <c r="H316" s="2"/>
      <c r="I316" s="2"/>
      <c r="J316" s="2"/>
      <c r="K316" s="2"/>
      <c r="L316" s="2"/>
      <c r="M316" s="2"/>
      <c r="N316" s="2"/>
      <c r="O316" s="2"/>
      <c r="P316" s="2"/>
      <c r="Q316" s="2"/>
      <c r="R316" s="2"/>
      <c r="S316" s="2"/>
      <c r="T316" s="2"/>
    </row>
    <row r="317" spans="1:20" ht="15.75" customHeight="1">
      <c r="A317" s="1"/>
      <c r="B317" s="2"/>
      <c r="C317" s="2"/>
      <c r="D317" s="2"/>
      <c r="E317" s="2"/>
      <c r="F317" s="2"/>
      <c r="G317" s="2"/>
      <c r="H317" s="2"/>
      <c r="I317" s="2"/>
      <c r="J317" s="2"/>
      <c r="K317" s="2"/>
      <c r="L317" s="2"/>
      <c r="M317" s="2"/>
      <c r="N317" s="2"/>
      <c r="O317" s="2"/>
      <c r="P317" s="2"/>
      <c r="Q317" s="2"/>
      <c r="R317" s="2"/>
      <c r="S317" s="2"/>
      <c r="T317" s="2"/>
    </row>
    <row r="318" spans="1:20" ht="15.75" customHeight="1">
      <c r="A318" s="1"/>
      <c r="B318" s="2"/>
      <c r="C318" s="2"/>
      <c r="D318" s="2"/>
      <c r="E318" s="2"/>
      <c r="F318" s="2"/>
      <c r="G318" s="2"/>
      <c r="H318" s="2"/>
      <c r="I318" s="2"/>
      <c r="J318" s="2"/>
      <c r="K318" s="2"/>
      <c r="L318" s="2"/>
      <c r="M318" s="2"/>
      <c r="N318" s="2"/>
      <c r="O318" s="2"/>
      <c r="P318" s="2"/>
      <c r="Q318" s="2"/>
      <c r="R318" s="2"/>
      <c r="S318" s="2"/>
      <c r="T318" s="2"/>
    </row>
    <row r="319" spans="1:20" ht="15.75" customHeight="1">
      <c r="A319" s="1"/>
      <c r="B319" s="2"/>
      <c r="C319" s="2"/>
      <c r="D319" s="2"/>
      <c r="E319" s="2"/>
      <c r="F319" s="2"/>
      <c r="G319" s="2"/>
      <c r="H319" s="2"/>
      <c r="I319" s="2"/>
      <c r="J319" s="2"/>
      <c r="K319" s="2"/>
      <c r="L319" s="2"/>
      <c r="M319" s="2"/>
      <c r="N319" s="2"/>
      <c r="O319" s="2"/>
      <c r="P319" s="2"/>
      <c r="Q319" s="2"/>
      <c r="R319" s="2"/>
      <c r="S319" s="2"/>
      <c r="T319" s="2"/>
    </row>
    <row r="320" spans="1:20" ht="15.75" customHeight="1">
      <c r="A320" s="1"/>
      <c r="B320" s="2"/>
      <c r="C320" s="2"/>
      <c r="D320" s="2"/>
      <c r="E320" s="2"/>
      <c r="F320" s="2"/>
      <c r="G320" s="2"/>
      <c r="H320" s="2"/>
      <c r="I320" s="2"/>
      <c r="J320" s="2"/>
      <c r="K320" s="2"/>
      <c r="L320" s="2"/>
      <c r="M320" s="2"/>
      <c r="N320" s="2"/>
      <c r="O320" s="2"/>
      <c r="P320" s="2"/>
      <c r="Q320" s="2"/>
      <c r="R320" s="2"/>
      <c r="S320" s="2"/>
      <c r="T320" s="2"/>
    </row>
    <row r="321" spans="1:20" ht="15.75" customHeight="1">
      <c r="A321" s="1"/>
      <c r="B321" s="2"/>
      <c r="C321" s="2"/>
      <c r="D321" s="2"/>
      <c r="E321" s="2"/>
      <c r="F321" s="2"/>
      <c r="G321" s="2"/>
      <c r="H321" s="2"/>
      <c r="I321" s="2"/>
      <c r="J321" s="2"/>
      <c r="K321" s="2"/>
      <c r="L321" s="2"/>
      <c r="M321" s="2"/>
      <c r="N321" s="2"/>
      <c r="O321" s="2"/>
      <c r="P321" s="2"/>
      <c r="Q321" s="2"/>
      <c r="R321" s="2"/>
      <c r="S321" s="2"/>
      <c r="T321" s="2"/>
    </row>
    <row r="322" spans="1:20" ht="15.75" customHeight="1">
      <c r="A322" s="1"/>
      <c r="B322" s="2"/>
      <c r="C322" s="2"/>
      <c r="D322" s="2"/>
      <c r="E322" s="2"/>
      <c r="F322" s="2"/>
      <c r="G322" s="2"/>
      <c r="H322" s="2"/>
      <c r="I322" s="2"/>
      <c r="J322" s="2"/>
      <c r="K322" s="2"/>
      <c r="L322" s="2"/>
      <c r="M322" s="2"/>
      <c r="N322" s="2"/>
      <c r="O322" s="2"/>
      <c r="P322" s="2"/>
      <c r="Q322" s="2"/>
      <c r="R322" s="2"/>
      <c r="S322" s="2"/>
      <c r="T322" s="2"/>
    </row>
    <row r="323" spans="1:20" ht="15.75" customHeight="1">
      <c r="A323" s="1"/>
      <c r="B323" s="2"/>
      <c r="C323" s="2"/>
      <c r="D323" s="2"/>
      <c r="E323" s="2"/>
      <c r="F323" s="2"/>
      <c r="G323" s="2"/>
      <c r="H323" s="2"/>
      <c r="I323" s="2"/>
      <c r="J323" s="2"/>
      <c r="K323" s="2"/>
      <c r="L323" s="2"/>
      <c r="M323" s="2"/>
      <c r="N323" s="2"/>
      <c r="O323" s="2"/>
      <c r="P323" s="2"/>
      <c r="Q323" s="2"/>
      <c r="R323" s="2"/>
      <c r="S323" s="2"/>
      <c r="T323" s="2"/>
    </row>
    <row r="324" spans="1:20" ht="15.75" customHeight="1">
      <c r="A324" s="1"/>
      <c r="B324" s="2"/>
      <c r="C324" s="2"/>
      <c r="D324" s="2"/>
      <c r="E324" s="2"/>
      <c r="F324" s="2"/>
      <c r="G324" s="2"/>
      <c r="H324" s="2"/>
      <c r="I324" s="2"/>
      <c r="J324" s="2"/>
      <c r="K324" s="2"/>
      <c r="L324" s="2"/>
      <c r="M324" s="2"/>
      <c r="N324" s="2"/>
      <c r="O324" s="2"/>
      <c r="P324" s="2"/>
      <c r="Q324" s="2"/>
      <c r="R324" s="2"/>
      <c r="S324" s="2"/>
      <c r="T324" s="2"/>
    </row>
    <row r="325" spans="1:20" ht="15.75" customHeight="1">
      <c r="A325" s="1"/>
      <c r="B325" s="2"/>
      <c r="C325" s="2"/>
      <c r="D325" s="2"/>
      <c r="E325" s="2"/>
      <c r="F325" s="2"/>
      <c r="G325" s="2"/>
      <c r="H325" s="2"/>
      <c r="I325" s="2"/>
      <c r="J325" s="2"/>
      <c r="K325" s="2"/>
      <c r="L325" s="2"/>
      <c r="M325" s="2"/>
      <c r="N325" s="2"/>
      <c r="O325" s="2"/>
      <c r="P325" s="2"/>
      <c r="Q325" s="2"/>
      <c r="R325" s="2"/>
      <c r="S325" s="2"/>
      <c r="T325" s="2"/>
    </row>
    <row r="326" spans="1:20" ht="15.75" customHeight="1">
      <c r="A326" s="1"/>
      <c r="B326" s="2"/>
      <c r="C326" s="2"/>
      <c r="D326" s="2"/>
      <c r="E326" s="2"/>
      <c r="F326" s="2"/>
      <c r="G326" s="2"/>
      <c r="H326" s="2"/>
      <c r="I326" s="2"/>
      <c r="J326" s="2"/>
      <c r="K326" s="2"/>
      <c r="L326" s="2"/>
      <c r="M326" s="2"/>
      <c r="N326" s="2"/>
      <c r="O326" s="2"/>
      <c r="P326" s="2"/>
      <c r="Q326" s="2"/>
      <c r="R326" s="2"/>
      <c r="S326" s="2"/>
      <c r="T326" s="2"/>
    </row>
    <row r="327" spans="1:20" ht="15.75" customHeight="1">
      <c r="A327" s="1"/>
      <c r="B327" s="2"/>
      <c r="C327" s="2"/>
      <c r="D327" s="2"/>
      <c r="E327" s="2"/>
      <c r="F327" s="2"/>
      <c r="G327" s="2"/>
      <c r="H327" s="2"/>
      <c r="I327" s="2"/>
      <c r="J327" s="2"/>
      <c r="K327" s="2"/>
      <c r="L327" s="2"/>
      <c r="M327" s="2"/>
      <c r="N327" s="2"/>
      <c r="O327" s="2"/>
      <c r="P327" s="2"/>
      <c r="Q327" s="2"/>
      <c r="R327" s="2"/>
      <c r="S327" s="2"/>
      <c r="T327" s="2"/>
    </row>
    <row r="328" spans="1:20" ht="15.75" customHeight="1">
      <c r="A328" s="1"/>
      <c r="B328" s="2"/>
      <c r="C328" s="2"/>
      <c r="D328" s="2"/>
      <c r="E328" s="2"/>
      <c r="F328" s="2"/>
      <c r="G328" s="2"/>
      <c r="H328" s="2"/>
      <c r="I328" s="2"/>
      <c r="J328" s="2"/>
      <c r="K328" s="2"/>
      <c r="L328" s="2"/>
      <c r="M328" s="2"/>
      <c r="N328" s="2"/>
      <c r="O328" s="2"/>
      <c r="P328" s="2"/>
      <c r="Q328" s="2"/>
      <c r="R328" s="2"/>
      <c r="S328" s="2"/>
      <c r="T328" s="2"/>
    </row>
    <row r="329" spans="1:20" ht="15.75" customHeight="1">
      <c r="A329" s="1"/>
      <c r="B329" s="2"/>
      <c r="C329" s="2"/>
      <c r="D329" s="2"/>
      <c r="E329" s="2"/>
      <c r="F329" s="2"/>
      <c r="G329" s="2"/>
      <c r="H329" s="2"/>
      <c r="I329" s="2"/>
      <c r="J329" s="2"/>
      <c r="K329" s="2"/>
      <c r="L329" s="2"/>
      <c r="M329" s="2"/>
      <c r="N329" s="2"/>
      <c r="O329" s="2"/>
      <c r="P329" s="2"/>
      <c r="Q329" s="2"/>
      <c r="R329" s="2"/>
      <c r="S329" s="2"/>
      <c r="T329" s="2"/>
    </row>
    <row r="330" spans="1:20" ht="15.75" customHeight="1">
      <c r="A330" s="1"/>
      <c r="B330" s="2"/>
      <c r="C330" s="2"/>
      <c r="D330" s="2"/>
      <c r="E330" s="2"/>
      <c r="F330" s="2"/>
      <c r="G330" s="2"/>
      <c r="H330" s="2"/>
      <c r="I330" s="2"/>
      <c r="J330" s="2"/>
      <c r="K330" s="2"/>
      <c r="L330" s="2"/>
      <c r="M330" s="2"/>
      <c r="N330" s="2"/>
      <c r="O330" s="2"/>
      <c r="P330" s="2"/>
      <c r="Q330" s="2"/>
      <c r="R330" s="2"/>
      <c r="S330" s="2"/>
      <c r="T330" s="2"/>
    </row>
    <row r="331" spans="1:20" ht="15.75" customHeight="1">
      <c r="A331" s="1"/>
      <c r="B331" s="2"/>
      <c r="C331" s="2"/>
      <c r="D331" s="2"/>
      <c r="E331" s="2"/>
      <c r="F331" s="2"/>
      <c r="G331" s="2"/>
      <c r="H331" s="2"/>
      <c r="I331" s="2"/>
      <c r="J331" s="2"/>
      <c r="K331" s="2"/>
      <c r="L331" s="2"/>
      <c r="M331" s="2"/>
      <c r="N331" s="2"/>
      <c r="O331" s="2"/>
      <c r="P331" s="2"/>
      <c r="Q331" s="2"/>
      <c r="R331" s="2"/>
      <c r="S331" s="2"/>
      <c r="T331" s="2"/>
    </row>
    <row r="332" spans="1:20" ht="15.75" customHeight="1">
      <c r="A332" s="1"/>
      <c r="B332" s="2"/>
      <c r="C332" s="2"/>
      <c r="D332" s="2"/>
      <c r="E332" s="2"/>
      <c r="F332" s="2"/>
      <c r="G332" s="2"/>
      <c r="H332" s="2"/>
      <c r="I332" s="2"/>
      <c r="J332" s="2"/>
      <c r="K332" s="2"/>
      <c r="L332" s="2"/>
      <c r="M332" s="2"/>
      <c r="N332" s="2"/>
      <c r="O332" s="2"/>
      <c r="P332" s="2"/>
      <c r="Q332" s="2"/>
      <c r="R332" s="2"/>
      <c r="S332" s="2"/>
      <c r="T332" s="2"/>
    </row>
    <row r="333" spans="1:20" ht="15.75" customHeight="1">
      <c r="A333" s="1"/>
      <c r="B333" s="2"/>
      <c r="C333" s="2"/>
      <c r="D333" s="2"/>
      <c r="E333" s="2"/>
      <c r="F333" s="2"/>
      <c r="G333" s="2"/>
      <c r="H333" s="2"/>
      <c r="I333" s="2"/>
      <c r="J333" s="2"/>
      <c r="K333" s="2"/>
      <c r="L333" s="2"/>
      <c r="M333" s="2"/>
      <c r="N333" s="2"/>
      <c r="O333" s="2"/>
      <c r="P333" s="2"/>
      <c r="Q333" s="2"/>
      <c r="R333" s="2"/>
      <c r="S333" s="2"/>
      <c r="T333" s="2"/>
    </row>
    <row r="334" spans="1:20" ht="15.75" customHeight="1">
      <c r="A334" s="1"/>
      <c r="B334" s="2"/>
      <c r="C334" s="2"/>
      <c r="D334" s="2"/>
      <c r="E334" s="2"/>
      <c r="F334" s="2"/>
      <c r="G334" s="2"/>
      <c r="H334" s="2"/>
      <c r="I334" s="2"/>
      <c r="J334" s="2"/>
      <c r="K334" s="2"/>
      <c r="L334" s="2"/>
      <c r="M334" s="2"/>
      <c r="N334" s="2"/>
      <c r="O334" s="2"/>
      <c r="P334" s="2"/>
      <c r="Q334" s="2"/>
      <c r="R334" s="2"/>
      <c r="S334" s="2"/>
      <c r="T334" s="2"/>
    </row>
    <row r="335" spans="1:20" ht="15.75" customHeight="1">
      <c r="A335" s="1"/>
      <c r="B335" s="2"/>
      <c r="C335" s="2"/>
      <c r="D335" s="2"/>
      <c r="E335" s="2"/>
      <c r="F335" s="2"/>
      <c r="G335" s="2"/>
      <c r="H335" s="2"/>
      <c r="I335" s="2"/>
      <c r="J335" s="2"/>
      <c r="K335" s="2"/>
      <c r="L335" s="2"/>
      <c r="M335" s="2"/>
      <c r="N335" s="2"/>
      <c r="O335" s="2"/>
      <c r="P335" s="2"/>
      <c r="Q335" s="2"/>
      <c r="R335" s="2"/>
      <c r="S335" s="2"/>
      <c r="T335" s="2"/>
    </row>
    <row r="336" spans="1:20" ht="15.75" customHeight="1">
      <c r="A336" s="1"/>
      <c r="B336" s="2"/>
      <c r="C336" s="2"/>
      <c r="D336" s="2"/>
      <c r="E336" s="2"/>
      <c r="F336" s="2"/>
      <c r="G336" s="2"/>
      <c r="H336" s="2"/>
      <c r="I336" s="2"/>
      <c r="J336" s="2"/>
      <c r="K336" s="2"/>
      <c r="L336" s="2"/>
      <c r="M336" s="2"/>
      <c r="N336" s="2"/>
      <c r="O336" s="2"/>
      <c r="P336" s="2"/>
      <c r="Q336" s="2"/>
      <c r="R336" s="2"/>
      <c r="S336" s="2"/>
      <c r="T336" s="2"/>
    </row>
    <row r="337" spans="1:20" ht="15.75" customHeight="1">
      <c r="A337" s="1"/>
      <c r="B337" s="2"/>
      <c r="C337" s="2"/>
      <c r="D337" s="2"/>
      <c r="E337" s="2"/>
      <c r="F337" s="2"/>
      <c r="G337" s="2"/>
      <c r="H337" s="2"/>
      <c r="I337" s="2"/>
      <c r="J337" s="2"/>
      <c r="K337" s="2"/>
      <c r="L337" s="2"/>
      <c r="M337" s="2"/>
      <c r="N337" s="2"/>
      <c r="O337" s="2"/>
      <c r="P337" s="2"/>
      <c r="Q337" s="2"/>
      <c r="R337" s="2"/>
      <c r="S337" s="2"/>
      <c r="T337" s="2"/>
    </row>
    <row r="338" spans="1:20" ht="15.75" customHeight="1">
      <c r="A338" s="1"/>
      <c r="B338" s="2"/>
      <c r="C338" s="2"/>
      <c r="D338" s="2"/>
      <c r="E338" s="2"/>
      <c r="F338" s="2"/>
      <c r="G338" s="2"/>
      <c r="H338" s="2"/>
      <c r="I338" s="2"/>
      <c r="J338" s="2"/>
      <c r="K338" s="2"/>
      <c r="L338" s="2"/>
      <c r="M338" s="2"/>
      <c r="N338" s="2"/>
      <c r="O338" s="2"/>
      <c r="P338" s="2"/>
      <c r="Q338" s="2"/>
      <c r="R338" s="2"/>
      <c r="S338" s="2"/>
      <c r="T338" s="2"/>
    </row>
    <row r="339" spans="1:20" ht="15.75" customHeight="1">
      <c r="A339" s="1"/>
      <c r="B339" s="2"/>
      <c r="C339" s="2"/>
      <c r="D339" s="2"/>
      <c r="E339" s="2"/>
      <c r="F339" s="2"/>
      <c r="G339" s="2"/>
      <c r="H339" s="2"/>
      <c r="I339" s="2"/>
      <c r="J339" s="2"/>
      <c r="K339" s="2"/>
      <c r="L339" s="2"/>
      <c r="M339" s="2"/>
      <c r="N339" s="2"/>
      <c r="O339" s="2"/>
      <c r="P339" s="2"/>
      <c r="Q339" s="2"/>
      <c r="R339" s="2"/>
      <c r="S339" s="2"/>
      <c r="T339" s="2"/>
    </row>
    <row r="340" spans="1:20" ht="15.75" customHeight="1">
      <c r="A340" s="1"/>
      <c r="B340" s="2"/>
      <c r="C340" s="2"/>
      <c r="D340" s="2"/>
      <c r="E340" s="2"/>
      <c r="F340" s="2"/>
      <c r="G340" s="2"/>
      <c r="H340" s="2"/>
      <c r="I340" s="2"/>
      <c r="J340" s="2"/>
      <c r="K340" s="2"/>
      <c r="L340" s="2"/>
      <c r="M340" s="2"/>
      <c r="N340" s="2"/>
      <c r="O340" s="2"/>
      <c r="P340" s="2"/>
      <c r="Q340" s="2"/>
      <c r="R340" s="2"/>
      <c r="S340" s="2"/>
      <c r="T340" s="2"/>
    </row>
    <row r="341" spans="1:20" ht="15.75" customHeight="1">
      <c r="A341" s="1"/>
      <c r="B341" s="2"/>
      <c r="C341" s="2"/>
      <c r="D341" s="2"/>
      <c r="E341" s="2"/>
      <c r="F341" s="2"/>
      <c r="G341" s="2"/>
      <c r="H341" s="2"/>
      <c r="I341" s="2"/>
      <c r="J341" s="2"/>
      <c r="K341" s="2"/>
      <c r="L341" s="2"/>
      <c r="M341" s="2"/>
      <c r="N341" s="2"/>
      <c r="O341" s="2"/>
      <c r="P341" s="2"/>
      <c r="Q341" s="2"/>
      <c r="R341" s="2"/>
      <c r="S341" s="2"/>
      <c r="T341" s="2"/>
    </row>
    <row r="342" spans="1:20" ht="15.75" customHeight="1">
      <c r="A342" s="1"/>
      <c r="B342" s="2"/>
      <c r="C342" s="2"/>
      <c r="D342" s="2"/>
      <c r="E342" s="2"/>
      <c r="F342" s="2"/>
      <c r="G342" s="2"/>
      <c r="H342" s="2"/>
      <c r="I342" s="2"/>
      <c r="J342" s="2"/>
      <c r="K342" s="2"/>
      <c r="L342" s="2"/>
      <c r="M342" s="2"/>
      <c r="N342" s="2"/>
      <c r="O342" s="2"/>
      <c r="P342" s="2"/>
      <c r="Q342" s="2"/>
      <c r="R342" s="2"/>
      <c r="S342" s="2"/>
      <c r="T342" s="2"/>
    </row>
    <row r="343" spans="1:20" ht="15.75" customHeight="1">
      <c r="A343" s="1"/>
      <c r="B343" s="2"/>
      <c r="C343" s="2"/>
      <c r="D343" s="2"/>
      <c r="E343" s="2"/>
      <c r="F343" s="2"/>
      <c r="G343" s="2"/>
      <c r="H343" s="2"/>
      <c r="I343" s="2"/>
      <c r="J343" s="2"/>
      <c r="K343" s="2"/>
      <c r="L343" s="2"/>
      <c r="M343" s="2"/>
      <c r="N343" s="2"/>
      <c r="O343" s="2"/>
      <c r="P343" s="2"/>
      <c r="Q343" s="2"/>
      <c r="R343" s="2"/>
      <c r="S343" s="2"/>
      <c r="T343" s="2"/>
    </row>
    <row r="344" spans="1:20" ht="15.75" customHeight="1">
      <c r="A344" s="1"/>
      <c r="B344" s="2"/>
      <c r="C344" s="2"/>
      <c r="D344" s="2"/>
      <c r="E344" s="2"/>
      <c r="F344" s="2"/>
      <c r="G344" s="2"/>
      <c r="H344" s="2"/>
      <c r="I344" s="2"/>
      <c r="J344" s="2"/>
      <c r="K344" s="2"/>
      <c r="L344" s="2"/>
      <c r="M344" s="2"/>
      <c r="N344" s="2"/>
      <c r="O344" s="2"/>
      <c r="P344" s="2"/>
      <c r="Q344" s="2"/>
      <c r="R344" s="2"/>
      <c r="S344" s="2"/>
      <c r="T344" s="2"/>
    </row>
    <row r="345" spans="1:20" ht="15.75" customHeight="1">
      <c r="A345" s="1"/>
      <c r="B345" s="2"/>
      <c r="C345" s="2"/>
      <c r="D345" s="2"/>
      <c r="E345" s="2"/>
      <c r="F345" s="2"/>
      <c r="G345" s="2"/>
      <c r="H345" s="2"/>
      <c r="I345" s="2"/>
      <c r="J345" s="2"/>
      <c r="K345" s="2"/>
      <c r="L345" s="2"/>
      <c r="M345" s="2"/>
      <c r="N345" s="2"/>
      <c r="O345" s="2"/>
      <c r="P345" s="2"/>
      <c r="Q345" s="2"/>
      <c r="R345" s="2"/>
      <c r="S345" s="2"/>
      <c r="T345" s="2"/>
    </row>
    <row r="346" spans="1:20" ht="15.75" customHeight="1">
      <c r="A346" s="1"/>
      <c r="B346" s="2"/>
      <c r="C346" s="2"/>
      <c r="D346" s="2"/>
      <c r="E346" s="2"/>
      <c r="F346" s="2"/>
      <c r="G346" s="2"/>
      <c r="H346" s="2"/>
      <c r="I346" s="2"/>
      <c r="J346" s="2"/>
      <c r="K346" s="2"/>
      <c r="L346" s="2"/>
      <c r="M346" s="2"/>
      <c r="N346" s="2"/>
      <c r="O346" s="2"/>
      <c r="P346" s="2"/>
      <c r="Q346" s="2"/>
      <c r="R346" s="2"/>
      <c r="S346" s="2"/>
      <c r="T346" s="2"/>
    </row>
    <row r="347" spans="1:20" ht="15.75" customHeight="1">
      <c r="A347" s="1"/>
      <c r="B347" s="2"/>
      <c r="C347" s="2"/>
      <c r="D347" s="2"/>
      <c r="E347" s="2"/>
      <c r="F347" s="2"/>
      <c r="G347" s="2"/>
      <c r="H347" s="2"/>
      <c r="I347" s="2"/>
      <c r="J347" s="2"/>
      <c r="K347" s="2"/>
      <c r="L347" s="2"/>
      <c r="M347" s="2"/>
      <c r="N347" s="2"/>
      <c r="O347" s="2"/>
      <c r="P347" s="2"/>
      <c r="Q347" s="2"/>
      <c r="R347" s="2"/>
      <c r="S347" s="2"/>
      <c r="T347" s="2"/>
    </row>
    <row r="348" spans="1:20" ht="15.75" customHeight="1">
      <c r="A348" s="1"/>
      <c r="B348" s="2"/>
      <c r="C348" s="2"/>
      <c r="D348" s="2"/>
      <c r="E348" s="2"/>
      <c r="F348" s="2"/>
      <c r="G348" s="2"/>
      <c r="H348" s="2"/>
      <c r="I348" s="2"/>
      <c r="J348" s="2"/>
      <c r="K348" s="2"/>
      <c r="L348" s="2"/>
      <c r="M348" s="2"/>
      <c r="N348" s="2"/>
      <c r="O348" s="2"/>
      <c r="P348" s="2"/>
      <c r="Q348" s="2"/>
      <c r="R348" s="2"/>
      <c r="S348" s="2"/>
      <c r="T348" s="2"/>
    </row>
    <row r="349" spans="1:20" ht="15.75" customHeight="1">
      <c r="A349" s="1"/>
      <c r="B349" s="2"/>
      <c r="C349" s="2"/>
      <c r="D349" s="2"/>
      <c r="E349" s="2"/>
      <c r="F349" s="2"/>
      <c r="G349" s="2"/>
      <c r="H349" s="2"/>
      <c r="I349" s="2"/>
      <c r="J349" s="2"/>
      <c r="K349" s="2"/>
      <c r="L349" s="2"/>
      <c r="M349" s="2"/>
      <c r="N349" s="2"/>
      <c r="O349" s="2"/>
      <c r="P349" s="2"/>
      <c r="Q349" s="2"/>
      <c r="R349" s="2"/>
      <c r="S349" s="2"/>
      <c r="T349" s="2"/>
    </row>
    <row r="350" spans="1:20" ht="15.75" customHeight="1">
      <c r="A350" s="1"/>
      <c r="B350" s="2"/>
      <c r="C350" s="2"/>
      <c r="D350" s="2"/>
      <c r="E350" s="2"/>
      <c r="F350" s="2"/>
      <c r="G350" s="2"/>
      <c r="H350" s="2"/>
      <c r="I350" s="2"/>
      <c r="J350" s="2"/>
      <c r="K350" s="2"/>
      <c r="L350" s="2"/>
      <c r="M350" s="2"/>
      <c r="N350" s="2"/>
      <c r="O350" s="2"/>
      <c r="P350" s="2"/>
      <c r="Q350" s="2"/>
      <c r="R350" s="2"/>
      <c r="S350" s="2"/>
      <c r="T350" s="2"/>
    </row>
    <row r="351" spans="1:20" ht="15.75" customHeight="1">
      <c r="A351" s="1"/>
      <c r="B351" s="2"/>
      <c r="C351" s="2"/>
      <c r="D351" s="2"/>
      <c r="E351" s="2"/>
      <c r="F351" s="2"/>
      <c r="G351" s="2"/>
      <c r="H351" s="2"/>
      <c r="I351" s="2"/>
      <c r="J351" s="2"/>
      <c r="K351" s="2"/>
      <c r="L351" s="2"/>
      <c r="M351" s="2"/>
      <c r="N351" s="2"/>
      <c r="O351" s="2"/>
      <c r="P351" s="2"/>
      <c r="Q351" s="2"/>
      <c r="R351" s="2"/>
      <c r="S351" s="2"/>
      <c r="T351" s="2"/>
    </row>
    <row r="352" spans="1:20" ht="15.75" customHeight="1">
      <c r="A352" s="1"/>
      <c r="B352" s="2"/>
      <c r="C352" s="2"/>
      <c r="D352" s="2"/>
      <c r="E352" s="2"/>
      <c r="F352" s="2"/>
      <c r="G352" s="2"/>
      <c r="H352" s="2"/>
      <c r="I352" s="2"/>
      <c r="J352" s="2"/>
      <c r="K352" s="2"/>
      <c r="L352" s="2"/>
      <c r="M352" s="2"/>
      <c r="N352" s="2"/>
      <c r="O352" s="2"/>
      <c r="P352" s="2"/>
      <c r="Q352" s="2"/>
      <c r="R352" s="2"/>
      <c r="S352" s="2"/>
      <c r="T352" s="2"/>
    </row>
    <row r="353" spans="1:20" ht="15.75" customHeight="1">
      <c r="A353" s="1"/>
      <c r="B353" s="2"/>
      <c r="C353" s="2"/>
      <c r="D353" s="2"/>
      <c r="E353" s="2"/>
      <c r="F353" s="2"/>
      <c r="G353" s="2"/>
      <c r="H353" s="2"/>
      <c r="I353" s="2"/>
      <c r="J353" s="2"/>
      <c r="K353" s="2"/>
      <c r="L353" s="2"/>
      <c r="M353" s="2"/>
      <c r="N353" s="2"/>
      <c r="O353" s="2"/>
      <c r="P353" s="2"/>
      <c r="Q353" s="2"/>
      <c r="R353" s="2"/>
      <c r="S353" s="2"/>
      <c r="T353" s="2"/>
    </row>
    <row r="354" spans="1:20" ht="15.75" customHeight="1">
      <c r="A354" s="1"/>
      <c r="B354" s="2"/>
      <c r="C354" s="2"/>
      <c r="D354" s="2"/>
      <c r="E354" s="2"/>
      <c r="F354" s="2"/>
      <c r="G354" s="2"/>
      <c r="H354" s="2"/>
      <c r="I354" s="2"/>
      <c r="J354" s="2"/>
      <c r="K354" s="2"/>
      <c r="L354" s="2"/>
      <c r="M354" s="2"/>
      <c r="N354" s="2"/>
      <c r="O354" s="2"/>
      <c r="P354" s="2"/>
      <c r="Q354" s="2"/>
      <c r="R354" s="2"/>
      <c r="S354" s="2"/>
      <c r="T354" s="2"/>
    </row>
    <row r="355" spans="1:20" ht="15.75" customHeight="1">
      <c r="A355" s="1"/>
      <c r="B355" s="2"/>
      <c r="C355" s="2"/>
      <c r="D355" s="2"/>
      <c r="E355" s="2"/>
      <c r="F355" s="2"/>
      <c r="G355" s="2"/>
      <c r="H355" s="2"/>
      <c r="I355" s="2"/>
      <c r="J355" s="2"/>
      <c r="K355" s="2"/>
      <c r="L355" s="2"/>
      <c r="M355" s="2"/>
      <c r="N355" s="2"/>
      <c r="O355" s="2"/>
      <c r="P355" s="2"/>
      <c r="Q355" s="2"/>
      <c r="R355" s="2"/>
      <c r="S355" s="2"/>
      <c r="T355" s="2"/>
    </row>
    <row r="356" spans="1:20" ht="15.75" customHeight="1">
      <c r="A356" s="1"/>
      <c r="B356" s="2"/>
      <c r="C356" s="2"/>
      <c r="D356" s="2"/>
      <c r="E356" s="2"/>
      <c r="F356" s="2"/>
      <c r="G356" s="2"/>
      <c r="H356" s="2"/>
      <c r="I356" s="2"/>
      <c r="J356" s="2"/>
      <c r="K356" s="2"/>
      <c r="L356" s="2"/>
      <c r="M356" s="2"/>
      <c r="N356" s="2"/>
      <c r="O356" s="2"/>
      <c r="P356" s="2"/>
      <c r="Q356" s="2"/>
      <c r="R356" s="2"/>
      <c r="S356" s="2"/>
      <c r="T356" s="2"/>
    </row>
    <row r="357" spans="1:20" ht="15.75" customHeight="1">
      <c r="A357" s="1"/>
      <c r="B357" s="2"/>
      <c r="C357" s="2"/>
      <c r="D357" s="2"/>
      <c r="E357" s="2"/>
      <c r="F357" s="2"/>
      <c r="G357" s="2"/>
      <c r="H357" s="2"/>
      <c r="I357" s="2"/>
      <c r="J357" s="2"/>
      <c r="K357" s="2"/>
      <c r="L357" s="2"/>
      <c r="M357" s="2"/>
      <c r="N357" s="2"/>
      <c r="O357" s="2"/>
      <c r="P357" s="2"/>
      <c r="Q357" s="2"/>
      <c r="R357" s="2"/>
      <c r="S357" s="2"/>
      <c r="T357" s="2"/>
    </row>
    <row r="358" spans="1:20" ht="15.75" customHeight="1">
      <c r="A358" s="1"/>
      <c r="B358" s="2"/>
      <c r="C358" s="2"/>
      <c r="D358" s="2"/>
      <c r="E358" s="2"/>
      <c r="F358" s="2"/>
      <c r="G358" s="2"/>
      <c r="H358" s="2"/>
      <c r="I358" s="2"/>
      <c r="J358" s="2"/>
      <c r="K358" s="2"/>
      <c r="L358" s="2"/>
      <c r="M358" s="2"/>
      <c r="N358" s="2"/>
      <c r="O358" s="2"/>
      <c r="P358" s="2"/>
      <c r="Q358" s="2"/>
      <c r="R358" s="2"/>
      <c r="S358" s="2"/>
      <c r="T358" s="2"/>
    </row>
    <row r="359" spans="1:20" ht="15.75" customHeight="1">
      <c r="A359" s="1"/>
      <c r="B359" s="2"/>
      <c r="C359" s="2"/>
      <c r="D359" s="2"/>
      <c r="E359" s="2"/>
      <c r="F359" s="2"/>
      <c r="G359" s="2"/>
      <c r="H359" s="2"/>
      <c r="I359" s="2"/>
      <c r="J359" s="2"/>
      <c r="K359" s="2"/>
      <c r="L359" s="2"/>
      <c r="M359" s="2"/>
      <c r="N359" s="2"/>
      <c r="O359" s="2"/>
      <c r="P359" s="2"/>
      <c r="Q359" s="2"/>
      <c r="R359" s="2"/>
      <c r="S359" s="2"/>
      <c r="T359" s="2"/>
    </row>
    <row r="360" spans="1:20" ht="15.75" customHeight="1">
      <c r="A360" s="1"/>
      <c r="B360" s="2"/>
      <c r="C360" s="2"/>
      <c r="D360" s="2"/>
      <c r="E360" s="2"/>
      <c r="F360" s="2"/>
      <c r="G360" s="2"/>
      <c r="H360" s="2"/>
      <c r="I360" s="2"/>
      <c r="J360" s="2"/>
      <c r="K360" s="2"/>
      <c r="L360" s="2"/>
      <c r="M360" s="2"/>
      <c r="N360" s="2"/>
      <c r="O360" s="2"/>
      <c r="P360" s="2"/>
      <c r="Q360" s="2"/>
      <c r="R360" s="2"/>
      <c r="S360" s="2"/>
      <c r="T360" s="2"/>
    </row>
    <row r="361" spans="1:20" ht="15.75" customHeight="1">
      <c r="A361" s="1"/>
      <c r="B361" s="2"/>
      <c r="C361" s="2"/>
      <c r="D361" s="2"/>
      <c r="E361" s="2"/>
      <c r="F361" s="2"/>
      <c r="G361" s="2"/>
      <c r="H361" s="2"/>
      <c r="I361" s="2"/>
      <c r="J361" s="2"/>
      <c r="K361" s="2"/>
      <c r="L361" s="2"/>
      <c r="M361" s="2"/>
      <c r="N361" s="2"/>
      <c r="O361" s="2"/>
      <c r="P361" s="2"/>
      <c r="Q361" s="2"/>
      <c r="R361" s="2"/>
      <c r="S361" s="2"/>
      <c r="T361" s="2"/>
    </row>
    <row r="362" spans="1:20" ht="15.75" customHeight="1">
      <c r="A362" s="1"/>
      <c r="B362" s="2"/>
      <c r="C362" s="2"/>
      <c r="D362" s="2"/>
      <c r="E362" s="2"/>
      <c r="F362" s="2"/>
      <c r="G362" s="2"/>
      <c r="H362" s="2"/>
      <c r="I362" s="2"/>
      <c r="J362" s="2"/>
      <c r="K362" s="2"/>
      <c r="L362" s="2"/>
      <c r="M362" s="2"/>
      <c r="N362" s="2"/>
      <c r="O362" s="2"/>
      <c r="P362" s="2"/>
      <c r="Q362" s="2"/>
      <c r="R362" s="2"/>
      <c r="S362" s="2"/>
      <c r="T362" s="2"/>
    </row>
    <row r="363" spans="1:20" ht="15.75" customHeight="1">
      <c r="A363" s="1"/>
      <c r="B363" s="2"/>
      <c r="C363" s="2"/>
      <c r="D363" s="2"/>
      <c r="E363" s="2"/>
      <c r="F363" s="2"/>
      <c r="G363" s="2"/>
      <c r="H363" s="2"/>
      <c r="I363" s="2"/>
      <c r="J363" s="2"/>
      <c r="K363" s="2"/>
      <c r="L363" s="2"/>
      <c r="M363" s="2"/>
      <c r="N363" s="2"/>
      <c r="O363" s="2"/>
      <c r="P363" s="2"/>
      <c r="Q363" s="2"/>
      <c r="R363" s="2"/>
      <c r="S363" s="2"/>
      <c r="T363" s="2"/>
    </row>
    <row r="364" spans="1:20" ht="15.75" customHeight="1">
      <c r="A364" s="1"/>
      <c r="B364" s="2"/>
      <c r="C364" s="2"/>
      <c r="D364" s="2"/>
      <c r="E364" s="2"/>
      <c r="F364" s="2"/>
      <c r="G364" s="2"/>
      <c r="H364" s="2"/>
      <c r="I364" s="2"/>
      <c r="J364" s="2"/>
      <c r="K364" s="2"/>
      <c r="L364" s="2"/>
      <c r="M364" s="2"/>
      <c r="N364" s="2"/>
      <c r="O364" s="2"/>
      <c r="P364" s="2"/>
      <c r="Q364" s="2"/>
      <c r="R364" s="2"/>
      <c r="S364" s="2"/>
      <c r="T364" s="2"/>
    </row>
    <row r="365" spans="1:20" ht="15.75" customHeight="1">
      <c r="A365" s="1"/>
      <c r="B365" s="2"/>
      <c r="C365" s="2"/>
      <c r="D365" s="2"/>
      <c r="E365" s="2"/>
      <c r="F365" s="2"/>
      <c r="G365" s="2"/>
      <c r="H365" s="2"/>
      <c r="I365" s="2"/>
      <c r="J365" s="2"/>
      <c r="K365" s="2"/>
      <c r="L365" s="2"/>
      <c r="M365" s="2"/>
      <c r="N365" s="2"/>
      <c r="O365" s="2"/>
      <c r="P365" s="2"/>
      <c r="Q365" s="2"/>
      <c r="R365" s="2"/>
      <c r="S365" s="2"/>
      <c r="T365" s="2"/>
    </row>
    <row r="366" spans="1:20" ht="15.75" customHeight="1">
      <c r="A366" s="1"/>
      <c r="B366" s="2"/>
      <c r="C366" s="2"/>
      <c r="D366" s="2"/>
      <c r="E366" s="2"/>
      <c r="F366" s="2"/>
      <c r="G366" s="2"/>
      <c r="H366" s="2"/>
      <c r="I366" s="2"/>
      <c r="J366" s="2"/>
      <c r="K366" s="2"/>
      <c r="L366" s="2"/>
      <c r="M366" s="2"/>
      <c r="N366" s="2"/>
      <c r="O366" s="2"/>
      <c r="P366" s="2"/>
      <c r="Q366" s="2"/>
      <c r="R366" s="2"/>
      <c r="S366" s="2"/>
      <c r="T366" s="2"/>
    </row>
    <row r="367" spans="1:20" ht="15.75" customHeight="1">
      <c r="A367" s="1"/>
      <c r="B367" s="2"/>
      <c r="C367" s="2"/>
      <c r="D367" s="2"/>
      <c r="E367" s="2"/>
      <c r="F367" s="2"/>
      <c r="G367" s="2"/>
      <c r="H367" s="2"/>
      <c r="I367" s="2"/>
      <c r="J367" s="2"/>
      <c r="K367" s="2"/>
      <c r="L367" s="2"/>
      <c r="M367" s="2"/>
      <c r="N367" s="2"/>
      <c r="O367" s="2"/>
      <c r="P367" s="2"/>
      <c r="Q367" s="2"/>
      <c r="R367" s="2"/>
      <c r="S367" s="2"/>
      <c r="T367" s="2"/>
    </row>
    <row r="368" spans="1:20" ht="15.75" customHeight="1">
      <c r="A368" s="1"/>
      <c r="B368" s="2"/>
      <c r="C368" s="2"/>
      <c r="D368" s="2"/>
      <c r="E368" s="2"/>
      <c r="F368" s="2"/>
      <c r="G368" s="2"/>
      <c r="H368" s="2"/>
      <c r="I368" s="2"/>
      <c r="J368" s="2"/>
      <c r="K368" s="2"/>
      <c r="L368" s="2"/>
      <c r="M368" s="2"/>
      <c r="N368" s="2"/>
      <c r="O368" s="2"/>
      <c r="P368" s="2"/>
      <c r="Q368" s="2"/>
      <c r="R368" s="2"/>
      <c r="S368" s="2"/>
      <c r="T368" s="2"/>
    </row>
    <row r="369" spans="1:20" ht="15.75" customHeight="1">
      <c r="A369" s="1"/>
      <c r="B369" s="2"/>
      <c r="C369" s="2"/>
      <c r="D369" s="2"/>
      <c r="E369" s="2"/>
      <c r="F369" s="2"/>
      <c r="G369" s="2"/>
      <c r="H369" s="2"/>
      <c r="I369" s="2"/>
      <c r="J369" s="2"/>
      <c r="K369" s="2"/>
      <c r="L369" s="2"/>
      <c r="M369" s="2"/>
      <c r="N369" s="2"/>
      <c r="O369" s="2"/>
      <c r="P369" s="2"/>
      <c r="Q369" s="2"/>
      <c r="R369" s="2"/>
      <c r="S369" s="2"/>
      <c r="T369" s="2"/>
    </row>
    <row r="370" spans="1:20" ht="15.75" customHeight="1">
      <c r="A370" s="1"/>
      <c r="B370" s="2"/>
      <c r="C370" s="2"/>
      <c r="D370" s="2"/>
      <c r="E370" s="2"/>
      <c r="F370" s="2"/>
      <c r="G370" s="2"/>
      <c r="H370" s="2"/>
      <c r="I370" s="2"/>
      <c r="J370" s="2"/>
      <c r="K370" s="2"/>
      <c r="L370" s="2"/>
      <c r="M370" s="2"/>
      <c r="N370" s="2"/>
      <c r="O370" s="2"/>
      <c r="P370" s="2"/>
      <c r="Q370" s="2"/>
      <c r="R370" s="2"/>
      <c r="S370" s="2"/>
      <c r="T370" s="2"/>
    </row>
    <row r="371" spans="1:20" ht="15.75" customHeight="1">
      <c r="A371" s="1"/>
      <c r="B371" s="2"/>
      <c r="C371" s="2"/>
      <c r="D371" s="2"/>
      <c r="E371" s="2"/>
      <c r="F371" s="2"/>
      <c r="G371" s="2"/>
      <c r="H371" s="2"/>
      <c r="I371" s="2"/>
      <c r="J371" s="2"/>
      <c r="K371" s="2"/>
      <c r="L371" s="2"/>
      <c r="M371" s="2"/>
      <c r="N371" s="2"/>
      <c r="O371" s="2"/>
      <c r="P371" s="2"/>
      <c r="Q371" s="2"/>
      <c r="R371" s="2"/>
      <c r="S371" s="2"/>
      <c r="T371" s="2"/>
    </row>
    <row r="372" spans="1:20" ht="15.75" customHeight="1">
      <c r="A372" s="1"/>
      <c r="B372" s="2"/>
      <c r="C372" s="2"/>
      <c r="D372" s="2"/>
      <c r="E372" s="2"/>
      <c r="F372" s="2"/>
      <c r="G372" s="2"/>
      <c r="H372" s="2"/>
      <c r="I372" s="2"/>
      <c r="J372" s="2"/>
      <c r="K372" s="2"/>
      <c r="L372" s="2"/>
      <c r="M372" s="2"/>
      <c r="N372" s="2"/>
      <c r="O372" s="2"/>
      <c r="P372" s="2"/>
      <c r="Q372" s="2"/>
      <c r="R372" s="2"/>
      <c r="S372" s="2"/>
      <c r="T372" s="2"/>
    </row>
    <row r="373" spans="1:20" ht="15.75" customHeight="1">
      <c r="A373" s="1"/>
      <c r="B373" s="2"/>
      <c r="C373" s="2"/>
      <c r="D373" s="2"/>
      <c r="E373" s="2"/>
      <c r="F373" s="2"/>
      <c r="G373" s="2"/>
      <c r="H373" s="2"/>
      <c r="I373" s="2"/>
      <c r="J373" s="2"/>
      <c r="K373" s="2"/>
      <c r="L373" s="2"/>
      <c r="M373" s="2"/>
      <c r="N373" s="2"/>
      <c r="O373" s="2"/>
      <c r="P373" s="2"/>
      <c r="Q373" s="2"/>
      <c r="R373" s="2"/>
      <c r="S373" s="2"/>
      <c r="T373" s="2"/>
    </row>
    <row r="374" spans="1:20" ht="15.75" customHeight="1">
      <c r="A374" s="1"/>
      <c r="B374" s="2"/>
      <c r="C374" s="2"/>
      <c r="D374" s="2"/>
      <c r="E374" s="2"/>
      <c r="F374" s="2"/>
      <c r="G374" s="2"/>
      <c r="H374" s="2"/>
      <c r="I374" s="2"/>
      <c r="J374" s="2"/>
      <c r="K374" s="2"/>
      <c r="L374" s="2"/>
      <c r="M374" s="2"/>
      <c r="N374" s="2"/>
      <c r="O374" s="2"/>
      <c r="P374" s="2"/>
      <c r="Q374" s="2"/>
      <c r="R374" s="2"/>
      <c r="S374" s="2"/>
      <c r="T374" s="2"/>
    </row>
    <row r="375" spans="1:20" ht="15.75" customHeight="1">
      <c r="A375" s="1"/>
      <c r="B375" s="2"/>
      <c r="C375" s="2"/>
      <c r="D375" s="2"/>
      <c r="E375" s="2"/>
      <c r="F375" s="2"/>
      <c r="G375" s="2"/>
      <c r="H375" s="2"/>
      <c r="I375" s="2"/>
      <c r="J375" s="2"/>
      <c r="K375" s="2"/>
      <c r="L375" s="2"/>
      <c r="M375" s="2"/>
      <c r="N375" s="2"/>
      <c r="O375" s="2"/>
      <c r="P375" s="2"/>
      <c r="Q375" s="2"/>
      <c r="R375" s="2"/>
      <c r="S375" s="2"/>
      <c r="T375" s="2"/>
    </row>
    <row r="376" spans="1:20" ht="15.75" customHeight="1">
      <c r="A376" s="1"/>
      <c r="B376" s="2"/>
      <c r="C376" s="2"/>
      <c r="D376" s="2"/>
      <c r="E376" s="2"/>
      <c r="F376" s="2"/>
      <c r="G376" s="2"/>
      <c r="H376" s="2"/>
      <c r="I376" s="2"/>
      <c r="J376" s="2"/>
      <c r="K376" s="2"/>
      <c r="L376" s="2"/>
      <c r="M376" s="2"/>
      <c r="N376" s="2"/>
      <c r="O376" s="2"/>
      <c r="P376" s="2"/>
      <c r="Q376" s="2"/>
      <c r="R376" s="2"/>
      <c r="S376" s="2"/>
      <c r="T376" s="2"/>
    </row>
    <row r="377" spans="1:20" ht="15.75" customHeight="1">
      <c r="A377" s="1"/>
      <c r="B377" s="2"/>
      <c r="C377" s="2"/>
      <c r="D377" s="2"/>
      <c r="E377" s="2"/>
      <c r="F377" s="2"/>
      <c r="G377" s="2"/>
      <c r="H377" s="2"/>
      <c r="I377" s="2"/>
      <c r="J377" s="2"/>
      <c r="K377" s="2"/>
      <c r="L377" s="2"/>
      <c r="M377" s="2"/>
      <c r="N377" s="2"/>
      <c r="O377" s="2"/>
      <c r="P377" s="2"/>
      <c r="Q377" s="2"/>
      <c r="R377" s="2"/>
      <c r="S377" s="2"/>
      <c r="T377" s="2"/>
    </row>
    <row r="378" spans="1:20" ht="15.75" customHeight="1">
      <c r="A378" s="1"/>
      <c r="B378" s="2"/>
      <c r="C378" s="2"/>
      <c r="D378" s="2"/>
      <c r="E378" s="2"/>
      <c r="F378" s="2"/>
      <c r="G378" s="2"/>
      <c r="H378" s="2"/>
      <c r="I378" s="2"/>
      <c r="J378" s="2"/>
      <c r="K378" s="2"/>
      <c r="L378" s="2"/>
      <c r="M378" s="2"/>
      <c r="N378" s="2"/>
      <c r="O378" s="2"/>
      <c r="P378" s="2"/>
      <c r="Q378" s="2"/>
      <c r="R378" s="2"/>
      <c r="S378" s="2"/>
      <c r="T378" s="2"/>
    </row>
    <row r="379" spans="1:20" ht="15.75" customHeight="1">
      <c r="A379" s="1"/>
      <c r="B379" s="2"/>
      <c r="C379" s="2"/>
      <c r="D379" s="2"/>
      <c r="E379" s="2"/>
      <c r="F379" s="2"/>
      <c r="G379" s="2"/>
      <c r="H379" s="2"/>
      <c r="I379" s="2"/>
      <c r="J379" s="2"/>
      <c r="K379" s="2"/>
      <c r="L379" s="2"/>
      <c r="M379" s="2"/>
      <c r="N379" s="2"/>
      <c r="O379" s="2"/>
      <c r="P379" s="2"/>
      <c r="Q379" s="2"/>
      <c r="R379" s="2"/>
      <c r="S379" s="2"/>
      <c r="T379" s="2"/>
    </row>
    <row r="380" spans="1:20" ht="15.75" customHeight="1">
      <c r="A380" s="1"/>
      <c r="B380" s="2"/>
      <c r="C380" s="2"/>
      <c r="D380" s="2"/>
      <c r="E380" s="2"/>
      <c r="F380" s="2"/>
      <c r="G380" s="2"/>
      <c r="H380" s="2"/>
      <c r="I380" s="2"/>
      <c r="J380" s="2"/>
      <c r="K380" s="2"/>
      <c r="L380" s="2"/>
      <c r="M380" s="2"/>
      <c r="N380" s="2"/>
      <c r="O380" s="2"/>
      <c r="P380" s="2"/>
      <c r="Q380" s="2"/>
      <c r="R380" s="2"/>
      <c r="S380" s="2"/>
      <c r="T380" s="2"/>
    </row>
    <row r="381" spans="1:20" ht="15.75" customHeight="1">
      <c r="A381" s="1"/>
      <c r="B381" s="2"/>
      <c r="C381" s="2"/>
      <c r="D381" s="2"/>
      <c r="E381" s="2"/>
      <c r="F381" s="2"/>
      <c r="G381" s="2"/>
      <c r="H381" s="2"/>
      <c r="I381" s="2"/>
      <c r="J381" s="2"/>
      <c r="K381" s="2"/>
      <c r="L381" s="2"/>
      <c r="M381" s="2"/>
      <c r="N381" s="2"/>
      <c r="O381" s="2"/>
      <c r="P381" s="2"/>
      <c r="Q381" s="2"/>
      <c r="R381" s="2"/>
      <c r="S381" s="2"/>
      <c r="T381" s="2"/>
    </row>
    <row r="382" spans="1:20" ht="15.75" customHeight="1">
      <c r="A382" s="1"/>
      <c r="B382" s="2"/>
      <c r="C382" s="2"/>
      <c r="D382" s="2"/>
      <c r="E382" s="2"/>
      <c r="F382" s="2"/>
      <c r="G382" s="2"/>
      <c r="H382" s="2"/>
      <c r="I382" s="2"/>
      <c r="J382" s="2"/>
      <c r="K382" s="2"/>
      <c r="L382" s="2"/>
      <c r="M382" s="2"/>
      <c r="N382" s="2"/>
      <c r="O382" s="2"/>
      <c r="P382" s="2"/>
      <c r="Q382" s="2"/>
      <c r="R382" s="2"/>
      <c r="S382" s="2"/>
      <c r="T382" s="2"/>
    </row>
    <row r="383" spans="1:20" ht="15.75" customHeight="1">
      <c r="A383" s="1"/>
      <c r="B383" s="2"/>
      <c r="C383" s="2"/>
      <c r="D383" s="2"/>
      <c r="E383" s="2"/>
      <c r="F383" s="2"/>
      <c r="G383" s="2"/>
      <c r="H383" s="2"/>
      <c r="I383" s="2"/>
      <c r="J383" s="2"/>
      <c r="K383" s="2"/>
      <c r="L383" s="2"/>
      <c r="M383" s="2"/>
      <c r="N383" s="2"/>
      <c r="O383" s="2"/>
      <c r="P383" s="2"/>
      <c r="Q383" s="2"/>
      <c r="R383" s="2"/>
      <c r="S383" s="2"/>
      <c r="T383" s="2"/>
    </row>
    <row r="384" spans="1:20" ht="15.75" customHeight="1">
      <c r="A384" s="1"/>
      <c r="B384" s="2"/>
      <c r="C384" s="2"/>
      <c r="D384" s="2"/>
      <c r="E384" s="2"/>
      <c r="F384" s="2"/>
      <c r="G384" s="2"/>
      <c r="H384" s="2"/>
      <c r="I384" s="2"/>
      <c r="J384" s="2"/>
      <c r="K384" s="2"/>
      <c r="L384" s="2"/>
      <c r="M384" s="2"/>
      <c r="N384" s="2"/>
      <c r="O384" s="2"/>
      <c r="P384" s="2"/>
      <c r="Q384" s="2"/>
      <c r="R384" s="2"/>
      <c r="S384" s="2"/>
      <c r="T384" s="2"/>
    </row>
    <row r="385" spans="1:20" ht="15.75" customHeight="1">
      <c r="A385" s="1"/>
      <c r="B385" s="2"/>
      <c r="C385" s="2"/>
      <c r="D385" s="2"/>
      <c r="E385" s="2"/>
      <c r="F385" s="2"/>
      <c r="G385" s="2"/>
      <c r="H385" s="2"/>
      <c r="I385" s="2"/>
      <c r="J385" s="2"/>
      <c r="K385" s="2"/>
      <c r="L385" s="2"/>
      <c r="M385" s="2"/>
      <c r="N385" s="2"/>
      <c r="O385" s="2"/>
      <c r="P385" s="2"/>
      <c r="Q385" s="2"/>
      <c r="R385" s="2"/>
      <c r="S385" s="2"/>
      <c r="T385" s="2"/>
    </row>
    <row r="386" spans="1:20" ht="15.75" customHeight="1">
      <c r="A386" s="1"/>
      <c r="B386" s="2"/>
      <c r="C386" s="2"/>
      <c r="D386" s="2"/>
      <c r="E386" s="2"/>
      <c r="F386" s="2"/>
      <c r="G386" s="2"/>
      <c r="H386" s="2"/>
      <c r="I386" s="2"/>
      <c r="J386" s="2"/>
      <c r="K386" s="2"/>
      <c r="L386" s="2"/>
      <c r="M386" s="2"/>
      <c r="N386" s="2"/>
      <c r="O386" s="2"/>
      <c r="P386" s="2"/>
      <c r="Q386" s="2"/>
      <c r="R386" s="2"/>
      <c r="S386" s="2"/>
      <c r="T386" s="2"/>
    </row>
    <row r="387" spans="1:20" ht="15.75" customHeight="1">
      <c r="A387" s="1"/>
      <c r="B387" s="2"/>
      <c r="C387" s="2"/>
      <c r="D387" s="2"/>
      <c r="E387" s="2"/>
      <c r="F387" s="2"/>
      <c r="G387" s="2"/>
      <c r="H387" s="2"/>
      <c r="I387" s="2"/>
      <c r="J387" s="2"/>
      <c r="K387" s="2"/>
      <c r="L387" s="2"/>
      <c r="M387" s="2"/>
      <c r="N387" s="2"/>
      <c r="O387" s="2"/>
      <c r="P387" s="2"/>
      <c r="Q387" s="2"/>
      <c r="R387" s="2"/>
      <c r="S387" s="2"/>
      <c r="T387" s="2"/>
    </row>
    <row r="388" spans="1:20" ht="15.75" customHeight="1">
      <c r="A388" s="1"/>
      <c r="B388" s="2"/>
      <c r="C388" s="2"/>
      <c r="D388" s="2"/>
      <c r="E388" s="2"/>
      <c r="F388" s="2"/>
      <c r="G388" s="2"/>
      <c r="H388" s="2"/>
      <c r="I388" s="2"/>
      <c r="J388" s="2"/>
      <c r="K388" s="2"/>
      <c r="L388" s="2"/>
      <c r="M388" s="2"/>
      <c r="N388" s="2"/>
      <c r="O388" s="2"/>
      <c r="P388" s="2"/>
      <c r="Q388" s="2"/>
      <c r="R388" s="2"/>
      <c r="S388" s="2"/>
      <c r="T388" s="2"/>
    </row>
    <row r="389" spans="1:20" ht="15.75" customHeight="1">
      <c r="A389" s="1"/>
      <c r="B389" s="2"/>
      <c r="C389" s="2"/>
      <c r="D389" s="2"/>
      <c r="E389" s="2"/>
      <c r="F389" s="2"/>
      <c r="G389" s="2"/>
      <c r="H389" s="2"/>
      <c r="I389" s="2"/>
      <c r="J389" s="2"/>
      <c r="K389" s="2"/>
      <c r="L389" s="2"/>
      <c r="M389" s="2"/>
      <c r="N389" s="2"/>
      <c r="O389" s="2"/>
      <c r="P389" s="2"/>
      <c r="Q389" s="2"/>
      <c r="R389" s="2"/>
      <c r="S389" s="2"/>
      <c r="T389" s="2"/>
    </row>
    <row r="390" spans="1:20" ht="15.75" customHeight="1">
      <c r="A390" s="1"/>
      <c r="B390" s="2"/>
      <c r="C390" s="2"/>
      <c r="D390" s="2"/>
      <c r="E390" s="2"/>
      <c r="F390" s="2"/>
      <c r="G390" s="2"/>
      <c r="H390" s="2"/>
      <c r="I390" s="2"/>
      <c r="J390" s="2"/>
      <c r="K390" s="2"/>
      <c r="L390" s="2"/>
      <c r="M390" s="2"/>
      <c r="N390" s="2"/>
      <c r="O390" s="2"/>
      <c r="P390" s="2"/>
      <c r="Q390" s="2"/>
      <c r="R390" s="2"/>
      <c r="S390" s="2"/>
      <c r="T390" s="2"/>
    </row>
    <row r="391" spans="1:20" ht="15.75" customHeight="1">
      <c r="A391" s="1"/>
      <c r="B391" s="2"/>
      <c r="C391" s="2"/>
      <c r="D391" s="2"/>
      <c r="E391" s="2"/>
      <c r="F391" s="2"/>
      <c r="G391" s="2"/>
      <c r="H391" s="2"/>
      <c r="I391" s="2"/>
      <c r="J391" s="2"/>
      <c r="K391" s="2"/>
      <c r="L391" s="2"/>
      <c r="M391" s="2"/>
      <c r="N391" s="2"/>
      <c r="O391" s="2"/>
      <c r="P391" s="2"/>
      <c r="Q391" s="2"/>
      <c r="R391" s="2"/>
      <c r="S391" s="2"/>
      <c r="T391" s="2"/>
    </row>
    <row r="392" spans="1:20" ht="15.75" customHeight="1">
      <c r="A392" s="1"/>
      <c r="B392" s="2"/>
      <c r="C392" s="2"/>
      <c r="D392" s="2"/>
      <c r="E392" s="2"/>
      <c r="F392" s="2"/>
      <c r="G392" s="2"/>
      <c r="H392" s="2"/>
      <c r="I392" s="2"/>
      <c r="J392" s="2"/>
      <c r="K392" s="2"/>
      <c r="L392" s="2"/>
      <c r="M392" s="2"/>
      <c r="N392" s="2"/>
      <c r="O392" s="2"/>
      <c r="P392" s="2"/>
      <c r="Q392" s="2"/>
      <c r="R392" s="2"/>
      <c r="S392" s="2"/>
      <c r="T392" s="2"/>
    </row>
    <row r="393" spans="1:20" ht="15.75" customHeight="1">
      <c r="A393" s="1"/>
      <c r="B393" s="2"/>
      <c r="C393" s="2"/>
      <c r="D393" s="2"/>
      <c r="E393" s="2"/>
      <c r="F393" s="2"/>
      <c r="G393" s="2"/>
      <c r="H393" s="2"/>
      <c r="I393" s="2"/>
      <c r="J393" s="2"/>
      <c r="K393" s="2"/>
      <c r="L393" s="2"/>
      <c r="M393" s="2"/>
      <c r="N393" s="2"/>
      <c r="O393" s="2"/>
      <c r="P393" s="2"/>
      <c r="Q393" s="2"/>
      <c r="R393" s="2"/>
      <c r="S393" s="2"/>
      <c r="T393" s="2"/>
    </row>
    <row r="394" spans="1:20" ht="15.75" customHeight="1">
      <c r="A394" s="1"/>
      <c r="B394" s="2"/>
      <c r="C394" s="2"/>
      <c r="D394" s="2"/>
      <c r="E394" s="2"/>
      <c r="F394" s="2"/>
      <c r="G394" s="2"/>
      <c r="H394" s="2"/>
      <c r="I394" s="2"/>
      <c r="J394" s="2"/>
      <c r="K394" s="2"/>
      <c r="L394" s="2"/>
      <c r="M394" s="2"/>
      <c r="N394" s="2"/>
      <c r="O394" s="2"/>
      <c r="P394" s="2"/>
      <c r="Q394" s="2"/>
      <c r="R394" s="2"/>
      <c r="S394" s="2"/>
      <c r="T394" s="2"/>
    </row>
    <row r="395" spans="1:20" ht="15.75" customHeight="1">
      <c r="A395" s="1"/>
      <c r="B395" s="2"/>
      <c r="C395" s="2"/>
      <c r="D395" s="2"/>
      <c r="E395" s="2"/>
      <c r="F395" s="2"/>
      <c r="G395" s="2"/>
      <c r="H395" s="2"/>
      <c r="I395" s="2"/>
      <c r="J395" s="2"/>
      <c r="K395" s="2"/>
      <c r="L395" s="2"/>
      <c r="M395" s="2"/>
      <c r="N395" s="2"/>
      <c r="O395" s="2"/>
      <c r="P395" s="2"/>
      <c r="Q395" s="2"/>
      <c r="R395" s="2"/>
      <c r="S395" s="2"/>
      <c r="T395" s="2"/>
    </row>
    <row r="396" spans="1:20" ht="15.75" customHeight="1">
      <c r="A396" s="1"/>
      <c r="B396" s="2"/>
      <c r="C396" s="2"/>
      <c r="D396" s="2"/>
      <c r="E396" s="2"/>
      <c r="F396" s="2"/>
      <c r="G396" s="2"/>
      <c r="H396" s="2"/>
      <c r="I396" s="2"/>
      <c r="J396" s="2"/>
      <c r="K396" s="2"/>
      <c r="L396" s="2"/>
      <c r="M396" s="2"/>
      <c r="N396" s="2"/>
      <c r="O396" s="2"/>
      <c r="P396" s="2"/>
      <c r="Q396" s="2"/>
      <c r="R396" s="2"/>
      <c r="S396" s="2"/>
      <c r="T396" s="2"/>
    </row>
    <row r="397" spans="1:20" ht="15.75" customHeight="1">
      <c r="A397" s="1"/>
      <c r="B397" s="2"/>
      <c r="C397" s="2"/>
      <c r="D397" s="2"/>
      <c r="E397" s="2"/>
      <c r="F397" s="2"/>
      <c r="G397" s="2"/>
      <c r="H397" s="2"/>
      <c r="I397" s="2"/>
      <c r="J397" s="2"/>
      <c r="K397" s="2"/>
      <c r="L397" s="2"/>
      <c r="M397" s="2"/>
      <c r="N397" s="2"/>
      <c r="O397" s="2"/>
      <c r="P397" s="2"/>
      <c r="Q397" s="2"/>
      <c r="R397" s="2"/>
      <c r="S397" s="2"/>
      <c r="T397" s="2"/>
    </row>
    <row r="398" spans="1:20" ht="15.75" customHeight="1">
      <c r="A398" s="1"/>
      <c r="B398" s="2"/>
      <c r="C398" s="2"/>
      <c r="D398" s="2"/>
      <c r="E398" s="2"/>
      <c r="F398" s="2"/>
      <c r="G398" s="2"/>
      <c r="H398" s="2"/>
      <c r="I398" s="2"/>
      <c r="J398" s="2"/>
      <c r="K398" s="2"/>
      <c r="L398" s="2"/>
      <c r="M398" s="2"/>
      <c r="N398" s="2"/>
      <c r="O398" s="2"/>
      <c r="P398" s="2"/>
      <c r="Q398" s="2"/>
      <c r="R398" s="2"/>
      <c r="S398" s="2"/>
      <c r="T398" s="2"/>
    </row>
    <row r="399" spans="1:20" ht="15.75" customHeight="1">
      <c r="A399" s="1"/>
      <c r="B399" s="2"/>
      <c r="C399" s="2"/>
      <c r="D399" s="2"/>
      <c r="E399" s="2"/>
      <c r="F399" s="2"/>
      <c r="G399" s="2"/>
      <c r="H399" s="2"/>
      <c r="I399" s="2"/>
      <c r="J399" s="2"/>
      <c r="K399" s="2"/>
      <c r="L399" s="2"/>
      <c r="M399" s="2"/>
      <c r="N399" s="2"/>
      <c r="O399" s="2"/>
      <c r="P399" s="2"/>
      <c r="Q399" s="2"/>
      <c r="R399" s="2"/>
      <c r="S399" s="2"/>
      <c r="T399" s="2"/>
    </row>
    <row r="400" spans="1:20" ht="15.75" customHeight="1">
      <c r="A400" s="1"/>
      <c r="B400" s="2"/>
      <c r="C400" s="2"/>
      <c r="D400" s="2"/>
      <c r="E400" s="2"/>
      <c r="F400" s="2"/>
      <c r="G400" s="2"/>
      <c r="H400" s="2"/>
      <c r="I400" s="2"/>
      <c r="J400" s="2"/>
      <c r="K400" s="2"/>
      <c r="L400" s="2"/>
      <c r="M400" s="2"/>
      <c r="N400" s="2"/>
      <c r="O400" s="2"/>
      <c r="P400" s="2"/>
      <c r="Q400" s="2"/>
      <c r="R400" s="2"/>
      <c r="S400" s="2"/>
      <c r="T400" s="2"/>
    </row>
    <row r="401" spans="1:20" ht="15.75" customHeight="1">
      <c r="A401" s="1"/>
      <c r="B401" s="2"/>
      <c r="C401" s="2"/>
      <c r="D401" s="2"/>
      <c r="E401" s="2"/>
      <c r="F401" s="2"/>
      <c r="G401" s="2"/>
      <c r="H401" s="2"/>
      <c r="I401" s="2"/>
      <c r="J401" s="2"/>
      <c r="K401" s="2"/>
      <c r="L401" s="2"/>
      <c r="M401" s="2"/>
      <c r="N401" s="2"/>
      <c r="O401" s="2"/>
      <c r="P401" s="2"/>
      <c r="Q401" s="2"/>
      <c r="R401" s="2"/>
      <c r="S401" s="2"/>
      <c r="T401" s="2"/>
    </row>
    <row r="402" spans="1:20" ht="15.75" customHeight="1">
      <c r="A402" s="1"/>
      <c r="B402" s="2"/>
      <c r="C402" s="2"/>
      <c r="D402" s="2"/>
      <c r="E402" s="2"/>
      <c r="F402" s="2"/>
      <c r="G402" s="2"/>
      <c r="H402" s="2"/>
      <c r="I402" s="2"/>
      <c r="J402" s="2"/>
      <c r="K402" s="2"/>
      <c r="L402" s="2"/>
      <c r="M402" s="2"/>
      <c r="N402" s="2"/>
      <c r="O402" s="2"/>
      <c r="P402" s="2"/>
      <c r="Q402" s="2"/>
      <c r="R402" s="2"/>
      <c r="S402" s="2"/>
      <c r="T402" s="2"/>
    </row>
    <row r="403" spans="1:20" ht="15.75" customHeight="1">
      <c r="A403" s="1"/>
      <c r="B403" s="2"/>
      <c r="C403" s="2"/>
      <c r="D403" s="2"/>
      <c r="E403" s="2"/>
      <c r="F403" s="2"/>
      <c r="G403" s="2"/>
      <c r="H403" s="2"/>
      <c r="I403" s="2"/>
      <c r="J403" s="2"/>
      <c r="K403" s="2"/>
      <c r="L403" s="2"/>
      <c r="M403" s="2"/>
      <c r="N403" s="2"/>
      <c r="O403" s="2"/>
      <c r="P403" s="2"/>
      <c r="Q403" s="2"/>
      <c r="R403" s="2"/>
      <c r="S403" s="2"/>
      <c r="T403" s="2"/>
    </row>
    <row r="404" spans="1:20" ht="15.75" customHeight="1">
      <c r="A404" s="1"/>
      <c r="B404" s="2"/>
      <c r="C404" s="2"/>
      <c r="D404" s="2"/>
      <c r="E404" s="2"/>
      <c r="F404" s="2"/>
      <c r="G404" s="2"/>
      <c r="H404" s="2"/>
      <c r="I404" s="2"/>
      <c r="J404" s="2"/>
      <c r="K404" s="2"/>
      <c r="L404" s="2"/>
      <c r="M404" s="2"/>
      <c r="N404" s="2"/>
      <c r="O404" s="2"/>
      <c r="P404" s="2"/>
      <c r="Q404" s="2"/>
      <c r="R404" s="2"/>
      <c r="S404" s="2"/>
      <c r="T404" s="2"/>
    </row>
    <row r="405" spans="1:20" ht="15.75" customHeight="1">
      <c r="A405" s="1"/>
      <c r="B405" s="2"/>
      <c r="C405" s="2"/>
      <c r="D405" s="2"/>
      <c r="E405" s="2"/>
      <c r="F405" s="2"/>
      <c r="G405" s="2"/>
      <c r="H405" s="2"/>
      <c r="I405" s="2"/>
      <c r="J405" s="2"/>
      <c r="K405" s="2"/>
      <c r="L405" s="2"/>
      <c r="M405" s="2"/>
      <c r="N405" s="2"/>
      <c r="O405" s="2"/>
      <c r="P405" s="2"/>
      <c r="Q405" s="2"/>
      <c r="R405" s="2"/>
      <c r="S405" s="2"/>
      <c r="T405" s="2"/>
    </row>
    <row r="406" spans="1:20" ht="15.75" customHeight="1">
      <c r="A406" s="1"/>
      <c r="B406" s="2"/>
      <c r="C406" s="2"/>
      <c r="D406" s="2"/>
      <c r="E406" s="2"/>
      <c r="F406" s="2"/>
      <c r="G406" s="2"/>
      <c r="H406" s="2"/>
      <c r="I406" s="2"/>
      <c r="J406" s="2"/>
      <c r="K406" s="2"/>
      <c r="L406" s="2"/>
      <c r="M406" s="2"/>
      <c r="N406" s="2"/>
      <c r="O406" s="2"/>
      <c r="P406" s="2"/>
      <c r="Q406" s="2"/>
      <c r="R406" s="2"/>
      <c r="S406" s="2"/>
      <c r="T406" s="2"/>
    </row>
    <row r="407" spans="1:20" ht="15.75" customHeight="1">
      <c r="A407" s="1"/>
      <c r="B407" s="2"/>
      <c r="C407" s="2"/>
      <c r="D407" s="2"/>
      <c r="E407" s="2"/>
      <c r="F407" s="2"/>
      <c r="G407" s="2"/>
      <c r="H407" s="2"/>
      <c r="I407" s="2"/>
      <c r="J407" s="2"/>
      <c r="K407" s="2"/>
      <c r="L407" s="2"/>
      <c r="M407" s="2"/>
      <c r="N407" s="2"/>
      <c r="O407" s="2"/>
      <c r="P407" s="2"/>
      <c r="Q407" s="2"/>
      <c r="R407" s="2"/>
      <c r="S407" s="2"/>
      <c r="T407" s="2"/>
    </row>
    <row r="408" spans="1:20" ht="15.75" customHeight="1">
      <c r="A408" s="1"/>
      <c r="B408" s="2"/>
      <c r="C408" s="2"/>
      <c r="D408" s="2"/>
      <c r="E408" s="2"/>
      <c r="F408" s="2"/>
      <c r="G408" s="2"/>
      <c r="H408" s="2"/>
      <c r="I408" s="2"/>
      <c r="J408" s="2"/>
      <c r="K408" s="2"/>
      <c r="L408" s="2"/>
      <c r="M408" s="2"/>
      <c r="N408" s="2"/>
      <c r="O408" s="2"/>
      <c r="P408" s="2"/>
      <c r="Q408" s="2"/>
      <c r="R408" s="2"/>
      <c r="S408" s="2"/>
      <c r="T408" s="2"/>
    </row>
    <row r="409" spans="1:20" ht="15.75" customHeight="1">
      <c r="A409" s="1"/>
      <c r="B409" s="2"/>
      <c r="C409" s="2"/>
      <c r="D409" s="2"/>
      <c r="E409" s="2"/>
      <c r="F409" s="2"/>
      <c r="G409" s="2"/>
      <c r="H409" s="2"/>
      <c r="I409" s="2"/>
      <c r="J409" s="2"/>
      <c r="K409" s="2"/>
      <c r="L409" s="2"/>
      <c r="M409" s="2"/>
      <c r="N409" s="2"/>
      <c r="O409" s="2"/>
      <c r="P409" s="2"/>
      <c r="Q409" s="2"/>
      <c r="R409" s="2"/>
      <c r="S409" s="2"/>
      <c r="T409" s="2"/>
    </row>
    <row r="410" spans="1:20" ht="15.75" customHeight="1">
      <c r="A410" s="1"/>
      <c r="B410" s="2"/>
      <c r="C410" s="2"/>
      <c r="D410" s="2"/>
      <c r="E410" s="2"/>
      <c r="F410" s="2"/>
      <c r="G410" s="2"/>
      <c r="H410" s="2"/>
      <c r="I410" s="2"/>
      <c r="J410" s="2"/>
      <c r="K410" s="2"/>
      <c r="L410" s="2"/>
      <c r="M410" s="2"/>
      <c r="N410" s="2"/>
      <c r="O410" s="2"/>
      <c r="P410" s="2"/>
      <c r="Q410" s="2"/>
      <c r="R410" s="2"/>
      <c r="S410" s="2"/>
      <c r="T410" s="2"/>
    </row>
    <row r="411" spans="1:20" ht="15.75" customHeight="1">
      <c r="A411" s="1"/>
      <c r="B411" s="2"/>
      <c r="C411" s="2"/>
      <c r="D411" s="2"/>
      <c r="E411" s="2"/>
      <c r="F411" s="2"/>
      <c r="G411" s="2"/>
      <c r="H411" s="2"/>
      <c r="I411" s="2"/>
      <c r="J411" s="2"/>
      <c r="K411" s="2"/>
      <c r="L411" s="2"/>
      <c r="M411" s="2"/>
      <c r="N411" s="2"/>
      <c r="O411" s="2"/>
      <c r="P411" s="2"/>
      <c r="Q411" s="2"/>
      <c r="R411" s="2"/>
      <c r="S411" s="2"/>
      <c r="T411" s="2"/>
    </row>
    <row r="412" spans="1:20" ht="15.75" customHeight="1">
      <c r="A412" s="1"/>
      <c r="B412" s="2"/>
      <c r="C412" s="2"/>
      <c r="D412" s="2"/>
      <c r="E412" s="2"/>
      <c r="F412" s="2"/>
      <c r="G412" s="2"/>
      <c r="H412" s="2"/>
      <c r="I412" s="2"/>
      <c r="J412" s="2"/>
      <c r="K412" s="2"/>
      <c r="L412" s="2"/>
      <c r="M412" s="2"/>
      <c r="N412" s="2"/>
      <c r="O412" s="2"/>
      <c r="P412" s="2"/>
      <c r="Q412" s="2"/>
      <c r="R412" s="2"/>
      <c r="S412" s="2"/>
      <c r="T412" s="2"/>
    </row>
    <row r="413" spans="1:20" ht="15.75" customHeight="1">
      <c r="A413" s="1"/>
      <c r="B413" s="2"/>
      <c r="C413" s="2"/>
      <c r="D413" s="2"/>
      <c r="E413" s="2"/>
      <c r="F413" s="2"/>
      <c r="G413" s="2"/>
      <c r="H413" s="2"/>
      <c r="I413" s="2"/>
      <c r="J413" s="2"/>
      <c r="K413" s="2"/>
      <c r="L413" s="2"/>
      <c r="M413" s="2"/>
      <c r="N413" s="2"/>
      <c r="O413" s="2"/>
      <c r="P413" s="2"/>
      <c r="Q413" s="2"/>
      <c r="R413" s="2"/>
      <c r="S413" s="2"/>
      <c r="T413" s="2"/>
    </row>
    <row r="414" spans="1:20" ht="15.75" customHeight="1">
      <c r="A414" s="1"/>
      <c r="B414" s="2"/>
      <c r="C414" s="2"/>
      <c r="D414" s="2"/>
      <c r="E414" s="2"/>
      <c r="F414" s="2"/>
      <c r="G414" s="2"/>
      <c r="H414" s="2"/>
      <c r="I414" s="2"/>
      <c r="J414" s="2"/>
      <c r="K414" s="2"/>
      <c r="L414" s="2"/>
      <c r="M414" s="2"/>
      <c r="N414" s="2"/>
      <c r="O414" s="2"/>
      <c r="P414" s="2"/>
      <c r="Q414" s="2"/>
      <c r="R414" s="2"/>
      <c r="S414" s="2"/>
      <c r="T414" s="2"/>
    </row>
    <row r="415" spans="1:20" ht="15.75" customHeight="1">
      <c r="A415" s="1"/>
      <c r="B415" s="2"/>
      <c r="C415" s="2"/>
      <c r="D415" s="2"/>
      <c r="E415" s="2"/>
      <c r="F415" s="2"/>
      <c r="G415" s="2"/>
      <c r="H415" s="2"/>
      <c r="I415" s="2"/>
      <c r="J415" s="2"/>
      <c r="K415" s="2"/>
      <c r="L415" s="2"/>
      <c r="M415" s="2"/>
      <c r="N415" s="2"/>
      <c r="O415" s="2"/>
      <c r="P415" s="2"/>
      <c r="Q415" s="2"/>
      <c r="R415" s="2"/>
      <c r="S415" s="2"/>
      <c r="T415" s="2"/>
    </row>
    <row r="416" spans="1:20" ht="15.75" customHeight="1">
      <c r="A416" s="1"/>
      <c r="B416" s="2"/>
      <c r="C416" s="2"/>
      <c r="D416" s="2"/>
      <c r="E416" s="2"/>
      <c r="F416" s="2"/>
      <c r="G416" s="2"/>
      <c r="H416" s="2"/>
      <c r="I416" s="2"/>
      <c r="J416" s="2"/>
      <c r="K416" s="2"/>
      <c r="L416" s="2"/>
      <c r="M416" s="2"/>
      <c r="N416" s="2"/>
      <c r="O416" s="2"/>
      <c r="P416" s="2"/>
      <c r="Q416" s="2"/>
      <c r="R416" s="2"/>
      <c r="S416" s="2"/>
      <c r="T416" s="2"/>
    </row>
    <row r="417" spans="1:20" ht="15.75" customHeight="1">
      <c r="A417" s="1"/>
      <c r="B417" s="2"/>
      <c r="C417" s="2"/>
      <c r="D417" s="2"/>
      <c r="E417" s="2"/>
      <c r="F417" s="2"/>
      <c r="G417" s="2"/>
      <c r="H417" s="2"/>
      <c r="I417" s="2"/>
      <c r="J417" s="2"/>
      <c r="K417" s="2"/>
      <c r="L417" s="2"/>
      <c r="M417" s="2"/>
      <c r="N417" s="2"/>
      <c r="O417" s="2"/>
      <c r="P417" s="2"/>
      <c r="Q417" s="2"/>
      <c r="R417" s="2"/>
      <c r="S417" s="2"/>
      <c r="T417" s="2"/>
    </row>
    <row r="418" spans="1:20" ht="15.75" customHeight="1">
      <c r="A418" s="1"/>
      <c r="B418" s="2"/>
      <c r="C418" s="2"/>
      <c r="D418" s="2"/>
      <c r="E418" s="2"/>
      <c r="F418" s="2"/>
      <c r="G418" s="2"/>
      <c r="H418" s="2"/>
      <c r="I418" s="2"/>
      <c r="J418" s="2"/>
      <c r="K418" s="2"/>
      <c r="L418" s="2"/>
      <c r="M418" s="2"/>
      <c r="N418" s="2"/>
      <c r="O418" s="2"/>
      <c r="P418" s="2"/>
      <c r="Q418" s="2"/>
      <c r="R418" s="2"/>
      <c r="S418" s="2"/>
      <c r="T418" s="2"/>
    </row>
    <row r="419" spans="1:20" ht="15.75" customHeight="1">
      <c r="A419" s="1"/>
      <c r="B419" s="2"/>
      <c r="C419" s="2"/>
      <c r="D419" s="2"/>
      <c r="E419" s="2"/>
      <c r="F419" s="2"/>
      <c r="G419" s="2"/>
      <c r="H419" s="2"/>
      <c r="I419" s="2"/>
      <c r="J419" s="2"/>
      <c r="K419" s="2"/>
      <c r="L419" s="2"/>
      <c r="M419" s="2"/>
      <c r="N419" s="2"/>
      <c r="O419" s="2"/>
      <c r="P419" s="2"/>
      <c r="Q419" s="2"/>
      <c r="R419" s="2"/>
      <c r="S419" s="2"/>
      <c r="T419" s="2"/>
    </row>
    <row r="420" spans="1:20" ht="15.75" customHeight="1">
      <c r="A420" s="1"/>
      <c r="B420" s="2"/>
      <c r="C420" s="2"/>
      <c r="D420" s="2"/>
      <c r="E420" s="2"/>
      <c r="F420" s="2"/>
      <c r="G420" s="2"/>
      <c r="H420" s="2"/>
      <c r="I420" s="2"/>
      <c r="J420" s="2"/>
      <c r="K420" s="2"/>
      <c r="L420" s="2"/>
      <c r="M420" s="2"/>
      <c r="N420" s="2"/>
      <c r="O420" s="2"/>
      <c r="P420" s="2"/>
      <c r="Q420" s="2"/>
      <c r="R420" s="2"/>
      <c r="S420" s="2"/>
      <c r="T420" s="2"/>
    </row>
    <row r="421" spans="1:20" ht="15.75" customHeight="1">
      <c r="A421" s="1"/>
      <c r="B421" s="2"/>
      <c r="C421" s="2"/>
      <c r="D421" s="2"/>
      <c r="E421" s="2"/>
      <c r="F421" s="2"/>
      <c r="G421" s="2"/>
      <c r="H421" s="2"/>
      <c r="I421" s="2"/>
      <c r="J421" s="2"/>
      <c r="K421" s="2"/>
      <c r="L421" s="2"/>
      <c r="M421" s="2"/>
      <c r="N421" s="2"/>
      <c r="O421" s="2"/>
      <c r="P421" s="2"/>
      <c r="Q421" s="2"/>
      <c r="R421" s="2"/>
      <c r="S421" s="2"/>
      <c r="T421" s="2"/>
    </row>
    <row r="422" spans="1:20" ht="15.75" customHeight="1">
      <c r="A422" s="1"/>
      <c r="B422" s="2"/>
      <c r="C422" s="2"/>
      <c r="D422" s="2"/>
      <c r="E422" s="2"/>
      <c r="F422" s="2"/>
      <c r="G422" s="2"/>
      <c r="H422" s="2"/>
      <c r="I422" s="2"/>
      <c r="J422" s="2"/>
      <c r="K422" s="2"/>
      <c r="L422" s="2"/>
      <c r="M422" s="2"/>
      <c r="N422" s="2"/>
      <c r="O422" s="2"/>
      <c r="P422" s="2"/>
      <c r="Q422" s="2"/>
      <c r="R422" s="2"/>
      <c r="S422" s="2"/>
      <c r="T422" s="2"/>
    </row>
    <row r="423" spans="1:20" ht="15.75" customHeight="1">
      <c r="A423" s="1"/>
      <c r="B423" s="2"/>
      <c r="C423" s="2"/>
      <c r="D423" s="2"/>
      <c r="E423" s="2"/>
      <c r="F423" s="2"/>
      <c r="G423" s="2"/>
      <c r="H423" s="2"/>
      <c r="I423" s="2"/>
      <c r="J423" s="2"/>
      <c r="K423" s="2"/>
      <c r="L423" s="2"/>
      <c r="M423" s="2"/>
      <c r="N423" s="2"/>
      <c r="O423" s="2"/>
      <c r="P423" s="2"/>
      <c r="Q423" s="2"/>
      <c r="R423" s="2"/>
      <c r="S423" s="2"/>
      <c r="T423" s="2"/>
    </row>
    <row r="424" spans="1:20" ht="15.75" customHeight="1">
      <c r="A424" s="1"/>
      <c r="B424" s="2"/>
      <c r="C424" s="2"/>
      <c r="D424" s="2"/>
      <c r="E424" s="2"/>
      <c r="F424" s="2"/>
      <c r="G424" s="2"/>
      <c r="H424" s="2"/>
      <c r="I424" s="2"/>
      <c r="J424" s="2"/>
      <c r="K424" s="2"/>
      <c r="L424" s="2"/>
      <c r="M424" s="2"/>
      <c r="N424" s="2"/>
      <c r="O424" s="2"/>
      <c r="P424" s="2"/>
      <c r="Q424" s="2"/>
      <c r="R424" s="2"/>
      <c r="S424" s="2"/>
      <c r="T424" s="2"/>
    </row>
    <row r="425" spans="1:20" ht="15.75" customHeight="1">
      <c r="A425" s="1"/>
      <c r="B425" s="2"/>
      <c r="C425" s="2"/>
      <c r="D425" s="2"/>
      <c r="E425" s="2"/>
      <c r="F425" s="2"/>
      <c r="G425" s="2"/>
      <c r="H425" s="2"/>
      <c r="I425" s="2"/>
      <c r="J425" s="2"/>
      <c r="K425" s="2"/>
      <c r="L425" s="2"/>
      <c r="M425" s="2"/>
      <c r="N425" s="2"/>
      <c r="O425" s="2"/>
      <c r="P425" s="2"/>
      <c r="Q425" s="2"/>
      <c r="R425" s="2"/>
      <c r="S425" s="2"/>
      <c r="T425" s="2"/>
    </row>
    <row r="426" spans="1:20" ht="15.75" customHeight="1">
      <c r="A426" s="1"/>
      <c r="B426" s="2"/>
      <c r="C426" s="2"/>
      <c r="D426" s="2"/>
      <c r="E426" s="2"/>
      <c r="F426" s="2"/>
      <c r="G426" s="2"/>
      <c r="H426" s="2"/>
      <c r="I426" s="2"/>
      <c r="J426" s="2"/>
      <c r="K426" s="2"/>
      <c r="L426" s="2"/>
      <c r="M426" s="2"/>
      <c r="N426" s="2"/>
      <c r="O426" s="2"/>
      <c r="P426" s="2"/>
      <c r="Q426" s="2"/>
      <c r="R426" s="2"/>
      <c r="S426" s="2"/>
      <c r="T426" s="2"/>
    </row>
    <row r="427" spans="1:20" ht="15.75" customHeight="1">
      <c r="A427" s="1"/>
      <c r="B427" s="2"/>
      <c r="C427" s="2"/>
      <c r="D427" s="2"/>
      <c r="E427" s="2"/>
      <c r="F427" s="2"/>
      <c r="G427" s="2"/>
      <c r="H427" s="2"/>
      <c r="I427" s="2"/>
      <c r="J427" s="2"/>
      <c r="K427" s="2"/>
      <c r="L427" s="2"/>
      <c r="M427" s="2"/>
      <c r="N427" s="2"/>
      <c r="O427" s="2"/>
      <c r="P427" s="2"/>
      <c r="Q427" s="2"/>
      <c r="R427" s="2"/>
      <c r="S427" s="2"/>
      <c r="T427" s="2"/>
    </row>
    <row r="428" spans="1:20" ht="15.75" customHeight="1">
      <c r="A428" s="1"/>
      <c r="B428" s="2"/>
      <c r="C428" s="2"/>
      <c r="D428" s="2"/>
      <c r="E428" s="2"/>
      <c r="F428" s="2"/>
      <c r="G428" s="2"/>
      <c r="H428" s="2"/>
      <c r="I428" s="2"/>
      <c r="J428" s="2"/>
      <c r="K428" s="2"/>
      <c r="L428" s="2"/>
      <c r="M428" s="2"/>
      <c r="N428" s="2"/>
      <c r="O428" s="2"/>
      <c r="P428" s="2"/>
      <c r="Q428" s="2"/>
      <c r="R428" s="2"/>
      <c r="S428" s="2"/>
      <c r="T428" s="2"/>
    </row>
    <row r="429" spans="1:20" ht="15.75" customHeight="1">
      <c r="A429" s="1"/>
      <c r="B429" s="2"/>
      <c r="C429" s="2"/>
      <c r="D429" s="2"/>
      <c r="E429" s="2"/>
      <c r="F429" s="2"/>
      <c r="G429" s="2"/>
      <c r="H429" s="2"/>
      <c r="I429" s="2"/>
      <c r="J429" s="2"/>
      <c r="K429" s="2"/>
      <c r="L429" s="2"/>
      <c r="M429" s="2"/>
      <c r="N429" s="2"/>
      <c r="O429" s="2"/>
      <c r="P429" s="2"/>
      <c r="Q429" s="2"/>
      <c r="R429" s="2"/>
      <c r="S429" s="2"/>
      <c r="T429" s="2"/>
    </row>
    <row r="430" spans="1:20" ht="15.75" customHeight="1">
      <c r="A430" s="1"/>
      <c r="B430" s="2"/>
      <c r="C430" s="2"/>
      <c r="D430" s="2"/>
      <c r="E430" s="2"/>
      <c r="F430" s="2"/>
      <c r="G430" s="2"/>
      <c r="H430" s="2"/>
      <c r="I430" s="2"/>
      <c r="J430" s="2"/>
      <c r="K430" s="2"/>
      <c r="L430" s="2"/>
      <c r="M430" s="2"/>
      <c r="N430" s="2"/>
      <c r="O430" s="2"/>
      <c r="P430" s="2"/>
      <c r="Q430" s="2"/>
      <c r="R430" s="2"/>
      <c r="S430" s="2"/>
      <c r="T430" s="2"/>
    </row>
    <row r="431" spans="1:20" ht="15.75" customHeight="1">
      <c r="A431" s="1"/>
      <c r="B431" s="2"/>
      <c r="C431" s="2"/>
      <c r="D431" s="2"/>
      <c r="E431" s="2"/>
      <c r="F431" s="2"/>
      <c r="G431" s="2"/>
      <c r="H431" s="2"/>
      <c r="I431" s="2"/>
      <c r="J431" s="2"/>
      <c r="K431" s="2"/>
      <c r="L431" s="2"/>
      <c r="M431" s="2"/>
      <c r="N431" s="2"/>
      <c r="O431" s="2"/>
      <c r="P431" s="2"/>
      <c r="Q431" s="2"/>
      <c r="R431" s="2"/>
      <c r="S431" s="2"/>
      <c r="T431" s="2"/>
    </row>
    <row r="432" spans="1:20" ht="15.75" customHeight="1">
      <c r="A432" s="1"/>
      <c r="B432" s="2"/>
      <c r="C432" s="2"/>
      <c r="D432" s="2"/>
      <c r="E432" s="2"/>
      <c r="F432" s="2"/>
      <c r="G432" s="2"/>
      <c r="H432" s="2"/>
      <c r="I432" s="2"/>
      <c r="J432" s="2"/>
      <c r="K432" s="2"/>
      <c r="L432" s="2"/>
      <c r="M432" s="2"/>
      <c r="N432" s="2"/>
      <c r="O432" s="2"/>
      <c r="P432" s="2"/>
      <c r="Q432" s="2"/>
      <c r="R432" s="2"/>
      <c r="S432" s="2"/>
      <c r="T432" s="2"/>
    </row>
    <row r="433" spans="1:20" ht="15.75" customHeight="1">
      <c r="A433" s="1"/>
      <c r="B433" s="2"/>
      <c r="C433" s="2"/>
      <c r="D433" s="2"/>
      <c r="E433" s="2"/>
      <c r="F433" s="2"/>
      <c r="G433" s="2"/>
      <c r="H433" s="2"/>
      <c r="I433" s="2"/>
      <c r="J433" s="2"/>
      <c r="K433" s="2"/>
      <c r="L433" s="2"/>
      <c r="M433" s="2"/>
      <c r="N433" s="2"/>
      <c r="O433" s="2"/>
      <c r="P433" s="2"/>
      <c r="Q433" s="2"/>
      <c r="R433" s="2"/>
      <c r="S433" s="2"/>
      <c r="T433" s="2"/>
    </row>
    <row r="434" spans="1:20" ht="15.75" customHeight="1">
      <c r="A434" s="1"/>
      <c r="B434" s="2"/>
      <c r="C434" s="2"/>
      <c r="D434" s="2"/>
      <c r="E434" s="2"/>
      <c r="F434" s="2"/>
      <c r="G434" s="2"/>
      <c r="H434" s="2"/>
      <c r="I434" s="2"/>
      <c r="J434" s="2"/>
      <c r="K434" s="2"/>
      <c r="L434" s="2"/>
      <c r="M434" s="2"/>
      <c r="N434" s="2"/>
      <c r="O434" s="2"/>
      <c r="P434" s="2"/>
      <c r="Q434" s="2"/>
      <c r="R434" s="2"/>
      <c r="S434" s="2"/>
      <c r="T434" s="2"/>
    </row>
    <row r="435" spans="1:20" ht="15.75" customHeight="1">
      <c r="A435" s="1"/>
      <c r="B435" s="2"/>
      <c r="C435" s="2"/>
      <c r="D435" s="2"/>
      <c r="E435" s="2"/>
      <c r="F435" s="2"/>
      <c r="G435" s="2"/>
      <c r="H435" s="2"/>
      <c r="I435" s="2"/>
      <c r="J435" s="2"/>
      <c r="K435" s="2"/>
      <c r="L435" s="2"/>
      <c r="M435" s="2"/>
      <c r="N435" s="2"/>
      <c r="O435" s="2"/>
      <c r="P435" s="2"/>
      <c r="Q435" s="2"/>
      <c r="R435" s="2"/>
      <c r="S435" s="2"/>
      <c r="T435" s="2"/>
    </row>
    <row r="436" spans="1:20" ht="15.75" customHeight="1">
      <c r="A436" s="1"/>
      <c r="B436" s="2"/>
      <c r="C436" s="2"/>
      <c r="D436" s="2"/>
      <c r="E436" s="2"/>
      <c r="F436" s="2"/>
      <c r="G436" s="2"/>
      <c r="H436" s="2"/>
      <c r="I436" s="2"/>
      <c r="J436" s="2"/>
      <c r="K436" s="2"/>
      <c r="L436" s="2"/>
      <c r="M436" s="2"/>
      <c r="N436" s="2"/>
      <c r="O436" s="2"/>
      <c r="P436" s="2"/>
      <c r="Q436" s="2"/>
      <c r="R436" s="2"/>
      <c r="S436" s="2"/>
      <c r="T436" s="2"/>
    </row>
    <row r="437" spans="1:20" ht="15.75" customHeight="1">
      <c r="A437" s="1"/>
      <c r="B437" s="2"/>
      <c r="C437" s="2"/>
      <c r="D437" s="2"/>
      <c r="E437" s="2"/>
      <c r="F437" s="2"/>
      <c r="G437" s="2"/>
      <c r="H437" s="2"/>
      <c r="I437" s="2"/>
      <c r="J437" s="2"/>
      <c r="K437" s="2"/>
      <c r="L437" s="2"/>
      <c r="M437" s="2"/>
      <c r="N437" s="2"/>
      <c r="O437" s="2"/>
      <c r="P437" s="2"/>
      <c r="Q437" s="2"/>
      <c r="R437" s="2"/>
      <c r="S437" s="2"/>
      <c r="T437" s="2"/>
    </row>
    <row r="438" spans="1:20" ht="15.75" customHeight="1">
      <c r="A438" s="1"/>
      <c r="B438" s="2"/>
      <c r="C438" s="2"/>
      <c r="D438" s="2"/>
      <c r="E438" s="2"/>
      <c r="F438" s="2"/>
      <c r="G438" s="2"/>
      <c r="H438" s="2"/>
      <c r="I438" s="2"/>
      <c r="J438" s="2"/>
      <c r="K438" s="2"/>
      <c r="L438" s="2"/>
      <c r="M438" s="2"/>
      <c r="N438" s="2"/>
      <c r="O438" s="2"/>
      <c r="P438" s="2"/>
      <c r="Q438" s="2"/>
      <c r="R438" s="2"/>
      <c r="S438" s="2"/>
      <c r="T438" s="2"/>
    </row>
    <row r="439" spans="1:20" ht="15.75" customHeight="1">
      <c r="A439" s="1"/>
      <c r="B439" s="2"/>
      <c r="C439" s="2"/>
      <c r="D439" s="2"/>
      <c r="E439" s="2"/>
      <c r="F439" s="2"/>
      <c r="G439" s="2"/>
      <c r="H439" s="2"/>
      <c r="I439" s="2"/>
      <c r="J439" s="2"/>
      <c r="K439" s="2"/>
      <c r="L439" s="2"/>
      <c r="M439" s="2"/>
      <c r="N439" s="2"/>
      <c r="O439" s="2"/>
      <c r="P439" s="2"/>
      <c r="Q439" s="2"/>
      <c r="R439" s="2"/>
      <c r="S439" s="2"/>
      <c r="T439" s="2"/>
    </row>
    <row r="440" spans="1:20" ht="15.75" customHeight="1">
      <c r="A440" s="1"/>
      <c r="B440" s="2"/>
      <c r="C440" s="2"/>
      <c r="D440" s="2"/>
      <c r="E440" s="2"/>
      <c r="F440" s="2"/>
      <c r="G440" s="2"/>
      <c r="H440" s="2"/>
      <c r="I440" s="2"/>
      <c r="J440" s="2"/>
      <c r="K440" s="2"/>
      <c r="L440" s="2"/>
      <c r="M440" s="2"/>
      <c r="N440" s="2"/>
      <c r="O440" s="2"/>
      <c r="P440" s="2"/>
      <c r="Q440" s="2"/>
      <c r="R440" s="2"/>
      <c r="S440" s="2"/>
      <c r="T440" s="2"/>
    </row>
    <row r="441" spans="1:20" ht="15.75" customHeight="1">
      <c r="A441" s="1"/>
      <c r="B441" s="2"/>
      <c r="C441" s="2"/>
      <c r="D441" s="2"/>
      <c r="E441" s="2"/>
      <c r="F441" s="2"/>
      <c r="G441" s="2"/>
      <c r="H441" s="2"/>
      <c r="I441" s="2"/>
      <c r="J441" s="2"/>
      <c r="K441" s="2"/>
      <c r="L441" s="2"/>
      <c r="M441" s="2"/>
      <c r="N441" s="2"/>
      <c r="O441" s="2"/>
      <c r="P441" s="2"/>
      <c r="Q441" s="2"/>
      <c r="R441" s="2"/>
      <c r="S441" s="2"/>
      <c r="T441" s="2"/>
    </row>
    <row r="442" spans="1:20" ht="15.75" customHeight="1">
      <c r="A442" s="1"/>
      <c r="B442" s="2"/>
      <c r="C442" s="2"/>
      <c r="D442" s="2"/>
      <c r="E442" s="2"/>
      <c r="F442" s="2"/>
      <c r="G442" s="2"/>
      <c r="H442" s="2"/>
      <c r="I442" s="2"/>
      <c r="J442" s="2"/>
      <c r="K442" s="2"/>
      <c r="L442" s="2"/>
      <c r="M442" s="2"/>
      <c r="N442" s="2"/>
      <c r="O442" s="2"/>
      <c r="P442" s="2"/>
      <c r="Q442" s="2"/>
      <c r="R442" s="2"/>
      <c r="S442" s="2"/>
      <c r="T442" s="2"/>
    </row>
    <row r="443" spans="1:20" ht="15.75" customHeight="1">
      <c r="A443" s="1"/>
      <c r="B443" s="2"/>
      <c r="C443" s="2"/>
      <c r="D443" s="2"/>
      <c r="E443" s="2"/>
      <c r="F443" s="2"/>
      <c r="G443" s="2"/>
      <c r="H443" s="2"/>
      <c r="I443" s="2"/>
      <c r="J443" s="2"/>
      <c r="K443" s="2"/>
      <c r="L443" s="2"/>
      <c r="M443" s="2"/>
      <c r="N443" s="2"/>
      <c r="O443" s="2"/>
      <c r="P443" s="2"/>
      <c r="Q443" s="2"/>
      <c r="R443" s="2"/>
      <c r="S443" s="2"/>
      <c r="T443" s="2"/>
    </row>
    <row r="444" spans="1:20" ht="15.75" customHeight="1">
      <c r="A444" s="1"/>
      <c r="B444" s="2"/>
      <c r="C444" s="2"/>
      <c r="D444" s="2"/>
      <c r="E444" s="2"/>
      <c r="F444" s="2"/>
      <c r="G444" s="2"/>
      <c r="H444" s="2"/>
      <c r="I444" s="2"/>
      <c r="J444" s="2"/>
      <c r="K444" s="2"/>
      <c r="L444" s="2"/>
      <c r="M444" s="2"/>
      <c r="N444" s="2"/>
      <c r="O444" s="2"/>
      <c r="P444" s="2"/>
      <c r="Q444" s="2"/>
      <c r="R444" s="2"/>
      <c r="S444" s="2"/>
      <c r="T444" s="2"/>
    </row>
    <row r="445" spans="1:20" ht="15.75" customHeight="1">
      <c r="A445" s="1"/>
      <c r="B445" s="2"/>
      <c r="C445" s="2"/>
      <c r="D445" s="2"/>
      <c r="E445" s="2"/>
      <c r="F445" s="2"/>
      <c r="G445" s="2"/>
      <c r="H445" s="2"/>
      <c r="I445" s="2"/>
      <c r="J445" s="2"/>
      <c r="K445" s="2"/>
      <c r="L445" s="2"/>
      <c r="M445" s="2"/>
      <c r="N445" s="2"/>
      <c r="O445" s="2"/>
      <c r="P445" s="2"/>
      <c r="Q445" s="2"/>
      <c r="R445" s="2"/>
      <c r="S445" s="2"/>
      <c r="T445" s="2"/>
    </row>
    <row r="446" spans="1:20" ht="15.75" customHeight="1">
      <c r="A446" s="1"/>
      <c r="B446" s="2"/>
      <c r="C446" s="2"/>
      <c r="D446" s="2"/>
      <c r="E446" s="2"/>
      <c r="F446" s="2"/>
      <c r="G446" s="2"/>
      <c r="H446" s="2"/>
      <c r="I446" s="2"/>
      <c r="J446" s="2"/>
      <c r="K446" s="2"/>
      <c r="L446" s="2"/>
      <c r="M446" s="2"/>
      <c r="N446" s="2"/>
      <c r="O446" s="2"/>
      <c r="P446" s="2"/>
      <c r="Q446" s="2"/>
      <c r="R446" s="2"/>
      <c r="S446" s="2"/>
      <c r="T446" s="2"/>
    </row>
    <row r="447" spans="1:20" ht="15.75" customHeight="1">
      <c r="A447" s="1"/>
      <c r="B447" s="2"/>
      <c r="C447" s="2"/>
      <c r="D447" s="2"/>
      <c r="E447" s="2"/>
      <c r="F447" s="2"/>
      <c r="G447" s="2"/>
      <c r="H447" s="2"/>
      <c r="I447" s="2"/>
      <c r="J447" s="2"/>
      <c r="K447" s="2"/>
      <c r="L447" s="2"/>
      <c r="M447" s="2"/>
      <c r="N447" s="2"/>
      <c r="O447" s="2"/>
      <c r="P447" s="2"/>
      <c r="Q447" s="2"/>
      <c r="R447" s="2"/>
      <c r="S447" s="2"/>
      <c r="T447" s="2"/>
    </row>
    <row r="448" spans="1:20" ht="15.75" customHeight="1">
      <c r="A448" s="1"/>
      <c r="B448" s="2"/>
      <c r="C448" s="2"/>
      <c r="D448" s="2"/>
      <c r="E448" s="2"/>
      <c r="F448" s="2"/>
      <c r="G448" s="2"/>
      <c r="H448" s="2"/>
      <c r="I448" s="2"/>
      <c r="J448" s="2"/>
      <c r="K448" s="2"/>
      <c r="L448" s="2"/>
      <c r="M448" s="2"/>
      <c r="N448" s="2"/>
      <c r="O448" s="2"/>
      <c r="P448" s="2"/>
      <c r="Q448" s="2"/>
      <c r="R448" s="2"/>
      <c r="S448" s="2"/>
      <c r="T448" s="2"/>
    </row>
    <row r="449" spans="1:20" ht="15.75" customHeight="1">
      <c r="A449" s="1"/>
      <c r="B449" s="2"/>
      <c r="C449" s="2"/>
      <c r="D449" s="2"/>
      <c r="E449" s="2"/>
      <c r="F449" s="2"/>
      <c r="G449" s="2"/>
      <c r="H449" s="2"/>
      <c r="I449" s="2"/>
      <c r="J449" s="2"/>
      <c r="K449" s="2"/>
      <c r="L449" s="2"/>
      <c r="M449" s="2"/>
      <c r="N449" s="2"/>
      <c r="O449" s="2"/>
      <c r="P449" s="2"/>
      <c r="Q449" s="2"/>
      <c r="R449" s="2"/>
      <c r="S449" s="2"/>
      <c r="T449" s="2"/>
    </row>
    <row r="450" spans="1:20" ht="15.75" customHeight="1">
      <c r="A450" s="1"/>
      <c r="B450" s="2"/>
      <c r="C450" s="2"/>
      <c r="D450" s="2"/>
      <c r="E450" s="2"/>
      <c r="F450" s="2"/>
      <c r="G450" s="2"/>
      <c r="H450" s="2"/>
      <c r="I450" s="2"/>
      <c r="J450" s="2"/>
      <c r="K450" s="2"/>
      <c r="L450" s="2"/>
      <c r="M450" s="2"/>
      <c r="N450" s="2"/>
      <c r="O450" s="2"/>
      <c r="P450" s="2"/>
      <c r="Q450" s="2"/>
      <c r="R450" s="2"/>
      <c r="S450" s="2"/>
      <c r="T450" s="2"/>
    </row>
    <row r="451" spans="1:20" ht="15.75" customHeight="1">
      <c r="A451" s="1"/>
      <c r="B451" s="2"/>
      <c r="C451" s="2"/>
      <c r="D451" s="2"/>
      <c r="E451" s="2"/>
      <c r="F451" s="2"/>
      <c r="G451" s="2"/>
      <c r="H451" s="2"/>
      <c r="I451" s="2"/>
      <c r="J451" s="2"/>
      <c r="K451" s="2"/>
      <c r="L451" s="2"/>
      <c r="M451" s="2"/>
      <c r="N451" s="2"/>
      <c r="O451" s="2"/>
      <c r="P451" s="2"/>
      <c r="Q451" s="2"/>
      <c r="R451" s="2"/>
      <c r="S451" s="2"/>
      <c r="T451" s="2"/>
    </row>
    <row r="452" spans="1:20" ht="15.75" customHeight="1">
      <c r="A452" s="1"/>
      <c r="B452" s="2"/>
      <c r="C452" s="2"/>
      <c r="D452" s="2"/>
      <c r="E452" s="2"/>
      <c r="F452" s="2"/>
      <c r="G452" s="2"/>
      <c r="H452" s="2"/>
      <c r="I452" s="2"/>
      <c r="J452" s="2"/>
      <c r="K452" s="2"/>
      <c r="L452" s="2"/>
      <c r="M452" s="2"/>
      <c r="N452" s="2"/>
      <c r="O452" s="2"/>
      <c r="P452" s="2"/>
      <c r="Q452" s="2"/>
      <c r="R452" s="2"/>
      <c r="S452" s="2"/>
      <c r="T452" s="2"/>
    </row>
    <row r="453" spans="1:20" ht="15.75" customHeight="1">
      <c r="A453" s="1"/>
      <c r="B453" s="2"/>
      <c r="C453" s="2"/>
      <c r="D453" s="2"/>
      <c r="E453" s="2"/>
      <c r="F453" s="2"/>
      <c r="G453" s="2"/>
      <c r="H453" s="2"/>
      <c r="I453" s="2"/>
      <c r="J453" s="2"/>
      <c r="K453" s="2"/>
      <c r="L453" s="2"/>
      <c r="M453" s="2"/>
      <c r="N453" s="2"/>
      <c r="O453" s="2"/>
      <c r="P453" s="2"/>
      <c r="Q453" s="2"/>
      <c r="R453" s="2"/>
      <c r="S453" s="2"/>
      <c r="T453" s="2"/>
    </row>
    <row r="454" spans="1:20" ht="15.75" customHeight="1">
      <c r="A454" s="1"/>
      <c r="B454" s="2"/>
      <c r="C454" s="2"/>
      <c r="D454" s="2"/>
      <c r="E454" s="2"/>
      <c r="F454" s="2"/>
      <c r="G454" s="2"/>
      <c r="H454" s="2"/>
      <c r="I454" s="2"/>
      <c r="J454" s="2"/>
      <c r="K454" s="2"/>
      <c r="L454" s="2"/>
      <c r="M454" s="2"/>
      <c r="N454" s="2"/>
      <c r="O454" s="2"/>
      <c r="P454" s="2"/>
      <c r="Q454" s="2"/>
      <c r="R454" s="2"/>
      <c r="S454" s="2"/>
      <c r="T454" s="2"/>
    </row>
    <row r="455" spans="1:20" ht="15.75" customHeight="1">
      <c r="A455" s="1"/>
      <c r="B455" s="2"/>
      <c r="C455" s="2"/>
      <c r="D455" s="2"/>
      <c r="E455" s="2"/>
      <c r="F455" s="2"/>
      <c r="G455" s="2"/>
      <c r="H455" s="2"/>
      <c r="I455" s="2"/>
      <c r="J455" s="2"/>
      <c r="K455" s="2"/>
      <c r="L455" s="2"/>
      <c r="M455" s="2"/>
      <c r="N455" s="2"/>
      <c r="O455" s="2"/>
      <c r="P455" s="2"/>
      <c r="Q455" s="2"/>
      <c r="R455" s="2"/>
      <c r="S455" s="2"/>
      <c r="T455" s="2"/>
    </row>
    <row r="456" spans="1:20" ht="15.75" customHeight="1">
      <c r="A456" s="1"/>
      <c r="B456" s="2"/>
      <c r="C456" s="2"/>
      <c r="D456" s="2"/>
      <c r="E456" s="2"/>
      <c r="F456" s="2"/>
      <c r="G456" s="2"/>
      <c r="H456" s="2"/>
      <c r="I456" s="2"/>
      <c r="J456" s="2"/>
      <c r="K456" s="2"/>
      <c r="L456" s="2"/>
      <c r="M456" s="2"/>
      <c r="N456" s="2"/>
      <c r="O456" s="2"/>
      <c r="P456" s="2"/>
      <c r="Q456" s="2"/>
      <c r="R456" s="2"/>
      <c r="S456" s="2"/>
      <c r="T456" s="2"/>
    </row>
    <row r="457" spans="1:20" ht="15.75" customHeight="1">
      <c r="A457" s="1"/>
      <c r="B457" s="2"/>
      <c r="C457" s="2"/>
      <c r="D457" s="2"/>
      <c r="E457" s="2"/>
      <c r="F457" s="2"/>
      <c r="G457" s="2"/>
      <c r="H457" s="2"/>
      <c r="I457" s="2"/>
      <c r="J457" s="2"/>
      <c r="K457" s="2"/>
      <c r="L457" s="2"/>
      <c r="M457" s="2"/>
      <c r="N457" s="2"/>
      <c r="O457" s="2"/>
      <c r="P457" s="2"/>
      <c r="Q457" s="2"/>
      <c r="R457" s="2"/>
      <c r="S457" s="2"/>
      <c r="T457" s="2"/>
    </row>
    <row r="458" spans="1:20" ht="15.75" customHeight="1">
      <c r="A458" s="1"/>
      <c r="B458" s="2"/>
      <c r="C458" s="2"/>
      <c r="D458" s="2"/>
      <c r="E458" s="2"/>
      <c r="F458" s="2"/>
      <c r="G458" s="2"/>
      <c r="H458" s="2"/>
      <c r="I458" s="2"/>
      <c r="J458" s="2"/>
      <c r="K458" s="2"/>
      <c r="L458" s="2"/>
      <c r="M458" s="2"/>
      <c r="N458" s="2"/>
      <c r="O458" s="2"/>
      <c r="P458" s="2"/>
      <c r="Q458" s="2"/>
      <c r="R458" s="2"/>
      <c r="S458" s="2"/>
      <c r="T458" s="2"/>
    </row>
    <row r="459" spans="1:20" ht="15.75" customHeight="1">
      <c r="A459" s="1"/>
      <c r="B459" s="2"/>
      <c r="C459" s="2"/>
      <c r="D459" s="2"/>
      <c r="E459" s="2"/>
      <c r="F459" s="2"/>
      <c r="G459" s="2"/>
      <c r="H459" s="2"/>
      <c r="I459" s="2"/>
      <c r="J459" s="2"/>
      <c r="K459" s="2"/>
      <c r="L459" s="2"/>
      <c r="M459" s="2"/>
      <c r="N459" s="2"/>
      <c r="O459" s="2"/>
      <c r="P459" s="2"/>
      <c r="Q459" s="2"/>
      <c r="R459" s="2"/>
      <c r="S459" s="2"/>
      <c r="T459" s="2"/>
    </row>
    <row r="460" spans="1:20" ht="15.75" customHeight="1">
      <c r="A460" s="1"/>
      <c r="B460" s="2"/>
      <c r="C460" s="2"/>
      <c r="D460" s="2"/>
      <c r="E460" s="2"/>
      <c r="F460" s="2"/>
      <c r="G460" s="2"/>
      <c r="H460" s="2"/>
      <c r="I460" s="2"/>
      <c r="J460" s="2"/>
      <c r="K460" s="2"/>
      <c r="L460" s="2"/>
      <c r="M460" s="2"/>
      <c r="N460" s="2"/>
      <c r="O460" s="2"/>
      <c r="P460" s="2"/>
      <c r="Q460" s="2"/>
      <c r="R460" s="2"/>
      <c r="S460" s="2"/>
      <c r="T460" s="2"/>
    </row>
    <row r="461" spans="1:20" ht="15.75" customHeight="1">
      <c r="A461" s="1"/>
      <c r="B461" s="2"/>
      <c r="C461" s="2"/>
      <c r="D461" s="2"/>
      <c r="E461" s="2"/>
      <c r="F461" s="2"/>
      <c r="G461" s="2"/>
      <c r="H461" s="2"/>
      <c r="I461" s="2"/>
      <c r="J461" s="2"/>
      <c r="K461" s="2"/>
      <c r="L461" s="2"/>
      <c r="M461" s="2"/>
      <c r="N461" s="2"/>
      <c r="O461" s="2"/>
      <c r="P461" s="2"/>
      <c r="Q461" s="2"/>
      <c r="R461" s="2"/>
      <c r="S461" s="2"/>
      <c r="T461" s="2"/>
    </row>
    <row r="462" spans="1:20" ht="15.75" customHeight="1">
      <c r="A462" s="1"/>
      <c r="B462" s="2"/>
      <c r="C462" s="2"/>
      <c r="D462" s="2"/>
      <c r="E462" s="2"/>
      <c r="F462" s="2"/>
      <c r="G462" s="2"/>
      <c r="H462" s="2"/>
      <c r="I462" s="2"/>
      <c r="J462" s="2"/>
      <c r="K462" s="2"/>
      <c r="L462" s="2"/>
      <c r="M462" s="2"/>
      <c r="N462" s="2"/>
      <c r="O462" s="2"/>
      <c r="P462" s="2"/>
      <c r="Q462" s="2"/>
      <c r="R462" s="2"/>
      <c r="S462" s="2"/>
      <c r="T462" s="2"/>
    </row>
    <row r="463" spans="1:20" ht="15.75" customHeight="1">
      <c r="A463" s="1"/>
      <c r="B463" s="2"/>
      <c r="C463" s="2"/>
      <c r="D463" s="2"/>
      <c r="E463" s="2"/>
      <c r="F463" s="2"/>
      <c r="G463" s="2"/>
      <c r="H463" s="2"/>
      <c r="I463" s="2"/>
      <c r="J463" s="2"/>
      <c r="K463" s="2"/>
      <c r="L463" s="2"/>
      <c r="M463" s="2"/>
      <c r="N463" s="2"/>
      <c r="O463" s="2"/>
      <c r="P463" s="2"/>
      <c r="Q463" s="2"/>
      <c r="R463" s="2"/>
      <c r="S463" s="2"/>
      <c r="T463" s="2"/>
    </row>
    <row r="464" spans="1:20" ht="15.75" customHeight="1">
      <c r="A464" s="1"/>
      <c r="B464" s="2"/>
      <c r="C464" s="2"/>
      <c r="D464" s="2"/>
      <c r="E464" s="2"/>
      <c r="F464" s="2"/>
      <c r="G464" s="2"/>
      <c r="H464" s="2"/>
      <c r="I464" s="2"/>
      <c r="J464" s="2"/>
      <c r="K464" s="2"/>
      <c r="L464" s="2"/>
      <c r="M464" s="2"/>
      <c r="N464" s="2"/>
      <c r="O464" s="2"/>
      <c r="P464" s="2"/>
      <c r="Q464" s="2"/>
      <c r="R464" s="2"/>
      <c r="S464" s="2"/>
      <c r="T464" s="2"/>
    </row>
    <row r="465" spans="1:20" ht="15.75" customHeight="1">
      <c r="A465" s="1"/>
      <c r="B465" s="2"/>
      <c r="C465" s="2"/>
      <c r="D465" s="2"/>
      <c r="E465" s="2"/>
      <c r="F465" s="2"/>
      <c r="G465" s="2"/>
      <c r="H465" s="2"/>
      <c r="I465" s="2"/>
      <c r="J465" s="2"/>
      <c r="K465" s="2"/>
      <c r="L465" s="2"/>
      <c r="M465" s="2"/>
      <c r="N465" s="2"/>
      <c r="O465" s="2"/>
      <c r="P465" s="2"/>
      <c r="Q465" s="2"/>
      <c r="R465" s="2"/>
      <c r="S465" s="2"/>
      <c r="T465" s="2"/>
    </row>
    <row r="466" spans="1:20" ht="15.75" customHeight="1">
      <c r="A466" s="1"/>
      <c r="B466" s="2"/>
      <c r="C466" s="2"/>
      <c r="D466" s="2"/>
      <c r="E466" s="2"/>
      <c r="F466" s="2"/>
      <c r="G466" s="2"/>
      <c r="H466" s="2"/>
      <c r="I466" s="2"/>
      <c r="J466" s="2"/>
      <c r="K466" s="2"/>
      <c r="L466" s="2"/>
      <c r="M466" s="2"/>
      <c r="N466" s="2"/>
      <c r="O466" s="2"/>
      <c r="P466" s="2"/>
      <c r="Q466" s="2"/>
      <c r="R466" s="2"/>
      <c r="S466" s="2"/>
      <c r="T466" s="2"/>
    </row>
    <row r="467" spans="1:20" ht="15.75" customHeight="1">
      <c r="A467" s="1"/>
      <c r="B467" s="2"/>
      <c r="C467" s="2"/>
      <c r="D467" s="2"/>
      <c r="E467" s="2"/>
      <c r="F467" s="2"/>
      <c r="G467" s="2"/>
      <c r="H467" s="2"/>
      <c r="I467" s="2"/>
      <c r="J467" s="2"/>
      <c r="K467" s="2"/>
      <c r="L467" s="2"/>
      <c r="M467" s="2"/>
      <c r="N467" s="2"/>
      <c r="O467" s="2"/>
      <c r="P467" s="2"/>
      <c r="Q467" s="2"/>
      <c r="R467" s="2"/>
      <c r="S467" s="2"/>
      <c r="T467" s="2"/>
    </row>
    <row r="468" spans="1:20" ht="15.75" customHeight="1">
      <c r="A468" s="1"/>
      <c r="B468" s="2"/>
      <c r="C468" s="2"/>
      <c r="D468" s="2"/>
      <c r="E468" s="2"/>
      <c r="F468" s="2"/>
      <c r="G468" s="2"/>
      <c r="H468" s="2"/>
      <c r="I468" s="2"/>
      <c r="J468" s="2"/>
      <c r="K468" s="2"/>
      <c r="L468" s="2"/>
      <c r="M468" s="2"/>
      <c r="N468" s="2"/>
      <c r="O468" s="2"/>
      <c r="P468" s="2"/>
      <c r="Q468" s="2"/>
      <c r="R468" s="2"/>
      <c r="S468" s="2"/>
      <c r="T468" s="2"/>
    </row>
    <row r="469" spans="1:20" ht="15.75" customHeight="1">
      <c r="A469" s="1"/>
      <c r="B469" s="2"/>
      <c r="C469" s="2"/>
      <c r="D469" s="2"/>
      <c r="E469" s="2"/>
      <c r="F469" s="2"/>
      <c r="G469" s="2"/>
      <c r="H469" s="2"/>
      <c r="I469" s="2"/>
      <c r="J469" s="2"/>
      <c r="K469" s="2"/>
      <c r="L469" s="2"/>
      <c r="M469" s="2"/>
      <c r="N469" s="2"/>
      <c r="O469" s="2"/>
      <c r="P469" s="2"/>
      <c r="Q469" s="2"/>
      <c r="R469" s="2"/>
      <c r="S469" s="2"/>
      <c r="T469" s="2"/>
    </row>
    <row r="470" spans="1:20" ht="15.75" customHeight="1">
      <c r="A470" s="1"/>
      <c r="B470" s="2"/>
      <c r="C470" s="2"/>
      <c r="D470" s="2"/>
      <c r="E470" s="2"/>
      <c r="F470" s="2"/>
      <c r="G470" s="2"/>
      <c r="H470" s="2"/>
      <c r="I470" s="2"/>
      <c r="J470" s="2"/>
      <c r="K470" s="2"/>
      <c r="L470" s="2"/>
      <c r="M470" s="2"/>
      <c r="N470" s="2"/>
      <c r="O470" s="2"/>
      <c r="P470" s="2"/>
      <c r="Q470" s="2"/>
      <c r="R470" s="2"/>
      <c r="S470" s="2"/>
      <c r="T470" s="2"/>
    </row>
    <row r="471" spans="1:20" ht="15.75" customHeight="1">
      <c r="A471" s="1"/>
      <c r="B471" s="2"/>
      <c r="C471" s="2"/>
      <c r="D471" s="2"/>
      <c r="E471" s="2"/>
      <c r="F471" s="2"/>
      <c r="G471" s="2"/>
      <c r="H471" s="2"/>
      <c r="I471" s="2"/>
      <c r="J471" s="2"/>
      <c r="K471" s="2"/>
      <c r="L471" s="2"/>
      <c r="M471" s="2"/>
      <c r="N471" s="2"/>
      <c r="O471" s="2"/>
      <c r="P471" s="2"/>
      <c r="Q471" s="2"/>
      <c r="R471" s="2"/>
      <c r="S471" s="2"/>
      <c r="T471" s="2"/>
    </row>
    <row r="472" spans="1:20" ht="15.75" customHeight="1">
      <c r="A472" s="1"/>
      <c r="B472" s="2"/>
      <c r="C472" s="2"/>
      <c r="D472" s="2"/>
      <c r="E472" s="2"/>
      <c r="F472" s="2"/>
      <c r="G472" s="2"/>
      <c r="H472" s="2"/>
      <c r="I472" s="2"/>
      <c r="J472" s="2"/>
      <c r="K472" s="2"/>
      <c r="L472" s="2"/>
      <c r="M472" s="2"/>
      <c r="N472" s="2"/>
      <c r="O472" s="2"/>
      <c r="P472" s="2"/>
      <c r="Q472" s="2"/>
      <c r="R472" s="2"/>
      <c r="S472" s="2"/>
      <c r="T472" s="2"/>
    </row>
    <row r="473" spans="1:20" ht="15.75" customHeight="1">
      <c r="A473" s="1"/>
      <c r="B473" s="2"/>
      <c r="C473" s="2"/>
      <c r="D473" s="2"/>
      <c r="E473" s="2"/>
      <c r="F473" s="2"/>
      <c r="G473" s="2"/>
      <c r="H473" s="2"/>
      <c r="I473" s="2"/>
      <c r="J473" s="2"/>
      <c r="K473" s="2"/>
      <c r="L473" s="2"/>
      <c r="M473" s="2"/>
      <c r="N473" s="2"/>
      <c r="O473" s="2"/>
      <c r="P473" s="2"/>
      <c r="Q473" s="2"/>
      <c r="R473" s="2"/>
      <c r="S473" s="2"/>
      <c r="T473" s="2"/>
    </row>
    <row r="474" spans="1:20" ht="15.75" customHeight="1">
      <c r="A474" s="1"/>
      <c r="B474" s="2"/>
      <c r="C474" s="2"/>
      <c r="D474" s="2"/>
      <c r="E474" s="2"/>
      <c r="F474" s="2"/>
      <c r="G474" s="2"/>
      <c r="H474" s="2"/>
      <c r="I474" s="2"/>
      <c r="J474" s="2"/>
      <c r="K474" s="2"/>
      <c r="L474" s="2"/>
      <c r="M474" s="2"/>
      <c r="N474" s="2"/>
      <c r="O474" s="2"/>
      <c r="P474" s="2"/>
      <c r="Q474" s="2"/>
      <c r="R474" s="2"/>
      <c r="S474" s="2"/>
      <c r="T474" s="2"/>
    </row>
    <row r="475" spans="1:20" ht="15.75" customHeight="1">
      <c r="A475" s="1"/>
      <c r="B475" s="2"/>
      <c r="C475" s="2"/>
      <c r="D475" s="2"/>
      <c r="E475" s="2"/>
      <c r="F475" s="2"/>
      <c r="G475" s="2"/>
      <c r="H475" s="2"/>
      <c r="I475" s="2"/>
      <c r="J475" s="2"/>
      <c r="K475" s="2"/>
      <c r="L475" s="2"/>
      <c r="M475" s="2"/>
      <c r="N475" s="2"/>
      <c r="O475" s="2"/>
      <c r="P475" s="2"/>
      <c r="Q475" s="2"/>
      <c r="R475" s="2"/>
      <c r="S475" s="2"/>
      <c r="T475" s="2"/>
    </row>
    <row r="476" spans="1:20" ht="15.75" customHeight="1">
      <c r="A476" s="1"/>
      <c r="B476" s="2"/>
      <c r="C476" s="2"/>
      <c r="D476" s="2"/>
      <c r="E476" s="2"/>
      <c r="F476" s="2"/>
      <c r="G476" s="2"/>
      <c r="H476" s="2"/>
      <c r="I476" s="2"/>
      <c r="J476" s="2"/>
      <c r="K476" s="2"/>
      <c r="L476" s="2"/>
      <c r="M476" s="2"/>
      <c r="N476" s="2"/>
      <c r="O476" s="2"/>
      <c r="P476" s="2"/>
      <c r="Q476" s="2"/>
      <c r="R476" s="2"/>
      <c r="S476" s="2"/>
      <c r="T476" s="2"/>
    </row>
    <row r="477" spans="1:20" ht="15.75" customHeight="1">
      <c r="A477" s="1"/>
      <c r="B477" s="2"/>
      <c r="C477" s="2"/>
      <c r="D477" s="2"/>
      <c r="E477" s="2"/>
      <c r="F477" s="2"/>
      <c r="G477" s="2"/>
      <c r="H477" s="2"/>
      <c r="I477" s="2"/>
      <c r="J477" s="2"/>
      <c r="K477" s="2"/>
      <c r="L477" s="2"/>
      <c r="M477" s="2"/>
      <c r="N477" s="2"/>
      <c r="O477" s="2"/>
      <c r="P477" s="2"/>
      <c r="Q477" s="2"/>
      <c r="R477" s="2"/>
      <c r="S477" s="2"/>
      <c r="T477" s="2"/>
    </row>
    <row r="478" spans="1:20" ht="15.75" customHeight="1">
      <c r="A478" s="1"/>
      <c r="B478" s="2"/>
      <c r="C478" s="2"/>
      <c r="D478" s="2"/>
      <c r="E478" s="2"/>
      <c r="F478" s="2"/>
      <c r="G478" s="2"/>
      <c r="H478" s="2"/>
      <c r="I478" s="2"/>
      <c r="J478" s="2"/>
      <c r="K478" s="2"/>
      <c r="L478" s="2"/>
      <c r="M478" s="2"/>
      <c r="N478" s="2"/>
      <c r="O478" s="2"/>
      <c r="P478" s="2"/>
      <c r="Q478" s="2"/>
      <c r="R478" s="2"/>
      <c r="S478" s="2"/>
      <c r="T478" s="2"/>
    </row>
    <row r="479" spans="1:20" ht="15.75" customHeight="1">
      <c r="A479" s="1"/>
      <c r="B479" s="2"/>
      <c r="C479" s="2"/>
      <c r="D479" s="2"/>
      <c r="E479" s="2"/>
      <c r="F479" s="2"/>
      <c r="G479" s="2"/>
      <c r="H479" s="2"/>
      <c r="I479" s="2"/>
      <c r="J479" s="2"/>
      <c r="K479" s="2"/>
      <c r="L479" s="2"/>
      <c r="M479" s="2"/>
      <c r="N479" s="2"/>
      <c r="O479" s="2"/>
      <c r="P479" s="2"/>
      <c r="Q479" s="2"/>
      <c r="R479" s="2"/>
      <c r="S479" s="2"/>
      <c r="T479" s="2"/>
    </row>
    <row r="480" spans="1:20" ht="15.75" customHeight="1">
      <c r="A480" s="1"/>
      <c r="B480" s="2"/>
      <c r="C480" s="2"/>
      <c r="D480" s="2"/>
      <c r="E480" s="2"/>
      <c r="F480" s="2"/>
      <c r="G480" s="2"/>
      <c r="H480" s="2"/>
      <c r="I480" s="2"/>
      <c r="J480" s="2"/>
      <c r="K480" s="2"/>
      <c r="L480" s="2"/>
      <c r="M480" s="2"/>
      <c r="N480" s="2"/>
      <c r="O480" s="2"/>
      <c r="P480" s="2"/>
      <c r="Q480" s="2"/>
      <c r="R480" s="2"/>
      <c r="S480" s="2"/>
      <c r="T480" s="2"/>
    </row>
    <row r="481" spans="1:20" ht="15.75" customHeight="1">
      <c r="A481" s="1"/>
      <c r="B481" s="2"/>
      <c r="C481" s="2"/>
      <c r="D481" s="2"/>
      <c r="E481" s="2"/>
      <c r="F481" s="2"/>
      <c r="G481" s="2"/>
      <c r="H481" s="2"/>
      <c r="I481" s="2"/>
      <c r="J481" s="2"/>
      <c r="K481" s="2"/>
      <c r="L481" s="2"/>
      <c r="M481" s="2"/>
      <c r="N481" s="2"/>
      <c r="O481" s="2"/>
      <c r="P481" s="2"/>
      <c r="Q481" s="2"/>
      <c r="R481" s="2"/>
      <c r="S481" s="2"/>
      <c r="T481" s="2"/>
    </row>
    <row r="482" spans="1:20" ht="15.75" customHeight="1">
      <c r="A482" s="1"/>
      <c r="B482" s="2"/>
      <c r="C482" s="2"/>
      <c r="D482" s="2"/>
      <c r="E482" s="2"/>
      <c r="F482" s="2"/>
      <c r="G482" s="2"/>
      <c r="H482" s="2"/>
      <c r="I482" s="2"/>
      <c r="J482" s="2"/>
      <c r="K482" s="2"/>
      <c r="L482" s="2"/>
      <c r="M482" s="2"/>
      <c r="N482" s="2"/>
      <c r="O482" s="2"/>
      <c r="P482" s="2"/>
      <c r="Q482" s="2"/>
      <c r="R482" s="2"/>
      <c r="S482" s="2"/>
      <c r="T482" s="2"/>
    </row>
    <row r="483" spans="1:20" ht="15.75" customHeight="1">
      <c r="A483" s="1"/>
      <c r="B483" s="2"/>
      <c r="C483" s="2"/>
      <c r="D483" s="2"/>
      <c r="E483" s="2"/>
      <c r="F483" s="2"/>
      <c r="G483" s="2"/>
      <c r="H483" s="2"/>
      <c r="I483" s="2"/>
      <c r="J483" s="2"/>
      <c r="K483" s="2"/>
      <c r="L483" s="2"/>
      <c r="M483" s="2"/>
      <c r="N483" s="2"/>
      <c r="O483" s="2"/>
      <c r="P483" s="2"/>
      <c r="Q483" s="2"/>
      <c r="R483" s="2"/>
      <c r="S483" s="2"/>
      <c r="T483" s="2"/>
    </row>
    <row r="484" spans="1:20" ht="15.75" customHeight="1">
      <c r="A484" s="1"/>
      <c r="B484" s="2"/>
      <c r="C484" s="2"/>
      <c r="D484" s="2"/>
      <c r="E484" s="2"/>
      <c r="F484" s="2"/>
      <c r="G484" s="2"/>
      <c r="H484" s="2"/>
      <c r="I484" s="2"/>
      <c r="J484" s="2"/>
      <c r="K484" s="2"/>
      <c r="L484" s="2"/>
      <c r="M484" s="2"/>
      <c r="N484" s="2"/>
      <c r="O484" s="2"/>
      <c r="P484" s="2"/>
      <c r="Q484" s="2"/>
      <c r="R484" s="2"/>
      <c r="S484" s="2"/>
      <c r="T484" s="2"/>
    </row>
    <row r="485" spans="1:20" ht="15.75" customHeight="1">
      <c r="A485" s="1"/>
      <c r="B485" s="2"/>
      <c r="C485" s="2"/>
      <c r="D485" s="2"/>
      <c r="E485" s="2"/>
      <c r="F485" s="2"/>
      <c r="G485" s="2"/>
      <c r="H485" s="2"/>
      <c r="I485" s="2"/>
      <c r="J485" s="2"/>
      <c r="K485" s="2"/>
      <c r="L485" s="2"/>
      <c r="M485" s="2"/>
      <c r="N485" s="2"/>
      <c r="O485" s="2"/>
      <c r="P485" s="2"/>
      <c r="Q485" s="2"/>
      <c r="R485" s="2"/>
      <c r="S485" s="2"/>
      <c r="T485" s="2"/>
    </row>
    <row r="486" spans="1:20" ht="15.75" customHeight="1">
      <c r="A486" s="1"/>
      <c r="B486" s="2"/>
      <c r="C486" s="2"/>
      <c r="D486" s="2"/>
      <c r="E486" s="2"/>
      <c r="F486" s="2"/>
      <c r="G486" s="2"/>
      <c r="H486" s="2"/>
      <c r="I486" s="2"/>
      <c r="J486" s="2"/>
      <c r="K486" s="2"/>
      <c r="L486" s="2"/>
      <c r="M486" s="2"/>
      <c r="N486" s="2"/>
      <c r="O486" s="2"/>
      <c r="P486" s="2"/>
      <c r="Q486" s="2"/>
      <c r="R486" s="2"/>
      <c r="S486" s="2"/>
      <c r="T486" s="2"/>
    </row>
    <row r="487" spans="1:20" ht="15.75" customHeight="1">
      <c r="A487" s="1"/>
      <c r="B487" s="2"/>
      <c r="C487" s="2"/>
      <c r="D487" s="2"/>
      <c r="E487" s="2"/>
      <c r="F487" s="2"/>
      <c r="G487" s="2"/>
      <c r="H487" s="2"/>
      <c r="I487" s="2"/>
      <c r="J487" s="2"/>
      <c r="K487" s="2"/>
      <c r="L487" s="2"/>
      <c r="M487" s="2"/>
      <c r="N487" s="2"/>
      <c r="O487" s="2"/>
      <c r="P487" s="2"/>
      <c r="Q487" s="2"/>
      <c r="R487" s="2"/>
      <c r="S487" s="2"/>
      <c r="T487" s="2"/>
    </row>
    <row r="488" spans="1:20" ht="15.75" customHeight="1">
      <c r="A488" s="1"/>
      <c r="B488" s="2"/>
      <c r="C488" s="2"/>
      <c r="D488" s="2"/>
      <c r="E488" s="2"/>
      <c r="F488" s="2"/>
      <c r="G488" s="2"/>
      <c r="H488" s="2"/>
      <c r="I488" s="2"/>
      <c r="J488" s="2"/>
      <c r="K488" s="2"/>
      <c r="L488" s="2"/>
      <c r="M488" s="2"/>
      <c r="N488" s="2"/>
      <c r="O488" s="2"/>
      <c r="P488" s="2"/>
      <c r="Q488" s="2"/>
      <c r="R488" s="2"/>
      <c r="S488" s="2"/>
      <c r="T488" s="2"/>
    </row>
    <row r="489" spans="1:20" ht="15.75" customHeight="1">
      <c r="A489" s="1"/>
      <c r="B489" s="2"/>
      <c r="C489" s="2"/>
      <c r="D489" s="2"/>
      <c r="E489" s="2"/>
      <c r="F489" s="2"/>
      <c r="G489" s="2"/>
      <c r="H489" s="2"/>
      <c r="I489" s="2"/>
      <c r="J489" s="2"/>
      <c r="K489" s="2"/>
      <c r="L489" s="2"/>
      <c r="M489" s="2"/>
      <c r="N489" s="2"/>
      <c r="O489" s="2"/>
      <c r="P489" s="2"/>
      <c r="Q489" s="2"/>
      <c r="R489" s="2"/>
      <c r="S489" s="2"/>
      <c r="T489" s="2"/>
    </row>
    <row r="490" spans="1:20" ht="15.75" customHeight="1">
      <c r="A490" s="1"/>
      <c r="B490" s="2"/>
      <c r="C490" s="2"/>
      <c r="D490" s="2"/>
      <c r="E490" s="2"/>
      <c r="F490" s="2"/>
      <c r="G490" s="2"/>
      <c r="H490" s="2"/>
      <c r="I490" s="2"/>
      <c r="J490" s="2"/>
      <c r="K490" s="2"/>
      <c r="L490" s="2"/>
      <c r="M490" s="2"/>
      <c r="N490" s="2"/>
      <c r="O490" s="2"/>
      <c r="P490" s="2"/>
      <c r="Q490" s="2"/>
      <c r="R490" s="2"/>
      <c r="S490" s="2"/>
      <c r="T490" s="2"/>
    </row>
    <row r="491" spans="1:20" ht="15.75" customHeight="1">
      <c r="A491" s="1"/>
      <c r="B491" s="2"/>
      <c r="C491" s="2"/>
      <c r="D491" s="2"/>
      <c r="E491" s="2"/>
      <c r="F491" s="2"/>
      <c r="G491" s="2"/>
      <c r="H491" s="2"/>
      <c r="I491" s="2"/>
      <c r="J491" s="2"/>
      <c r="K491" s="2"/>
      <c r="L491" s="2"/>
      <c r="M491" s="2"/>
      <c r="N491" s="2"/>
      <c r="O491" s="2"/>
      <c r="P491" s="2"/>
      <c r="Q491" s="2"/>
      <c r="R491" s="2"/>
      <c r="S491" s="2"/>
      <c r="T491" s="2"/>
    </row>
    <row r="492" spans="1:20" ht="15.75" customHeight="1">
      <c r="A492" s="1"/>
      <c r="B492" s="2"/>
      <c r="C492" s="2"/>
      <c r="D492" s="2"/>
      <c r="E492" s="2"/>
      <c r="F492" s="2"/>
      <c r="G492" s="2"/>
      <c r="H492" s="2"/>
      <c r="I492" s="2"/>
      <c r="J492" s="2"/>
      <c r="K492" s="2"/>
      <c r="L492" s="2"/>
      <c r="M492" s="2"/>
      <c r="N492" s="2"/>
      <c r="O492" s="2"/>
      <c r="P492" s="2"/>
      <c r="Q492" s="2"/>
      <c r="R492" s="2"/>
      <c r="S492" s="2"/>
      <c r="T492" s="2"/>
    </row>
    <row r="493" spans="1:20" ht="15.75" customHeight="1">
      <c r="A493" s="1"/>
      <c r="B493" s="2"/>
      <c r="C493" s="2"/>
      <c r="D493" s="2"/>
      <c r="E493" s="2"/>
      <c r="F493" s="2"/>
      <c r="G493" s="2"/>
      <c r="H493" s="2"/>
      <c r="I493" s="2"/>
      <c r="J493" s="2"/>
      <c r="K493" s="2"/>
      <c r="L493" s="2"/>
      <c r="M493" s="2"/>
      <c r="N493" s="2"/>
      <c r="O493" s="2"/>
      <c r="P493" s="2"/>
      <c r="Q493" s="2"/>
      <c r="R493" s="2"/>
      <c r="S493" s="2"/>
      <c r="T493" s="2"/>
    </row>
    <row r="494" spans="1:20" ht="15.75" customHeight="1">
      <c r="A494" s="1"/>
      <c r="B494" s="2"/>
      <c r="C494" s="2"/>
      <c r="D494" s="2"/>
      <c r="E494" s="2"/>
      <c r="F494" s="2"/>
      <c r="G494" s="2"/>
      <c r="H494" s="2"/>
      <c r="I494" s="2"/>
      <c r="J494" s="2"/>
      <c r="K494" s="2"/>
      <c r="L494" s="2"/>
      <c r="M494" s="2"/>
      <c r="N494" s="2"/>
      <c r="O494" s="2"/>
      <c r="P494" s="2"/>
      <c r="Q494" s="2"/>
      <c r="R494" s="2"/>
      <c r="S494" s="2"/>
      <c r="T494" s="2"/>
    </row>
    <row r="495" spans="1:20" ht="15.75" customHeight="1">
      <c r="A495" s="1"/>
      <c r="B495" s="2"/>
      <c r="C495" s="2"/>
      <c r="D495" s="2"/>
      <c r="E495" s="2"/>
      <c r="F495" s="2"/>
      <c r="G495" s="2"/>
      <c r="H495" s="2"/>
      <c r="I495" s="2"/>
      <c r="J495" s="2"/>
      <c r="K495" s="2"/>
      <c r="L495" s="2"/>
      <c r="M495" s="2"/>
      <c r="N495" s="2"/>
      <c r="O495" s="2"/>
      <c r="P495" s="2"/>
      <c r="Q495" s="2"/>
      <c r="R495" s="2"/>
      <c r="S495" s="2"/>
      <c r="T495" s="2"/>
    </row>
    <row r="496" spans="1:20" ht="15.75" customHeight="1">
      <c r="A496" s="1"/>
      <c r="B496" s="2"/>
      <c r="C496" s="2"/>
      <c r="D496" s="2"/>
      <c r="E496" s="2"/>
      <c r="F496" s="2"/>
      <c r="G496" s="2"/>
      <c r="H496" s="2"/>
      <c r="I496" s="2"/>
      <c r="J496" s="2"/>
      <c r="K496" s="2"/>
      <c r="L496" s="2"/>
      <c r="M496" s="2"/>
      <c r="N496" s="2"/>
      <c r="O496" s="2"/>
      <c r="P496" s="2"/>
      <c r="Q496" s="2"/>
      <c r="R496" s="2"/>
      <c r="S496" s="2"/>
      <c r="T496" s="2"/>
    </row>
    <row r="497" spans="1:20" ht="15.75" customHeight="1">
      <c r="A497" s="1"/>
      <c r="B497" s="2"/>
      <c r="C497" s="2"/>
      <c r="D497" s="2"/>
      <c r="E497" s="2"/>
      <c r="F497" s="2"/>
      <c r="G497" s="2"/>
      <c r="H497" s="2"/>
      <c r="I497" s="2"/>
      <c r="J497" s="2"/>
      <c r="K497" s="2"/>
      <c r="L497" s="2"/>
      <c r="M497" s="2"/>
      <c r="N497" s="2"/>
      <c r="O497" s="2"/>
      <c r="P497" s="2"/>
      <c r="Q497" s="2"/>
      <c r="R497" s="2"/>
      <c r="S497" s="2"/>
      <c r="T497" s="2"/>
    </row>
    <row r="498" spans="1:20" ht="15.75" customHeight="1">
      <c r="A498" s="1"/>
      <c r="B498" s="2"/>
      <c r="C498" s="2"/>
      <c r="D498" s="2"/>
      <c r="E498" s="2"/>
      <c r="F498" s="2"/>
      <c r="G498" s="2"/>
      <c r="H498" s="2"/>
      <c r="I498" s="2"/>
      <c r="J498" s="2"/>
      <c r="K498" s="2"/>
      <c r="L498" s="2"/>
      <c r="M498" s="2"/>
      <c r="N498" s="2"/>
      <c r="O498" s="2"/>
      <c r="P498" s="2"/>
      <c r="Q498" s="2"/>
      <c r="R498" s="2"/>
      <c r="S498" s="2"/>
      <c r="T498" s="2"/>
    </row>
    <row r="499" spans="1:20" ht="15.75" customHeight="1">
      <c r="A499" s="1"/>
      <c r="B499" s="2"/>
      <c r="C499" s="2"/>
      <c r="D499" s="2"/>
      <c r="E499" s="2"/>
      <c r="F499" s="2"/>
      <c r="G499" s="2"/>
      <c r="H499" s="2"/>
      <c r="I499" s="2"/>
      <c r="J499" s="2"/>
      <c r="K499" s="2"/>
      <c r="L499" s="2"/>
      <c r="M499" s="2"/>
      <c r="N499" s="2"/>
      <c r="O499" s="2"/>
      <c r="P499" s="2"/>
      <c r="Q499" s="2"/>
      <c r="R499" s="2"/>
      <c r="S499" s="2"/>
      <c r="T499" s="2"/>
    </row>
    <row r="500" spans="1:20" ht="15.75" customHeight="1">
      <c r="A500" s="1"/>
      <c r="B500" s="2"/>
      <c r="C500" s="2"/>
      <c r="D500" s="2"/>
      <c r="E500" s="2"/>
      <c r="F500" s="2"/>
      <c r="G500" s="2"/>
      <c r="H500" s="2"/>
      <c r="I500" s="2"/>
      <c r="J500" s="2"/>
      <c r="K500" s="2"/>
      <c r="L500" s="2"/>
      <c r="M500" s="2"/>
      <c r="N500" s="2"/>
      <c r="O500" s="2"/>
      <c r="P500" s="2"/>
      <c r="Q500" s="2"/>
      <c r="R500" s="2"/>
      <c r="S500" s="2"/>
      <c r="T500" s="2"/>
    </row>
    <row r="501" spans="1:20" ht="15.75" customHeight="1">
      <c r="A501" s="1"/>
      <c r="B501" s="2"/>
      <c r="C501" s="2"/>
      <c r="D501" s="2"/>
      <c r="E501" s="2"/>
      <c r="F501" s="2"/>
      <c r="G501" s="2"/>
      <c r="H501" s="2"/>
      <c r="I501" s="2"/>
      <c r="J501" s="2"/>
      <c r="K501" s="2"/>
      <c r="L501" s="2"/>
      <c r="M501" s="2"/>
      <c r="N501" s="2"/>
      <c r="O501" s="2"/>
      <c r="P501" s="2"/>
      <c r="Q501" s="2"/>
      <c r="R501" s="2"/>
      <c r="S501" s="2"/>
      <c r="T501" s="2"/>
    </row>
    <row r="502" spans="1:20" ht="15.75" customHeight="1">
      <c r="A502" s="1"/>
      <c r="B502" s="2"/>
      <c r="C502" s="2"/>
      <c r="D502" s="2"/>
      <c r="E502" s="2"/>
      <c r="F502" s="2"/>
      <c r="G502" s="2"/>
      <c r="H502" s="2"/>
      <c r="I502" s="2"/>
      <c r="J502" s="2"/>
      <c r="K502" s="2"/>
      <c r="L502" s="2"/>
      <c r="M502" s="2"/>
      <c r="N502" s="2"/>
      <c r="O502" s="2"/>
      <c r="P502" s="2"/>
      <c r="Q502" s="2"/>
      <c r="R502" s="2"/>
      <c r="S502" s="2"/>
      <c r="T502" s="2"/>
    </row>
    <row r="503" spans="1:20" ht="15.75" customHeight="1">
      <c r="A503" s="1"/>
      <c r="B503" s="2"/>
      <c r="C503" s="2"/>
      <c r="D503" s="2"/>
      <c r="E503" s="2"/>
      <c r="F503" s="2"/>
      <c r="G503" s="2"/>
      <c r="H503" s="2"/>
      <c r="I503" s="2"/>
      <c r="J503" s="2"/>
      <c r="K503" s="2"/>
      <c r="L503" s="2"/>
      <c r="M503" s="2"/>
      <c r="N503" s="2"/>
      <c r="O503" s="2"/>
      <c r="P503" s="2"/>
      <c r="Q503" s="2"/>
      <c r="R503" s="2"/>
      <c r="S503" s="2"/>
      <c r="T503" s="2"/>
    </row>
    <row r="504" spans="1:20" ht="15.75" customHeight="1">
      <c r="A504" s="1"/>
      <c r="B504" s="2"/>
      <c r="C504" s="2"/>
      <c r="D504" s="2"/>
      <c r="E504" s="2"/>
      <c r="F504" s="2"/>
      <c r="G504" s="2"/>
      <c r="H504" s="2"/>
      <c r="I504" s="2"/>
      <c r="J504" s="2"/>
      <c r="K504" s="2"/>
      <c r="L504" s="2"/>
      <c r="M504" s="2"/>
      <c r="N504" s="2"/>
      <c r="O504" s="2"/>
      <c r="P504" s="2"/>
      <c r="Q504" s="2"/>
      <c r="R504" s="2"/>
      <c r="S504" s="2"/>
      <c r="T504" s="2"/>
    </row>
    <row r="505" spans="1:20" ht="15.75" customHeight="1">
      <c r="A505" s="1"/>
      <c r="B505" s="2"/>
      <c r="C505" s="2"/>
      <c r="D505" s="2"/>
      <c r="E505" s="2"/>
      <c r="F505" s="2"/>
      <c r="G505" s="2"/>
      <c r="H505" s="2"/>
      <c r="I505" s="2"/>
      <c r="J505" s="2"/>
      <c r="K505" s="2"/>
      <c r="L505" s="2"/>
      <c r="M505" s="2"/>
      <c r="N505" s="2"/>
      <c r="O505" s="2"/>
      <c r="P505" s="2"/>
      <c r="Q505" s="2"/>
      <c r="R505" s="2"/>
      <c r="S505" s="2"/>
      <c r="T505" s="2"/>
    </row>
    <row r="506" spans="1:20" ht="15.75" customHeight="1">
      <c r="A506" s="1"/>
      <c r="B506" s="2"/>
      <c r="C506" s="2"/>
      <c r="D506" s="2"/>
      <c r="E506" s="2"/>
      <c r="F506" s="2"/>
      <c r="G506" s="2"/>
      <c r="H506" s="2"/>
      <c r="I506" s="2"/>
      <c r="J506" s="2"/>
      <c r="K506" s="2"/>
      <c r="L506" s="2"/>
      <c r="M506" s="2"/>
      <c r="N506" s="2"/>
      <c r="O506" s="2"/>
      <c r="P506" s="2"/>
      <c r="Q506" s="2"/>
      <c r="R506" s="2"/>
      <c r="S506" s="2"/>
      <c r="T506" s="2"/>
    </row>
    <row r="507" spans="1:20" ht="15.75" customHeight="1">
      <c r="A507" s="1"/>
      <c r="B507" s="2"/>
      <c r="C507" s="2"/>
      <c r="D507" s="2"/>
      <c r="E507" s="2"/>
      <c r="F507" s="2"/>
      <c r="G507" s="2"/>
      <c r="H507" s="2"/>
      <c r="I507" s="2"/>
      <c r="J507" s="2"/>
      <c r="K507" s="2"/>
      <c r="L507" s="2"/>
      <c r="M507" s="2"/>
      <c r="N507" s="2"/>
      <c r="O507" s="2"/>
      <c r="P507" s="2"/>
      <c r="Q507" s="2"/>
      <c r="R507" s="2"/>
      <c r="S507" s="2"/>
      <c r="T507" s="2"/>
    </row>
    <row r="508" spans="1:20" ht="15.75" customHeight="1">
      <c r="A508" s="1"/>
      <c r="B508" s="2"/>
      <c r="C508" s="2"/>
      <c r="D508" s="2"/>
      <c r="E508" s="2"/>
      <c r="F508" s="2"/>
      <c r="G508" s="2"/>
      <c r="H508" s="2"/>
      <c r="I508" s="2"/>
      <c r="J508" s="2"/>
      <c r="K508" s="2"/>
      <c r="L508" s="2"/>
      <c r="M508" s="2"/>
      <c r="N508" s="2"/>
      <c r="O508" s="2"/>
      <c r="P508" s="2"/>
      <c r="Q508" s="2"/>
      <c r="R508" s="2"/>
      <c r="S508" s="2"/>
      <c r="T508" s="2"/>
    </row>
    <row r="509" spans="1:20" ht="15.75" customHeight="1">
      <c r="A509" s="1"/>
      <c r="B509" s="2"/>
      <c r="C509" s="2"/>
      <c r="D509" s="2"/>
      <c r="E509" s="2"/>
      <c r="F509" s="2"/>
      <c r="G509" s="2"/>
      <c r="H509" s="2"/>
      <c r="I509" s="2"/>
      <c r="J509" s="2"/>
      <c r="K509" s="2"/>
      <c r="L509" s="2"/>
      <c r="M509" s="2"/>
      <c r="N509" s="2"/>
      <c r="O509" s="2"/>
      <c r="P509" s="2"/>
      <c r="Q509" s="2"/>
      <c r="R509" s="2"/>
      <c r="S509" s="2"/>
      <c r="T509" s="2"/>
    </row>
    <row r="510" spans="1:20" ht="15.75" customHeight="1">
      <c r="A510" s="1"/>
      <c r="B510" s="2"/>
      <c r="C510" s="2"/>
      <c r="D510" s="2"/>
      <c r="E510" s="2"/>
      <c r="F510" s="2"/>
      <c r="G510" s="2"/>
      <c r="H510" s="2"/>
      <c r="I510" s="2"/>
      <c r="J510" s="2"/>
      <c r="K510" s="2"/>
      <c r="L510" s="2"/>
      <c r="M510" s="2"/>
      <c r="N510" s="2"/>
      <c r="O510" s="2"/>
      <c r="P510" s="2"/>
      <c r="Q510" s="2"/>
      <c r="R510" s="2"/>
      <c r="S510" s="2"/>
      <c r="T510" s="2"/>
    </row>
    <row r="511" spans="1:20" ht="15.75" customHeight="1">
      <c r="A511" s="1"/>
      <c r="B511" s="2"/>
      <c r="C511" s="2"/>
      <c r="D511" s="2"/>
      <c r="E511" s="2"/>
      <c r="F511" s="2"/>
      <c r="G511" s="2"/>
      <c r="H511" s="2"/>
      <c r="I511" s="2"/>
      <c r="J511" s="2"/>
      <c r="K511" s="2"/>
      <c r="L511" s="2"/>
      <c r="M511" s="2"/>
      <c r="N511" s="2"/>
      <c r="O511" s="2"/>
      <c r="P511" s="2"/>
      <c r="Q511" s="2"/>
      <c r="R511" s="2"/>
      <c r="S511" s="2"/>
      <c r="T511" s="2"/>
    </row>
    <row r="512" spans="1:20" ht="15.75" customHeight="1">
      <c r="A512" s="1"/>
      <c r="B512" s="2"/>
      <c r="C512" s="2"/>
      <c r="D512" s="2"/>
      <c r="E512" s="2"/>
      <c r="F512" s="2"/>
      <c r="G512" s="2"/>
      <c r="H512" s="2"/>
      <c r="I512" s="2"/>
      <c r="J512" s="2"/>
      <c r="K512" s="2"/>
      <c r="L512" s="2"/>
      <c r="M512" s="2"/>
      <c r="N512" s="2"/>
      <c r="O512" s="2"/>
      <c r="P512" s="2"/>
      <c r="Q512" s="2"/>
      <c r="R512" s="2"/>
      <c r="S512" s="2"/>
      <c r="T512" s="2"/>
    </row>
    <row r="513" spans="1:20" ht="15.75" customHeight="1">
      <c r="A513" s="1"/>
      <c r="B513" s="2"/>
      <c r="C513" s="2"/>
      <c r="D513" s="2"/>
      <c r="E513" s="2"/>
      <c r="F513" s="2"/>
      <c r="G513" s="2"/>
      <c r="H513" s="2"/>
      <c r="I513" s="2"/>
      <c r="J513" s="2"/>
      <c r="K513" s="2"/>
      <c r="L513" s="2"/>
      <c r="M513" s="2"/>
      <c r="N513" s="2"/>
      <c r="O513" s="2"/>
      <c r="P513" s="2"/>
      <c r="Q513" s="2"/>
      <c r="R513" s="2"/>
      <c r="S513" s="2"/>
      <c r="T513" s="2"/>
    </row>
    <row r="514" spans="1:20" ht="15.75" customHeight="1">
      <c r="A514" s="1"/>
      <c r="B514" s="2"/>
      <c r="C514" s="2"/>
      <c r="D514" s="2"/>
      <c r="E514" s="2"/>
      <c r="F514" s="2"/>
      <c r="G514" s="2"/>
      <c r="H514" s="2"/>
      <c r="I514" s="2"/>
      <c r="J514" s="2"/>
      <c r="K514" s="2"/>
      <c r="L514" s="2"/>
      <c r="M514" s="2"/>
      <c r="N514" s="2"/>
      <c r="O514" s="2"/>
      <c r="P514" s="2"/>
      <c r="Q514" s="2"/>
      <c r="R514" s="2"/>
      <c r="S514" s="2"/>
      <c r="T514" s="2"/>
    </row>
    <row r="515" spans="1:20" ht="15.75" customHeight="1">
      <c r="A515" s="1"/>
      <c r="B515" s="2"/>
      <c r="C515" s="2"/>
      <c r="D515" s="2"/>
      <c r="E515" s="2"/>
      <c r="F515" s="2"/>
      <c r="G515" s="2"/>
      <c r="H515" s="2"/>
      <c r="I515" s="2"/>
      <c r="J515" s="2"/>
      <c r="K515" s="2"/>
      <c r="L515" s="2"/>
      <c r="M515" s="2"/>
      <c r="N515" s="2"/>
      <c r="O515" s="2"/>
      <c r="P515" s="2"/>
      <c r="Q515" s="2"/>
      <c r="R515" s="2"/>
      <c r="S515" s="2"/>
      <c r="T515" s="2"/>
    </row>
    <row r="516" spans="1:20" ht="15.75" customHeight="1">
      <c r="A516" s="1"/>
      <c r="B516" s="2"/>
      <c r="C516" s="2"/>
      <c r="D516" s="2"/>
      <c r="E516" s="2"/>
      <c r="F516" s="2"/>
      <c r="G516" s="2"/>
      <c r="H516" s="2"/>
      <c r="I516" s="2"/>
      <c r="J516" s="2"/>
      <c r="K516" s="2"/>
      <c r="L516" s="2"/>
      <c r="M516" s="2"/>
      <c r="N516" s="2"/>
      <c r="O516" s="2"/>
      <c r="P516" s="2"/>
      <c r="Q516" s="2"/>
      <c r="R516" s="2"/>
      <c r="S516" s="2"/>
      <c r="T516" s="2"/>
    </row>
    <row r="517" spans="1:20" ht="15.75" customHeight="1">
      <c r="A517" s="1"/>
      <c r="B517" s="2"/>
      <c r="C517" s="2"/>
      <c r="D517" s="2"/>
      <c r="E517" s="2"/>
      <c r="F517" s="2"/>
      <c r="G517" s="2"/>
      <c r="H517" s="2"/>
      <c r="I517" s="2"/>
      <c r="J517" s="2"/>
      <c r="K517" s="2"/>
      <c r="L517" s="2"/>
      <c r="M517" s="2"/>
      <c r="N517" s="2"/>
      <c r="O517" s="2"/>
      <c r="P517" s="2"/>
      <c r="Q517" s="2"/>
      <c r="R517" s="2"/>
      <c r="S517" s="2"/>
      <c r="T517" s="2"/>
    </row>
    <row r="518" spans="1:20" ht="15.75" customHeight="1">
      <c r="A518" s="1"/>
      <c r="B518" s="2"/>
      <c r="C518" s="2"/>
      <c r="D518" s="2"/>
      <c r="E518" s="2"/>
      <c r="F518" s="2"/>
      <c r="G518" s="2"/>
      <c r="H518" s="2"/>
      <c r="I518" s="2"/>
      <c r="J518" s="2"/>
      <c r="K518" s="2"/>
      <c r="L518" s="2"/>
      <c r="M518" s="2"/>
      <c r="N518" s="2"/>
      <c r="O518" s="2"/>
      <c r="P518" s="2"/>
      <c r="Q518" s="2"/>
      <c r="R518" s="2"/>
      <c r="S518" s="2"/>
      <c r="T518" s="2"/>
    </row>
    <row r="519" spans="1:20" ht="15.75" customHeight="1">
      <c r="A519" s="1"/>
      <c r="B519" s="2"/>
      <c r="C519" s="2"/>
      <c r="D519" s="2"/>
      <c r="E519" s="2"/>
      <c r="F519" s="2"/>
      <c r="G519" s="2"/>
      <c r="H519" s="2"/>
      <c r="I519" s="2"/>
      <c r="J519" s="2"/>
      <c r="K519" s="2"/>
      <c r="L519" s="2"/>
      <c r="M519" s="2"/>
      <c r="N519" s="2"/>
      <c r="O519" s="2"/>
      <c r="P519" s="2"/>
      <c r="Q519" s="2"/>
      <c r="R519" s="2"/>
      <c r="S519" s="2"/>
      <c r="T519" s="2"/>
    </row>
    <row r="520" spans="1:20" ht="15.75" customHeight="1">
      <c r="A520" s="1"/>
      <c r="B520" s="2"/>
      <c r="C520" s="2"/>
      <c r="D520" s="2"/>
      <c r="E520" s="2"/>
      <c r="F520" s="2"/>
      <c r="G520" s="2"/>
      <c r="H520" s="2"/>
      <c r="I520" s="2"/>
      <c r="J520" s="2"/>
      <c r="K520" s="2"/>
      <c r="L520" s="2"/>
      <c r="M520" s="2"/>
      <c r="N520" s="2"/>
      <c r="O520" s="2"/>
      <c r="P520" s="2"/>
      <c r="Q520" s="2"/>
      <c r="R520" s="2"/>
      <c r="S520" s="2"/>
      <c r="T520" s="2"/>
    </row>
    <row r="521" spans="1:20" ht="15.75" customHeight="1">
      <c r="A521" s="1"/>
      <c r="B521" s="2"/>
      <c r="C521" s="2"/>
      <c r="D521" s="2"/>
      <c r="E521" s="2"/>
      <c r="F521" s="2"/>
      <c r="G521" s="2"/>
      <c r="H521" s="2"/>
      <c r="I521" s="2"/>
      <c r="J521" s="2"/>
      <c r="K521" s="2"/>
      <c r="L521" s="2"/>
      <c r="M521" s="2"/>
      <c r="N521" s="2"/>
      <c r="O521" s="2"/>
      <c r="P521" s="2"/>
      <c r="Q521" s="2"/>
      <c r="R521" s="2"/>
      <c r="S521" s="2"/>
      <c r="T521" s="2"/>
    </row>
    <row r="522" spans="1:20" ht="15.75" customHeight="1">
      <c r="A522" s="1"/>
      <c r="B522" s="2"/>
      <c r="C522" s="2"/>
      <c r="D522" s="2"/>
      <c r="E522" s="2"/>
      <c r="F522" s="2"/>
      <c r="G522" s="2"/>
      <c r="H522" s="2"/>
      <c r="I522" s="2"/>
      <c r="J522" s="2"/>
      <c r="K522" s="2"/>
      <c r="L522" s="2"/>
      <c r="M522" s="2"/>
      <c r="N522" s="2"/>
      <c r="O522" s="2"/>
      <c r="P522" s="2"/>
      <c r="Q522" s="2"/>
      <c r="R522" s="2"/>
      <c r="S522" s="2"/>
      <c r="T522" s="2"/>
    </row>
    <row r="523" spans="1:20" ht="15.75" customHeight="1">
      <c r="A523" s="1"/>
      <c r="B523" s="2"/>
      <c r="C523" s="2"/>
      <c r="D523" s="2"/>
      <c r="E523" s="2"/>
      <c r="F523" s="2"/>
      <c r="G523" s="2"/>
      <c r="H523" s="2"/>
      <c r="I523" s="2"/>
      <c r="J523" s="2"/>
      <c r="K523" s="2"/>
      <c r="L523" s="2"/>
      <c r="M523" s="2"/>
      <c r="N523" s="2"/>
      <c r="O523" s="2"/>
      <c r="P523" s="2"/>
      <c r="Q523" s="2"/>
      <c r="R523" s="2"/>
      <c r="S523" s="2"/>
      <c r="T523" s="2"/>
    </row>
    <row r="524" spans="1:20" ht="15.75" customHeight="1">
      <c r="A524" s="1"/>
      <c r="B524" s="2"/>
      <c r="C524" s="2"/>
      <c r="D524" s="2"/>
      <c r="E524" s="2"/>
      <c r="F524" s="2"/>
      <c r="G524" s="2"/>
      <c r="H524" s="2"/>
      <c r="I524" s="2"/>
      <c r="J524" s="2"/>
      <c r="K524" s="2"/>
      <c r="L524" s="2"/>
      <c r="M524" s="2"/>
      <c r="N524" s="2"/>
      <c r="O524" s="2"/>
      <c r="P524" s="2"/>
      <c r="Q524" s="2"/>
      <c r="R524" s="2"/>
      <c r="S524" s="2"/>
      <c r="T524" s="2"/>
    </row>
    <row r="525" spans="1:20" ht="15.75" customHeight="1">
      <c r="A525" s="1"/>
      <c r="B525" s="2"/>
      <c r="C525" s="2"/>
      <c r="D525" s="2"/>
      <c r="E525" s="2"/>
      <c r="F525" s="2"/>
      <c r="G525" s="2"/>
      <c r="H525" s="2"/>
      <c r="I525" s="2"/>
      <c r="J525" s="2"/>
      <c r="K525" s="2"/>
      <c r="L525" s="2"/>
      <c r="M525" s="2"/>
      <c r="N525" s="2"/>
      <c r="O525" s="2"/>
      <c r="P525" s="2"/>
      <c r="Q525" s="2"/>
      <c r="R525" s="2"/>
      <c r="S525" s="2"/>
      <c r="T525" s="2"/>
    </row>
    <row r="526" spans="1:20" ht="15.75" customHeight="1">
      <c r="A526" s="1"/>
      <c r="B526" s="2"/>
      <c r="C526" s="2"/>
      <c r="D526" s="2"/>
      <c r="E526" s="2"/>
      <c r="F526" s="2"/>
      <c r="G526" s="2"/>
      <c r="H526" s="2"/>
      <c r="I526" s="2"/>
      <c r="J526" s="2"/>
      <c r="K526" s="2"/>
      <c r="L526" s="2"/>
      <c r="M526" s="2"/>
      <c r="N526" s="2"/>
      <c r="O526" s="2"/>
      <c r="P526" s="2"/>
      <c r="Q526" s="2"/>
      <c r="R526" s="2"/>
      <c r="S526" s="2"/>
      <c r="T526" s="2"/>
    </row>
    <row r="527" spans="1:20" ht="15.75" customHeight="1">
      <c r="A527" s="1"/>
      <c r="B527" s="2"/>
      <c r="C527" s="2"/>
      <c r="D527" s="2"/>
      <c r="E527" s="2"/>
      <c r="F527" s="2"/>
      <c r="G527" s="2"/>
      <c r="H527" s="2"/>
      <c r="I527" s="2"/>
      <c r="J527" s="2"/>
      <c r="K527" s="2"/>
      <c r="L527" s="2"/>
      <c r="M527" s="2"/>
      <c r="N527" s="2"/>
      <c r="O527" s="2"/>
      <c r="P527" s="2"/>
      <c r="Q527" s="2"/>
      <c r="R527" s="2"/>
      <c r="S527" s="2"/>
      <c r="T527" s="2"/>
    </row>
    <row r="528" spans="1:20" ht="15.75" customHeight="1">
      <c r="A528" s="1"/>
      <c r="B528" s="2"/>
      <c r="C528" s="2"/>
      <c r="D528" s="2"/>
      <c r="E528" s="2"/>
      <c r="F528" s="2"/>
      <c r="G528" s="2"/>
      <c r="H528" s="2"/>
      <c r="I528" s="2"/>
      <c r="J528" s="2"/>
      <c r="K528" s="2"/>
      <c r="L528" s="2"/>
      <c r="M528" s="2"/>
      <c r="N528" s="2"/>
      <c r="O528" s="2"/>
      <c r="P528" s="2"/>
      <c r="Q528" s="2"/>
      <c r="R528" s="2"/>
      <c r="S528" s="2"/>
      <c r="T528" s="2"/>
    </row>
    <row r="529" spans="1:20" ht="15.75" customHeight="1">
      <c r="A529" s="1"/>
      <c r="B529" s="2"/>
      <c r="C529" s="2"/>
      <c r="D529" s="2"/>
      <c r="E529" s="2"/>
      <c r="F529" s="2"/>
      <c r="G529" s="2"/>
      <c r="H529" s="2"/>
      <c r="I529" s="2"/>
      <c r="J529" s="2"/>
      <c r="K529" s="2"/>
      <c r="L529" s="2"/>
      <c r="M529" s="2"/>
      <c r="N529" s="2"/>
      <c r="O529" s="2"/>
      <c r="P529" s="2"/>
      <c r="Q529" s="2"/>
      <c r="R529" s="2"/>
      <c r="S529" s="2"/>
      <c r="T529" s="2"/>
    </row>
    <row r="530" spans="1:20" ht="15.75" customHeight="1">
      <c r="A530" s="1"/>
      <c r="B530" s="2"/>
      <c r="C530" s="2"/>
      <c r="D530" s="2"/>
      <c r="E530" s="2"/>
      <c r="F530" s="2"/>
      <c r="G530" s="2"/>
      <c r="H530" s="2"/>
      <c r="I530" s="2"/>
      <c r="J530" s="2"/>
      <c r="K530" s="2"/>
      <c r="L530" s="2"/>
      <c r="M530" s="2"/>
      <c r="N530" s="2"/>
      <c r="O530" s="2"/>
      <c r="P530" s="2"/>
      <c r="Q530" s="2"/>
      <c r="R530" s="2"/>
      <c r="S530" s="2"/>
      <c r="T530" s="2"/>
    </row>
    <row r="531" spans="1:20" ht="15.75" customHeight="1">
      <c r="A531" s="1"/>
      <c r="B531" s="2"/>
      <c r="C531" s="2"/>
      <c r="D531" s="2"/>
      <c r="E531" s="2"/>
      <c r="F531" s="2"/>
      <c r="G531" s="2"/>
      <c r="H531" s="2"/>
      <c r="I531" s="2"/>
      <c r="J531" s="2"/>
      <c r="K531" s="2"/>
      <c r="L531" s="2"/>
      <c r="M531" s="2"/>
      <c r="N531" s="2"/>
      <c r="O531" s="2"/>
      <c r="P531" s="2"/>
      <c r="Q531" s="2"/>
      <c r="R531" s="2"/>
      <c r="S531" s="2"/>
      <c r="T531" s="2"/>
    </row>
    <row r="532" spans="1:20" ht="15.75" customHeight="1">
      <c r="A532" s="1"/>
      <c r="B532" s="2"/>
      <c r="C532" s="2"/>
      <c r="D532" s="2"/>
      <c r="E532" s="2"/>
      <c r="F532" s="2"/>
      <c r="G532" s="2"/>
      <c r="H532" s="2"/>
      <c r="I532" s="2"/>
      <c r="J532" s="2"/>
      <c r="K532" s="2"/>
      <c r="L532" s="2"/>
      <c r="M532" s="2"/>
      <c r="N532" s="2"/>
      <c r="O532" s="2"/>
      <c r="P532" s="2"/>
      <c r="Q532" s="2"/>
      <c r="R532" s="2"/>
      <c r="S532" s="2"/>
      <c r="T532" s="2"/>
    </row>
    <row r="533" spans="1:20" ht="15.75" customHeight="1">
      <c r="A533" s="1"/>
      <c r="B533" s="2"/>
      <c r="C533" s="2"/>
      <c r="D533" s="2"/>
      <c r="E533" s="2"/>
      <c r="F533" s="2"/>
      <c r="G533" s="2"/>
      <c r="H533" s="2"/>
      <c r="I533" s="2"/>
      <c r="J533" s="2"/>
      <c r="K533" s="2"/>
      <c r="L533" s="2"/>
      <c r="M533" s="2"/>
      <c r="N533" s="2"/>
      <c r="O533" s="2"/>
      <c r="P533" s="2"/>
      <c r="Q533" s="2"/>
      <c r="R533" s="2"/>
      <c r="S533" s="2"/>
      <c r="T533" s="2"/>
    </row>
    <row r="534" spans="1:20" ht="15.75" customHeight="1">
      <c r="A534" s="1"/>
      <c r="B534" s="2"/>
      <c r="C534" s="2"/>
      <c r="D534" s="2"/>
      <c r="E534" s="2"/>
      <c r="F534" s="2"/>
      <c r="G534" s="2"/>
      <c r="H534" s="2"/>
      <c r="I534" s="2"/>
      <c r="J534" s="2"/>
      <c r="K534" s="2"/>
      <c r="L534" s="2"/>
      <c r="M534" s="2"/>
      <c r="N534" s="2"/>
      <c r="O534" s="2"/>
      <c r="P534" s="2"/>
      <c r="Q534" s="2"/>
      <c r="R534" s="2"/>
      <c r="S534" s="2"/>
      <c r="T534" s="2"/>
    </row>
    <row r="535" spans="1:20" ht="15.75" customHeight="1">
      <c r="A535" s="1"/>
      <c r="B535" s="2"/>
      <c r="C535" s="2"/>
      <c r="D535" s="2"/>
      <c r="E535" s="2"/>
      <c r="F535" s="2"/>
      <c r="G535" s="2"/>
      <c r="H535" s="2"/>
      <c r="I535" s="2"/>
      <c r="J535" s="2"/>
      <c r="K535" s="2"/>
      <c r="L535" s="2"/>
      <c r="M535" s="2"/>
      <c r="N535" s="2"/>
      <c r="O535" s="2"/>
      <c r="P535" s="2"/>
      <c r="Q535" s="2"/>
      <c r="R535" s="2"/>
      <c r="S535" s="2"/>
      <c r="T535" s="2"/>
    </row>
    <row r="536" spans="1:20" ht="15.75" customHeight="1">
      <c r="A536" s="1"/>
      <c r="B536" s="2"/>
      <c r="C536" s="2"/>
      <c r="D536" s="2"/>
      <c r="E536" s="2"/>
      <c r="F536" s="2"/>
      <c r="G536" s="2"/>
      <c r="H536" s="2"/>
      <c r="I536" s="2"/>
      <c r="J536" s="2"/>
      <c r="K536" s="2"/>
      <c r="L536" s="2"/>
      <c r="M536" s="2"/>
      <c r="N536" s="2"/>
      <c r="O536" s="2"/>
      <c r="P536" s="2"/>
      <c r="Q536" s="2"/>
      <c r="R536" s="2"/>
      <c r="S536" s="2"/>
      <c r="T536" s="2"/>
    </row>
    <row r="537" spans="1:20" ht="15.75" customHeight="1">
      <c r="A537" s="1"/>
      <c r="B537" s="2"/>
      <c r="C537" s="2"/>
      <c r="D537" s="2"/>
      <c r="E537" s="2"/>
      <c r="F537" s="2"/>
      <c r="G537" s="2"/>
      <c r="H537" s="2"/>
      <c r="I537" s="2"/>
      <c r="J537" s="2"/>
      <c r="K537" s="2"/>
      <c r="L537" s="2"/>
      <c r="M537" s="2"/>
      <c r="N537" s="2"/>
      <c r="O537" s="2"/>
      <c r="P537" s="2"/>
      <c r="Q537" s="2"/>
      <c r="R537" s="2"/>
      <c r="S537" s="2"/>
      <c r="T537" s="2"/>
    </row>
    <row r="538" spans="1:20" ht="15.75" customHeight="1">
      <c r="A538" s="1"/>
      <c r="B538" s="2"/>
      <c r="C538" s="2"/>
      <c r="D538" s="2"/>
      <c r="E538" s="2"/>
      <c r="F538" s="2"/>
      <c r="G538" s="2"/>
      <c r="H538" s="2"/>
      <c r="I538" s="2"/>
      <c r="J538" s="2"/>
      <c r="K538" s="2"/>
      <c r="L538" s="2"/>
      <c r="M538" s="2"/>
      <c r="N538" s="2"/>
      <c r="O538" s="2"/>
      <c r="P538" s="2"/>
      <c r="Q538" s="2"/>
      <c r="R538" s="2"/>
      <c r="S538" s="2"/>
      <c r="T538" s="2"/>
    </row>
    <row r="539" spans="1:20" ht="15.75" customHeight="1">
      <c r="A539" s="1"/>
      <c r="B539" s="2"/>
      <c r="C539" s="2"/>
      <c r="D539" s="2"/>
      <c r="E539" s="2"/>
      <c r="F539" s="2"/>
      <c r="G539" s="2"/>
      <c r="H539" s="2"/>
      <c r="I539" s="2"/>
      <c r="J539" s="2"/>
      <c r="K539" s="2"/>
      <c r="L539" s="2"/>
      <c r="M539" s="2"/>
      <c r="N539" s="2"/>
      <c r="O539" s="2"/>
      <c r="P539" s="2"/>
      <c r="Q539" s="2"/>
      <c r="R539" s="2"/>
      <c r="S539" s="2"/>
      <c r="T539" s="2"/>
    </row>
    <row r="540" spans="1:20" ht="15.75" customHeight="1">
      <c r="A540" s="1"/>
      <c r="B540" s="2"/>
      <c r="C540" s="2"/>
      <c r="D540" s="2"/>
      <c r="E540" s="2"/>
      <c r="F540" s="2"/>
      <c r="G540" s="2"/>
      <c r="H540" s="2"/>
      <c r="I540" s="2"/>
      <c r="J540" s="2"/>
      <c r="K540" s="2"/>
      <c r="L540" s="2"/>
      <c r="M540" s="2"/>
      <c r="N540" s="2"/>
      <c r="O540" s="2"/>
      <c r="P540" s="2"/>
      <c r="Q540" s="2"/>
      <c r="R540" s="2"/>
      <c r="S540" s="2"/>
      <c r="T540" s="2"/>
    </row>
    <row r="541" spans="1:20" ht="15.75" customHeight="1">
      <c r="A541" s="1"/>
      <c r="B541" s="2"/>
      <c r="C541" s="2"/>
      <c r="D541" s="2"/>
      <c r="E541" s="2"/>
      <c r="F541" s="2"/>
      <c r="G541" s="2"/>
      <c r="H541" s="2"/>
      <c r="I541" s="2"/>
      <c r="J541" s="2"/>
      <c r="K541" s="2"/>
      <c r="L541" s="2"/>
      <c r="M541" s="2"/>
      <c r="N541" s="2"/>
      <c r="O541" s="2"/>
      <c r="P541" s="2"/>
      <c r="Q541" s="2"/>
      <c r="R541" s="2"/>
      <c r="S541" s="2"/>
      <c r="T541" s="2"/>
    </row>
    <row r="542" spans="1:20" ht="15.75" customHeight="1">
      <c r="A542" s="1"/>
      <c r="B542" s="2"/>
      <c r="C542" s="2"/>
      <c r="D542" s="2"/>
      <c r="E542" s="2"/>
      <c r="F542" s="2"/>
      <c r="G542" s="2"/>
      <c r="H542" s="2"/>
      <c r="I542" s="2"/>
      <c r="J542" s="2"/>
      <c r="K542" s="2"/>
      <c r="L542" s="2"/>
      <c r="M542" s="2"/>
      <c r="N542" s="2"/>
      <c r="O542" s="2"/>
      <c r="P542" s="2"/>
      <c r="Q542" s="2"/>
      <c r="R542" s="2"/>
      <c r="S542" s="2"/>
      <c r="T542" s="2"/>
    </row>
    <row r="543" spans="1:20" ht="15.75" customHeight="1">
      <c r="A543" s="1"/>
      <c r="B543" s="2"/>
      <c r="C543" s="2"/>
      <c r="D543" s="2"/>
      <c r="E543" s="2"/>
      <c r="F543" s="2"/>
      <c r="G543" s="2"/>
      <c r="H543" s="2"/>
      <c r="I543" s="2"/>
      <c r="J543" s="2"/>
      <c r="K543" s="2"/>
      <c r="L543" s="2"/>
      <c r="M543" s="2"/>
      <c r="N543" s="2"/>
      <c r="O543" s="2"/>
      <c r="P543" s="2"/>
      <c r="Q543" s="2"/>
      <c r="R543" s="2"/>
      <c r="S543" s="2"/>
      <c r="T543" s="2"/>
    </row>
    <row r="544" spans="1:20" ht="15.75" customHeight="1">
      <c r="A544" s="1"/>
      <c r="B544" s="2"/>
      <c r="C544" s="2"/>
      <c r="D544" s="2"/>
      <c r="E544" s="2"/>
      <c r="F544" s="2"/>
      <c r="G544" s="2"/>
      <c r="H544" s="2"/>
      <c r="I544" s="2"/>
      <c r="J544" s="2"/>
      <c r="K544" s="2"/>
      <c r="L544" s="2"/>
      <c r="M544" s="2"/>
      <c r="N544" s="2"/>
      <c r="O544" s="2"/>
      <c r="P544" s="2"/>
      <c r="Q544" s="2"/>
      <c r="R544" s="2"/>
      <c r="S544" s="2"/>
      <c r="T544" s="2"/>
    </row>
    <row r="545" spans="1:20" ht="15.75" customHeight="1">
      <c r="A545" s="1"/>
      <c r="B545" s="2"/>
      <c r="C545" s="2"/>
      <c r="D545" s="2"/>
      <c r="E545" s="2"/>
      <c r="F545" s="2"/>
      <c r="G545" s="2"/>
      <c r="H545" s="2"/>
      <c r="I545" s="2"/>
      <c r="J545" s="2"/>
      <c r="K545" s="2"/>
      <c r="L545" s="2"/>
      <c r="M545" s="2"/>
      <c r="N545" s="2"/>
      <c r="O545" s="2"/>
      <c r="P545" s="2"/>
      <c r="Q545" s="2"/>
      <c r="R545" s="2"/>
      <c r="S545" s="2"/>
      <c r="T545" s="2"/>
    </row>
    <row r="546" spans="1:20" ht="15.75" customHeight="1">
      <c r="A546" s="1"/>
      <c r="B546" s="2"/>
      <c r="C546" s="2"/>
      <c r="D546" s="2"/>
      <c r="E546" s="2"/>
      <c r="F546" s="2"/>
      <c r="G546" s="2"/>
      <c r="H546" s="2"/>
      <c r="I546" s="2"/>
      <c r="J546" s="2"/>
      <c r="K546" s="2"/>
      <c r="L546" s="2"/>
      <c r="M546" s="2"/>
      <c r="N546" s="2"/>
      <c r="O546" s="2"/>
      <c r="P546" s="2"/>
      <c r="Q546" s="2"/>
      <c r="R546" s="2"/>
      <c r="S546" s="2"/>
      <c r="T546" s="2"/>
    </row>
    <row r="547" spans="1:20" ht="15.75" customHeight="1">
      <c r="A547" s="1"/>
      <c r="B547" s="2"/>
      <c r="C547" s="2"/>
      <c r="D547" s="2"/>
      <c r="E547" s="2"/>
      <c r="F547" s="2"/>
      <c r="G547" s="2"/>
      <c r="H547" s="2"/>
      <c r="I547" s="2"/>
      <c r="J547" s="2"/>
      <c r="K547" s="2"/>
      <c r="L547" s="2"/>
      <c r="M547" s="2"/>
      <c r="N547" s="2"/>
      <c r="O547" s="2"/>
      <c r="P547" s="2"/>
      <c r="Q547" s="2"/>
      <c r="R547" s="2"/>
      <c r="S547" s="2"/>
      <c r="T547" s="2"/>
    </row>
    <row r="548" spans="1:20" ht="15.75" customHeight="1">
      <c r="A548" s="1"/>
      <c r="B548" s="2"/>
      <c r="C548" s="2"/>
      <c r="D548" s="2"/>
      <c r="E548" s="2"/>
      <c r="F548" s="2"/>
      <c r="G548" s="2"/>
      <c r="H548" s="2"/>
      <c r="I548" s="2"/>
      <c r="J548" s="2"/>
      <c r="K548" s="2"/>
      <c r="L548" s="2"/>
      <c r="M548" s="2"/>
      <c r="N548" s="2"/>
      <c r="O548" s="2"/>
      <c r="P548" s="2"/>
      <c r="Q548" s="2"/>
      <c r="R548" s="2"/>
      <c r="S548" s="2"/>
      <c r="T548" s="2"/>
    </row>
    <row r="549" spans="1:20" ht="15.75" customHeight="1">
      <c r="A549" s="1"/>
      <c r="B549" s="2"/>
      <c r="C549" s="2"/>
      <c r="D549" s="2"/>
      <c r="E549" s="2"/>
      <c r="F549" s="2"/>
      <c r="G549" s="2"/>
      <c r="H549" s="2"/>
      <c r="I549" s="2"/>
      <c r="J549" s="2"/>
      <c r="K549" s="2"/>
      <c r="L549" s="2"/>
      <c r="M549" s="2"/>
      <c r="N549" s="2"/>
      <c r="O549" s="2"/>
      <c r="P549" s="2"/>
      <c r="Q549" s="2"/>
      <c r="R549" s="2"/>
      <c r="S549" s="2"/>
      <c r="T549" s="2"/>
    </row>
    <row r="550" spans="1:20" ht="15.75" customHeight="1">
      <c r="A550" s="1"/>
      <c r="B550" s="2"/>
      <c r="C550" s="2"/>
      <c r="D550" s="2"/>
      <c r="E550" s="2"/>
      <c r="F550" s="2"/>
      <c r="G550" s="2"/>
      <c r="H550" s="2"/>
      <c r="I550" s="2"/>
      <c r="J550" s="2"/>
      <c r="K550" s="2"/>
      <c r="L550" s="2"/>
      <c r="M550" s="2"/>
      <c r="N550" s="2"/>
      <c r="O550" s="2"/>
      <c r="P550" s="2"/>
      <c r="Q550" s="2"/>
      <c r="R550" s="2"/>
      <c r="S550" s="2"/>
      <c r="T550" s="2"/>
    </row>
    <row r="551" spans="1:20" ht="15.75" customHeight="1">
      <c r="A551" s="1"/>
      <c r="B551" s="2"/>
      <c r="C551" s="2"/>
      <c r="D551" s="2"/>
      <c r="E551" s="2"/>
      <c r="F551" s="2"/>
      <c r="G551" s="2"/>
      <c r="H551" s="2"/>
      <c r="I551" s="2"/>
      <c r="J551" s="2"/>
      <c r="K551" s="2"/>
      <c r="L551" s="2"/>
      <c r="M551" s="2"/>
      <c r="N551" s="2"/>
      <c r="O551" s="2"/>
      <c r="P551" s="2"/>
      <c r="Q551" s="2"/>
      <c r="R551" s="2"/>
      <c r="S551" s="2"/>
      <c r="T551" s="2"/>
    </row>
    <row r="552" spans="1:20" ht="15.75" customHeight="1">
      <c r="A552" s="1"/>
      <c r="B552" s="2"/>
      <c r="C552" s="2"/>
      <c r="D552" s="2"/>
      <c r="E552" s="2"/>
      <c r="F552" s="2"/>
      <c r="G552" s="2"/>
      <c r="H552" s="2"/>
      <c r="I552" s="2"/>
      <c r="J552" s="2"/>
      <c r="K552" s="2"/>
      <c r="L552" s="2"/>
      <c r="M552" s="2"/>
      <c r="N552" s="2"/>
      <c r="O552" s="2"/>
      <c r="P552" s="2"/>
      <c r="Q552" s="2"/>
      <c r="R552" s="2"/>
      <c r="S552" s="2"/>
      <c r="T552" s="2"/>
    </row>
    <row r="553" spans="1:20" ht="15.75" customHeight="1">
      <c r="A553" s="1"/>
      <c r="B553" s="2"/>
      <c r="C553" s="2"/>
      <c r="D553" s="2"/>
      <c r="E553" s="2"/>
      <c r="F553" s="2"/>
      <c r="G553" s="2"/>
      <c r="H553" s="2"/>
      <c r="I553" s="2"/>
      <c r="J553" s="2"/>
      <c r="K553" s="2"/>
      <c r="L553" s="2"/>
      <c r="M553" s="2"/>
      <c r="N553" s="2"/>
      <c r="O553" s="2"/>
      <c r="P553" s="2"/>
      <c r="Q553" s="2"/>
      <c r="R553" s="2"/>
      <c r="S553" s="2"/>
      <c r="T553" s="2"/>
    </row>
    <row r="554" spans="1:20" ht="15.75" customHeight="1">
      <c r="A554" s="1"/>
      <c r="B554" s="2"/>
      <c r="C554" s="2"/>
      <c r="D554" s="2"/>
      <c r="E554" s="2"/>
      <c r="F554" s="2"/>
      <c r="G554" s="2"/>
      <c r="H554" s="2"/>
      <c r="I554" s="2"/>
      <c r="J554" s="2"/>
      <c r="K554" s="2"/>
      <c r="L554" s="2"/>
      <c r="M554" s="2"/>
      <c r="N554" s="2"/>
      <c r="O554" s="2"/>
      <c r="P554" s="2"/>
      <c r="Q554" s="2"/>
      <c r="R554" s="2"/>
      <c r="S554" s="2"/>
      <c r="T554" s="2"/>
    </row>
    <row r="555" spans="1:20" ht="15.75" customHeight="1">
      <c r="A555" s="1"/>
      <c r="B555" s="2"/>
      <c r="C555" s="2"/>
      <c r="D555" s="2"/>
      <c r="E555" s="2"/>
      <c r="F555" s="2"/>
      <c r="G555" s="2"/>
      <c r="H555" s="2"/>
      <c r="I555" s="2"/>
      <c r="J555" s="2"/>
      <c r="K555" s="2"/>
      <c r="L555" s="2"/>
      <c r="M555" s="2"/>
      <c r="N555" s="2"/>
      <c r="O555" s="2"/>
      <c r="P555" s="2"/>
      <c r="Q555" s="2"/>
      <c r="R555" s="2"/>
      <c r="S555" s="2"/>
      <c r="T555" s="2"/>
    </row>
    <row r="556" spans="1:20" ht="15.75" customHeight="1">
      <c r="A556" s="1"/>
      <c r="B556" s="2"/>
      <c r="C556" s="2"/>
      <c r="D556" s="2"/>
      <c r="E556" s="2"/>
      <c r="F556" s="2"/>
      <c r="G556" s="2"/>
      <c r="H556" s="2"/>
      <c r="I556" s="2"/>
      <c r="J556" s="2"/>
      <c r="K556" s="2"/>
      <c r="L556" s="2"/>
      <c r="M556" s="2"/>
      <c r="N556" s="2"/>
      <c r="O556" s="2"/>
      <c r="P556" s="2"/>
      <c r="Q556" s="2"/>
      <c r="R556" s="2"/>
      <c r="S556" s="2"/>
      <c r="T556" s="2"/>
    </row>
    <row r="557" spans="1:20" ht="15.75" customHeight="1">
      <c r="A557" s="1"/>
      <c r="B557" s="2"/>
      <c r="C557" s="2"/>
      <c r="D557" s="2"/>
      <c r="E557" s="2"/>
      <c r="F557" s="2"/>
      <c r="G557" s="2"/>
      <c r="H557" s="2"/>
      <c r="I557" s="2"/>
      <c r="J557" s="2"/>
      <c r="K557" s="2"/>
      <c r="L557" s="2"/>
      <c r="M557" s="2"/>
      <c r="N557" s="2"/>
      <c r="O557" s="2"/>
      <c r="P557" s="2"/>
      <c r="Q557" s="2"/>
      <c r="R557" s="2"/>
      <c r="S557" s="2"/>
      <c r="T557" s="2"/>
    </row>
    <row r="558" spans="1:20" ht="15.75" customHeight="1">
      <c r="A558" s="1"/>
      <c r="B558" s="2"/>
      <c r="C558" s="2"/>
      <c r="D558" s="2"/>
      <c r="E558" s="2"/>
      <c r="F558" s="2"/>
      <c r="G558" s="2"/>
      <c r="H558" s="2"/>
      <c r="I558" s="2"/>
      <c r="J558" s="2"/>
      <c r="K558" s="2"/>
      <c r="L558" s="2"/>
      <c r="M558" s="2"/>
      <c r="N558" s="2"/>
      <c r="O558" s="2"/>
      <c r="P558" s="2"/>
      <c r="Q558" s="2"/>
      <c r="R558" s="2"/>
      <c r="S558" s="2"/>
      <c r="T558" s="2"/>
    </row>
    <row r="559" spans="1:20" ht="15.75" customHeight="1">
      <c r="A559" s="1"/>
      <c r="B559" s="2"/>
      <c r="C559" s="2"/>
      <c r="D559" s="2"/>
      <c r="E559" s="2"/>
      <c r="F559" s="2"/>
      <c r="G559" s="2"/>
      <c r="H559" s="2"/>
      <c r="I559" s="2"/>
      <c r="J559" s="2"/>
      <c r="K559" s="2"/>
      <c r="L559" s="2"/>
      <c r="M559" s="2"/>
      <c r="N559" s="2"/>
      <c r="O559" s="2"/>
      <c r="P559" s="2"/>
      <c r="Q559" s="2"/>
      <c r="R559" s="2"/>
      <c r="S559" s="2"/>
      <c r="T559" s="2"/>
    </row>
    <row r="560" spans="1:20" ht="15.75" customHeight="1">
      <c r="A560" s="1"/>
      <c r="B560" s="2"/>
      <c r="C560" s="2"/>
      <c r="D560" s="2"/>
      <c r="E560" s="2"/>
      <c r="F560" s="2"/>
      <c r="G560" s="2"/>
      <c r="H560" s="2"/>
      <c r="I560" s="2"/>
      <c r="J560" s="2"/>
      <c r="K560" s="2"/>
      <c r="L560" s="2"/>
      <c r="M560" s="2"/>
      <c r="N560" s="2"/>
      <c r="O560" s="2"/>
      <c r="P560" s="2"/>
      <c r="Q560" s="2"/>
      <c r="R560" s="2"/>
      <c r="S560" s="2"/>
      <c r="T560" s="2"/>
    </row>
    <row r="561" spans="1:20" ht="15.75" customHeight="1">
      <c r="A561" s="1"/>
      <c r="B561" s="2"/>
      <c r="C561" s="2"/>
      <c r="D561" s="2"/>
      <c r="E561" s="2"/>
      <c r="F561" s="2"/>
      <c r="G561" s="2"/>
      <c r="H561" s="2"/>
      <c r="I561" s="2"/>
      <c r="J561" s="2"/>
      <c r="K561" s="2"/>
      <c r="L561" s="2"/>
      <c r="M561" s="2"/>
      <c r="N561" s="2"/>
      <c r="O561" s="2"/>
      <c r="P561" s="2"/>
      <c r="Q561" s="2"/>
      <c r="R561" s="2"/>
      <c r="S561" s="2"/>
      <c r="T561" s="2"/>
    </row>
    <row r="562" spans="1:20" ht="15.75" customHeight="1">
      <c r="A562" s="1"/>
      <c r="B562" s="2"/>
      <c r="C562" s="2"/>
      <c r="D562" s="2"/>
      <c r="E562" s="2"/>
      <c r="F562" s="2"/>
      <c r="G562" s="2"/>
      <c r="H562" s="2"/>
      <c r="I562" s="2"/>
      <c r="J562" s="2"/>
      <c r="K562" s="2"/>
      <c r="L562" s="2"/>
      <c r="M562" s="2"/>
      <c r="N562" s="2"/>
      <c r="O562" s="2"/>
      <c r="P562" s="2"/>
      <c r="Q562" s="2"/>
      <c r="R562" s="2"/>
      <c r="S562" s="2"/>
      <c r="T562" s="2"/>
    </row>
    <row r="563" spans="1:20" ht="15.75" customHeight="1">
      <c r="A563" s="1"/>
      <c r="B563" s="2"/>
      <c r="C563" s="2"/>
      <c r="D563" s="2"/>
      <c r="E563" s="2"/>
      <c r="F563" s="2"/>
      <c r="G563" s="2"/>
      <c r="H563" s="2"/>
      <c r="I563" s="2"/>
      <c r="J563" s="2"/>
      <c r="K563" s="2"/>
      <c r="L563" s="2"/>
      <c r="M563" s="2"/>
      <c r="N563" s="2"/>
      <c r="O563" s="2"/>
      <c r="P563" s="2"/>
      <c r="Q563" s="2"/>
      <c r="R563" s="2"/>
      <c r="S563" s="2"/>
      <c r="T563" s="2"/>
    </row>
    <row r="564" spans="1:20" ht="15.75" customHeight="1">
      <c r="A564" s="1"/>
      <c r="B564" s="2"/>
      <c r="C564" s="2"/>
      <c r="D564" s="2"/>
      <c r="E564" s="2"/>
      <c r="F564" s="2"/>
      <c r="G564" s="2"/>
      <c r="H564" s="2"/>
      <c r="I564" s="2"/>
      <c r="J564" s="2"/>
      <c r="K564" s="2"/>
      <c r="L564" s="2"/>
      <c r="M564" s="2"/>
      <c r="N564" s="2"/>
      <c r="O564" s="2"/>
      <c r="P564" s="2"/>
      <c r="Q564" s="2"/>
      <c r="R564" s="2"/>
      <c r="S564" s="2"/>
      <c r="T564" s="2"/>
    </row>
    <row r="565" spans="1:20" ht="15.75" customHeight="1">
      <c r="A565" s="1"/>
      <c r="B565" s="2"/>
      <c r="C565" s="2"/>
      <c r="D565" s="2"/>
      <c r="E565" s="2"/>
      <c r="F565" s="2"/>
      <c r="G565" s="2"/>
      <c r="H565" s="2"/>
      <c r="I565" s="2"/>
      <c r="J565" s="2"/>
      <c r="K565" s="2"/>
      <c r="L565" s="2"/>
      <c r="M565" s="2"/>
      <c r="N565" s="2"/>
      <c r="O565" s="2"/>
      <c r="P565" s="2"/>
      <c r="Q565" s="2"/>
      <c r="R565" s="2"/>
      <c r="S565" s="2"/>
      <c r="T565" s="2"/>
    </row>
    <row r="566" spans="1:20" ht="15.75" customHeight="1">
      <c r="A566" s="1"/>
      <c r="B566" s="2"/>
      <c r="C566" s="2"/>
      <c r="D566" s="2"/>
      <c r="E566" s="2"/>
      <c r="F566" s="2"/>
      <c r="G566" s="2"/>
      <c r="H566" s="2"/>
      <c r="I566" s="2"/>
      <c r="J566" s="2"/>
      <c r="K566" s="2"/>
      <c r="L566" s="2"/>
      <c r="M566" s="2"/>
      <c r="N566" s="2"/>
      <c r="O566" s="2"/>
      <c r="P566" s="2"/>
      <c r="Q566" s="2"/>
      <c r="R566" s="2"/>
      <c r="S566" s="2"/>
      <c r="T566" s="2"/>
    </row>
    <row r="567" spans="1:20" ht="15.75" customHeight="1">
      <c r="A567" s="1"/>
      <c r="B567" s="2"/>
      <c r="C567" s="2"/>
      <c r="D567" s="2"/>
      <c r="E567" s="2"/>
      <c r="F567" s="2"/>
      <c r="G567" s="2"/>
      <c r="H567" s="2"/>
      <c r="I567" s="2"/>
      <c r="J567" s="2"/>
      <c r="K567" s="2"/>
      <c r="L567" s="2"/>
      <c r="M567" s="2"/>
      <c r="N567" s="2"/>
      <c r="O567" s="2"/>
      <c r="P567" s="2"/>
      <c r="Q567" s="2"/>
      <c r="R567" s="2"/>
      <c r="S567" s="2"/>
      <c r="T567" s="2"/>
    </row>
    <row r="568" spans="1:20" ht="15.75" customHeight="1">
      <c r="A568" s="1"/>
      <c r="B568" s="2"/>
      <c r="C568" s="2"/>
      <c r="D568" s="2"/>
      <c r="E568" s="2"/>
      <c r="F568" s="2"/>
      <c r="G568" s="2"/>
      <c r="H568" s="2"/>
      <c r="I568" s="2"/>
      <c r="J568" s="2"/>
      <c r="K568" s="2"/>
      <c r="L568" s="2"/>
      <c r="M568" s="2"/>
      <c r="N568" s="2"/>
      <c r="O568" s="2"/>
      <c r="P568" s="2"/>
      <c r="Q568" s="2"/>
      <c r="R568" s="2"/>
      <c r="S568" s="2"/>
      <c r="T568" s="2"/>
    </row>
    <row r="569" spans="1:20" ht="15.75" customHeight="1">
      <c r="A569" s="1"/>
      <c r="B569" s="2"/>
      <c r="C569" s="2"/>
      <c r="D569" s="2"/>
      <c r="E569" s="2"/>
      <c r="F569" s="2"/>
      <c r="G569" s="2"/>
      <c r="H569" s="2"/>
      <c r="I569" s="2"/>
      <c r="J569" s="2"/>
      <c r="K569" s="2"/>
      <c r="L569" s="2"/>
      <c r="M569" s="2"/>
      <c r="N569" s="2"/>
      <c r="O569" s="2"/>
      <c r="P569" s="2"/>
      <c r="Q569" s="2"/>
      <c r="R569" s="2"/>
      <c r="S569" s="2"/>
      <c r="T569" s="2"/>
    </row>
    <row r="570" spans="1:20" ht="15.75" customHeight="1">
      <c r="A570" s="1"/>
      <c r="B570" s="2"/>
      <c r="C570" s="2"/>
      <c r="D570" s="2"/>
      <c r="E570" s="2"/>
      <c r="F570" s="2"/>
      <c r="G570" s="2"/>
      <c r="H570" s="2"/>
      <c r="I570" s="2"/>
      <c r="J570" s="2"/>
      <c r="K570" s="2"/>
      <c r="L570" s="2"/>
      <c r="M570" s="2"/>
      <c r="N570" s="2"/>
      <c r="O570" s="2"/>
      <c r="P570" s="2"/>
      <c r="Q570" s="2"/>
      <c r="R570" s="2"/>
      <c r="S570" s="2"/>
      <c r="T570" s="2"/>
    </row>
    <row r="571" spans="1:20" ht="15.75" customHeight="1">
      <c r="A571" s="1"/>
      <c r="B571" s="2"/>
      <c r="C571" s="2"/>
      <c r="D571" s="2"/>
      <c r="E571" s="2"/>
      <c r="F571" s="2"/>
      <c r="G571" s="2"/>
      <c r="H571" s="2"/>
      <c r="I571" s="2"/>
      <c r="J571" s="2"/>
      <c r="K571" s="2"/>
      <c r="L571" s="2"/>
      <c r="M571" s="2"/>
      <c r="N571" s="2"/>
      <c r="O571" s="2"/>
      <c r="P571" s="2"/>
      <c r="Q571" s="2"/>
      <c r="R571" s="2"/>
      <c r="S571" s="2"/>
      <c r="T571" s="2"/>
    </row>
    <row r="572" spans="1:20" ht="15.75" customHeight="1">
      <c r="A572" s="1"/>
      <c r="B572" s="2"/>
      <c r="C572" s="2"/>
      <c r="D572" s="2"/>
      <c r="E572" s="2"/>
      <c r="F572" s="2"/>
      <c r="G572" s="2"/>
      <c r="H572" s="2"/>
      <c r="I572" s="2"/>
      <c r="J572" s="2"/>
      <c r="K572" s="2"/>
      <c r="L572" s="2"/>
      <c r="M572" s="2"/>
      <c r="N572" s="2"/>
      <c r="O572" s="2"/>
      <c r="P572" s="2"/>
      <c r="Q572" s="2"/>
      <c r="R572" s="2"/>
      <c r="S572" s="2"/>
      <c r="T572" s="2"/>
    </row>
    <row r="573" spans="1:20" ht="15.75" customHeight="1">
      <c r="A573" s="1"/>
      <c r="B573" s="2"/>
      <c r="C573" s="2"/>
      <c r="D573" s="2"/>
      <c r="E573" s="2"/>
      <c r="F573" s="2"/>
      <c r="G573" s="2"/>
      <c r="H573" s="2"/>
      <c r="I573" s="2"/>
      <c r="J573" s="2"/>
      <c r="K573" s="2"/>
      <c r="L573" s="2"/>
      <c r="M573" s="2"/>
      <c r="N573" s="2"/>
      <c r="O573" s="2"/>
      <c r="P573" s="2"/>
      <c r="Q573" s="2"/>
      <c r="R573" s="2"/>
      <c r="S573" s="2"/>
      <c r="T573" s="2"/>
    </row>
    <row r="574" spans="1:20" ht="15.75" customHeight="1">
      <c r="A574" s="1"/>
      <c r="B574" s="2"/>
      <c r="C574" s="2"/>
      <c r="D574" s="2"/>
      <c r="E574" s="2"/>
      <c r="F574" s="2"/>
      <c r="G574" s="2"/>
      <c r="H574" s="2"/>
      <c r="I574" s="2"/>
      <c r="J574" s="2"/>
      <c r="K574" s="2"/>
      <c r="L574" s="2"/>
      <c r="M574" s="2"/>
      <c r="N574" s="2"/>
      <c r="O574" s="2"/>
      <c r="P574" s="2"/>
      <c r="Q574" s="2"/>
      <c r="R574" s="2"/>
      <c r="S574" s="2"/>
      <c r="T574" s="2"/>
    </row>
    <row r="575" spans="1:20" ht="15.75" customHeight="1">
      <c r="A575" s="1"/>
      <c r="B575" s="2"/>
      <c r="C575" s="2"/>
      <c r="D575" s="2"/>
      <c r="E575" s="2"/>
      <c r="F575" s="2"/>
      <c r="G575" s="2"/>
      <c r="H575" s="2"/>
      <c r="I575" s="2"/>
      <c r="J575" s="2"/>
      <c r="K575" s="2"/>
      <c r="L575" s="2"/>
      <c r="M575" s="2"/>
      <c r="N575" s="2"/>
      <c r="O575" s="2"/>
      <c r="P575" s="2"/>
      <c r="Q575" s="2"/>
      <c r="R575" s="2"/>
      <c r="S575" s="2"/>
      <c r="T575" s="2"/>
    </row>
    <row r="576" spans="1:20" ht="15.75" customHeight="1">
      <c r="A576" s="1"/>
      <c r="B576" s="2"/>
      <c r="C576" s="2"/>
      <c r="D576" s="2"/>
      <c r="E576" s="2"/>
      <c r="F576" s="2"/>
      <c r="G576" s="2"/>
      <c r="H576" s="2"/>
      <c r="I576" s="2"/>
      <c r="J576" s="2"/>
      <c r="K576" s="2"/>
      <c r="L576" s="2"/>
      <c r="M576" s="2"/>
      <c r="N576" s="2"/>
      <c r="O576" s="2"/>
      <c r="P576" s="2"/>
      <c r="Q576" s="2"/>
      <c r="R576" s="2"/>
      <c r="S576" s="2"/>
      <c r="T576" s="2"/>
    </row>
    <row r="577" spans="1:20" ht="15.75" customHeight="1">
      <c r="A577" s="1"/>
      <c r="B577" s="2"/>
      <c r="C577" s="2"/>
      <c r="D577" s="2"/>
      <c r="E577" s="2"/>
      <c r="F577" s="2"/>
      <c r="G577" s="2"/>
      <c r="H577" s="2"/>
      <c r="I577" s="2"/>
      <c r="J577" s="2"/>
      <c r="K577" s="2"/>
      <c r="L577" s="2"/>
      <c r="M577" s="2"/>
      <c r="N577" s="2"/>
      <c r="O577" s="2"/>
      <c r="P577" s="2"/>
      <c r="Q577" s="2"/>
      <c r="R577" s="2"/>
      <c r="S577" s="2"/>
      <c r="T577" s="2"/>
    </row>
    <row r="578" spans="1:20" ht="15.75" customHeight="1">
      <c r="A578" s="1"/>
      <c r="B578" s="2"/>
      <c r="C578" s="2"/>
      <c r="D578" s="2"/>
      <c r="E578" s="2"/>
      <c r="F578" s="2"/>
      <c r="G578" s="2"/>
      <c r="H578" s="2"/>
      <c r="I578" s="2"/>
      <c r="J578" s="2"/>
      <c r="K578" s="2"/>
      <c r="L578" s="2"/>
      <c r="M578" s="2"/>
      <c r="N578" s="2"/>
      <c r="O578" s="2"/>
      <c r="P578" s="2"/>
      <c r="Q578" s="2"/>
      <c r="R578" s="2"/>
      <c r="S578" s="2"/>
      <c r="T578" s="2"/>
    </row>
    <row r="579" spans="1:20" ht="15.75" customHeight="1">
      <c r="A579" s="1"/>
      <c r="B579" s="2"/>
      <c r="C579" s="2"/>
      <c r="D579" s="2"/>
      <c r="E579" s="2"/>
      <c r="F579" s="2"/>
      <c r="G579" s="2"/>
      <c r="H579" s="2"/>
      <c r="I579" s="2"/>
      <c r="J579" s="2"/>
      <c r="K579" s="2"/>
      <c r="L579" s="2"/>
      <c r="M579" s="2"/>
      <c r="N579" s="2"/>
      <c r="O579" s="2"/>
      <c r="P579" s="2"/>
      <c r="Q579" s="2"/>
      <c r="R579" s="2"/>
      <c r="S579" s="2"/>
      <c r="T579" s="2"/>
    </row>
    <row r="580" spans="1:20" ht="15.75" customHeight="1">
      <c r="A580" s="1"/>
      <c r="B580" s="2"/>
      <c r="C580" s="2"/>
      <c r="D580" s="2"/>
      <c r="E580" s="2"/>
      <c r="F580" s="2"/>
      <c r="G580" s="2"/>
      <c r="H580" s="2"/>
      <c r="I580" s="2"/>
      <c r="J580" s="2"/>
      <c r="K580" s="2"/>
      <c r="L580" s="2"/>
      <c r="M580" s="2"/>
      <c r="N580" s="2"/>
      <c r="O580" s="2"/>
      <c r="P580" s="2"/>
      <c r="Q580" s="2"/>
      <c r="R580" s="2"/>
      <c r="S580" s="2"/>
      <c r="T580" s="2"/>
    </row>
    <row r="581" spans="1:20" ht="15.75" customHeight="1">
      <c r="A581" s="1"/>
      <c r="B581" s="2"/>
      <c r="C581" s="2"/>
      <c r="D581" s="2"/>
      <c r="E581" s="2"/>
      <c r="F581" s="2"/>
      <c r="G581" s="2"/>
      <c r="H581" s="2"/>
      <c r="I581" s="2"/>
      <c r="J581" s="2"/>
      <c r="K581" s="2"/>
      <c r="L581" s="2"/>
      <c r="M581" s="2"/>
      <c r="N581" s="2"/>
      <c r="O581" s="2"/>
      <c r="P581" s="2"/>
      <c r="Q581" s="2"/>
      <c r="R581" s="2"/>
      <c r="S581" s="2"/>
      <c r="T581" s="2"/>
    </row>
    <row r="582" spans="1:20" ht="15.75" customHeight="1">
      <c r="A582" s="1"/>
      <c r="B582" s="2"/>
      <c r="C582" s="2"/>
      <c r="D582" s="2"/>
      <c r="E582" s="2"/>
      <c r="F582" s="2"/>
      <c r="G582" s="2"/>
      <c r="H582" s="2"/>
      <c r="I582" s="2"/>
      <c r="J582" s="2"/>
      <c r="K582" s="2"/>
      <c r="L582" s="2"/>
      <c r="M582" s="2"/>
      <c r="N582" s="2"/>
      <c r="O582" s="2"/>
      <c r="P582" s="2"/>
      <c r="Q582" s="2"/>
      <c r="R582" s="2"/>
      <c r="S582" s="2"/>
      <c r="T582" s="2"/>
    </row>
    <row r="583" spans="1:20" ht="15.75" customHeight="1">
      <c r="A583" s="1"/>
      <c r="B583" s="2"/>
      <c r="C583" s="2"/>
      <c r="D583" s="2"/>
      <c r="E583" s="2"/>
      <c r="F583" s="2"/>
      <c r="G583" s="2"/>
      <c r="H583" s="2"/>
      <c r="I583" s="2"/>
      <c r="J583" s="2"/>
      <c r="K583" s="2"/>
      <c r="L583" s="2"/>
      <c r="M583" s="2"/>
      <c r="N583" s="2"/>
      <c r="O583" s="2"/>
      <c r="P583" s="2"/>
      <c r="Q583" s="2"/>
      <c r="R583" s="2"/>
      <c r="S583" s="2"/>
      <c r="T583" s="2"/>
    </row>
    <row r="584" spans="1:20" ht="15.75" customHeight="1">
      <c r="A584" s="1"/>
      <c r="B584" s="2"/>
      <c r="C584" s="2"/>
      <c r="D584" s="2"/>
      <c r="E584" s="2"/>
      <c r="F584" s="2"/>
      <c r="G584" s="2"/>
      <c r="H584" s="2"/>
      <c r="I584" s="2"/>
      <c r="J584" s="2"/>
      <c r="K584" s="2"/>
      <c r="L584" s="2"/>
      <c r="M584" s="2"/>
      <c r="N584" s="2"/>
      <c r="O584" s="2"/>
      <c r="P584" s="2"/>
      <c r="Q584" s="2"/>
      <c r="R584" s="2"/>
      <c r="S584" s="2"/>
      <c r="T584" s="2"/>
    </row>
    <row r="585" spans="1:20" ht="15.75" customHeight="1">
      <c r="A585" s="1"/>
      <c r="B585" s="2"/>
      <c r="C585" s="2"/>
      <c r="D585" s="2"/>
      <c r="E585" s="2"/>
      <c r="F585" s="2"/>
      <c r="G585" s="2"/>
      <c r="H585" s="2"/>
      <c r="I585" s="2"/>
      <c r="J585" s="2"/>
      <c r="K585" s="2"/>
      <c r="L585" s="2"/>
      <c r="M585" s="2"/>
      <c r="N585" s="2"/>
      <c r="O585" s="2"/>
      <c r="P585" s="2"/>
      <c r="Q585" s="2"/>
      <c r="R585" s="2"/>
      <c r="S585" s="2"/>
      <c r="T585" s="2"/>
    </row>
    <row r="586" spans="1:20" ht="15.75" customHeight="1">
      <c r="A586" s="1"/>
      <c r="B586" s="2"/>
      <c r="C586" s="2"/>
      <c r="D586" s="2"/>
      <c r="E586" s="2"/>
      <c r="F586" s="2"/>
      <c r="G586" s="2"/>
      <c r="H586" s="2"/>
      <c r="I586" s="2"/>
      <c r="J586" s="2"/>
      <c r="K586" s="2"/>
      <c r="L586" s="2"/>
      <c r="M586" s="2"/>
      <c r="N586" s="2"/>
      <c r="O586" s="2"/>
      <c r="P586" s="2"/>
      <c r="Q586" s="2"/>
      <c r="R586" s="2"/>
      <c r="S586" s="2"/>
      <c r="T586" s="2"/>
    </row>
    <row r="587" spans="1:20" ht="15.75" customHeight="1">
      <c r="A587" s="1"/>
      <c r="B587" s="2"/>
      <c r="C587" s="2"/>
      <c r="D587" s="2"/>
      <c r="E587" s="2"/>
      <c r="F587" s="2"/>
      <c r="G587" s="2"/>
      <c r="H587" s="2"/>
      <c r="I587" s="2"/>
      <c r="J587" s="2"/>
      <c r="K587" s="2"/>
      <c r="L587" s="2"/>
      <c r="M587" s="2"/>
      <c r="N587" s="2"/>
      <c r="O587" s="2"/>
      <c r="P587" s="2"/>
      <c r="Q587" s="2"/>
      <c r="R587" s="2"/>
      <c r="S587" s="2"/>
      <c r="T587" s="2"/>
    </row>
    <row r="588" spans="1:20" ht="15.75" customHeight="1">
      <c r="A588" s="1"/>
      <c r="B588" s="2"/>
      <c r="C588" s="2"/>
      <c r="D588" s="2"/>
      <c r="E588" s="2"/>
      <c r="F588" s="2"/>
      <c r="G588" s="2"/>
      <c r="H588" s="2"/>
      <c r="I588" s="2"/>
      <c r="J588" s="2"/>
      <c r="K588" s="2"/>
      <c r="L588" s="2"/>
      <c r="M588" s="2"/>
      <c r="N588" s="2"/>
      <c r="O588" s="2"/>
      <c r="P588" s="2"/>
      <c r="Q588" s="2"/>
      <c r="R588" s="2"/>
      <c r="S588" s="2"/>
      <c r="T588" s="2"/>
    </row>
    <row r="589" spans="1:20" ht="15.75" customHeight="1">
      <c r="A589" s="1"/>
      <c r="B589" s="2"/>
      <c r="C589" s="2"/>
      <c r="D589" s="2"/>
      <c r="E589" s="2"/>
      <c r="F589" s="2"/>
      <c r="G589" s="2"/>
      <c r="H589" s="2"/>
      <c r="I589" s="2"/>
      <c r="J589" s="2"/>
      <c r="K589" s="2"/>
      <c r="L589" s="2"/>
      <c r="M589" s="2"/>
      <c r="N589" s="2"/>
      <c r="O589" s="2"/>
      <c r="P589" s="2"/>
      <c r="Q589" s="2"/>
      <c r="R589" s="2"/>
      <c r="S589" s="2"/>
      <c r="T589" s="2"/>
    </row>
    <row r="590" spans="1:20" ht="15.75" customHeight="1">
      <c r="A590" s="1"/>
      <c r="B590" s="2"/>
      <c r="C590" s="2"/>
      <c r="D590" s="2"/>
      <c r="E590" s="2"/>
      <c r="F590" s="2"/>
      <c r="G590" s="2"/>
      <c r="H590" s="2"/>
      <c r="I590" s="2"/>
      <c r="J590" s="2"/>
      <c r="K590" s="2"/>
      <c r="L590" s="2"/>
      <c r="M590" s="2"/>
      <c r="N590" s="2"/>
      <c r="O590" s="2"/>
      <c r="P590" s="2"/>
      <c r="Q590" s="2"/>
      <c r="R590" s="2"/>
      <c r="S590" s="2"/>
      <c r="T590" s="2"/>
    </row>
    <row r="591" spans="1:20" ht="15.75" customHeight="1">
      <c r="A591" s="1"/>
      <c r="B591" s="2"/>
      <c r="C591" s="2"/>
      <c r="D591" s="2"/>
      <c r="E591" s="2"/>
      <c r="F591" s="2"/>
      <c r="G591" s="2"/>
      <c r="H591" s="2"/>
      <c r="I591" s="2"/>
      <c r="J591" s="2"/>
      <c r="K591" s="2"/>
      <c r="L591" s="2"/>
      <c r="M591" s="2"/>
      <c r="N591" s="2"/>
      <c r="O591" s="2"/>
      <c r="P591" s="2"/>
      <c r="Q591" s="2"/>
      <c r="R591" s="2"/>
      <c r="S591" s="2"/>
      <c r="T591" s="2"/>
    </row>
    <row r="592" spans="1:20" ht="15.75" customHeight="1">
      <c r="A592" s="1"/>
      <c r="B592" s="2"/>
      <c r="C592" s="2"/>
      <c r="D592" s="2"/>
      <c r="E592" s="2"/>
      <c r="F592" s="2"/>
      <c r="G592" s="2"/>
      <c r="H592" s="2"/>
      <c r="I592" s="2"/>
      <c r="J592" s="2"/>
      <c r="K592" s="2"/>
      <c r="L592" s="2"/>
      <c r="M592" s="2"/>
      <c r="N592" s="2"/>
      <c r="O592" s="2"/>
      <c r="P592" s="2"/>
      <c r="Q592" s="2"/>
      <c r="R592" s="2"/>
      <c r="S592" s="2"/>
      <c r="T592" s="2"/>
    </row>
    <row r="593" spans="1:20" ht="15.75" customHeight="1">
      <c r="A593" s="1"/>
      <c r="B593" s="2"/>
      <c r="C593" s="2"/>
      <c r="D593" s="2"/>
      <c r="E593" s="2"/>
      <c r="F593" s="2"/>
      <c r="G593" s="2"/>
      <c r="H593" s="2"/>
      <c r="I593" s="2"/>
      <c r="J593" s="2"/>
      <c r="K593" s="2"/>
      <c r="L593" s="2"/>
      <c r="M593" s="2"/>
      <c r="N593" s="2"/>
      <c r="O593" s="2"/>
      <c r="P593" s="2"/>
      <c r="Q593" s="2"/>
      <c r="R593" s="2"/>
      <c r="S593" s="2"/>
      <c r="T593" s="2"/>
    </row>
    <row r="594" spans="1:20" ht="15.75" customHeight="1">
      <c r="A594" s="1"/>
      <c r="B594" s="2"/>
      <c r="C594" s="2"/>
      <c r="D594" s="2"/>
      <c r="E594" s="2"/>
      <c r="F594" s="2"/>
      <c r="G594" s="2"/>
      <c r="H594" s="2"/>
      <c r="I594" s="2"/>
      <c r="J594" s="2"/>
      <c r="K594" s="2"/>
      <c r="L594" s="2"/>
      <c r="M594" s="2"/>
      <c r="N594" s="2"/>
      <c r="O594" s="2"/>
      <c r="P594" s="2"/>
      <c r="Q594" s="2"/>
      <c r="R594" s="2"/>
      <c r="S594" s="2"/>
      <c r="T594" s="2"/>
    </row>
    <row r="595" spans="1:20" ht="15.75" customHeight="1">
      <c r="A595" s="1"/>
      <c r="B595" s="2"/>
      <c r="C595" s="2"/>
      <c r="D595" s="2"/>
      <c r="E595" s="2"/>
      <c r="F595" s="2"/>
      <c r="G595" s="2"/>
      <c r="H595" s="2"/>
      <c r="I595" s="2"/>
      <c r="J595" s="2"/>
      <c r="K595" s="2"/>
      <c r="L595" s="2"/>
      <c r="M595" s="2"/>
      <c r="N595" s="2"/>
      <c r="O595" s="2"/>
      <c r="P595" s="2"/>
      <c r="Q595" s="2"/>
      <c r="R595" s="2"/>
      <c r="S595" s="2"/>
      <c r="T595" s="2"/>
    </row>
    <row r="596" spans="1:20" ht="15.75" customHeight="1">
      <c r="A596" s="1"/>
      <c r="B596" s="2"/>
      <c r="C596" s="2"/>
      <c r="D596" s="2"/>
      <c r="E596" s="2"/>
      <c r="F596" s="2"/>
      <c r="G596" s="2"/>
      <c r="H596" s="2"/>
      <c r="I596" s="2"/>
      <c r="J596" s="2"/>
      <c r="K596" s="2"/>
      <c r="L596" s="2"/>
      <c r="M596" s="2"/>
      <c r="N596" s="2"/>
      <c r="O596" s="2"/>
      <c r="P596" s="2"/>
      <c r="Q596" s="2"/>
      <c r="R596" s="2"/>
      <c r="S596" s="2"/>
      <c r="T596" s="2"/>
    </row>
    <row r="597" spans="1:20" ht="15.75" customHeight="1">
      <c r="A597" s="1"/>
      <c r="B597" s="2"/>
      <c r="C597" s="2"/>
      <c r="D597" s="2"/>
      <c r="E597" s="2"/>
      <c r="F597" s="2"/>
      <c r="G597" s="2"/>
      <c r="H597" s="2"/>
      <c r="I597" s="2"/>
      <c r="J597" s="2"/>
      <c r="K597" s="2"/>
      <c r="L597" s="2"/>
      <c r="M597" s="2"/>
      <c r="N597" s="2"/>
      <c r="O597" s="2"/>
      <c r="P597" s="2"/>
      <c r="Q597" s="2"/>
      <c r="R597" s="2"/>
      <c r="S597" s="2"/>
      <c r="T597" s="2"/>
    </row>
    <row r="598" spans="1:20" ht="15.75" customHeight="1">
      <c r="A598" s="1"/>
      <c r="B598" s="2"/>
      <c r="C598" s="2"/>
      <c r="D598" s="2"/>
      <c r="E598" s="2"/>
      <c r="F598" s="2"/>
      <c r="G598" s="2"/>
      <c r="H598" s="2"/>
      <c r="I598" s="2"/>
      <c r="J598" s="2"/>
      <c r="K598" s="2"/>
      <c r="L598" s="2"/>
      <c r="M598" s="2"/>
      <c r="N598" s="2"/>
      <c r="O598" s="2"/>
      <c r="P598" s="2"/>
      <c r="Q598" s="2"/>
      <c r="R598" s="2"/>
      <c r="S598" s="2"/>
      <c r="T598" s="2"/>
    </row>
    <row r="599" spans="1:20" ht="15.75" customHeight="1">
      <c r="A599" s="1"/>
      <c r="B599" s="2"/>
      <c r="C599" s="2"/>
      <c r="D599" s="2"/>
      <c r="E599" s="2"/>
      <c r="F599" s="2"/>
      <c r="G599" s="2"/>
      <c r="H599" s="2"/>
      <c r="I599" s="2"/>
      <c r="J599" s="2"/>
      <c r="K599" s="2"/>
      <c r="L599" s="2"/>
      <c r="M599" s="2"/>
      <c r="N599" s="2"/>
      <c r="O599" s="2"/>
      <c r="P599" s="2"/>
      <c r="Q599" s="2"/>
      <c r="R599" s="2"/>
      <c r="S599" s="2"/>
      <c r="T599" s="2"/>
    </row>
    <row r="600" spans="1:20" ht="15.75" customHeight="1">
      <c r="A600" s="1"/>
      <c r="B600" s="2"/>
      <c r="C600" s="2"/>
      <c r="D600" s="2"/>
      <c r="E600" s="2"/>
      <c r="F600" s="2"/>
      <c r="G600" s="2"/>
      <c r="H600" s="2"/>
      <c r="I600" s="2"/>
      <c r="J600" s="2"/>
      <c r="K600" s="2"/>
      <c r="L600" s="2"/>
      <c r="M600" s="2"/>
      <c r="N600" s="2"/>
      <c r="O600" s="2"/>
      <c r="P600" s="2"/>
      <c r="Q600" s="2"/>
      <c r="R600" s="2"/>
      <c r="S600" s="2"/>
      <c r="T600" s="2"/>
    </row>
    <row r="601" spans="1:20" ht="15.75" customHeight="1">
      <c r="A601" s="1"/>
      <c r="B601" s="2"/>
      <c r="C601" s="2"/>
      <c r="D601" s="2"/>
      <c r="E601" s="2"/>
      <c r="F601" s="2"/>
      <c r="G601" s="2"/>
      <c r="H601" s="2"/>
      <c r="I601" s="2"/>
      <c r="J601" s="2"/>
      <c r="K601" s="2"/>
      <c r="L601" s="2"/>
      <c r="M601" s="2"/>
      <c r="N601" s="2"/>
      <c r="O601" s="2"/>
      <c r="P601" s="2"/>
      <c r="Q601" s="2"/>
      <c r="R601" s="2"/>
      <c r="S601" s="2"/>
      <c r="T601" s="2"/>
    </row>
    <row r="602" spans="1:20" ht="15.75" customHeight="1">
      <c r="A602" s="1"/>
      <c r="B602" s="2"/>
      <c r="C602" s="2"/>
      <c r="D602" s="2"/>
      <c r="E602" s="2"/>
      <c r="F602" s="2"/>
      <c r="G602" s="2"/>
      <c r="H602" s="2"/>
      <c r="I602" s="2"/>
      <c r="J602" s="2"/>
      <c r="K602" s="2"/>
      <c r="L602" s="2"/>
      <c r="M602" s="2"/>
      <c r="N602" s="2"/>
      <c r="O602" s="2"/>
      <c r="P602" s="2"/>
      <c r="Q602" s="2"/>
      <c r="R602" s="2"/>
      <c r="S602" s="2"/>
      <c r="T602" s="2"/>
    </row>
    <row r="603" spans="1:20" ht="15.75" customHeight="1">
      <c r="A603" s="1"/>
      <c r="B603" s="2"/>
      <c r="C603" s="2"/>
      <c r="D603" s="2"/>
      <c r="E603" s="2"/>
      <c r="F603" s="2"/>
      <c r="G603" s="2"/>
      <c r="H603" s="2"/>
      <c r="I603" s="2"/>
      <c r="J603" s="2"/>
      <c r="K603" s="2"/>
      <c r="L603" s="2"/>
      <c r="M603" s="2"/>
      <c r="N603" s="2"/>
      <c r="O603" s="2"/>
      <c r="P603" s="2"/>
      <c r="Q603" s="2"/>
      <c r="R603" s="2"/>
      <c r="S603" s="2"/>
      <c r="T603" s="2"/>
    </row>
    <row r="604" spans="1:20" ht="15.75" customHeight="1">
      <c r="A604" s="1"/>
      <c r="B604" s="2"/>
      <c r="C604" s="2"/>
      <c r="D604" s="2"/>
      <c r="E604" s="2"/>
      <c r="F604" s="2"/>
      <c r="G604" s="2"/>
      <c r="H604" s="2"/>
      <c r="I604" s="2"/>
      <c r="J604" s="2"/>
      <c r="K604" s="2"/>
      <c r="L604" s="2"/>
      <c r="M604" s="2"/>
      <c r="N604" s="2"/>
      <c r="O604" s="2"/>
      <c r="P604" s="2"/>
      <c r="Q604" s="2"/>
      <c r="R604" s="2"/>
      <c r="S604" s="2"/>
      <c r="T604" s="2"/>
    </row>
    <row r="605" spans="1:20" ht="15.75" customHeight="1">
      <c r="A605" s="1"/>
      <c r="B605" s="2"/>
      <c r="C605" s="2"/>
      <c r="D605" s="2"/>
      <c r="E605" s="2"/>
      <c r="F605" s="2"/>
      <c r="G605" s="2"/>
      <c r="H605" s="2"/>
      <c r="I605" s="2"/>
      <c r="J605" s="2"/>
      <c r="K605" s="2"/>
      <c r="L605" s="2"/>
      <c r="M605" s="2"/>
      <c r="N605" s="2"/>
      <c r="O605" s="2"/>
      <c r="P605" s="2"/>
      <c r="Q605" s="2"/>
      <c r="R605" s="2"/>
      <c r="S605" s="2"/>
      <c r="T605" s="2"/>
    </row>
    <row r="606" spans="1:20" ht="15.75" customHeight="1">
      <c r="A606" s="1"/>
      <c r="B606" s="2"/>
      <c r="C606" s="2"/>
      <c r="D606" s="2"/>
      <c r="E606" s="2"/>
      <c r="F606" s="2"/>
      <c r="G606" s="2"/>
      <c r="H606" s="2"/>
      <c r="I606" s="2"/>
      <c r="J606" s="2"/>
      <c r="K606" s="2"/>
      <c r="L606" s="2"/>
      <c r="M606" s="2"/>
      <c r="N606" s="2"/>
      <c r="O606" s="2"/>
      <c r="P606" s="2"/>
      <c r="Q606" s="2"/>
      <c r="R606" s="2"/>
      <c r="S606" s="2"/>
      <c r="T606" s="2"/>
    </row>
    <row r="607" spans="1:20" ht="15.75" customHeight="1">
      <c r="A607" s="1"/>
      <c r="B607" s="2"/>
      <c r="C607" s="2"/>
      <c r="D607" s="2"/>
      <c r="E607" s="2"/>
      <c r="F607" s="2"/>
      <c r="G607" s="2"/>
      <c r="H607" s="2"/>
      <c r="I607" s="2"/>
      <c r="J607" s="2"/>
      <c r="K607" s="2"/>
      <c r="L607" s="2"/>
      <c r="M607" s="2"/>
      <c r="N607" s="2"/>
      <c r="O607" s="2"/>
      <c r="P607" s="2"/>
      <c r="Q607" s="2"/>
      <c r="R607" s="2"/>
      <c r="S607" s="2"/>
      <c r="T607" s="2"/>
    </row>
    <row r="608" spans="1:20" ht="15.75" customHeight="1">
      <c r="A608" s="1"/>
      <c r="B608" s="2"/>
      <c r="C608" s="2"/>
      <c r="D608" s="2"/>
      <c r="E608" s="2"/>
      <c r="F608" s="2"/>
      <c r="G608" s="2"/>
      <c r="H608" s="2"/>
      <c r="I608" s="2"/>
      <c r="J608" s="2"/>
      <c r="K608" s="2"/>
      <c r="L608" s="2"/>
      <c r="M608" s="2"/>
      <c r="N608" s="2"/>
      <c r="O608" s="2"/>
      <c r="P608" s="2"/>
      <c r="Q608" s="2"/>
      <c r="R608" s="2"/>
      <c r="S608" s="2"/>
      <c r="T608" s="2"/>
    </row>
    <row r="609" spans="1:20" ht="15.75" customHeight="1">
      <c r="A609" s="1"/>
      <c r="B609" s="2"/>
      <c r="C609" s="2"/>
      <c r="D609" s="2"/>
      <c r="E609" s="2"/>
      <c r="F609" s="2"/>
      <c r="G609" s="2"/>
      <c r="H609" s="2"/>
      <c r="I609" s="2"/>
      <c r="J609" s="2"/>
      <c r="K609" s="2"/>
      <c r="L609" s="2"/>
      <c r="M609" s="2"/>
      <c r="N609" s="2"/>
      <c r="O609" s="2"/>
      <c r="P609" s="2"/>
      <c r="Q609" s="2"/>
      <c r="R609" s="2"/>
      <c r="S609" s="2"/>
      <c r="T609" s="2"/>
    </row>
    <row r="610" spans="1:20" ht="15.75" customHeight="1">
      <c r="A610" s="1"/>
      <c r="B610" s="2"/>
      <c r="C610" s="2"/>
      <c r="D610" s="2"/>
      <c r="E610" s="2"/>
      <c r="F610" s="2"/>
      <c r="G610" s="2"/>
      <c r="H610" s="2"/>
      <c r="I610" s="2"/>
      <c r="J610" s="2"/>
      <c r="K610" s="2"/>
      <c r="L610" s="2"/>
      <c r="M610" s="2"/>
      <c r="N610" s="2"/>
      <c r="O610" s="2"/>
      <c r="P610" s="2"/>
      <c r="Q610" s="2"/>
      <c r="R610" s="2"/>
      <c r="S610" s="2"/>
      <c r="T610" s="2"/>
    </row>
    <row r="611" spans="1:20" ht="15.75" customHeight="1">
      <c r="A611" s="1"/>
      <c r="B611" s="2"/>
      <c r="C611" s="2"/>
      <c r="D611" s="2"/>
      <c r="E611" s="2"/>
      <c r="F611" s="2"/>
      <c r="G611" s="2"/>
      <c r="H611" s="2"/>
      <c r="I611" s="2"/>
      <c r="J611" s="2"/>
      <c r="K611" s="2"/>
      <c r="L611" s="2"/>
      <c r="M611" s="2"/>
      <c r="N611" s="2"/>
      <c r="O611" s="2"/>
      <c r="P611" s="2"/>
      <c r="Q611" s="2"/>
      <c r="R611" s="2"/>
      <c r="S611" s="2"/>
      <c r="T611" s="2"/>
    </row>
    <row r="612" spans="1:20" ht="15.75" customHeight="1">
      <c r="A612" s="1"/>
      <c r="B612" s="2"/>
      <c r="C612" s="2"/>
      <c r="D612" s="2"/>
      <c r="E612" s="2"/>
      <c r="F612" s="2"/>
      <c r="G612" s="2"/>
      <c r="H612" s="2"/>
      <c r="I612" s="2"/>
      <c r="J612" s="2"/>
      <c r="K612" s="2"/>
      <c r="L612" s="2"/>
      <c r="M612" s="2"/>
      <c r="N612" s="2"/>
      <c r="O612" s="2"/>
      <c r="P612" s="2"/>
      <c r="Q612" s="2"/>
      <c r="R612" s="2"/>
      <c r="S612" s="2"/>
      <c r="T612" s="2"/>
    </row>
    <row r="613" spans="1:20" ht="15.75" customHeight="1">
      <c r="A613" s="1"/>
      <c r="B613" s="2"/>
      <c r="C613" s="2"/>
      <c r="D613" s="2"/>
      <c r="E613" s="2"/>
      <c r="F613" s="2"/>
      <c r="G613" s="2"/>
      <c r="H613" s="2"/>
      <c r="I613" s="2"/>
      <c r="J613" s="2"/>
      <c r="K613" s="2"/>
      <c r="L613" s="2"/>
      <c r="M613" s="2"/>
      <c r="N613" s="2"/>
      <c r="O613" s="2"/>
      <c r="P613" s="2"/>
      <c r="Q613" s="2"/>
      <c r="R613" s="2"/>
      <c r="S613" s="2"/>
      <c r="T613" s="2"/>
    </row>
    <row r="614" spans="1:20" ht="15.75" customHeight="1">
      <c r="A614" s="1"/>
      <c r="B614" s="2"/>
      <c r="C614" s="2"/>
      <c r="D614" s="2"/>
      <c r="E614" s="2"/>
      <c r="F614" s="2"/>
      <c r="G614" s="2"/>
      <c r="H614" s="2"/>
      <c r="I614" s="2"/>
      <c r="J614" s="2"/>
      <c r="K614" s="2"/>
      <c r="L614" s="2"/>
      <c r="M614" s="2"/>
      <c r="N614" s="2"/>
      <c r="O614" s="2"/>
      <c r="P614" s="2"/>
      <c r="Q614" s="2"/>
      <c r="R614" s="2"/>
      <c r="S614" s="2"/>
      <c r="T614" s="2"/>
    </row>
    <row r="615" spans="1:20" ht="15.75" customHeight="1">
      <c r="A615" s="1"/>
      <c r="B615" s="2"/>
      <c r="C615" s="2"/>
      <c r="D615" s="2"/>
      <c r="E615" s="2"/>
      <c r="F615" s="2"/>
      <c r="G615" s="2"/>
      <c r="H615" s="2"/>
      <c r="I615" s="2"/>
      <c r="J615" s="2"/>
      <c r="K615" s="2"/>
      <c r="L615" s="2"/>
      <c r="M615" s="2"/>
      <c r="N615" s="2"/>
      <c r="O615" s="2"/>
      <c r="P615" s="2"/>
      <c r="Q615" s="2"/>
      <c r="R615" s="2"/>
      <c r="S615" s="2"/>
      <c r="T615" s="2"/>
    </row>
    <row r="616" spans="1:20" ht="15.75" customHeight="1">
      <c r="A616" s="1"/>
      <c r="B616" s="2"/>
      <c r="C616" s="2"/>
      <c r="D616" s="2"/>
      <c r="E616" s="2"/>
      <c r="F616" s="2"/>
      <c r="G616" s="2"/>
      <c r="H616" s="2"/>
      <c r="I616" s="2"/>
      <c r="J616" s="2"/>
      <c r="K616" s="2"/>
      <c r="L616" s="2"/>
      <c r="M616" s="2"/>
      <c r="N616" s="2"/>
      <c r="O616" s="2"/>
      <c r="P616" s="2"/>
      <c r="Q616" s="2"/>
      <c r="R616" s="2"/>
      <c r="S616" s="2"/>
      <c r="T616" s="2"/>
    </row>
    <row r="617" spans="1:20" ht="15.75" customHeight="1">
      <c r="A617" s="1"/>
      <c r="B617" s="2"/>
      <c r="C617" s="2"/>
      <c r="D617" s="2"/>
      <c r="E617" s="2"/>
      <c r="F617" s="2"/>
      <c r="G617" s="2"/>
      <c r="H617" s="2"/>
      <c r="I617" s="2"/>
      <c r="J617" s="2"/>
      <c r="K617" s="2"/>
      <c r="L617" s="2"/>
      <c r="M617" s="2"/>
      <c r="N617" s="2"/>
      <c r="O617" s="2"/>
      <c r="P617" s="2"/>
      <c r="Q617" s="2"/>
      <c r="R617" s="2"/>
      <c r="S617" s="2"/>
      <c r="T617" s="2"/>
    </row>
    <row r="618" spans="1:20" ht="15.75" customHeight="1">
      <c r="A618" s="1"/>
      <c r="B618" s="2"/>
      <c r="C618" s="2"/>
      <c r="D618" s="2"/>
      <c r="E618" s="2"/>
      <c r="F618" s="2"/>
      <c r="G618" s="2"/>
      <c r="H618" s="2"/>
      <c r="I618" s="2"/>
      <c r="J618" s="2"/>
      <c r="K618" s="2"/>
      <c r="L618" s="2"/>
      <c r="M618" s="2"/>
      <c r="N618" s="2"/>
      <c r="O618" s="2"/>
      <c r="P618" s="2"/>
      <c r="Q618" s="2"/>
      <c r="R618" s="2"/>
      <c r="S618" s="2"/>
      <c r="T618" s="2"/>
    </row>
    <row r="619" spans="1:20" ht="15.75" customHeight="1">
      <c r="A619" s="1"/>
      <c r="B619" s="2"/>
      <c r="C619" s="2"/>
      <c r="D619" s="2"/>
      <c r="E619" s="2"/>
      <c r="F619" s="2"/>
      <c r="G619" s="2"/>
      <c r="H619" s="2"/>
      <c r="I619" s="2"/>
      <c r="J619" s="2"/>
      <c r="K619" s="2"/>
      <c r="L619" s="2"/>
      <c r="M619" s="2"/>
      <c r="N619" s="2"/>
      <c r="O619" s="2"/>
      <c r="P619" s="2"/>
      <c r="Q619" s="2"/>
      <c r="R619" s="2"/>
      <c r="S619" s="2"/>
      <c r="T619" s="2"/>
    </row>
    <row r="620" spans="1:20" ht="15.75" customHeight="1">
      <c r="A620" s="1"/>
      <c r="B620" s="2"/>
      <c r="C620" s="2"/>
      <c r="D620" s="2"/>
      <c r="E620" s="2"/>
      <c r="F620" s="2"/>
      <c r="G620" s="2"/>
      <c r="H620" s="2"/>
      <c r="I620" s="2"/>
      <c r="J620" s="2"/>
      <c r="K620" s="2"/>
      <c r="L620" s="2"/>
      <c r="M620" s="2"/>
      <c r="N620" s="2"/>
      <c r="O620" s="2"/>
      <c r="P620" s="2"/>
      <c r="Q620" s="2"/>
      <c r="R620" s="2"/>
      <c r="S620" s="2"/>
      <c r="T620" s="2"/>
    </row>
    <row r="621" spans="1:20" ht="15.75" customHeight="1">
      <c r="A621" s="1"/>
      <c r="B621" s="2"/>
      <c r="C621" s="2"/>
      <c r="D621" s="2"/>
      <c r="E621" s="2"/>
      <c r="F621" s="2"/>
      <c r="G621" s="2"/>
      <c r="H621" s="2"/>
      <c r="I621" s="2"/>
      <c r="J621" s="2"/>
      <c r="K621" s="2"/>
      <c r="L621" s="2"/>
      <c r="M621" s="2"/>
      <c r="N621" s="2"/>
      <c r="O621" s="2"/>
      <c r="P621" s="2"/>
      <c r="Q621" s="2"/>
      <c r="R621" s="2"/>
      <c r="S621" s="2"/>
      <c r="T621" s="2"/>
    </row>
    <row r="622" spans="1:20" ht="15.75" customHeight="1">
      <c r="A622" s="1"/>
      <c r="B622" s="2"/>
      <c r="C622" s="2"/>
      <c r="D622" s="2"/>
      <c r="E622" s="2"/>
      <c r="F622" s="2"/>
      <c r="G622" s="2"/>
      <c r="H622" s="2"/>
      <c r="I622" s="2"/>
      <c r="J622" s="2"/>
      <c r="K622" s="2"/>
      <c r="L622" s="2"/>
      <c r="M622" s="2"/>
      <c r="N622" s="2"/>
      <c r="O622" s="2"/>
      <c r="P622" s="2"/>
      <c r="Q622" s="2"/>
      <c r="R622" s="2"/>
      <c r="S622" s="2"/>
      <c r="T622" s="2"/>
    </row>
    <row r="623" spans="1:20" ht="15.75" customHeight="1">
      <c r="A623" s="1"/>
      <c r="B623" s="2"/>
      <c r="C623" s="2"/>
      <c r="D623" s="2"/>
      <c r="E623" s="2"/>
      <c r="F623" s="2"/>
      <c r="G623" s="2"/>
      <c r="H623" s="2"/>
      <c r="I623" s="2"/>
      <c r="J623" s="2"/>
      <c r="K623" s="2"/>
      <c r="L623" s="2"/>
      <c r="M623" s="2"/>
      <c r="N623" s="2"/>
      <c r="O623" s="2"/>
      <c r="P623" s="2"/>
      <c r="Q623" s="2"/>
      <c r="R623" s="2"/>
      <c r="S623" s="2"/>
      <c r="T623" s="2"/>
    </row>
    <row r="624" spans="1:20" ht="15.75" customHeight="1">
      <c r="A624" s="1"/>
      <c r="B624" s="2"/>
      <c r="C624" s="2"/>
      <c r="D624" s="2"/>
      <c r="E624" s="2"/>
      <c r="F624" s="2"/>
      <c r="G624" s="2"/>
      <c r="H624" s="2"/>
      <c r="I624" s="2"/>
      <c r="J624" s="2"/>
      <c r="K624" s="2"/>
      <c r="L624" s="2"/>
      <c r="M624" s="2"/>
      <c r="N624" s="2"/>
      <c r="O624" s="2"/>
      <c r="P624" s="2"/>
      <c r="Q624" s="2"/>
      <c r="R624" s="2"/>
      <c r="S624" s="2"/>
      <c r="T624" s="2"/>
    </row>
    <row r="625" spans="1:20" ht="15.75" customHeight="1">
      <c r="A625" s="1"/>
      <c r="B625" s="2"/>
      <c r="C625" s="2"/>
      <c r="D625" s="2"/>
      <c r="E625" s="2"/>
      <c r="F625" s="2"/>
      <c r="G625" s="2"/>
      <c r="H625" s="2"/>
      <c r="I625" s="2"/>
      <c r="J625" s="2"/>
      <c r="K625" s="2"/>
      <c r="L625" s="2"/>
      <c r="M625" s="2"/>
      <c r="N625" s="2"/>
      <c r="O625" s="2"/>
      <c r="P625" s="2"/>
      <c r="Q625" s="2"/>
      <c r="R625" s="2"/>
      <c r="S625" s="2"/>
      <c r="T625" s="2"/>
    </row>
    <row r="626" spans="1:20" ht="15.75" customHeight="1">
      <c r="A626" s="1"/>
      <c r="B626" s="2"/>
      <c r="C626" s="2"/>
      <c r="D626" s="2"/>
      <c r="E626" s="2"/>
      <c r="F626" s="2"/>
      <c r="G626" s="2"/>
      <c r="H626" s="2"/>
      <c r="I626" s="2"/>
      <c r="J626" s="2"/>
      <c r="K626" s="2"/>
      <c r="L626" s="2"/>
      <c r="M626" s="2"/>
      <c r="N626" s="2"/>
      <c r="O626" s="2"/>
      <c r="P626" s="2"/>
      <c r="Q626" s="2"/>
      <c r="R626" s="2"/>
      <c r="S626" s="2"/>
      <c r="T626" s="2"/>
    </row>
    <row r="627" spans="1:20" ht="15.75" customHeight="1">
      <c r="A627" s="1"/>
      <c r="B627" s="2"/>
      <c r="C627" s="2"/>
      <c r="D627" s="2"/>
      <c r="E627" s="2"/>
      <c r="F627" s="2"/>
      <c r="G627" s="2"/>
      <c r="H627" s="2"/>
      <c r="I627" s="2"/>
      <c r="J627" s="2"/>
      <c r="K627" s="2"/>
      <c r="L627" s="2"/>
      <c r="M627" s="2"/>
      <c r="N627" s="2"/>
      <c r="O627" s="2"/>
      <c r="P627" s="2"/>
      <c r="Q627" s="2"/>
      <c r="R627" s="2"/>
      <c r="S627" s="2"/>
      <c r="T627" s="2"/>
    </row>
    <row r="628" spans="1:20" ht="15.75" customHeight="1">
      <c r="A628" s="1"/>
      <c r="B628" s="2"/>
      <c r="C628" s="2"/>
      <c r="D628" s="2"/>
      <c r="E628" s="2"/>
      <c r="F628" s="2"/>
      <c r="G628" s="2"/>
      <c r="H628" s="2"/>
      <c r="I628" s="2"/>
      <c r="J628" s="2"/>
      <c r="K628" s="2"/>
      <c r="L628" s="2"/>
      <c r="M628" s="2"/>
      <c r="N628" s="2"/>
      <c r="O628" s="2"/>
      <c r="P628" s="2"/>
      <c r="Q628" s="2"/>
      <c r="R628" s="2"/>
      <c r="S628" s="2"/>
      <c r="T628" s="2"/>
    </row>
    <row r="629" spans="1:20" ht="15.75" customHeight="1">
      <c r="A629" s="1"/>
      <c r="B629" s="2"/>
      <c r="C629" s="2"/>
      <c r="D629" s="2"/>
      <c r="E629" s="2"/>
      <c r="F629" s="2"/>
      <c r="G629" s="2"/>
      <c r="H629" s="2"/>
      <c r="I629" s="2"/>
      <c r="J629" s="2"/>
      <c r="K629" s="2"/>
      <c r="L629" s="2"/>
      <c r="M629" s="2"/>
      <c r="N629" s="2"/>
      <c r="O629" s="2"/>
      <c r="P629" s="2"/>
      <c r="Q629" s="2"/>
      <c r="R629" s="2"/>
      <c r="S629" s="2"/>
      <c r="T629" s="2"/>
    </row>
    <row r="630" spans="1:20" ht="15.75" customHeight="1">
      <c r="A630" s="1"/>
      <c r="B630" s="2"/>
      <c r="C630" s="2"/>
      <c r="D630" s="2"/>
      <c r="E630" s="2"/>
      <c r="F630" s="2"/>
      <c r="G630" s="2"/>
      <c r="H630" s="2"/>
      <c r="I630" s="2"/>
      <c r="J630" s="2"/>
      <c r="K630" s="2"/>
      <c r="L630" s="2"/>
      <c r="M630" s="2"/>
      <c r="N630" s="2"/>
      <c r="O630" s="2"/>
      <c r="P630" s="2"/>
      <c r="Q630" s="2"/>
      <c r="R630" s="2"/>
      <c r="S630" s="2"/>
      <c r="T630" s="2"/>
    </row>
    <row r="631" spans="1:20" ht="15.75" customHeight="1">
      <c r="A631" s="1"/>
      <c r="B631" s="2"/>
      <c r="C631" s="2"/>
      <c r="D631" s="2"/>
      <c r="E631" s="2"/>
      <c r="F631" s="2"/>
      <c r="G631" s="2"/>
      <c r="H631" s="2"/>
      <c r="I631" s="2"/>
      <c r="J631" s="2"/>
      <c r="K631" s="2"/>
      <c r="L631" s="2"/>
      <c r="M631" s="2"/>
      <c r="N631" s="2"/>
      <c r="O631" s="2"/>
      <c r="P631" s="2"/>
      <c r="Q631" s="2"/>
      <c r="R631" s="2"/>
      <c r="S631" s="2"/>
      <c r="T631" s="2"/>
    </row>
    <row r="632" spans="1:20" ht="15.75" customHeight="1">
      <c r="A632" s="1"/>
      <c r="B632" s="2"/>
      <c r="C632" s="2"/>
      <c r="D632" s="2"/>
      <c r="E632" s="2"/>
      <c r="F632" s="2"/>
      <c r="G632" s="2"/>
      <c r="H632" s="2"/>
      <c r="I632" s="2"/>
      <c r="J632" s="2"/>
      <c r="K632" s="2"/>
      <c r="L632" s="2"/>
      <c r="M632" s="2"/>
      <c r="N632" s="2"/>
      <c r="O632" s="2"/>
      <c r="P632" s="2"/>
      <c r="Q632" s="2"/>
      <c r="R632" s="2"/>
      <c r="S632" s="2"/>
      <c r="T632" s="2"/>
    </row>
    <row r="633" spans="1:20" ht="15.75" customHeight="1">
      <c r="A633" s="1"/>
      <c r="B633" s="2"/>
      <c r="C633" s="2"/>
      <c r="D633" s="2"/>
      <c r="E633" s="2"/>
      <c r="F633" s="2"/>
      <c r="G633" s="2"/>
      <c r="H633" s="2"/>
      <c r="I633" s="2"/>
      <c r="J633" s="2"/>
      <c r="K633" s="2"/>
      <c r="L633" s="2"/>
      <c r="M633" s="2"/>
      <c r="N633" s="2"/>
      <c r="O633" s="2"/>
      <c r="P633" s="2"/>
      <c r="Q633" s="2"/>
      <c r="R633" s="2"/>
      <c r="S633" s="2"/>
      <c r="T633" s="2"/>
    </row>
    <row r="634" spans="1:20" ht="15.75" customHeight="1">
      <c r="A634" s="1"/>
      <c r="B634" s="2"/>
      <c r="C634" s="2"/>
      <c r="D634" s="2"/>
      <c r="E634" s="2"/>
      <c r="F634" s="2"/>
      <c r="G634" s="2"/>
      <c r="H634" s="2"/>
      <c r="I634" s="2"/>
      <c r="J634" s="2"/>
      <c r="K634" s="2"/>
      <c r="L634" s="2"/>
      <c r="M634" s="2"/>
      <c r="N634" s="2"/>
      <c r="O634" s="2"/>
      <c r="P634" s="2"/>
      <c r="Q634" s="2"/>
      <c r="R634" s="2"/>
      <c r="S634" s="2"/>
      <c r="T634" s="2"/>
    </row>
    <row r="635" spans="1:20" ht="15.75" customHeight="1">
      <c r="A635" s="1"/>
      <c r="B635" s="2"/>
      <c r="C635" s="2"/>
      <c r="D635" s="2"/>
      <c r="E635" s="2"/>
      <c r="F635" s="2"/>
      <c r="G635" s="2"/>
      <c r="H635" s="2"/>
      <c r="I635" s="2"/>
      <c r="J635" s="2"/>
      <c r="K635" s="2"/>
      <c r="L635" s="2"/>
      <c r="M635" s="2"/>
      <c r="N635" s="2"/>
      <c r="O635" s="2"/>
      <c r="P635" s="2"/>
      <c r="Q635" s="2"/>
      <c r="R635" s="2"/>
      <c r="S635" s="2"/>
      <c r="T635" s="2"/>
    </row>
    <row r="636" spans="1:20" ht="15.75" customHeight="1">
      <c r="A636" s="1"/>
      <c r="B636" s="2"/>
      <c r="C636" s="2"/>
      <c r="D636" s="2"/>
      <c r="E636" s="2"/>
      <c r="F636" s="2"/>
      <c r="G636" s="2"/>
      <c r="H636" s="2"/>
      <c r="I636" s="2"/>
      <c r="J636" s="2"/>
      <c r="K636" s="2"/>
      <c r="L636" s="2"/>
      <c r="M636" s="2"/>
      <c r="N636" s="2"/>
      <c r="O636" s="2"/>
      <c r="P636" s="2"/>
      <c r="Q636" s="2"/>
      <c r="R636" s="2"/>
      <c r="S636" s="2"/>
      <c r="T636" s="2"/>
    </row>
    <row r="637" spans="1:20" ht="15.75" customHeight="1">
      <c r="A637" s="1"/>
      <c r="B637" s="2"/>
      <c r="C637" s="2"/>
      <c r="D637" s="2"/>
      <c r="E637" s="2"/>
      <c r="F637" s="2"/>
      <c r="G637" s="2"/>
      <c r="H637" s="2"/>
      <c r="I637" s="2"/>
      <c r="J637" s="2"/>
      <c r="K637" s="2"/>
      <c r="L637" s="2"/>
      <c r="M637" s="2"/>
      <c r="N637" s="2"/>
      <c r="O637" s="2"/>
      <c r="P637" s="2"/>
      <c r="Q637" s="2"/>
      <c r="R637" s="2"/>
      <c r="S637" s="2"/>
      <c r="T637" s="2"/>
    </row>
    <row r="638" spans="1:20" ht="15.75" customHeight="1">
      <c r="A638" s="1"/>
      <c r="B638" s="2"/>
      <c r="C638" s="2"/>
      <c r="D638" s="2"/>
      <c r="E638" s="2"/>
      <c r="F638" s="2"/>
      <c r="G638" s="2"/>
      <c r="H638" s="2"/>
      <c r="I638" s="2"/>
      <c r="J638" s="2"/>
      <c r="K638" s="2"/>
      <c r="L638" s="2"/>
      <c r="M638" s="2"/>
      <c r="N638" s="2"/>
      <c r="O638" s="2"/>
      <c r="P638" s="2"/>
      <c r="Q638" s="2"/>
      <c r="R638" s="2"/>
      <c r="S638" s="2"/>
      <c r="T638" s="2"/>
    </row>
    <row r="639" spans="1:20" ht="15.75" customHeight="1">
      <c r="A639" s="1"/>
      <c r="B639" s="2"/>
      <c r="C639" s="2"/>
      <c r="D639" s="2"/>
      <c r="E639" s="2"/>
      <c r="F639" s="2"/>
      <c r="G639" s="2"/>
      <c r="H639" s="2"/>
      <c r="I639" s="2"/>
      <c r="J639" s="2"/>
      <c r="K639" s="2"/>
      <c r="L639" s="2"/>
      <c r="M639" s="2"/>
      <c r="N639" s="2"/>
      <c r="O639" s="2"/>
      <c r="P639" s="2"/>
      <c r="Q639" s="2"/>
      <c r="R639" s="2"/>
      <c r="S639" s="2"/>
      <c r="T639" s="2"/>
    </row>
    <row r="640" spans="1:20" ht="15.75" customHeight="1">
      <c r="A640" s="1"/>
      <c r="B640" s="2"/>
      <c r="C640" s="2"/>
      <c r="D640" s="2"/>
      <c r="E640" s="2"/>
      <c r="F640" s="2"/>
      <c r="G640" s="2"/>
      <c r="H640" s="2"/>
      <c r="I640" s="2"/>
      <c r="J640" s="2"/>
      <c r="K640" s="2"/>
      <c r="L640" s="2"/>
      <c r="M640" s="2"/>
      <c r="N640" s="2"/>
      <c r="O640" s="2"/>
      <c r="P640" s="2"/>
      <c r="Q640" s="2"/>
      <c r="R640" s="2"/>
      <c r="S640" s="2"/>
      <c r="T640" s="2"/>
    </row>
    <row r="641" spans="1:20" ht="15.75" customHeight="1">
      <c r="A641" s="1"/>
      <c r="B641" s="2"/>
      <c r="C641" s="2"/>
      <c r="D641" s="2"/>
      <c r="E641" s="2"/>
      <c r="F641" s="2"/>
      <c r="G641" s="2"/>
      <c r="H641" s="2"/>
      <c r="I641" s="2"/>
      <c r="J641" s="2"/>
      <c r="K641" s="2"/>
      <c r="L641" s="2"/>
      <c r="M641" s="2"/>
      <c r="N641" s="2"/>
      <c r="O641" s="2"/>
      <c r="P641" s="2"/>
      <c r="Q641" s="2"/>
      <c r="R641" s="2"/>
      <c r="S641" s="2"/>
      <c r="T641" s="2"/>
    </row>
    <row r="642" spans="1:20" ht="15.75" customHeight="1">
      <c r="A642" s="1"/>
      <c r="B642" s="2"/>
      <c r="C642" s="2"/>
      <c r="D642" s="2"/>
      <c r="E642" s="2"/>
      <c r="F642" s="2"/>
      <c r="G642" s="2"/>
      <c r="H642" s="2"/>
      <c r="I642" s="2"/>
      <c r="J642" s="2"/>
      <c r="K642" s="2"/>
      <c r="L642" s="2"/>
      <c r="M642" s="2"/>
      <c r="N642" s="2"/>
      <c r="O642" s="2"/>
      <c r="P642" s="2"/>
      <c r="Q642" s="2"/>
      <c r="R642" s="2"/>
      <c r="S642" s="2"/>
      <c r="T642" s="2"/>
    </row>
    <row r="643" spans="1:20" ht="15.75" customHeight="1">
      <c r="A643" s="1"/>
      <c r="B643" s="2"/>
      <c r="C643" s="2"/>
      <c r="D643" s="2"/>
      <c r="E643" s="2"/>
      <c r="F643" s="2"/>
      <c r="G643" s="2"/>
      <c r="H643" s="2"/>
      <c r="I643" s="2"/>
      <c r="J643" s="2"/>
      <c r="K643" s="2"/>
      <c r="L643" s="2"/>
      <c r="M643" s="2"/>
      <c r="N643" s="2"/>
      <c r="O643" s="2"/>
      <c r="P643" s="2"/>
      <c r="Q643" s="2"/>
      <c r="R643" s="2"/>
      <c r="S643" s="2"/>
      <c r="T643" s="2"/>
    </row>
    <row r="644" spans="1:20" ht="15.75" customHeight="1">
      <c r="A644" s="1"/>
      <c r="B644" s="2"/>
      <c r="C644" s="2"/>
      <c r="D644" s="2"/>
      <c r="E644" s="2"/>
      <c r="F644" s="2"/>
      <c r="G644" s="2"/>
      <c r="H644" s="2"/>
      <c r="I644" s="2"/>
      <c r="J644" s="2"/>
      <c r="K644" s="2"/>
      <c r="L644" s="2"/>
      <c r="M644" s="2"/>
      <c r="N644" s="2"/>
      <c r="O644" s="2"/>
      <c r="P644" s="2"/>
      <c r="Q644" s="2"/>
      <c r="R644" s="2"/>
      <c r="S644" s="2"/>
      <c r="T644" s="2"/>
    </row>
    <row r="645" spans="1:20" ht="15.75" customHeight="1">
      <c r="A645" s="1"/>
      <c r="B645" s="2"/>
      <c r="C645" s="2"/>
      <c r="D645" s="2"/>
      <c r="E645" s="2"/>
      <c r="F645" s="2"/>
      <c r="G645" s="2"/>
      <c r="H645" s="2"/>
      <c r="I645" s="2"/>
      <c r="J645" s="2"/>
      <c r="K645" s="2"/>
      <c r="L645" s="2"/>
      <c r="M645" s="2"/>
      <c r="N645" s="2"/>
      <c r="O645" s="2"/>
      <c r="P645" s="2"/>
      <c r="Q645" s="2"/>
      <c r="R645" s="2"/>
      <c r="S645" s="2"/>
      <c r="T645" s="2"/>
    </row>
    <row r="646" spans="1:20" ht="15.75" customHeight="1">
      <c r="A646" s="1"/>
      <c r="B646" s="2"/>
      <c r="C646" s="2"/>
      <c r="D646" s="2"/>
      <c r="E646" s="2"/>
      <c r="F646" s="2"/>
      <c r="G646" s="2"/>
      <c r="H646" s="2"/>
      <c r="I646" s="2"/>
      <c r="J646" s="2"/>
      <c r="K646" s="2"/>
      <c r="L646" s="2"/>
      <c r="M646" s="2"/>
      <c r="N646" s="2"/>
      <c r="O646" s="2"/>
      <c r="P646" s="2"/>
      <c r="Q646" s="2"/>
      <c r="R646" s="2"/>
      <c r="S646" s="2"/>
      <c r="T646" s="2"/>
    </row>
    <row r="647" spans="1:20" ht="15.75" customHeight="1">
      <c r="A647" s="1"/>
      <c r="B647" s="2"/>
      <c r="C647" s="2"/>
      <c r="D647" s="2"/>
      <c r="E647" s="2"/>
      <c r="F647" s="2"/>
      <c r="G647" s="2"/>
      <c r="H647" s="2"/>
      <c r="I647" s="2"/>
      <c r="J647" s="2"/>
      <c r="K647" s="2"/>
      <c r="L647" s="2"/>
      <c r="M647" s="2"/>
      <c r="N647" s="2"/>
      <c r="O647" s="2"/>
      <c r="P647" s="2"/>
      <c r="Q647" s="2"/>
      <c r="R647" s="2"/>
      <c r="S647" s="2"/>
      <c r="T647" s="2"/>
    </row>
    <row r="648" spans="1:20" ht="15.75" customHeight="1">
      <c r="A648" s="1"/>
      <c r="B648" s="2"/>
      <c r="C648" s="2"/>
      <c r="D648" s="2"/>
      <c r="E648" s="2"/>
      <c r="F648" s="2"/>
      <c r="G648" s="2"/>
      <c r="H648" s="2"/>
      <c r="I648" s="2"/>
      <c r="J648" s="2"/>
      <c r="K648" s="2"/>
      <c r="L648" s="2"/>
      <c r="M648" s="2"/>
      <c r="N648" s="2"/>
      <c r="O648" s="2"/>
      <c r="P648" s="2"/>
      <c r="Q648" s="2"/>
      <c r="R648" s="2"/>
      <c r="S648" s="2"/>
      <c r="T648" s="2"/>
    </row>
    <row r="649" spans="1:20" ht="15.75" customHeight="1">
      <c r="A649" s="1"/>
      <c r="B649" s="2"/>
      <c r="C649" s="2"/>
      <c r="D649" s="2"/>
      <c r="E649" s="2"/>
      <c r="F649" s="2"/>
      <c r="G649" s="2"/>
      <c r="H649" s="2"/>
      <c r="I649" s="2"/>
      <c r="J649" s="2"/>
      <c r="K649" s="2"/>
      <c r="L649" s="2"/>
      <c r="M649" s="2"/>
      <c r="N649" s="2"/>
      <c r="O649" s="2"/>
      <c r="P649" s="2"/>
      <c r="Q649" s="2"/>
      <c r="R649" s="2"/>
      <c r="S649" s="2"/>
      <c r="T649" s="2"/>
    </row>
    <row r="650" spans="1:20" ht="15.75" customHeight="1">
      <c r="A650" s="1"/>
      <c r="B650" s="2"/>
      <c r="C650" s="2"/>
      <c r="D650" s="2"/>
      <c r="E650" s="2"/>
      <c r="F650" s="2"/>
      <c r="G650" s="2"/>
      <c r="H650" s="2"/>
      <c r="I650" s="2"/>
      <c r="J650" s="2"/>
      <c r="K650" s="2"/>
      <c r="L650" s="2"/>
      <c r="M650" s="2"/>
      <c r="N650" s="2"/>
      <c r="O650" s="2"/>
      <c r="P650" s="2"/>
      <c r="Q650" s="2"/>
      <c r="R650" s="2"/>
      <c r="S650" s="2"/>
      <c r="T650" s="2"/>
    </row>
    <row r="651" spans="1:20" ht="15.75" customHeight="1">
      <c r="A651" s="1"/>
      <c r="B651" s="2"/>
      <c r="C651" s="2"/>
      <c r="D651" s="2"/>
      <c r="E651" s="2"/>
      <c r="F651" s="2"/>
      <c r="G651" s="2"/>
      <c r="H651" s="2"/>
      <c r="I651" s="2"/>
      <c r="J651" s="2"/>
      <c r="K651" s="2"/>
      <c r="L651" s="2"/>
      <c r="M651" s="2"/>
      <c r="N651" s="2"/>
      <c r="O651" s="2"/>
      <c r="P651" s="2"/>
      <c r="Q651" s="2"/>
      <c r="R651" s="2"/>
      <c r="S651" s="2"/>
      <c r="T651" s="2"/>
    </row>
    <row r="652" spans="1:20" ht="15.75" customHeight="1">
      <c r="A652" s="1"/>
      <c r="B652" s="2"/>
      <c r="C652" s="2"/>
      <c r="D652" s="2"/>
      <c r="E652" s="2"/>
      <c r="F652" s="2"/>
      <c r="G652" s="2"/>
      <c r="H652" s="2"/>
      <c r="I652" s="2"/>
      <c r="J652" s="2"/>
      <c r="K652" s="2"/>
      <c r="L652" s="2"/>
      <c r="M652" s="2"/>
      <c r="N652" s="2"/>
      <c r="O652" s="2"/>
      <c r="P652" s="2"/>
      <c r="Q652" s="2"/>
      <c r="R652" s="2"/>
      <c r="S652" s="2"/>
      <c r="T652" s="2"/>
    </row>
    <row r="653" spans="1:20" ht="15.75" customHeight="1">
      <c r="A653" s="1"/>
      <c r="B653" s="2"/>
      <c r="C653" s="2"/>
      <c r="D653" s="2"/>
      <c r="E653" s="2"/>
      <c r="F653" s="2"/>
      <c r="G653" s="2"/>
      <c r="H653" s="2"/>
      <c r="I653" s="2"/>
      <c r="J653" s="2"/>
      <c r="K653" s="2"/>
      <c r="L653" s="2"/>
      <c r="M653" s="2"/>
      <c r="N653" s="2"/>
      <c r="O653" s="2"/>
      <c r="P653" s="2"/>
      <c r="Q653" s="2"/>
      <c r="R653" s="2"/>
      <c r="S653" s="2"/>
      <c r="T653" s="2"/>
    </row>
    <row r="654" spans="1:20" ht="15.75" customHeight="1">
      <c r="A654" s="1"/>
      <c r="B654" s="2"/>
      <c r="C654" s="2"/>
      <c r="D654" s="2"/>
      <c r="E654" s="2"/>
      <c r="F654" s="2"/>
      <c r="G654" s="2"/>
      <c r="H654" s="2"/>
      <c r="I654" s="2"/>
      <c r="J654" s="2"/>
      <c r="K654" s="2"/>
      <c r="L654" s="2"/>
      <c r="M654" s="2"/>
      <c r="N654" s="2"/>
      <c r="O654" s="2"/>
      <c r="P654" s="2"/>
      <c r="Q654" s="2"/>
      <c r="R654" s="2"/>
      <c r="S654" s="2"/>
      <c r="T654" s="2"/>
    </row>
    <row r="655" spans="1:20" ht="15.75" customHeight="1">
      <c r="A655" s="1"/>
      <c r="B655" s="2"/>
      <c r="C655" s="2"/>
      <c r="D655" s="2"/>
      <c r="E655" s="2"/>
      <c r="F655" s="2"/>
      <c r="G655" s="2"/>
      <c r="H655" s="2"/>
      <c r="I655" s="2"/>
      <c r="J655" s="2"/>
      <c r="K655" s="2"/>
      <c r="L655" s="2"/>
      <c r="M655" s="2"/>
      <c r="N655" s="2"/>
      <c r="O655" s="2"/>
      <c r="P655" s="2"/>
      <c r="Q655" s="2"/>
      <c r="R655" s="2"/>
      <c r="S655" s="2"/>
      <c r="T655" s="2"/>
    </row>
    <row r="656" spans="1:20" ht="15.75" customHeight="1">
      <c r="A656" s="1"/>
      <c r="B656" s="2"/>
      <c r="C656" s="2"/>
      <c r="D656" s="2"/>
      <c r="E656" s="2"/>
      <c r="F656" s="2"/>
      <c r="G656" s="2"/>
      <c r="H656" s="2"/>
      <c r="I656" s="2"/>
      <c r="J656" s="2"/>
      <c r="K656" s="2"/>
      <c r="L656" s="2"/>
      <c r="M656" s="2"/>
      <c r="N656" s="2"/>
      <c r="O656" s="2"/>
      <c r="P656" s="2"/>
      <c r="Q656" s="2"/>
      <c r="R656" s="2"/>
      <c r="S656" s="2"/>
      <c r="T656" s="2"/>
    </row>
    <row r="657" spans="1:20" ht="15.75" customHeight="1">
      <c r="A657" s="1"/>
      <c r="B657" s="2"/>
      <c r="C657" s="2"/>
      <c r="D657" s="2"/>
      <c r="E657" s="2"/>
      <c r="F657" s="2"/>
      <c r="G657" s="2"/>
      <c r="H657" s="2"/>
      <c r="I657" s="2"/>
      <c r="J657" s="2"/>
      <c r="K657" s="2"/>
      <c r="L657" s="2"/>
      <c r="M657" s="2"/>
      <c r="N657" s="2"/>
      <c r="O657" s="2"/>
      <c r="P657" s="2"/>
      <c r="Q657" s="2"/>
      <c r="R657" s="2"/>
      <c r="S657" s="2"/>
      <c r="T657" s="2"/>
    </row>
    <row r="658" spans="1:20" ht="15.75" customHeight="1">
      <c r="A658" s="1"/>
      <c r="B658" s="2"/>
      <c r="C658" s="2"/>
      <c r="D658" s="2"/>
      <c r="E658" s="2"/>
      <c r="F658" s="2"/>
      <c r="G658" s="2"/>
      <c r="H658" s="2"/>
      <c r="I658" s="2"/>
      <c r="J658" s="2"/>
      <c r="K658" s="2"/>
      <c r="L658" s="2"/>
      <c r="M658" s="2"/>
      <c r="N658" s="2"/>
      <c r="O658" s="2"/>
      <c r="P658" s="2"/>
      <c r="Q658" s="2"/>
      <c r="R658" s="2"/>
      <c r="S658" s="2"/>
      <c r="T658" s="2"/>
    </row>
    <row r="659" spans="1:20" ht="15.75" customHeight="1">
      <c r="A659" s="1"/>
      <c r="B659" s="2"/>
      <c r="C659" s="2"/>
      <c r="D659" s="2"/>
      <c r="E659" s="2"/>
      <c r="F659" s="2"/>
      <c r="G659" s="2"/>
      <c r="H659" s="2"/>
      <c r="I659" s="2"/>
      <c r="J659" s="2"/>
      <c r="K659" s="2"/>
      <c r="L659" s="2"/>
      <c r="M659" s="2"/>
      <c r="N659" s="2"/>
      <c r="O659" s="2"/>
      <c r="P659" s="2"/>
      <c r="Q659" s="2"/>
      <c r="R659" s="2"/>
      <c r="S659" s="2"/>
      <c r="T659" s="2"/>
    </row>
    <row r="660" spans="1:20" ht="15.75" customHeight="1">
      <c r="A660" s="1"/>
      <c r="B660" s="2"/>
      <c r="C660" s="2"/>
      <c r="D660" s="2"/>
      <c r="E660" s="2"/>
      <c r="F660" s="2"/>
      <c r="G660" s="2"/>
      <c r="H660" s="2"/>
      <c r="I660" s="2"/>
      <c r="J660" s="2"/>
      <c r="K660" s="2"/>
      <c r="L660" s="2"/>
      <c r="M660" s="2"/>
      <c r="N660" s="2"/>
      <c r="O660" s="2"/>
      <c r="P660" s="2"/>
      <c r="Q660" s="2"/>
      <c r="R660" s="2"/>
      <c r="S660" s="2"/>
      <c r="T660" s="2"/>
    </row>
    <row r="661" spans="1:20" ht="15.75" customHeight="1">
      <c r="A661" s="1"/>
      <c r="B661" s="2"/>
      <c r="C661" s="2"/>
      <c r="D661" s="2"/>
      <c r="E661" s="2"/>
      <c r="F661" s="2"/>
      <c r="G661" s="2"/>
      <c r="H661" s="2"/>
      <c r="I661" s="2"/>
      <c r="J661" s="2"/>
      <c r="K661" s="2"/>
      <c r="L661" s="2"/>
      <c r="M661" s="2"/>
      <c r="N661" s="2"/>
      <c r="O661" s="2"/>
      <c r="P661" s="2"/>
      <c r="Q661" s="2"/>
      <c r="R661" s="2"/>
      <c r="S661" s="2"/>
      <c r="T661" s="2"/>
    </row>
    <row r="662" spans="1:20" ht="15.75" customHeight="1">
      <c r="A662" s="1"/>
      <c r="B662" s="2"/>
      <c r="C662" s="2"/>
      <c r="D662" s="2"/>
      <c r="E662" s="2"/>
      <c r="F662" s="2"/>
      <c r="G662" s="2"/>
      <c r="H662" s="2"/>
      <c r="I662" s="2"/>
      <c r="J662" s="2"/>
      <c r="K662" s="2"/>
      <c r="L662" s="2"/>
      <c r="M662" s="2"/>
      <c r="N662" s="2"/>
      <c r="O662" s="2"/>
      <c r="P662" s="2"/>
      <c r="Q662" s="2"/>
      <c r="R662" s="2"/>
      <c r="S662" s="2"/>
      <c r="T662" s="2"/>
    </row>
    <row r="663" spans="1:20" ht="15.75" customHeight="1">
      <c r="A663" s="1"/>
      <c r="B663" s="2"/>
      <c r="C663" s="2"/>
      <c r="D663" s="2"/>
      <c r="E663" s="2"/>
      <c r="F663" s="2"/>
      <c r="G663" s="2"/>
      <c r="H663" s="2"/>
      <c r="I663" s="2"/>
      <c r="J663" s="2"/>
      <c r="K663" s="2"/>
      <c r="L663" s="2"/>
      <c r="M663" s="2"/>
      <c r="N663" s="2"/>
      <c r="O663" s="2"/>
      <c r="P663" s="2"/>
      <c r="Q663" s="2"/>
      <c r="R663" s="2"/>
      <c r="S663" s="2"/>
      <c r="T663" s="2"/>
    </row>
    <row r="664" spans="1:20" ht="15.75" customHeight="1">
      <c r="A664" s="1"/>
      <c r="B664" s="2"/>
      <c r="C664" s="2"/>
      <c r="D664" s="2"/>
      <c r="E664" s="2"/>
      <c r="F664" s="2"/>
      <c r="G664" s="2"/>
      <c r="H664" s="2"/>
      <c r="I664" s="2"/>
      <c r="J664" s="2"/>
      <c r="K664" s="2"/>
      <c r="L664" s="2"/>
      <c r="M664" s="2"/>
      <c r="N664" s="2"/>
      <c r="O664" s="2"/>
      <c r="P664" s="2"/>
      <c r="Q664" s="2"/>
      <c r="R664" s="2"/>
      <c r="S664" s="2"/>
      <c r="T664" s="2"/>
    </row>
    <row r="665" spans="1:20" ht="15.75" customHeight="1">
      <c r="A665" s="1"/>
      <c r="B665" s="2"/>
      <c r="C665" s="2"/>
      <c r="D665" s="2"/>
      <c r="E665" s="2"/>
      <c r="F665" s="2"/>
      <c r="G665" s="2"/>
      <c r="H665" s="2"/>
      <c r="I665" s="2"/>
      <c r="J665" s="2"/>
      <c r="K665" s="2"/>
      <c r="L665" s="2"/>
      <c r="M665" s="2"/>
      <c r="N665" s="2"/>
      <c r="O665" s="2"/>
      <c r="P665" s="2"/>
      <c r="Q665" s="2"/>
      <c r="R665" s="2"/>
      <c r="S665" s="2"/>
      <c r="T665" s="2"/>
    </row>
    <row r="666" spans="1:20" ht="15.75" customHeight="1">
      <c r="A666" s="1"/>
      <c r="B666" s="2"/>
      <c r="C666" s="2"/>
      <c r="D666" s="2"/>
      <c r="E666" s="2"/>
      <c r="F666" s="2"/>
      <c r="G666" s="2"/>
      <c r="H666" s="2"/>
      <c r="I666" s="2"/>
      <c r="J666" s="2"/>
      <c r="K666" s="2"/>
      <c r="L666" s="2"/>
      <c r="M666" s="2"/>
      <c r="N666" s="2"/>
      <c r="O666" s="2"/>
      <c r="P666" s="2"/>
      <c r="Q666" s="2"/>
      <c r="R666" s="2"/>
      <c r="S666" s="2"/>
      <c r="T666" s="2"/>
    </row>
    <row r="667" spans="1:20" ht="15.75" customHeight="1">
      <c r="A667" s="1"/>
      <c r="B667" s="2"/>
      <c r="C667" s="2"/>
      <c r="D667" s="2"/>
      <c r="E667" s="2"/>
      <c r="F667" s="2"/>
      <c r="G667" s="2"/>
      <c r="H667" s="2"/>
      <c r="I667" s="2"/>
      <c r="J667" s="2"/>
      <c r="K667" s="2"/>
      <c r="L667" s="2"/>
      <c r="M667" s="2"/>
      <c r="N667" s="2"/>
      <c r="O667" s="2"/>
      <c r="P667" s="2"/>
      <c r="Q667" s="2"/>
      <c r="R667" s="2"/>
      <c r="S667" s="2"/>
      <c r="T667" s="2"/>
    </row>
    <row r="668" spans="1:20" ht="15.75" customHeight="1">
      <c r="A668" s="1"/>
      <c r="B668" s="2"/>
      <c r="C668" s="2"/>
      <c r="D668" s="2"/>
      <c r="E668" s="2"/>
      <c r="F668" s="2"/>
      <c r="G668" s="2"/>
      <c r="H668" s="2"/>
      <c r="I668" s="2"/>
      <c r="J668" s="2"/>
      <c r="K668" s="2"/>
      <c r="L668" s="2"/>
      <c r="M668" s="2"/>
      <c r="N668" s="2"/>
      <c r="O668" s="2"/>
      <c r="P668" s="2"/>
      <c r="Q668" s="2"/>
      <c r="R668" s="2"/>
      <c r="S668" s="2"/>
      <c r="T668" s="2"/>
    </row>
    <row r="669" spans="1:20" ht="15.75" customHeight="1">
      <c r="A669" s="1"/>
      <c r="B669" s="2"/>
      <c r="C669" s="2"/>
      <c r="D669" s="2"/>
      <c r="E669" s="2"/>
      <c r="F669" s="2"/>
      <c r="G669" s="2"/>
      <c r="H669" s="2"/>
      <c r="I669" s="2"/>
      <c r="J669" s="2"/>
      <c r="K669" s="2"/>
      <c r="L669" s="2"/>
      <c r="M669" s="2"/>
      <c r="N669" s="2"/>
      <c r="O669" s="2"/>
      <c r="P669" s="2"/>
      <c r="Q669" s="2"/>
      <c r="R669" s="2"/>
      <c r="S669" s="2"/>
      <c r="T669" s="2"/>
    </row>
    <row r="670" spans="1:20" ht="15.75" customHeight="1">
      <c r="A670" s="1"/>
      <c r="B670" s="2"/>
      <c r="C670" s="2"/>
      <c r="D670" s="2"/>
      <c r="E670" s="2"/>
      <c r="F670" s="2"/>
      <c r="G670" s="2"/>
      <c r="H670" s="2"/>
      <c r="I670" s="2"/>
      <c r="J670" s="2"/>
      <c r="K670" s="2"/>
      <c r="L670" s="2"/>
      <c r="M670" s="2"/>
      <c r="N670" s="2"/>
      <c r="O670" s="2"/>
      <c r="P670" s="2"/>
      <c r="Q670" s="2"/>
      <c r="R670" s="2"/>
      <c r="S670" s="2"/>
      <c r="T670" s="2"/>
    </row>
    <row r="671" spans="1:20" ht="15.75" customHeight="1">
      <c r="A671" s="1"/>
      <c r="B671" s="2"/>
      <c r="C671" s="2"/>
      <c r="D671" s="2"/>
      <c r="E671" s="2"/>
      <c r="F671" s="2"/>
      <c r="G671" s="2"/>
      <c r="H671" s="2"/>
      <c r="I671" s="2"/>
      <c r="J671" s="2"/>
      <c r="K671" s="2"/>
      <c r="L671" s="2"/>
      <c r="M671" s="2"/>
      <c r="N671" s="2"/>
      <c r="O671" s="2"/>
      <c r="P671" s="2"/>
      <c r="Q671" s="2"/>
      <c r="R671" s="2"/>
      <c r="S671" s="2"/>
      <c r="T671" s="2"/>
    </row>
    <row r="672" spans="1:20" ht="15.75" customHeight="1">
      <c r="A672" s="1"/>
      <c r="B672" s="2"/>
      <c r="C672" s="2"/>
      <c r="D672" s="2"/>
      <c r="E672" s="2"/>
      <c r="F672" s="2"/>
      <c r="G672" s="2"/>
      <c r="H672" s="2"/>
      <c r="I672" s="2"/>
      <c r="J672" s="2"/>
      <c r="K672" s="2"/>
      <c r="L672" s="2"/>
      <c r="M672" s="2"/>
      <c r="N672" s="2"/>
      <c r="O672" s="2"/>
      <c r="P672" s="2"/>
      <c r="Q672" s="2"/>
      <c r="R672" s="2"/>
      <c r="S672" s="2"/>
      <c r="T672" s="2"/>
    </row>
    <row r="673" spans="1:20" ht="15.75" customHeight="1">
      <c r="A673" s="1"/>
      <c r="B673" s="2"/>
      <c r="C673" s="2"/>
      <c r="D673" s="2"/>
      <c r="E673" s="2"/>
      <c r="F673" s="2"/>
      <c r="G673" s="2"/>
      <c r="H673" s="2"/>
      <c r="I673" s="2"/>
      <c r="J673" s="2"/>
      <c r="K673" s="2"/>
      <c r="L673" s="2"/>
      <c r="M673" s="2"/>
      <c r="N673" s="2"/>
      <c r="O673" s="2"/>
      <c r="P673" s="2"/>
      <c r="Q673" s="2"/>
      <c r="R673" s="2"/>
      <c r="S673" s="2"/>
      <c r="T673" s="2"/>
    </row>
    <row r="674" spans="1:20" ht="15.75" customHeight="1">
      <c r="A674" s="1"/>
      <c r="B674" s="2"/>
      <c r="C674" s="2"/>
      <c r="D674" s="2"/>
      <c r="E674" s="2"/>
      <c r="F674" s="2"/>
      <c r="G674" s="2"/>
      <c r="H674" s="2"/>
      <c r="I674" s="2"/>
      <c r="J674" s="2"/>
      <c r="K674" s="2"/>
      <c r="L674" s="2"/>
      <c r="M674" s="2"/>
      <c r="N674" s="2"/>
      <c r="O674" s="2"/>
      <c r="P674" s="2"/>
      <c r="Q674" s="2"/>
      <c r="R674" s="2"/>
      <c r="S674" s="2"/>
      <c r="T674" s="2"/>
    </row>
    <row r="675" spans="1:20" ht="15.75" customHeight="1">
      <c r="A675" s="1"/>
      <c r="B675" s="2"/>
      <c r="C675" s="2"/>
      <c r="D675" s="2"/>
      <c r="E675" s="2"/>
      <c r="F675" s="2"/>
      <c r="G675" s="2"/>
      <c r="H675" s="2"/>
      <c r="I675" s="2"/>
      <c r="J675" s="2"/>
      <c r="K675" s="2"/>
      <c r="L675" s="2"/>
      <c r="M675" s="2"/>
      <c r="N675" s="2"/>
      <c r="O675" s="2"/>
      <c r="P675" s="2"/>
      <c r="Q675" s="2"/>
      <c r="R675" s="2"/>
      <c r="S675" s="2"/>
      <c r="T675" s="2"/>
    </row>
    <row r="676" spans="1:20" ht="15.75" customHeight="1">
      <c r="A676" s="1"/>
      <c r="B676" s="2"/>
      <c r="C676" s="2"/>
      <c r="D676" s="2"/>
      <c r="E676" s="2"/>
      <c r="F676" s="2"/>
      <c r="G676" s="2"/>
      <c r="H676" s="2"/>
      <c r="I676" s="2"/>
      <c r="J676" s="2"/>
      <c r="K676" s="2"/>
      <c r="L676" s="2"/>
      <c r="M676" s="2"/>
      <c r="N676" s="2"/>
      <c r="O676" s="2"/>
      <c r="P676" s="2"/>
      <c r="Q676" s="2"/>
      <c r="R676" s="2"/>
      <c r="S676" s="2"/>
      <c r="T676" s="2"/>
    </row>
    <row r="677" spans="1:20" ht="15.75" customHeight="1">
      <c r="A677" s="1"/>
      <c r="B677" s="2"/>
      <c r="C677" s="2"/>
      <c r="D677" s="2"/>
      <c r="E677" s="2"/>
      <c r="F677" s="2"/>
      <c r="G677" s="2"/>
      <c r="H677" s="2"/>
      <c r="I677" s="2"/>
      <c r="J677" s="2"/>
      <c r="K677" s="2"/>
      <c r="L677" s="2"/>
      <c r="M677" s="2"/>
      <c r="N677" s="2"/>
      <c r="O677" s="2"/>
      <c r="P677" s="2"/>
      <c r="Q677" s="2"/>
      <c r="R677" s="2"/>
      <c r="S677" s="2"/>
      <c r="T677" s="2"/>
    </row>
    <row r="678" spans="1:20" ht="15.75" customHeight="1">
      <c r="A678" s="1"/>
      <c r="B678" s="2"/>
      <c r="C678" s="2"/>
      <c r="D678" s="2"/>
      <c r="E678" s="2"/>
      <c r="F678" s="2"/>
      <c r="G678" s="2"/>
      <c r="H678" s="2"/>
      <c r="I678" s="2"/>
      <c r="J678" s="2"/>
      <c r="K678" s="2"/>
      <c r="L678" s="2"/>
      <c r="M678" s="2"/>
      <c r="N678" s="2"/>
      <c r="O678" s="2"/>
      <c r="P678" s="2"/>
      <c r="Q678" s="2"/>
      <c r="R678" s="2"/>
      <c r="S678" s="2"/>
      <c r="T678" s="2"/>
    </row>
    <row r="679" spans="1:20" ht="15.75" customHeight="1">
      <c r="A679" s="1"/>
      <c r="B679" s="2"/>
      <c r="C679" s="2"/>
      <c r="D679" s="2"/>
      <c r="E679" s="2"/>
      <c r="F679" s="2"/>
      <c r="G679" s="2"/>
      <c r="H679" s="2"/>
      <c r="I679" s="2"/>
      <c r="J679" s="2"/>
      <c r="K679" s="2"/>
      <c r="L679" s="2"/>
      <c r="M679" s="2"/>
      <c r="N679" s="2"/>
      <c r="O679" s="2"/>
      <c r="P679" s="2"/>
      <c r="Q679" s="2"/>
      <c r="R679" s="2"/>
      <c r="S679" s="2"/>
      <c r="T679" s="2"/>
    </row>
    <row r="680" spans="1:20" ht="15.75" customHeight="1">
      <c r="A680" s="1"/>
      <c r="B680" s="2"/>
      <c r="C680" s="2"/>
      <c r="D680" s="2"/>
      <c r="E680" s="2"/>
      <c r="F680" s="2"/>
      <c r="G680" s="2"/>
      <c r="H680" s="2"/>
      <c r="I680" s="2"/>
      <c r="J680" s="2"/>
      <c r="K680" s="2"/>
      <c r="L680" s="2"/>
      <c r="M680" s="2"/>
      <c r="N680" s="2"/>
      <c r="O680" s="2"/>
      <c r="P680" s="2"/>
      <c r="Q680" s="2"/>
      <c r="R680" s="2"/>
      <c r="S680" s="2"/>
      <c r="T680" s="2"/>
    </row>
    <row r="681" spans="1:20" ht="15.75" customHeight="1">
      <c r="A681" s="1"/>
      <c r="B681" s="2"/>
      <c r="C681" s="2"/>
      <c r="D681" s="2"/>
      <c r="E681" s="2"/>
      <c r="F681" s="2"/>
      <c r="G681" s="2"/>
      <c r="H681" s="2"/>
      <c r="I681" s="2"/>
      <c r="J681" s="2"/>
      <c r="K681" s="2"/>
      <c r="L681" s="2"/>
      <c r="M681" s="2"/>
      <c r="N681" s="2"/>
      <c r="O681" s="2"/>
      <c r="P681" s="2"/>
      <c r="Q681" s="2"/>
      <c r="R681" s="2"/>
      <c r="S681" s="2"/>
      <c r="T681" s="2"/>
    </row>
    <row r="682" spans="1:20" ht="15.75" customHeight="1">
      <c r="A682" s="1"/>
      <c r="B682" s="2"/>
      <c r="C682" s="2"/>
      <c r="D682" s="2"/>
      <c r="E682" s="2"/>
      <c r="F682" s="2"/>
      <c r="G682" s="2"/>
      <c r="H682" s="2"/>
      <c r="I682" s="2"/>
      <c r="J682" s="2"/>
      <c r="K682" s="2"/>
      <c r="L682" s="2"/>
      <c r="M682" s="2"/>
      <c r="N682" s="2"/>
      <c r="O682" s="2"/>
      <c r="P682" s="2"/>
      <c r="Q682" s="2"/>
      <c r="R682" s="2"/>
      <c r="S682" s="2"/>
      <c r="T682" s="2"/>
    </row>
    <row r="683" spans="1:20" ht="15.75" customHeight="1">
      <c r="A683" s="1"/>
      <c r="B683" s="2"/>
      <c r="C683" s="2"/>
      <c r="D683" s="2"/>
      <c r="E683" s="2"/>
      <c r="F683" s="2"/>
      <c r="G683" s="2"/>
      <c r="H683" s="2"/>
      <c r="I683" s="2"/>
      <c r="J683" s="2"/>
      <c r="K683" s="2"/>
      <c r="L683" s="2"/>
      <c r="M683" s="2"/>
      <c r="N683" s="2"/>
      <c r="O683" s="2"/>
      <c r="P683" s="2"/>
      <c r="Q683" s="2"/>
      <c r="R683" s="2"/>
      <c r="S683" s="2"/>
      <c r="T683" s="2"/>
    </row>
    <row r="684" spans="1:20" ht="15.75" customHeight="1">
      <c r="A684" s="1"/>
      <c r="B684" s="2"/>
      <c r="C684" s="2"/>
      <c r="D684" s="2"/>
      <c r="E684" s="2"/>
      <c r="F684" s="2"/>
      <c r="G684" s="2"/>
      <c r="H684" s="2"/>
      <c r="I684" s="2"/>
      <c r="J684" s="2"/>
      <c r="K684" s="2"/>
      <c r="L684" s="2"/>
      <c r="M684" s="2"/>
      <c r="N684" s="2"/>
      <c r="O684" s="2"/>
      <c r="P684" s="2"/>
      <c r="Q684" s="2"/>
      <c r="R684" s="2"/>
      <c r="S684" s="2"/>
      <c r="T684" s="2"/>
    </row>
    <row r="685" spans="1:20" ht="15.75" customHeight="1">
      <c r="A685" s="1"/>
      <c r="B685" s="2"/>
      <c r="C685" s="2"/>
      <c r="D685" s="2"/>
      <c r="E685" s="2"/>
      <c r="F685" s="2"/>
      <c r="G685" s="2"/>
      <c r="H685" s="2"/>
      <c r="I685" s="2"/>
      <c r="J685" s="2"/>
      <c r="K685" s="2"/>
      <c r="L685" s="2"/>
      <c r="M685" s="2"/>
      <c r="N685" s="2"/>
      <c r="O685" s="2"/>
      <c r="P685" s="2"/>
      <c r="Q685" s="2"/>
      <c r="R685" s="2"/>
      <c r="S685" s="2"/>
      <c r="T685" s="2"/>
    </row>
    <row r="686" spans="1:20" ht="15.75" customHeight="1">
      <c r="A686" s="1"/>
      <c r="B686" s="2"/>
      <c r="C686" s="2"/>
      <c r="D686" s="2"/>
      <c r="E686" s="2"/>
      <c r="F686" s="2"/>
      <c r="G686" s="2"/>
      <c r="H686" s="2"/>
      <c r="I686" s="2"/>
      <c r="J686" s="2"/>
      <c r="K686" s="2"/>
      <c r="L686" s="2"/>
      <c r="M686" s="2"/>
      <c r="N686" s="2"/>
      <c r="O686" s="2"/>
      <c r="P686" s="2"/>
      <c r="Q686" s="2"/>
      <c r="R686" s="2"/>
      <c r="S686" s="2"/>
      <c r="T686" s="2"/>
    </row>
    <row r="687" spans="1:20" ht="15.75" customHeight="1">
      <c r="A687" s="1"/>
      <c r="B687" s="2"/>
      <c r="C687" s="2"/>
      <c r="D687" s="2"/>
      <c r="E687" s="2"/>
      <c r="F687" s="2"/>
      <c r="G687" s="2"/>
      <c r="H687" s="2"/>
      <c r="I687" s="2"/>
      <c r="J687" s="2"/>
      <c r="K687" s="2"/>
      <c r="L687" s="2"/>
      <c r="M687" s="2"/>
      <c r="N687" s="2"/>
      <c r="O687" s="2"/>
      <c r="P687" s="2"/>
      <c r="Q687" s="2"/>
      <c r="R687" s="2"/>
      <c r="S687" s="2"/>
      <c r="T687" s="2"/>
    </row>
    <row r="688" spans="1:20" ht="15.75" customHeight="1">
      <c r="A688" s="1"/>
      <c r="B688" s="2"/>
      <c r="C688" s="2"/>
      <c r="D688" s="2"/>
      <c r="E688" s="2"/>
      <c r="F688" s="2"/>
      <c r="G688" s="2"/>
      <c r="H688" s="2"/>
      <c r="I688" s="2"/>
      <c r="J688" s="2"/>
      <c r="K688" s="2"/>
      <c r="L688" s="2"/>
      <c r="M688" s="2"/>
      <c r="N688" s="2"/>
      <c r="O688" s="2"/>
      <c r="P688" s="2"/>
      <c r="Q688" s="2"/>
      <c r="R688" s="2"/>
      <c r="S688" s="2"/>
      <c r="T688" s="2"/>
    </row>
    <row r="689" spans="1:20" ht="15.75" customHeight="1">
      <c r="A689" s="1"/>
      <c r="B689" s="2"/>
      <c r="C689" s="2"/>
      <c r="D689" s="2"/>
      <c r="E689" s="2"/>
      <c r="F689" s="2"/>
      <c r="G689" s="2"/>
      <c r="H689" s="2"/>
      <c r="I689" s="2"/>
      <c r="J689" s="2"/>
      <c r="K689" s="2"/>
      <c r="L689" s="2"/>
      <c r="M689" s="2"/>
      <c r="N689" s="2"/>
      <c r="O689" s="2"/>
      <c r="P689" s="2"/>
      <c r="Q689" s="2"/>
      <c r="R689" s="2"/>
      <c r="S689" s="2"/>
      <c r="T689" s="2"/>
    </row>
    <row r="690" spans="1:20" ht="15.75" customHeight="1">
      <c r="A690" s="1"/>
      <c r="B690" s="2"/>
      <c r="C690" s="2"/>
      <c r="D690" s="2"/>
      <c r="E690" s="2"/>
      <c r="F690" s="2"/>
      <c r="G690" s="2"/>
      <c r="H690" s="2"/>
      <c r="I690" s="2"/>
      <c r="J690" s="2"/>
      <c r="K690" s="2"/>
      <c r="L690" s="2"/>
      <c r="M690" s="2"/>
      <c r="N690" s="2"/>
      <c r="O690" s="2"/>
      <c r="P690" s="2"/>
      <c r="Q690" s="2"/>
      <c r="R690" s="2"/>
      <c r="S690" s="2"/>
      <c r="T690" s="2"/>
    </row>
    <row r="691" spans="1:20" ht="15.75" customHeight="1">
      <c r="A691" s="1"/>
      <c r="B691" s="2"/>
      <c r="C691" s="2"/>
      <c r="D691" s="2"/>
      <c r="E691" s="2"/>
      <c r="F691" s="2"/>
      <c r="G691" s="2"/>
      <c r="H691" s="2"/>
      <c r="I691" s="2"/>
      <c r="J691" s="2"/>
      <c r="K691" s="2"/>
      <c r="L691" s="2"/>
      <c r="M691" s="2"/>
      <c r="N691" s="2"/>
      <c r="O691" s="2"/>
      <c r="P691" s="2"/>
      <c r="Q691" s="2"/>
      <c r="R691" s="2"/>
      <c r="S691" s="2"/>
      <c r="T691" s="2"/>
    </row>
    <row r="692" spans="1:20" ht="15.75" customHeight="1">
      <c r="A692" s="1"/>
      <c r="B692" s="2"/>
      <c r="C692" s="2"/>
      <c r="D692" s="2"/>
      <c r="E692" s="2"/>
      <c r="F692" s="2"/>
      <c r="G692" s="2"/>
      <c r="H692" s="2"/>
      <c r="I692" s="2"/>
      <c r="J692" s="2"/>
      <c r="K692" s="2"/>
      <c r="L692" s="2"/>
      <c r="M692" s="2"/>
      <c r="N692" s="2"/>
      <c r="O692" s="2"/>
      <c r="P692" s="2"/>
      <c r="Q692" s="2"/>
      <c r="R692" s="2"/>
      <c r="S692" s="2"/>
      <c r="T692" s="2"/>
    </row>
    <row r="693" spans="1:20" ht="15.75" customHeight="1">
      <c r="A693" s="1"/>
      <c r="B693" s="2"/>
      <c r="C693" s="2"/>
      <c r="D693" s="2"/>
      <c r="E693" s="2"/>
      <c r="F693" s="2"/>
      <c r="G693" s="2"/>
      <c r="H693" s="2"/>
      <c r="I693" s="2"/>
      <c r="J693" s="2"/>
      <c r="K693" s="2"/>
      <c r="L693" s="2"/>
      <c r="M693" s="2"/>
      <c r="N693" s="2"/>
      <c r="O693" s="2"/>
      <c r="P693" s="2"/>
      <c r="Q693" s="2"/>
      <c r="R693" s="2"/>
      <c r="S693" s="2"/>
      <c r="T693" s="2"/>
    </row>
    <row r="694" spans="1:20" ht="15.75" customHeight="1">
      <c r="A694" s="1"/>
      <c r="B694" s="2"/>
      <c r="C694" s="2"/>
      <c r="D694" s="2"/>
      <c r="E694" s="2"/>
      <c r="F694" s="2"/>
      <c r="G694" s="2"/>
      <c r="H694" s="2"/>
      <c r="I694" s="2"/>
      <c r="J694" s="2"/>
      <c r="K694" s="2"/>
      <c r="L694" s="2"/>
      <c r="M694" s="2"/>
      <c r="N694" s="2"/>
      <c r="O694" s="2"/>
      <c r="P694" s="2"/>
      <c r="Q694" s="2"/>
      <c r="R694" s="2"/>
      <c r="S694" s="2"/>
      <c r="T694" s="2"/>
    </row>
    <row r="695" spans="1:20" ht="15.75" customHeight="1">
      <c r="A695" s="1"/>
      <c r="B695" s="2"/>
      <c r="C695" s="2"/>
      <c r="D695" s="2"/>
      <c r="E695" s="2"/>
      <c r="F695" s="2"/>
      <c r="G695" s="2"/>
      <c r="H695" s="2"/>
      <c r="I695" s="2"/>
      <c r="J695" s="2"/>
      <c r="K695" s="2"/>
      <c r="L695" s="2"/>
      <c r="M695" s="2"/>
      <c r="N695" s="2"/>
      <c r="O695" s="2"/>
      <c r="P695" s="2"/>
      <c r="Q695" s="2"/>
      <c r="R695" s="2"/>
      <c r="S695" s="2"/>
      <c r="T695" s="2"/>
    </row>
    <row r="696" spans="1:20" ht="15.75" customHeight="1">
      <c r="A696" s="1"/>
      <c r="B696" s="2"/>
      <c r="C696" s="2"/>
      <c r="D696" s="2"/>
      <c r="E696" s="2"/>
      <c r="F696" s="2"/>
      <c r="G696" s="2"/>
      <c r="H696" s="2"/>
      <c r="I696" s="2"/>
      <c r="J696" s="2"/>
      <c r="K696" s="2"/>
      <c r="L696" s="2"/>
      <c r="M696" s="2"/>
      <c r="N696" s="2"/>
      <c r="O696" s="2"/>
      <c r="P696" s="2"/>
      <c r="Q696" s="2"/>
      <c r="R696" s="2"/>
      <c r="S696" s="2"/>
      <c r="T696" s="2"/>
    </row>
    <row r="697" spans="1:20" ht="15.75" customHeight="1">
      <c r="A697" s="1"/>
      <c r="B697" s="2"/>
      <c r="C697" s="2"/>
      <c r="D697" s="2"/>
      <c r="E697" s="2"/>
      <c r="F697" s="2"/>
      <c r="G697" s="2"/>
      <c r="H697" s="2"/>
      <c r="I697" s="2"/>
      <c r="J697" s="2"/>
      <c r="K697" s="2"/>
      <c r="L697" s="2"/>
      <c r="M697" s="2"/>
      <c r="N697" s="2"/>
      <c r="O697" s="2"/>
      <c r="P697" s="2"/>
      <c r="Q697" s="2"/>
      <c r="R697" s="2"/>
      <c r="S697" s="2"/>
      <c r="T697" s="2"/>
    </row>
    <row r="698" spans="1:20" ht="15.75" customHeight="1">
      <c r="A698" s="1"/>
      <c r="B698" s="2"/>
      <c r="C698" s="2"/>
      <c r="D698" s="2"/>
      <c r="E698" s="2"/>
      <c r="F698" s="2"/>
      <c r="G698" s="2"/>
      <c r="H698" s="2"/>
      <c r="I698" s="2"/>
      <c r="J698" s="2"/>
      <c r="K698" s="2"/>
      <c r="L698" s="2"/>
      <c r="M698" s="2"/>
      <c r="N698" s="2"/>
      <c r="O698" s="2"/>
      <c r="P698" s="2"/>
      <c r="Q698" s="2"/>
      <c r="R698" s="2"/>
      <c r="S698" s="2"/>
      <c r="T698" s="2"/>
    </row>
    <row r="699" spans="1:20" ht="15.75" customHeight="1">
      <c r="A699" s="1"/>
      <c r="B699" s="2"/>
      <c r="C699" s="2"/>
      <c r="D699" s="2"/>
      <c r="E699" s="2"/>
      <c r="F699" s="2"/>
      <c r="G699" s="2"/>
      <c r="H699" s="2"/>
      <c r="I699" s="2"/>
      <c r="J699" s="2"/>
      <c r="K699" s="2"/>
      <c r="L699" s="2"/>
      <c r="M699" s="2"/>
      <c r="N699" s="2"/>
      <c r="O699" s="2"/>
      <c r="P699" s="2"/>
      <c r="Q699" s="2"/>
      <c r="R699" s="2"/>
      <c r="S699" s="2"/>
      <c r="T699" s="2"/>
    </row>
    <row r="700" spans="1:20" ht="15.75" customHeight="1">
      <c r="A700" s="1"/>
      <c r="B700" s="2"/>
      <c r="C700" s="2"/>
      <c r="D700" s="2"/>
      <c r="E700" s="2"/>
      <c r="F700" s="2"/>
      <c r="G700" s="2"/>
      <c r="H700" s="2"/>
      <c r="I700" s="2"/>
      <c r="J700" s="2"/>
      <c r="K700" s="2"/>
      <c r="L700" s="2"/>
      <c r="M700" s="2"/>
      <c r="N700" s="2"/>
      <c r="O700" s="2"/>
      <c r="P700" s="2"/>
      <c r="Q700" s="2"/>
      <c r="R700" s="2"/>
      <c r="S700" s="2"/>
      <c r="T700" s="2"/>
    </row>
    <row r="701" spans="1:20" ht="15.75" customHeight="1">
      <c r="A701" s="1"/>
      <c r="B701" s="2"/>
      <c r="C701" s="2"/>
      <c r="D701" s="2"/>
      <c r="E701" s="2"/>
      <c r="F701" s="2"/>
      <c r="G701" s="2"/>
      <c r="H701" s="2"/>
      <c r="I701" s="2"/>
      <c r="J701" s="2"/>
      <c r="K701" s="2"/>
      <c r="L701" s="2"/>
      <c r="M701" s="2"/>
      <c r="N701" s="2"/>
      <c r="O701" s="2"/>
      <c r="P701" s="2"/>
      <c r="Q701" s="2"/>
      <c r="R701" s="2"/>
      <c r="S701" s="2"/>
      <c r="T701" s="2"/>
    </row>
    <row r="702" spans="1:20" ht="15.75" customHeight="1">
      <c r="A702" s="1"/>
      <c r="B702" s="2"/>
      <c r="C702" s="2"/>
      <c r="D702" s="2"/>
      <c r="E702" s="2"/>
      <c r="F702" s="2"/>
      <c r="G702" s="2"/>
      <c r="H702" s="2"/>
      <c r="I702" s="2"/>
      <c r="J702" s="2"/>
      <c r="K702" s="2"/>
      <c r="L702" s="2"/>
      <c r="M702" s="2"/>
      <c r="N702" s="2"/>
      <c r="O702" s="2"/>
      <c r="P702" s="2"/>
      <c r="Q702" s="2"/>
      <c r="R702" s="2"/>
      <c r="S702" s="2"/>
      <c r="T702" s="2"/>
    </row>
    <row r="703" spans="1:20" ht="15.75" customHeight="1">
      <c r="A703" s="1"/>
      <c r="B703" s="2"/>
      <c r="C703" s="2"/>
      <c r="D703" s="2"/>
      <c r="E703" s="2"/>
      <c r="F703" s="2"/>
      <c r="G703" s="2"/>
      <c r="H703" s="2"/>
      <c r="I703" s="2"/>
      <c r="J703" s="2"/>
      <c r="K703" s="2"/>
      <c r="L703" s="2"/>
      <c r="M703" s="2"/>
      <c r="N703" s="2"/>
      <c r="O703" s="2"/>
      <c r="P703" s="2"/>
      <c r="Q703" s="2"/>
      <c r="R703" s="2"/>
      <c r="S703" s="2"/>
      <c r="T703" s="2"/>
    </row>
    <row r="704" spans="1:20" ht="15.75" customHeight="1">
      <c r="A704" s="1"/>
      <c r="B704" s="2"/>
      <c r="C704" s="2"/>
      <c r="D704" s="2"/>
      <c r="E704" s="2"/>
      <c r="F704" s="2"/>
      <c r="G704" s="2"/>
      <c r="H704" s="2"/>
      <c r="I704" s="2"/>
      <c r="J704" s="2"/>
      <c r="K704" s="2"/>
      <c r="L704" s="2"/>
      <c r="M704" s="2"/>
      <c r="N704" s="2"/>
      <c r="O704" s="2"/>
      <c r="P704" s="2"/>
      <c r="Q704" s="2"/>
      <c r="R704" s="2"/>
      <c r="S704" s="2"/>
      <c r="T704" s="2"/>
    </row>
    <row r="705" spans="1:20" ht="15.75" customHeight="1">
      <c r="A705" s="1"/>
      <c r="B705" s="2"/>
      <c r="C705" s="2"/>
      <c r="D705" s="2"/>
      <c r="E705" s="2"/>
      <c r="F705" s="2"/>
      <c r="G705" s="2"/>
      <c r="H705" s="2"/>
      <c r="I705" s="2"/>
      <c r="J705" s="2"/>
      <c r="K705" s="2"/>
      <c r="L705" s="2"/>
      <c r="M705" s="2"/>
      <c r="N705" s="2"/>
      <c r="O705" s="2"/>
      <c r="P705" s="2"/>
      <c r="Q705" s="2"/>
      <c r="R705" s="2"/>
      <c r="S705" s="2"/>
      <c r="T705" s="2"/>
    </row>
    <row r="706" spans="1:20" ht="15.75" customHeight="1">
      <c r="A706" s="1"/>
      <c r="B706" s="2"/>
      <c r="C706" s="2"/>
      <c r="D706" s="2"/>
      <c r="E706" s="2"/>
      <c r="F706" s="2"/>
      <c r="G706" s="2"/>
      <c r="H706" s="2"/>
      <c r="I706" s="2"/>
      <c r="J706" s="2"/>
      <c r="K706" s="2"/>
      <c r="L706" s="2"/>
      <c r="M706" s="2"/>
      <c r="N706" s="2"/>
      <c r="O706" s="2"/>
      <c r="P706" s="2"/>
      <c r="Q706" s="2"/>
      <c r="R706" s="2"/>
      <c r="S706" s="2"/>
      <c r="T706" s="2"/>
    </row>
    <row r="707" spans="1:20" ht="15.75" customHeight="1">
      <c r="A707" s="1"/>
      <c r="B707" s="2"/>
      <c r="C707" s="2"/>
      <c r="D707" s="2"/>
      <c r="E707" s="2"/>
      <c r="F707" s="2"/>
      <c r="G707" s="2"/>
      <c r="H707" s="2"/>
      <c r="I707" s="2"/>
      <c r="J707" s="2"/>
      <c r="K707" s="2"/>
      <c r="L707" s="2"/>
      <c r="M707" s="2"/>
      <c r="N707" s="2"/>
      <c r="O707" s="2"/>
      <c r="P707" s="2"/>
      <c r="Q707" s="2"/>
      <c r="R707" s="2"/>
      <c r="S707" s="2"/>
      <c r="T707" s="2"/>
    </row>
    <row r="708" spans="1:20" ht="15.75" customHeight="1">
      <c r="A708" s="1"/>
      <c r="B708" s="2"/>
      <c r="C708" s="2"/>
      <c r="D708" s="2"/>
      <c r="E708" s="2"/>
      <c r="F708" s="2"/>
      <c r="G708" s="2"/>
      <c r="H708" s="2"/>
      <c r="I708" s="2"/>
      <c r="J708" s="2"/>
      <c r="K708" s="2"/>
      <c r="L708" s="2"/>
      <c r="M708" s="2"/>
      <c r="N708" s="2"/>
      <c r="O708" s="2"/>
      <c r="P708" s="2"/>
      <c r="Q708" s="2"/>
      <c r="R708" s="2"/>
      <c r="S708" s="2"/>
      <c r="T708" s="2"/>
    </row>
    <row r="709" spans="1:20" ht="15.75" customHeight="1">
      <c r="A709" s="1"/>
      <c r="B709" s="2"/>
      <c r="C709" s="2"/>
      <c r="D709" s="2"/>
      <c r="E709" s="2"/>
      <c r="F709" s="2"/>
      <c r="G709" s="2"/>
      <c r="H709" s="2"/>
      <c r="I709" s="2"/>
      <c r="J709" s="2"/>
      <c r="K709" s="2"/>
      <c r="L709" s="2"/>
      <c r="M709" s="2"/>
      <c r="N709" s="2"/>
      <c r="O709" s="2"/>
      <c r="P709" s="2"/>
      <c r="Q709" s="2"/>
      <c r="R709" s="2"/>
      <c r="S709" s="2"/>
      <c r="T709" s="2"/>
    </row>
    <row r="710" spans="1:20" ht="15.75" customHeight="1">
      <c r="A710" s="1"/>
      <c r="B710" s="2"/>
      <c r="C710" s="2"/>
      <c r="D710" s="2"/>
      <c r="E710" s="2"/>
      <c r="F710" s="2"/>
      <c r="G710" s="2"/>
      <c r="H710" s="2"/>
      <c r="I710" s="2"/>
      <c r="J710" s="2"/>
      <c r="K710" s="2"/>
      <c r="L710" s="2"/>
      <c r="M710" s="2"/>
      <c r="N710" s="2"/>
      <c r="O710" s="2"/>
      <c r="P710" s="2"/>
      <c r="Q710" s="2"/>
      <c r="R710" s="2"/>
      <c r="S710" s="2"/>
      <c r="T710" s="2"/>
    </row>
    <row r="711" spans="1:20" ht="15.75" customHeight="1">
      <c r="A711" s="1"/>
      <c r="B711" s="2"/>
      <c r="C711" s="2"/>
      <c r="D711" s="2"/>
      <c r="E711" s="2"/>
      <c r="F711" s="2"/>
      <c r="G711" s="2"/>
      <c r="H711" s="2"/>
      <c r="I711" s="2"/>
      <c r="J711" s="2"/>
      <c r="K711" s="2"/>
      <c r="L711" s="2"/>
      <c r="M711" s="2"/>
      <c r="N711" s="2"/>
      <c r="O711" s="2"/>
      <c r="P711" s="2"/>
      <c r="Q711" s="2"/>
      <c r="R711" s="2"/>
      <c r="S711" s="2"/>
      <c r="T711" s="2"/>
    </row>
    <row r="712" spans="1:20" ht="15.75" customHeight="1">
      <c r="A712" s="1"/>
      <c r="B712" s="2"/>
      <c r="C712" s="2"/>
      <c r="D712" s="2"/>
      <c r="E712" s="2"/>
      <c r="F712" s="2"/>
      <c r="G712" s="2"/>
      <c r="H712" s="2"/>
      <c r="I712" s="2"/>
      <c r="J712" s="2"/>
      <c r="K712" s="2"/>
      <c r="L712" s="2"/>
      <c r="M712" s="2"/>
      <c r="N712" s="2"/>
      <c r="O712" s="2"/>
      <c r="P712" s="2"/>
      <c r="Q712" s="2"/>
      <c r="R712" s="2"/>
      <c r="S712" s="2"/>
      <c r="T712" s="2"/>
    </row>
    <row r="713" spans="1:20" ht="15.75" customHeight="1">
      <c r="A713" s="1"/>
      <c r="B713" s="2"/>
      <c r="C713" s="2"/>
      <c r="D713" s="2"/>
      <c r="E713" s="2"/>
      <c r="F713" s="2"/>
      <c r="G713" s="2"/>
      <c r="H713" s="2"/>
      <c r="I713" s="2"/>
      <c r="J713" s="2"/>
      <c r="K713" s="2"/>
      <c r="L713" s="2"/>
      <c r="M713" s="2"/>
      <c r="N713" s="2"/>
      <c r="O713" s="2"/>
      <c r="P713" s="2"/>
      <c r="Q713" s="2"/>
      <c r="R713" s="2"/>
      <c r="S713" s="2"/>
      <c r="T713" s="2"/>
    </row>
    <row r="714" spans="1:20" ht="15.75" customHeight="1">
      <c r="A714" s="1"/>
      <c r="B714" s="2"/>
      <c r="C714" s="2"/>
      <c r="D714" s="2"/>
      <c r="E714" s="2"/>
      <c r="F714" s="2"/>
      <c r="G714" s="2"/>
      <c r="H714" s="2"/>
      <c r="I714" s="2"/>
      <c r="J714" s="2"/>
      <c r="K714" s="2"/>
      <c r="L714" s="2"/>
      <c r="M714" s="2"/>
      <c r="N714" s="2"/>
      <c r="O714" s="2"/>
      <c r="P714" s="2"/>
      <c r="Q714" s="2"/>
      <c r="R714" s="2"/>
      <c r="S714" s="2"/>
      <c r="T714" s="2"/>
    </row>
    <row r="715" spans="1:20" ht="15.75" customHeight="1">
      <c r="A715" s="1"/>
      <c r="B715" s="2"/>
      <c r="C715" s="2"/>
      <c r="D715" s="2"/>
      <c r="E715" s="2"/>
      <c r="F715" s="2"/>
      <c r="G715" s="2"/>
      <c r="H715" s="2"/>
      <c r="I715" s="2"/>
      <c r="J715" s="2"/>
      <c r="K715" s="2"/>
      <c r="L715" s="2"/>
      <c r="M715" s="2"/>
      <c r="N715" s="2"/>
      <c r="O715" s="2"/>
      <c r="P715" s="2"/>
      <c r="Q715" s="2"/>
      <c r="R715" s="2"/>
      <c r="S715" s="2"/>
      <c r="T715" s="2"/>
    </row>
    <row r="716" spans="1:20" ht="15.75" customHeight="1">
      <c r="A716" s="1"/>
      <c r="B716" s="2"/>
      <c r="C716" s="2"/>
      <c r="D716" s="2"/>
      <c r="E716" s="2"/>
      <c r="F716" s="2"/>
      <c r="G716" s="2"/>
      <c r="H716" s="2"/>
      <c r="I716" s="2"/>
      <c r="J716" s="2"/>
      <c r="K716" s="2"/>
      <c r="L716" s="2"/>
      <c r="M716" s="2"/>
      <c r="N716" s="2"/>
      <c r="O716" s="2"/>
      <c r="P716" s="2"/>
      <c r="Q716" s="2"/>
      <c r="R716" s="2"/>
      <c r="S716" s="2"/>
      <c r="T716" s="2"/>
    </row>
    <row r="717" spans="1:20" ht="15.75" customHeight="1">
      <c r="A717" s="1"/>
      <c r="B717" s="2"/>
      <c r="C717" s="2"/>
      <c r="D717" s="2"/>
      <c r="E717" s="2"/>
      <c r="F717" s="2"/>
      <c r="G717" s="2"/>
      <c r="H717" s="2"/>
      <c r="I717" s="2"/>
      <c r="J717" s="2"/>
      <c r="K717" s="2"/>
      <c r="L717" s="2"/>
      <c r="M717" s="2"/>
      <c r="N717" s="2"/>
      <c r="O717" s="2"/>
      <c r="P717" s="2"/>
      <c r="Q717" s="2"/>
      <c r="R717" s="2"/>
      <c r="S717" s="2"/>
      <c r="T717" s="2"/>
    </row>
    <row r="718" spans="1:20" ht="15.75" customHeight="1">
      <c r="A718" s="1"/>
      <c r="B718" s="2"/>
      <c r="C718" s="2"/>
      <c r="D718" s="2"/>
      <c r="E718" s="2"/>
      <c r="F718" s="2"/>
      <c r="G718" s="2"/>
      <c r="H718" s="2"/>
      <c r="I718" s="2"/>
      <c r="J718" s="2"/>
      <c r="K718" s="2"/>
      <c r="L718" s="2"/>
      <c r="M718" s="2"/>
      <c r="N718" s="2"/>
      <c r="O718" s="2"/>
      <c r="P718" s="2"/>
      <c r="Q718" s="2"/>
      <c r="R718" s="2"/>
      <c r="S718" s="2"/>
      <c r="T718" s="2"/>
    </row>
    <row r="719" spans="1:20" ht="15.75" customHeight="1">
      <c r="A719" s="1"/>
      <c r="B719" s="2"/>
      <c r="C719" s="2"/>
      <c r="D719" s="2"/>
      <c r="E719" s="2"/>
      <c r="F719" s="2"/>
      <c r="G719" s="2"/>
      <c r="H719" s="2"/>
      <c r="I719" s="2"/>
      <c r="J719" s="2"/>
      <c r="K719" s="2"/>
      <c r="L719" s="2"/>
      <c r="M719" s="2"/>
      <c r="N719" s="2"/>
      <c r="O719" s="2"/>
      <c r="P719" s="2"/>
      <c r="Q719" s="2"/>
      <c r="R719" s="2"/>
      <c r="S719" s="2"/>
      <c r="T719" s="2"/>
    </row>
    <row r="720" spans="1:20" ht="15.75" customHeight="1">
      <c r="A720" s="1"/>
      <c r="B720" s="2"/>
      <c r="C720" s="2"/>
      <c r="D720" s="2"/>
      <c r="E720" s="2"/>
      <c r="F720" s="2"/>
      <c r="G720" s="2"/>
      <c r="H720" s="2"/>
      <c r="I720" s="2"/>
      <c r="J720" s="2"/>
      <c r="K720" s="2"/>
      <c r="L720" s="2"/>
      <c r="M720" s="2"/>
      <c r="N720" s="2"/>
      <c r="O720" s="2"/>
      <c r="P720" s="2"/>
      <c r="Q720" s="2"/>
      <c r="R720" s="2"/>
      <c r="S720" s="2"/>
      <c r="T720" s="2"/>
    </row>
    <row r="721" spans="1:20" ht="15.75" customHeight="1">
      <c r="A721" s="1"/>
      <c r="B721" s="2"/>
      <c r="C721" s="2"/>
      <c r="D721" s="2"/>
      <c r="E721" s="2"/>
      <c r="F721" s="2"/>
      <c r="G721" s="2"/>
      <c r="H721" s="2"/>
      <c r="I721" s="2"/>
      <c r="J721" s="2"/>
      <c r="K721" s="2"/>
      <c r="L721" s="2"/>
      <c r="M721" s="2"/>
      <c r="N721" s="2"/>
      <c r="O721" s="2"/>
      <c r="P721" s="2"/>
      <c r="Q721" s="2"/>
      <c r="R721" s="2"/>
      <c r="S721" s="2"/>
      <c r="T721" s="2"/>
    </row>
    <row r="722" spans="1:20" ht="15.75" customHeight="1">
      <c r="A722" s="1"/>
      <c r="B722" s="2"/>
      <c r="C722" s="2"/>
      <c r="D722" s="2"/>
      <c r="E722" s="2"/>
      <c r="F722" s="2"/>
      <c r="G722" s="2"/>
      <c r="H722" s="2"/>
      <c r="I722" s="2"/>
      <c r="J722" s="2"/>
      <c r="K722" s="2"/>
      <c r="L722" s="2"/>
      <c r="M722" s="2"/>
      <c r="N722" s="2"/>
      <c r="O722" s="2"/>
      <c r="P722" s="2"/>
      <c r="Q722" s="2"/>
      <c r="R722" s="2"/>
      <c r="S722" s="2"/>
      <c r="T722" s="2"/>
    </row>
    <row r="723" spans="1:20" ht="15.75" customHeight="1">
      <c r="A723" s="1"/>
      <c r="B723" s="2"/>
      <c r="C723" s="2"/>
      <c r="D723" s="2"/>
      <c r="E723" s="2"/>
      <c r="F723" s="2"/>
      <c r="G723" s="2"/>
      <c r="H723" s="2"/>
      <c r="I723" s="2"/>
      <c r="J723" s="2"/>
      <c r="K723" s="2"/>
      <c r="L723" s="2"/>
      <c r="M723" s="2"/>
      <c r="N723" s="2"/>
      <c r="O723" s="2"/>
      <c r="P723" s="2"/>
      <c r="Q723" s="2"/>
      <c r="R723" s="2"/>
      <c r="S723" s="2"/>
      <c r="T723" s="2"/>
    </row>
    <row r="724" spans="1:20" ht="15.75" customHeight="1">
      <c r="A724" s="1"/>
      <c r="B724" s="2"/>
      <c r="C724" s="2"/>
      <c r="D724" s="2"/>
      <c r="E724" s="2"/>
      <c r="F724" s="2"/>
      <c r="G724" s="2"/>
      <c r="H724" s="2"/>
      <c r="I724" s="2"/>
      <c r="J724" s="2"/>
      <c r="K724" s="2"/>
      <c r="L724" s="2"/>
      <c r="M724" s="2"/>
      <c r="N724" s="2"/>
      <c r="O724" s="2"/>
      <c r="P724" s="2"/>
      <c r="Q724" s="2"/>
      <c r="R724" s="2"/>
      <c r="S724" s="2"/>
      <c r="T724" s="2"/>
    </row>
    <row r="725" spans="1:20" ht="15.75" customHeight="1">
      <c r="A725" s="1"/>
      <c r="B725" s="2"/>
      <c r="C725" s="2"/>
      <c r="D725" s="2"/>
      <c r="E725" s="2"/>
      <c r="F725" s="2"/>
      <c r="G725" s="2"/>
      <c r="H725" s="2"/>
      <c r="I725" s="2"/>
      <c r="J725" s="2"/>
      <c r="K725" s="2"/>
      <c r="L725" s="2"/>
      <c r="M725" s="2"/>
      <c r="N725" s="2"/>
      <c r="O725" s="2"/>
      <c r="P725" s="2"/>
      <c r="Q725" s="2"/>
      <c r="R725" s="2"/>
      <c r="S725" s="2"/>
      <c r="T725" s="2"/>
    </row>
    <row r="726" spans="1:20" ht="15.75" customHeight="1">
      <c r="A726" s="1"/>
      <c r="B726" s="2"/>
      <c r="C726" s="2"/>
      <c r="D726" s="2"/>
      <c r="E726" s="2"/>
      <c r="F726" s="2"/>
      <c r="G726" s="2"/>
      <c r="H726" s="2"/>
      <c r="I726" s="2"/>
      <c r="J726" s="2"/>
      <c r="K726" s="2"/>
      <c r="L726" s="2"/>
      <c r="M726" s="2"/>
      <c r="N726" s="2"/>
      <c r="O726" s="2"/>
      <c r="P726" s="2"/>
      <c r="Q726" s="2"/>
      <c r="R726" s="2"/>
      <c r="S726" s="2"/>
      <c r="T726" s="2"/>
    </row>
    <row r="727" spans="1:20" ht="15.75" customHeight="1">
      <c r="A727" s="1"/>
      <c r="B727" s="2"/>
      <c r="C727" s="2"/>
      <c r="D727" s="2"/>
      <c r="E727" s="2"/>
      <c r="F727" s="2"/>
      <c r="G727" s="2"/>
      <c r="H727" s="2"/>
      <c r="I727" s="2"/>
      <c r="J727" s="2"/>
      <c r="K727" s="2"/>
      <c r="L727" s="2"/>
      <c r="M727" s="2"/>
      <c r="N727" s="2"/>
      <c r="O727" s="2"/>
      <c r="P727" s="2"/>
      <c r="Q727" s="2"/>
      <c r="R727" s="2"/>
      <c r="S727" s="2"/>
      <c r="T727" s="2"/>
    </row>
    <row r="728" spans="1:20" ht="15.75" customHeight="1">
      <c r="A728" s="1"/>
      <c r="B728" s="2"/>
      <c r="C728" s="2"/>
      <c r="D728" s="2"/>
      <c r="E728" s="2"/>
      <c r="F728" s="2"/>
      <c r="G728" s="2"/>
      <c r="H728" s="2"/>
      <c r="I728" s="2"/>
      <c r="J728" s="2"/>
      <c r="K728" s="2"/>
      <c r="L728" s="2"/>
      <c r="M728" s="2"/>
      <c r="N728" s="2"/>
      <c r="O728" s="2"/>
      <c r="P728" s="2"/>
      <c r="Q728" s="2"/>
      <c r="R728" s="2"/>
      <c r="S728" s="2"/>
      <c r="T728" s="2"/>
    </row>
    <row r="729" spans="1:20" ht="15.75" customHeight="1">
      <c r="A729" s="1"/>
      <c r="B729" s="2"/>
      <c r="C729" s="2"/>
      <c r="D729" s="2"/>
      <c r="E729" s="2"/>
      <c r="F729" s="2"/>
      <c r="G729" s="2"/>
      <c r="H729" s="2"/>
      <c r="I729" s="2"/>
      <c r="J729" s="2"/>
      <c r="K729" s="2"/>
      <c r="L729" s="2"/>
      <c r="M729" s="2"/>
      <c r="N729" s="2"/>
      <c r="O729" s="2"/>
      <c r="P729" s="2"/>
      <c r="Q729" s="2"/>
      <c r="R729" s="2"/>
      <c r="S729" s="2"/>
      <c r="T729" s="2"/>
    </row>
    <row r="730" spans="1:20" ht="15.75" customHeight="1">
      <c r="A730" s="1"/>
      <c r="B730" s="2"/>
      <c r="C730" s="2"/>
      <c r="D730" s="2"/>
      <c r="E730" s="2"/>
      <c r="F730" s="2"/>
      <c r="G730" s="2"/>
      <c r="H730" s="2"/>
      <c r="I730" s="2"/>
      <c r="J730" s="2"/>
      <c r="K730" s="2"/>
      <c r="L730" s="2"/>
      <c r="M730" s="2"/>
      <c r="N730" s="2"/>
      <c r="O730" s="2"/>
      <c r="P730" s="2"/>
      <c r="Q730" s="2"/>
      <c r="R730" s="2"/>
      <c r="S730" s="2"/>
      <c r="T730" s="2"/>
    </row>
    <row r="731" spans="1:20" ht="15.75" customHeight="1">
      <c r="A731" s="1"/>
      <c r="B731" s="2"/>
      <c r="C731" s="2"/>
      <c r="D731" s="2"/>
      <c r="E731" s="2"/>
      <c r="F731" s="2"/>
      <c r="G731" s="2"/>
      <c r="H731" s="2"/>
      <c r="I731" s="2"/>
      <c r="J731" s="2"/>
      <c r="K731" s="2"/>
      <c r="L731" s="2"/>
      <c r="M731" s="2"/>
      <c r="N731" s="2"/>
      <c r="O731" s="2"/>
      <c r="P731" s="2"/>
      <c r="Q731" s="2"/>
      <c r="R731" s="2"/>
      <c r="S731" s="2"/>
      <c r="T731" s="2"/>
    </row>
    <row r="732" spans="1:20" ht="15.75" customHeight="1">
      <c r="A732" s="1"/>
      <c r="B732" s="2"/>
      <c r="C732" s="2"/>
      <c r="D732" s="2"/>
      <c r="E732" s="2"/>
      <c r="F732" s="2"/>
      <c r="G732" s="2"/>
      <c r="H732" s="2"/>
      <c r="I732" s="2"/>
      <c r="J732" s="2"/>
      <c r="K732" s="2"/>
      <c r="L732" s="2"/>
      <c r="M732" s="2"/>
      <c r="N732" s="2"/>
      <c r="O732" s="2"/>
      <c r="P732" s="2"/>
      <c r="Q732" s="2"/>
      <c r="R732" s="2"/>
      <c r="S732" s="2"/>
      <c r="T732" s="2"/>
    </row>
    <row r="733" spans="1:20" ht="15.75" customHeight="1">
      <c r="A733" s="1"/>
      <c r="B733" s="2"/>
      <c r="C733" s="2"/>
      <c r="D733" s="2"/>
      <c r="E733" s="2"/>
      <c r="F733" s="2"/>
      <c r="G733" s="2"/>
      <c r="H733" s="2"/>
      <c r="I733" s="2"/>
      <c r="J733" s="2"/>
      <c r="K733" s="2"/>
      <c r="L733" s="2"/>
      <c r="M733" s="2"/>
      <c r="N733" s="2"/>
      <c r="O733" s="2"/>
      <c r="P733" s="2"/>
      <c r="Q733" s="2"/>
      <c r="R733" s="2"/>
      <c r="S733" s="2"/>
      <c r="T733" s="2"/>
    </row>
    <row r="734" spans="1:20" ht="15.75" customHeight="1">
      <c r="A734" s="1"/>
      <c r="B734" s="2"/>
      <c r="C734" s="2"/>
      <c r="D734" s="2"/>
      <c r="E734" s="2"/>
      <c r="F734" s="2"/>
      <c r="G734" s="2"/>
      <c r="H734" s="2"/>
      <c r="I734" s="2"/>
      <c r="J734" s="2"/>
      <c r="K734" s="2"/>
      <c r="L734" s="2"/>
      <c r="M734" s="2"/>
      <c r="N734" s="2"/>
      <c r="O734" s="2"/>
      <c r="P734" s="2"/>
      <c r="Q734" s="2"/>
      <c r="R734" s="2"/>
      <c r="S734" s="2"/>
      <c r="T734" s="2"/>
    </row>
    <row r="735" spans="1:20" ht="15.75" customHeight="1">
      <c r="A735" s="1"/>
      <c r="B735" s="2"/>
      <c r="C735" s="2"/>
      <c r="D735" s="2"/>
      <c r="E735" s="2"/>
      <c r="F735" s="2"/>
      <c r="G735" s="2"/>
      <c r="H735" s="2"/>
      <c r="I735" s="2"/>
      <c r="J735" s="2"/>
      <c r="K735" s="2"/>
      <c r="L735" s="2"/>
      <c r="M735" s="2"/>
      <c r="N735" s="2"/>
      <c r="O735" s="2"/>
      <c r="P735" s="2"/>
      <c r="Q735" s="2"/>
      <c r="R735" s="2"/>
      <c r="S735" s="2"/>
      <c r="T735" s="2"/>
    </row>
    <row r="736" spans="1:20" ht="15.75" customHeight="1">
      <c r="A736" s="1"/>
      <c r="B736" s="2"/>
      <c r="C736" s="2"/>
      <c r="D736" s="2"/>
      <c r="E736" s="2"/>
      <c r="F736" s="2"/>
      <c r="G736" s="2"/>
      <c r="H736" s="2"/>
      <c r="I736" s="2"/>
      <c r="J736" s="2"/>
      <c r="K736" s="2"/>
      <c r="L736" s="2"/>
      <c r="M736" s="2"/>
      <c r="N736" s="2"/>
      <c r="O736" s="2"/>
      <c r="P736" s="2"/>
      <c r="Q736" s="2"/>
      <c r="R736" s="2"/>
      <c r="S736" s="2"/>
      <c r="T736" s="2"/>
    </row>
    <row r="737" spans="1:20" ht="15.75" customHeight="1">
      <c r="A737" s="1"/>
      <c r="B737" s="2"/>
      <c r="C737" s="2"/>
      <c r="D737" s="2"/>
      <c r="E737" s="2"/>
      <c r="F737" s="2"/>
      <c r="G737" s="2"/>
      <c r="H737" s="2"/>
      <c r="I737" s="2"/>
      <c r="J737" s="2"/>
      <c r="K737" s="2"/>
      <c r="L737" s="2"/>
      <c r="M737" s="2"/>
      <c r="N737" s="2"/>
      <c r="O737" s="2"/>
      <c r="P737" s="2"/>
      <c r="Q737" s="2"/>
      <c r="R737" s="2"/>
      <c r="S737" s="2"/>
      <c r="T737" s="2"/>
    </row>
    <row r="738" spans="1:20" ht="15.75" customHeight="1">
      <c r="A738" s="1"/>
      <c r="B738" s="2"/>
      <c r="C738" s="2"/>
      <c r="D738" s="2"/>
      <c r="E738" s="2"/>
      <c r="F738" s="2"/>
      <c r="G738" s="2"/>
      <c r="H738" s="2"/>
      <c r="I738" s="2"/>
      <c r="J738" s="2"/>
      <c r="K738" s="2"/>
      <c r="L738" s="2"/>
      <c r="M738" s="2"/>
      <c r="N738" s="2"/>
      <c r="O738" s="2"/>
      <c r="P738" s="2"/>
      <c r="Q738" s="2"/>
      <c r="R738" s="2"/>
      <c r="S738" s="2"/>
      <c r="T738" s="2"/>
    </row>
    <row r="739" spans="1:20" ht="15.75" customHeight="1">
      <c r="A739" s="1"/>
      <c r="B739" s="2"/>
      <c r="C739" s="2"/>
      <c r="D739" s="2"/>
      <c r="E739" s="2"/>
      <c r="F739" s="2"/>
      <c r="G739" s="2"/>
      <c r="H739" s="2"/>
      <c r="I739" s="2"/>
      <c r="J739" s="2"/>
      <c r="K739" s="2"/>
      <c r="L739" s="2"/>
      <c r="M739" s="2"/>
      <c r="N739" s="2"/>
      <c r="O739" s="2"/>
      <c r="P739" s="2"/>
      <c r="Q739" s="2"/>
      <c r="R739" s="2"/>
      <c r="S739" s="2"/>
      <c r="T739" s="2"/>
    </row>
    <row r="740" spans="1:20" ht="15.75" customHeight="1">
      <c r="A740" s="1"/>
      <c r="B740" s="2"/>
      <c r="C740" s="2"/>
      <c r="D740" s="2"/>
      <c r="E740" s="2"/>
      <c r="F740" s="2"/>
      <c r="G740" s="2"/>
      <c r="H740" s="2"/>
      <c r="I740" s="2"/>
      <c r="J740" s="2"/>
      <c r="K740" s="2"/>
      <c r="L740" s="2"/>
      <c r="M740" s="2"/>
      <c r="N740" s="2"/>
      <c r="O740" s="2"/>
      <c r="P740" s="2"/>
      <c r="Q740" s="2"/>
      <c r="R740" s="2"/>
      <c r="S740" s="2"/>
      <c r="T740" s="2"/>
    </row>
    <row r="741" spans="1:20" ht="15.75" customHeight="1">
      <c r="A741" s="1"/>
      <c r="B741" s="2"/>
      <c r="C741" s="2"/>
      <c r="D741" s="2"/>
      <c r="E741" s="2"/>
      <c r="F741" s="2"/>
      <c r="G741" s="2"/>
      <c r="H741" s="2"/>
      <c r="I741" s="2"/>
      <c r="J741" s="2"/>
      <c r="K741" s="2"/>
      <c r="L741" s="2"/>
      <c r="M741" s="2"/>
      <c r="N741" s="2"/>
      <c r="O741" s="2"/>
      <c r="P741" s="2"/>
      <c r="Q741" s="2"/>
      <c r="R741" s="2"/>
      <c r="S741" s="2"/>
      <c r="T741" s="2"/>
    </row>
    <row r="742" spans="1:20" ht="15.75" customHeight="1">
      <c r="A742" s="1"/>
      <c r="B742" s="2"/>
      <c r="C742" s="2"/>
      <c r="D742" s="2"/>
      <c r="E742" s="2"/>
      <c r="F742" s="2"/>
      <c r="G742" s="2"/>
      <c r="H742" s="2"/>
      <c r="I742" s="2"/>
      <c r="J742" s="2"/>
      <c r="K742" s="2"/>
      <c r="L742" s="2"/>
      <c r="M742" s="2"/>
      <c r="N742" s="2"/>
      <c r="O742" s="2"/>
      <c r="P742" s="2"/>
      <c r="Q742" s="2"/>
      <c r="R742" s="2"/>
      <c r="S742" s="2"/>
      <c r="T742" s="2"/>
    </row>
    <row r="743" spans="1:20" ht="15.75" customHeight="1">
      <c r="A743" s="1"/>
      <c r="B743" s="2"/>
      <c r="C743" s="2"/>
      <c r="D743" s="2"/>
      <c r="E743" s="2"/>
      <c r="F743" s="2"/>
      <c r="G743" s="2"/>
      <c r="H743" s="2"/>
      <c r="I743" s="2"/>
      <c r="J743" s="2"/>
      <c r="K743" s="2"/>
      <c r="L743" s="2"/>
      <c r="M743" s="2"/>
      <c r="N743" s="2"/>
      <c r="O743" s="2"/>
      <c r="P743" s="2"/>
      <c r="Q743" s="2"/>
      <c r="R743" s="2"/>
      <c r="S743" s="2"/>
      <c r="T743" s="2"/>
    </row>
    <row r="744" spans="1:20" ht="15.75" customHeight="1">
      <c r="A744" s="1"/>
      <c r="B744" s="2"/>
      <c r="C744" s="2"/>
      <c r="D744" s="2"/>
      <c r="E744" s="2"/>
      <c r="F744" s="2"/>
      <c r="G744" s="2"/>
      <c r="H744" s="2"/>
      <c r="I744" s="2"/>
      <c r="J744" s="2"/>
      <c r="K744" s="2"/>
      <c r="L744" s="2"/>
      <c r="M744" s="2"/>
      <c r="N744" s="2"/>
      <c r="O744" s="2"/>
      <c r="P744" s="2"/>
      <c r="Q744" s="2"/>
      <c r="R744" s="2"/>
      <c r="S744" s="2"/>
      <c r="T744" s="2"/>
    </row>
    <row r="745" spans="1:20" ht="15.75" customHeight="1">
      <c r="A745" s="1"/>
      <c r="B745" s="2"/>
      <c r="C745" s="2"/>
      <c r="D745" s="2"/>
      <c r="E745" s="2"/>
      <c r="F745" s="2"/>
      <c r="G745" s="2"/>
      <c r="H745" s="2"/>
      <c r="I745" s="2"/>
      <c r="J745" s="2"/>
      <c r="K745" s="2"/>
      <c r="L745" s="2"/>
      <c r="M745" s="2"/>
      <c r="N745" s="2"/>
      <c r="O745" s="2"/>
      <c r="P745" s="2"/>
      <c r="Q745" s="2"/>
      <c r="R745" s="2"/>
      <c r="S745" s="2"/>
      <c r="T745" s="2"/>
    </row>
    <row r="746" spans="1:20" ht="15.75" customHeight="1">
      <c r="A746" s="1"/>
      <c r="B746" s="2"/>
      <c r="C746" s="2"/>
      <c r="D746" s="2"/>
      <c r="E746" s="2"/>
      <c r="F746" s="2"/>
      <c r="G746" s="2"/>
      <c r="H746" s="2"/>
      <c r="I746" s="2"/>
      <c r="J746" s="2"/>
      <c r="K746" s="2"/>
      <c r="L746" s="2"/>
      <c r="M746" s="2"/>
      <c r="N746" s="2"/>
      <c r="O746" s="2"/>
      <c r="P746" s="2"/>
      <c r="Q746" s="2"/>
      <c r="R746" s="2"/>
      <c r="S746" s="2"/>
      <c r="T746" s="2"/>
    </row>
    <row r="747" spans="1:20" ht="15.75" customHeight="1">
      <c r="A747" s="1"/>
      <c r="B747" s="2"/>
      <c r="C747" s="2"/>
      <c r="D747" s="2"/>
      <c r="E747" s="2"/>
      <c r="F747" s="2"/>
      <c r="G747" s="2"/>
      <c r="H747" s="2"/>
      <c r="I747" s="2"/>
      <c r="J747" s="2"/>
      <c r="K747" s="2"/>
      <c r="L747" s="2"/>
      <c r="M747" s="2"/>
      <c r="N747" s="2"/>
      <c r="O747" s="2"/>
      <c r="P747" s="2"/>
      <c r="Q747" s="2"/>
      <c r="R747" s="2"/>
      <c r="S747" s="2"/>
      <c r="T747" s="2"/>
    </row>
    <row r="748" spans="1:20" ht="15.75" customHeight="1">
      <c r="A748" s="1"/>
      <c r="B748" s="2"/>
      <c r="C748" s="2"/>
      <c r="D748" s="2"/>
      <c r="E748" s="2"/>
      <c r="F748" s="2"/>
      <c r="G748" s="2"/>
      <c r="H748" s="2"/>
      <c r="I748" s="2"/>
      <c r="J748" s="2"/>
      <c r="K748" s="2"/>
      <c r="L748" s="2"/>
      <c r="M748" s="2"/>
      <c r="N748" s="2"/>
      <c r="O748" s="2"/>
      <c r="P748" s="2"/>
      <c r="Q748" s="2"/>
      <c r="R748" s="2"/>
      <c r="S748" s="2"/>
      <c r="T748" s="2"/>
    </row>
    <row r="749" spans="1:20" ht="15.75" customHeight="1">
      <c r="A749" s="1"/>
      <c r="B749" s="2"/>
      <c r="C749" s="2"/>
      <c r="D749" s="2"/>
      <c r="E749" s="2"/>
      <c r="F749" s="2"/>
      <c r="G749" s="2"/>
      <c r="H749" s="2"/>
      <c r="I749" s="2"/>
      <c r="J749" s="2"/>
      <c r="K749" s="2"/>
      <c r="L749" s="2"/>
      <c r="M749" s="2"/>
      <c r="N749" s="2"/>
      <c r="O749" s="2"/>
      <c r="P749" s="2"/>
      <c r="Q749" s="2"/>
      <c r="R749" s="2"/>
      <c r="S749" s="2"/>
      <c r="T749" s="2"/>
    </row>
    <row r="750" spans="1:20" ht="15.75" customHeight="1">
      <c r="A750" s="1"/>
      <c r="B750" s="2"/>
      <c r="C750" s="2"/>
      <c r="D750" s="2"/>
      <c r="E750" s="2"/>
      <c r="F750" s="2"/>
      <c r="G750" s="2"/>
      <c r="H750" s="2"/>
      <c r="I750" s="2"/>
      <c r="J750" s="2"/>
      <c r="K750" s="2"/>
      <c r="L750" s="2"/>
      <c r="M750" s="2"/>
      <c r="N750" s="2"/>
      <c r="O750" s="2"/>
      <c r="P750" s="2"/>
      <c r="Q750" s="2"/>
      <c r="R750" s="2"/>
      <c r="S750" s="2"/>
      <c r="T750" s="2"/>
    </row>
    <row r="751" spans="1:20" ht="15.75" customHeight="1">
      <c r="A751" s="1"/>
      <c r="B751" s="2"/>
      <c r="C751" s="2"/>
      <c r="D751" s="2"/>
      <c r="E751" s="2"/>
      <c r="F751" s="2"/>
      <c r="G751" s="2"/>
      <c r="H751" s="2"/>
      <c r="I751" s="2"/>
      <c r="J751" s="2"/>
      <c r="K751" s="2"/>
      <c r="L751" s="2"/>
      <c r="M751" s="2"/>
      <c r="N751" s="2"/>
      <c r="O751" s="2"/>
      <c r="P751" s="2"/>
      <c r="Q751" s="2"/>
      <c r="R751" s="2"/>
      <c r="S751" s="2"/>
      <c r="T751" s="2"/>
    </row>
    <row r="752" spans="1:20" ht="15.75" customHeight="1">
      <c r="A752" s="1"/>
      <c r="B752" s="2"/>
      <c r="C752" s="2"/>
      <c r="D752" s="2"/>
      <c r="E752" s="2"/>
      <c r="F752" s="2"/>
      <c r="G752" s="2"/>
      <c r="H752" s="2"/>
      <c r="I752" s="2"/>
      <c r="J752" s="2"/>
      <c r="K752" s="2"/>
      <c r="L752" s="2"/>
      <c r="M752" s="2"/>
      <c r="N752" s="2"/>
      <c r="O752" s="2"/>
      <c r="P752" s="2"/>
      <c r="Q752" s="2"/>
      <c r="R752" s="2"/>
      <c r="S752" s="2"/>
      <c r="T752" s="2"/>
    </row>
    <row r="753" spans="1:20" ht="15.75" customHeight="1">
      <c r="A753" s="1"/>
      <c r="B753" s="2"/>
      <c r="C753" s="2"/>
      <c r="D753" s="2"/>
      <c r="E753" s="2"/>
      <c r="F753" s="2"/>
      <c r="G753" s="2"/>
      <c r="H753" s="2"/>
      <c r="I753" s="2"/>
      <c r="J753" s="2"/>
      <c r="K753" s="2"/>
      <c r="L753" s="2"/>
      <c r="M753" s="2"/>
      <c r="N753" s="2"/>
      <c r="O753" s="2"/>
      <c r="P753" s="2"/>
      <c r="Q753" s="2"/>
      <c r="R753" s="2"/>
      <c r="S753" s="2"/>
      <c r="T753" s="2"/>
    </row>
    <row r="754" spans="1:20" ht="15.75" customHeight="1">
      <c r="A754" s="1"/>
      <c r="B754" s="2"/>
      <c r="C754" s="2"/>
      <c r="D754" s="2"/>
      <c r="E754" s="2"/>
      <c r="F754" s="2"/>
      <c r="G754" s="2"/>
      <c r="H754" s="2"/>
      <c r="I754" s="2"/>
      <c r="J754" s="2"/>
      <c r="K754" s="2"/>
      <c r="L754" s="2"/>
      <c r="M754" s="2"/>
      <c r="N754" s="2"/>
      <c r="O754" s="2"/>
      <c r="P754" s="2"/>
      <c r="Q754" s="2"/>
      <c r="R754" s="2"/>
      <c r="S754" s="2"/>
      <c r="T754" s="2"/>
    </row>
    <row r="755" spans="1:20" ht="15.75" customHeight="1">
      <c r="A755" s="1"/>
      <c r="B755" s="2"/>
      <c r="C755" s="2"/>
      <c r="D755" s="2"/>
      <c r="E755" s="2"/>
      <c r="F755" s="2"/>
      <c r="G755" s="2"/>
      <c r="H755" s="2"/>
      <c r="I755" s="2"/>
      <c r="J755" s="2"/>
      <c r="K755" s="2"/>
      <c r="L755" s="2"/>
      <c r="M755" s="2"/>
      <c r="N755" s="2"/>
      <c r="O755" s="2"/>
      <c r="P755" s="2"/>
      <c r="Q755" s="2"/>
      <c r="R755" s="2"/>
      <c r="S755" s="2"/>
      <c r="T755" s="2"/>
    </row>
    <row r="756" spans="1:20" ht="15.75" customHeight="1">
      <c r="A756" s="1"/>
      <c r="B756" s="2"/>
      <c r="C756" s="2"/>
      <c r="D756" s="2"/>
      <c r="E756" s="2"/>
      <c r="F756" s="2"/>
      <c r="G756" s="2"/>
      <c r="H756" s="2"/>
      <c r="I756" s="2"/>
      <c r="J756" s="2"/>
      <c r="K756" s="2"/>
      <c r="L756" s="2"/>
      <c r="M756" s="2"/>
      <c r="N756" s="2"/>
      <c r="O756" s="2"/>
      <c r="P756" s="2"/>
      <c r="Q756" s="2"/>
      <c r="R756" s="2"/>
      <c r="S756" s="2"/>
      <c r="T756" s="2"/>
    </row>
    <row r="757" spans="1:20" ht="15.75" customHeight="1">
      <c r="A757" s="1"/>
      <c r="B757" s="2"/>
      <c r="C757" s="2"/>
      <c r="D757" s="2"/>
      <c r="E757" s="2"/>
      <c r="F757" s="2"/>
      <c r="G757" s="2"/>
      <c r="H757" s="2"/>
      <c r="I757" s="2"/>
      <c r="J757" s="2"/>
      <c r="K757" s="2"/>
      <c r="L757" s="2"/>
      <c r="M757" s="2"/>
      <c r="N757" s="2"/>
      <c r="O757" s="2"/>
      <c r="P757" s="2"/>
      <c r="Q757" s="2"/>
      <c r="R757" s="2"/>
      <c r="S757" s="2"/>
      <c r="T757" s="2"/>
    </row>
    <row r="758" spans="1:20" ht="15.75" customHeight="1">
      <c r="A758" s="1"/>
      <c r="B758" s="2"/>
      <c r="C758" s="2"/>
      <c r="D758" s="2"/>
      <c r="E758" s="2"/>
      <c r="F758" s="2"/>
      <c r="G758" s="2"/>
      <c r="H758" s="2"/>
      <c r="I758" s="2"/>
      <c r="J758" s="2"/>
      <c r="K758" s="2"/>
      <c r="L758" s="2"/>
      <c r="M758" s="2"/>
      <c r="N758" s="2"/>
      <c r="O758" s="2"/>
      <c r="P758" s="2"/>
      <c r="Q758" s="2"/>
      <c r="R758" s="2"/>
      <c r="S758" s="2"/>
      <c r="T758" s="2"/>
    </row>
    <row r="759" spans="1:20" ht="15.75" customHeight="1">
      <c r="A759" s="1"/>
      <c r="B759" s="2"/>
      <c r="C759" s="2"/>
      <c r="D759" s="2"/>
      <c r="E759" s="2"/>
      <c r="F759" s="2"/>
      <c r="G759" s="2"/>
      <c r="H759" s="2"/>
      <c r="I759" s="2"/>
      <c r="J759" s="2"/>
      <c r="K759" s="2"/>
      <c r="L759" s="2"/>
      <c r="M759" s="2"/>
      <c r="N759" s="2"/>
      <c r="O759" s="2"/>
      <c r="P759" s="2"/>
      <c r="Q759" s="2"/>
      <c r="R759" s="2"/>
      <c r="S759" s="2"/>
      <c r="T759" s="2"/>
    </row>
    <row r="760" spans="1:20" ht="15.75" customHeight="1">
      <c r="A760" s="1"/>
      <c r="B760" s="2"/>
      <c r="C760" s="2"/>
      <c r="D760" s="2"/>
      <c r="E760" s="2"/>
      <c r="F760" s="2"/>
      <c r="G760" s="2"/>
      <c r="H760" s="2"/>
      <c r="I760" s="2"/>
      <c r="J760" s="2"/>
      <c r="K760" s="2"/>
      <c r="L760" s="2"/>
      <c r="M760" s="2"/>
      <c r="N760" s="2"/>
      <c r="O760" s="2"/>
      <c r="P760" s="2"/>
      <c r="Q760" s="2"/>
      <c r="R760" s="2"/>
      <c r="S760" s="2"/>
      <c r="T760" s="2"/>
    </row>
    <row r="761" spans="1:20" ht="15.75" customHeight="1">
      <c r="A761" s="1"/>
      <c r="B761" s="2"/>
      <c r="C761" s="2"/>
      <c r="D761" s="2"/>
      <c r="E761" s="2"/>
      <c r="F761" s="2"/>
      <c r="G761" s="2"/>
      <c r="H761" s="2"/>
      <c r="I761" s="2"/>
      <c r="J761" s="2"/>
      <c r="K761" s="2"/>
      <c r="L761" s="2"/>
      <c r="M761" s="2"/>
      <c r="N761" s="2"/>
      <c r="O761" s="2"/>
      <c r="P761" s="2"/>
      <c r="Q761" s="2"/>
      <c r="R761" s="2"/>
      <c r="S761" s="2"/>
      <c r="T761" s="2"/>
    </row>
    <row r="762" spans="1:20" ht="15.75" customHeight="1">
      <c r="A762" s="1"/>
      <c r="B762" s="2"/>
      <c r="C762" s="2"/>
      <c r="D762" s="2"/>
      <c r="E762" s="2"/>
      <c r="F762" s="2"/>
      <c r="G762" s="2"/>
      <c r="H762" s="2"/>
      <c r="I762" s="2"/>
      <c r="J762" s="2"/>
      <c r="K762" s="2"/>
      <c r="L762" s="2"/>
      <c r="M762" s="2"/>
      <c r="N762" s="2"/>
      <c r="O762" s="2"/>
      <c r="P762" s="2"/>
      <c r="Q762" s="2"/>
      <c r="R762" s="2"/>
      <c r="S762" s="2"/>
      <c r="T762" s="2"/>
    </row>
    <row r="763" spans="1:20" ht="15.75" customHeight="1">
      <c r="A763" s="1"/>
      <c r="B763" s="2"/>
      <c r="C763" s="2"/>
      <c r="D763" s="2"/>
      <c r="E763" s="2"/>
      <c r="F763" s="2"/>
      <c r="G763" s="2"/>
      <c r="H763" s="2"/>
      <c r="I763" s="2"/>
      <c r="J763" s="2"/>
      <c r="K763" s="2"/>
      <c r="L763" s="2"/>
      <c r="M763" s="2"/>
      <c r="N763" s="2"/>
      <c r="O763" s="2"/>
      <c r="P763" s="2"/>
      <c r="Q763" s="2"/>
      <c r="R763" s="2"/>
      <c r="S763" s="2"/>
      <c r="T763" s="2"/>
    </row>
    <row r="764" spans="1:20" ht="15.75" customHeight="1">
      <c r="A764" s="1"/>
      <c r="B764" s="2"/>
      <c r="C764" s="2"/>
      <c r="D764" s="2"/>
      <c r="E764" s="2"/>
      <c r="F764" s="2"/>
      <c r="G764" s="2"/>
      <c r="H764" s="2"/>
      <c r="I764" s="2"/>
      <c r="J764" s="2"/>
      <c r="K764" s="2"/>
      <c r="L764" s="2"/>
      <c r="M764" s="2"/>
      <c r="N764" s="2"/>
      <c r="O764" s="2"/>
      <c r="P764" s="2"/>
      <c r="Q764" s="2"/>
      <c r="R764" s="2"/>
      <c r="S764" s="2"/>
      <c r="T764" s="2"/>
    </row>
    <row r="765" spans="1:20" ht="15.75" customHeight="1">
      <c r="A765" s="1"/>
      <c r="B765" s="2"/>
      <c r="C765" s="2"/>
      <c r="D765" s="2"/>
      <c r="E765" s="2"/>
      <c r="F765" s="2"/>
      <c r="G765" s="2"/>
      <c r="H765" s="2"/>
      <c r="I765" s="2"/>
      <c r="J765" s="2"/>
      <c r="K765" s="2"/>
      <c r="L765" s="2"/>
      <c r="M765" s="2"/>
      <c r="N765" s="2"/>
      <c r="O765" s="2"/>
      <c r="P765" s="2"/>
      <c r="Q765" s="2"/>
      <c r="R765" s="2"/>
      <c r="S765" s="2"/>
      <c r="T765" s="2"/>
    </row>
    <row r="766" spans="1:20" ht="15.75" customHeight="1">
      <c r="A766" s="1"/>
      <c r="B766" s="2"/>
      <c r="C766" s="2"/>
      <c r="D766" s="2"/>
      <c r="E766" s="2"/>
      <c r="F766" s="2"/>
      <c r="G766" s="2"/>
      <c r="H766" s="2"/>
      <c r="I766" s="2"/>
      <c r="J766" s="2"/>
      <c r="K766" s="2"/>
      <c r="L766" s="2"/>
      <c r="M766" s="2"/>
      <c r="N766" s="2"/>
      <c r="O766" s="2"/>
      <c r="P766" s="2"/>
      <c r="Q766" s="2"/>
      <c r="R766" s="2"/>
      <c r="S766" s="2"/>
      <c r="T766" s="2"/>
    </row>
    <row r="767" spans="1:20" ht="15.75" customHeight="1">
      <c r="A767" s="1"/>
      <c r="B767" s="2"/>
      <c r="C767" s="2"/>
      <c r="D767" s="2"/>
      <c r="E767" s="2"/>
      <c r="F767" s="2"/>
      <c r="G767" s="2"/>
      <c r="H767" s="2"/>
      <c r="I767" s="2"/>
      <c r="J767" s="2"/>
      <c r="K767" s="2"/>
      <c r="L767" s="2"/>
      <c r="M767" s="2"/>
      <c r="N767" s="2"/>
      <c r="O767" s="2"/>
      <c r="P767" s="2"/>
      <c r="Q767" s="2"/>
      <c r="R767" s="2"/>
      <c r="S767" s="2"/>
      <c r="T767" s="2"/>
    </row>
    <row r="768" spans="1:20" ht="15.75" customHeight="1">
      <c r="A768" s="1"/>
      <c r="B768" s="2"/>
      <c r="C768" s="2"/>
      <c r="D768" s="2"/>
      <c r="E768" s="2"/>
      <c r="F768" s="2"/>
      <c r="G768" s="2"/>
      <c r="H768" s="2"/>
      <c r="I768" s="2"/>
      <c r="J768" s="2"/>
      <c r="K768" s="2"/>
      <c r="L768" s="2"/>
      <c r="M768" s="2"/>
      <c r="N768" s="2"/>
      <c r="O768" s="2"/>
      <c r="P768" s="2"/>
      <c r="Q768" s="2"/>
      <c r="R768" s="2"/>
      <c r="S768" s="2"/>
      <c r="T768" s="2"/>
    </row>
    <row r="769" spans="1:20" ht="15.75" customHeight="1">
      <c r="A769" s="1"/>
      <c r="B769" s="2"/>
      <c r="C769" s="2"/>
      <c r="D769" s="2"/>
      <c r="E769" s="2"/>
      <c r="F769" s="2"/>
      <c r="G769" s="2"/>
      <c r="H769" s="2"/>
      <c r="I769" s="2"/>
      <c r="J769" s="2"/>
      <c r="K769" s="2"/>
      <c r="L769" s="2"/>
      <c r="M769" s="2"/>
      <c r="N769" s="2"/>
      <c r="O769" s="2"/>
      <c r="P769" s="2"/>
      <c r="Q769" s="2"/>
      <c r="R769" s="2"/>
      <c r="S769" s="2"/>
      <c r="T769" s="2"/>
    </row>
    <row r="770" spans="1:20" ht="15.75" customHeight="1">
      <c r="A770" s="1"/>
      <c r="B770" s="2"/>
      <c r="C770" s="2"/>
      <c r="D770" s="2"/>
      <c r="E770" s="2"/>
      <c r="F770" s="2"/>
      <c r="G770" s="2"/>
      <c r="H770" s="2"/>
      <c r="I770" s="2"/>
      <c r="J770" s="2"/>
      <c r="K770" s="2"/>
      <c r="L770" s="2"/>
      <c r="M770" s="2"/>
      <c r="N770" s="2"/>
      <c r="O770" s="2"/>
      <c r="P770" s="2"/>
      <c r="Q770" s="2"/>
      <c r="R770" s="2"/>
      <c r="S770" s="2"/>
      <c r="T770" s="2"/>
    </row>
    <row r="771" spans="1:20" ht="15.75" customHeight="1">
      <c r="A771" s="1"/>
      <c r="B771" s="2"/>
      <c r="C771" s="2"/>
      <c r="D771" s="2"/>
      <c r="E771" s="2"/>
      <c r="F771" s="2"/>
      <c r="G771" s="2"/>
      <c r="H771" s="2"/>
      <c r="I771" s="2"/>
      <c r="J771" s="2"/>
      <c r="K771" s="2"/>
      <c r="L771" s="2"/>
      <c r="M771" s="2"/>
      <c r="N771" s="2"/>
      <c r="O771" s="2"/>
      <c r="P771" s="2"/>
      <c r="Q771" s="2"/>
      <c r="R771" s="2"/>
      <c r="S771" s="2"/>
      <c r="T771" s="2"/>
    </row>
    <row r="772" spans="1:20" ht="15.75" customHeight="1">
      <c r="A772" s="1"/>
      <c r="B772" s="2"/>
      <c r="C772" s="2"/>
      <c r="D772" s="2"/>
      <c r="E772" s="2"/>
      <c r="F772" s="2"/>
      <c r="G772" s="2"/>
      <c r="H772" s="2"/>
      <c r="I772" s="2"/>
      <c r="J772" s="2"/>
      <c r="K772" s="2"/>
      <c r="L772" s="2"/>
      <c r="M772" s="2"/>
      <c r="N772" s="2"/>
      <c r="O772" s="2"/>
      <c r="P772" s="2"/>
      <c r="Q772" s="2"/>
      <c r="R772" s="2"/>
      <c r="S772" s="2"/>
      <c r="T772" s="2"/>
    </row>
    <row r="773" spans="1:20" ht="15.75" customHeight="1">
      <c r="A773" s="1"/>
      <c r="B773" s="2"/>
      <c r="C773" s="2"/>
      <c r="D773" s="2"/>
      <c r="E773" s="2"/>
      <c r="F773" s="2"/>
      <c r="G773" s="2"/>
      <c r="H773" s="2"/>
      <c r="I773" s="2"/>
      <c r="J773" s="2"/>
      <c r="K773" s="2"/>
      <c r="L773" s="2"/>
      <c r="M773" s="2"/>
      <c r="N773" s="2"/>
      <c r="O773" s="2"/>
      <c r="P773" s="2"/>
      <c r="Q773" s="2"/>
      <c r="R773" s="2"/>
      <c r="S773" s="2"/>
      <c r="T773" s="2"/>
    </row>
    <row r="774" spans="1:20" ht="15.75" customHeight="1">
      <c r="A774" s="1"/>
      <c r="B774" s="2"/>
      <c r="C774" s="2"/>
      <c r="D774" s="2"/>
      <c r="E774" s="2"/>
      <c r="F774" s="2"/>
      <c r="G774" s="2"/>
      <c r="H774" s="2"/>
      <c r="I774" s="2"/>
      <c r="J774" s="2"/>
      <c r="K774" s="2"/>
      <c r="L774" s="2"/>
      <c r="M774" s="2"/>
      <c r="N774" s="2"/>
      <c r="O774" s="2"/>
      <c r="P774" s="2"/>
      <c r="Q774" s="2"/>
      <c r="R774" s="2"/>
      <c r="S774" s="2"/>
      <c r="T774" s="2"/>
    </row>
    <row r="775" spans="1:20" ht="15.75" customHeight="1">
      <c r="A775" s="1"/>
      <c r="B775" s="2"/>
      <c r="C775" s="2"/>
      <c r="D775" s="2"/>
      <c r="E775" s="2"/>
      <c r="F775" s="2"/>
      <c r="G775" s="2"/>
      <c r="H775" s="2"/>
      <c r="I775" s="2"/>
      <c r="J775" s="2"/>
      <c r="K775" s="2"/>
      <c r="L775" s="2"/>
      <c r="M775" s="2"/>
      <c r="N775" s="2"/>
      <c r="O775" s="2"/>
      <c r="P775" s="2"/>
      <c r="Q775" s="2"/>
      <c r="R775" s="2"/>
      <c r="S775" s="2"/>
      <c r="T775" s="2"/>
    </row>
    <row r="776" spans="1:20" ht="15.75" customHeight="1">
      <c r="A776" s="1"/>
      <c r="B776" s="2"/>
      <c r="C776" s="2"/>
      <c r="D776" s="2"/>
      <c r="E776" s="2"/>
      <c r="F776" s="2"/>
      <c r="G776" s="2"/>
      <c r="H776" s="2"/>
      <c r="I776" s="2"/>
      <c r="J776" s="2"/>
      <c r="K776" s="2"/>
      <c r="L776" s="2"/>
      <c r="M776" s="2"/>
      <c r="N776" s="2"/>
      <c r="O776" s="2"/>
      <c r="P776" s="2"/>
      <c r="Q776" s="2"/>
      <c r="R776" s="2"/>
      <c r="S776" s="2"/>
      <c r="T776" s="2"/>
    </row>
    <row r="777" spans="1:20" ht="15.75" customHeight="1">
      <c r="A777" s="1"/>
      <c r="B777" s="2"/>
      <c r="C777" s="2"/>
      <c r="D777" s="2"/>
      <c r="E777" s="2"/>
      <c r="F777" s="2"/>
      <c r="G777" s="2"/>
      <c r="H777" s="2"/>
      <c r="I777" s="2"/>
      <c r="J777" s="2"/>
      <c r="K777" s="2"/>
      <c r="L777" s="2"/>
      <c r="M777" s="2"/>
      <c r="N777" s="2"/>
      <c r="O777" s="2"/>
      <c r="P777" s="2"/>
      <c r="Q777" s="2"/>
      <c r="R777" s="2"/>
      <c r="S777" s="2"/>
      <c r="T777" s="2"/>
    </row>
    <row r="778" spans="1:20" ht="15.75" customHeight="1">
      <c r="A778" s="1"/>
      <c r="B778" s="2"/>
      <c r="C778" s="2"/>
      <c r="D778" s="2"/>
      <c r="E778" s="2"/>
      <c r="F778" s="2"/>
      <c r="G778" s="2"/>
      <c r="H778" s="2"/>
      <c r="I778" s="2"/>
      <c r="J778" s="2"/>
      <c r="K778" s="2"/>
      <c r="L778" s="2"/>
      <c r="M778" s="2"/>
      <c r="N778" s="2"/>
      <c r="O778" s="2"/>
      <c r="P778" s="2"/>
      <c r="Q778" s="2"/>
      <c r="R778" s="2"/>
      <c r="S778" s="2"/>
      <c r="T778" s="2"/>
    </row>
    <row r="779" spans="1:20" ht="15.75" customHeight="1">
      <c r="A779" s="1"/>
      <c r="B779" s="2"/>
      <c r="C779" s="2"/>
      <c r="D779" s="2"/>
      <c r="E779" s="2"/>
      <c r="F779" s="2"/>
      <c r="G779" s="2"/>
      <c r="H779" s="2"/>
      <c r="I779" s="2"/>
      <c r="J779" s="2"/>
      <c r="K779" s="2"/>
      <c r="L779" s="2"/>
      <c r="M779" s="2"/>
      <c r="N779" s="2"/>
      <c r="O779" s="2"/>
      <c r="P779" s="2"/>
      <c r="Q779" s="2"/>
      <c r="R779" s="2"/>
      <c r="S779" s="2"/>
      <c r="T779" s="2"/>
    </row>
    <row r="780" spans="1:20" ht="15.75" customHeight="1">
      <c r="A780" s="1"/>
      <c r="B780" s="2"/>
      <c r="C780" s="2"/>
      <c r="D780" s="2"/>
      <c r="E780" s="2"/>
      <c r="F780" s="2"/>
      <c r="G780" s="2"/>
      <c r="H780" s="2"/>
      <c r="I780" s="2"/>
      <c r="J780" s="2"/>
      <c r="K780" s="2"/>
      <c r="L780" s="2"/>
      <c r="M780" s="2"/>
      <c r="N780" s="2"/>
      <c r="O780" s="2"/>
      <c r="P780" s="2"/>
      <c r="Q780" s="2"/>
      <c r="R780" s="2"/>
      <c r="S780" s="2"/>
      <c r="T780" s="2"/>
    </row>
    <row r="781" spans="1:20" ht="15.75" customHeight="1">
      <c r="A781" s="1"/>
      <c r="B781" s="2"/>
      <c r="C781" s="2"/>
      <c r="D781" s="2"/>
      <c r="E781" s="2"/>
      <c r="F781" s="2"/>
      <c r="G781" s="2"/>
      <c r="H781" s="2"/>
      <c r="I781" s="2"/>
      <c r="J781" s="2"/>
      <c r="K781" s="2"/>
      <c r="L781" s="2"/>
      <c r="M781" s="2"/>
      <c r="N781" s="2"/>
      <c r="O781" s="2"/>
      <c r="P781" s="2"/>
      <c r="Q781" s="2"/>
      <c r="R781" s="2"/>
      <c r="S781" s="2"/>
      <c r="T781" s="2"/>
    </row>
    <row r="782" spans="1:20" ht="15.75" customHeight="1">
      <c r="A782" s="1"/>
      <c r="B782" s="2"/>
      <c r="C782" s="2"/>
      <c r="D782" s="2"/>
      <c r="E782" s="2"/>
      <c r="F782" s="2"/>
      <c r="G782" s="2"/>
      <c r="H782" s="2"/>
      <c r="I782" s="2"/>
      <c r="J782" s="2"/>
      <c r="K782" s="2"/>
      <c r="L782" s="2"/>
      <c r="M782" s="2"/>
      <c r="N782" s="2"/>
      <c r="O782" s="2"/>
      <c r="P782" s="2"/>
      <c r="Q782" s="2"/>
      <c r="R782" s="2"/>
      <c r="S782" s="2"/>
      <c r="T782" s="2"/>
    </row>
    <row r="783" spans="1:20" ht="15.75" customHeight="1">
      <c r="A783" s="1"/>
      <c r="B783" s="2"/>
      <c r="C783" s="2"/>
      <c r="D783" s="2"/>
      <c r="E783" s="2"/>
      <c r="F783" s="2"/>
      <c r="G783" s="2"/>
      <c r="H783" s="2"/>
      <c r="I783" s="2"/>
      <c r="J783" s="2"/>
      <c r="K783" s="2"/>
      <c r="L783" s="2"/>
      <c r="M783" s="2"/>
      <c r="N783" s="2"/>
      <c r="O783" s="2"/>
      <c r="P783" s="2"/>
      <c r="Q783" s="2"/>
      <c r="R783" s="2"/>
      <c r="S783" s="2"/>
      <c r="T783" s="2"/>
    </row>
    <row r="784" spans="1:20" ht="15.75" customHeight="1">
      <c r="A784" s="1"/>
      <c r="B784" s="2"/>
      <c r="C784" s="2"/>
      <c r="D784" s="2"/>
      <c r="E784" s="2"/>
      <c r="F784" s="2"/>
      <c r="G784" s="2"/>
      <c r="H784" s="2"/>
      <c r="I784" s="2"/>
      <c r="J784" s="2"/>
      <c r="K784" s="2"/>
      <c r="L784" s="2"/>
      <c r="M784" s="2"/>
      <c r="N784" s="2"/>
      <c r="O784" s="2"/>
      <c r="P784" s="2"/>
      <c r="Q784" s="2"/>
      <c r="R784" s="2"/>
      <c r="S784" s="2"/>
      <c r="T784" s="2"/>
    </row>
    <row r="785" spans="1:20" ht="15.75" customHeight="1">
      <c r="A785" s="1"/>
      <c r="B785" s="2"/>
      <c r="C785" s="2"/>
      <c r="D785" s="2"/>
      <c r="E785" s="2"/>
      <c r="F785" s="2"/>
      <c r="G785" s="2"/>
      <c r="H785" s="2"/>
      <c r="I785" s="2"/>
      <c r="J785" s="2"/>
      <c r="K785" s="2"/>
      <c r="L785" s="2"/>
      <c r="M785" s="2"/>
      <c r="N785" s="2"/>
      <c r="O785" s="2"/>
      <c r="P785" s="2"/>
      <c r="Q785" s="2"/>
      <c r="R785" s="2"/>
      <c r="S785" s="2"/>
      <c r="T785" s="2"/>
    </row>
    <row r="786" spans="1:20" ht="15.75" customHeight="1">
      <c r="A786" s="1"/>
      <c r="B786" s="2"/>
      <c r="C786" s="2"/>
      <c r="D786" s="2"/>
      <c r="E786" s="2"/>
      <c r="F786" s="2"/>
      <c r="G786" s="2"/>
      <c r="H786" s="2"/>
      <c r="I786" s="2"/>
      <c r="J786" s="2"/>
      <c r="K786" s="2"/>
      <c r="L786" s="2"/>
      <c r="M786" s="2"/>
      <c r="N786" s="2"/>
      <c r="O786" s="2"/>
      <c r="P786" s="2"/>
      <c r="Q786" s="2"/>
      <c r="R786" s="2"/>
      <c r="S786" s="2"/>
      <c r="T786" s="2"/>
    </row>
    <row r="787" spans="1:20" ht="15.75" customHeight="1">
      <c r="A787" s="1"/>
      <c r="B787" s="2"/>
      <c r="C787" s="2"/>
      <c r="D787" s="2"/>
      <c r="E787" s="2"/>
      <c r="F787" s="2"/>
      <c r="G787" s="2"/>
      <c r="H787" s="2"/>
      <c r="I787" s="2"/>
      <c r="J787" s="2"/>
      <c r="K787" s="2"/>
      <c r="L787" s="2"/>
      <c r="M787" s="2"/>
      <c r="N787" s="2"/>
      <c r="O787" s="2"/>
      <c r="P787" s="2"/>
      <c r="Q787" s="2"/>
      <c r="R787" s="2"/>
      <c r="S787" s="2"/>
      <c r="T787" s="2"/>
    </row>
    <row r="788" spans="1:20" ht="15.75" customHeight="1">
      <c r="A788" s="1"/>
      <c r="B788" s="2"/>
      <c r="C788" s="2"/>
      <c r="D788" s="2"/>
      <c r="E788" s="2"/>
      <c r="F788" s="2"/>
      <c r="G788" s="2"/>
      <c r="H788" s="2"/>
      <c r="I788" s="2"/>
      <c r="J788" s="2"/>
      <c r="K788" s="2"/>
      <c r="L788" s="2"/>
      <c r="M788" s="2"/>
      <c r="N788" s="2"/>
      <c r="O788" s="2"/>
      <c r="P788" s="2"/>
      <c r="Q788" s="2"/>
      <c r="R788" s="2"/>
      <c r="S788" s="2"/>
      <c r="T788" s="2"/>
    </row>
    <row r="789" spans="1:20" ht="15.75" customHeight="1">
      <c r="A789" s="1"/>
      <c r="B789" s="2"/>
      <c r="C789" s="2"/>
      <c r="D789" s="2"/>
      <c r="E789" s="2"/>
      <c r="F789" s="2"/>
      <c r="G789" s="2"/>
      <c r="H789" s="2"/>
      <c r="I789" s="2"/>
      <c r="J789" s="2"/>
      <c r="K789" s="2"/>
      <c r="L789" s="2"/>
      <c r="M789" s="2"/>
      <c r="N789" s="2"/>
      <c r="O789" s="2"/>
      <c r="P789" s="2"/>
      <c r="Q789" s="2"/>
      <c r="R789" s="2"/>
      <c r="S789" s="2"/>
      <c r="T789" s="2"/>
    </row>
    <row r="790" spans="1:20" ht="15.75" customHeight="1">
      <c r="A790" s="1"/>
      <c r="B790" s="2"/>
      <c r="C790" s="2"/>
      <c r="D790" s="2"/>
      <c r="E790" s="2"/>
      <c r="F790" s="2"/>
      <c r="G790" s="2"/>
      <c r="H790" s="2"/>
      <c r="I790" s="2"/>
      <c r="J790" s="2"/>
      <c r="K790" s="2"/>
      <c r="L790" s="2"/>
      <c r="M790" s="2"/>
      <c r="N790" s="2"/>
      <c r="O790" s="2"/>
      <c r="P790" s="2"/>
      <c r="Q790" s="2"/>
      <c r="R790" s="2"/>
      <c r="S790" s="2"/>
      <c r="T790" s="2"/>
    </row>
    <row r="791" spans="1:20" ht="15.75" customHeight="1">
      <c r="A791" s="1"/>
      <c r="B791" s="2"/>
      <c r="C791" s="2"/>
      <c r="D791" s="2"/>
      <c r="E791" s="2"/>
      <c r="F791" s="2"/>
      <c r="G791" s="2"/>
      <c r="H791" s="2"/>
      <c r="I791" s="2"/>
      <c r="J791" s="2"/>
      <c r="K791" s="2"/>
      <c r="L791" s="2"/>
      <c r="M791" s="2"/>
      <c r="N791" s="2"/>
      <c r="O791" s="2"/>
      <c r="P791" s="2"/>
      <c r="Q791" s="2"/>
      <c r="R791" s="2"/>
      <c r="S791" s="2"/>
      <c r="T791" s="2"/>
    </row>
    <row r="792" spans="1:20" ht="15.75" customHeight="1">
      <c r="A792" s="1"/>
      <c r="B792" s="2"/>
      <c r="C792" s="2"/>
      <c r="D792" s="2"/>
      <c r="E792" s="2"/>
      <c r="F792" s="2"/>
      <c r="G792" s="2"/>
      <c r="H792" s="2"/>
      <c r="I792" s="2"/>
      <c r="J792" s="2"/>
      <c r="K792" s="2"/>
      <c r="L792" s="2"/>
      <c r="M792" s="2"/>
      <c r="N792" s="2"/>
      <c r="O792" s="2"/>
      <c r="P792" s="2"/>
      <c r="Q792" s="2"/>
      <c r="R792" s="2"/>
      <c r="S792" s="2"/>
      <c r="T792" s="2"/>
    </row>
    <row r="793" spans="1:20" ht="15.75" customHeight="1">
      <c r="A793" s="1"/>
      <c r="B793" s="2"/>
      <c r="C793" s="2"/>
      <c r="D793" s="2"/>
      <c r="E793" s="2"/>
      <c r="F793" s="2"/>
      <c r="G793" s="2"/>
      <c r="H793" s="2"/>
      <c r="I793" s="2"/>
      <c r="J793" s="2"/>
      <c r="K793" s="2"/>
      <c r="L793" s="2"/>
      <c r="M793" s="2"/>
      <c r="N793" s="2"/>
      <c r="O793" s="2"/>
      <c r="P793" s="2"/>
      <c r="Q793" s="2"/>
      <c r="R793" s="2"/>
      <c r="S793" s="2"/>
      <c r="T793" s="2"/>
    </row>
    <row r="794" spans="1:20" ht="15.75" customHeight="1">
      <c r="A794" s="1"/>
      <c r="B794" s="2"/>
      <c r="C794" s="2"/>
      <c r="D794" s="2"/>
      <c r="E794" s="2"/>
      <c r="F794" s="2"/>
      <c r="G794" s="2"/>
      <c r="H794" s="2"/>
      <c r="I794" s="2"/>
      <c r="J794" s="2"/>
      <c r="K794" s="2"/>
      <c r="L794" s="2"/>
      <c r="M794" s="2"/>
      <c r="N794" s="2"/>
      <c r="O794" s="2"/>
      <c r="P794" s="2"/>
      <c r="Q794" s="2"/>
      <c r="R794" s="2"/>
      <c r="S794" s="2"/>
      <c r="T794" s="2"/>
    </row>
    <row r="795" spans="1:20" ht="15.75" customHeight="1">
      <c r="A795" s="1"/>
      <c r="B795" s="2"/>
      <c r="C795" s="2"/>
      <c r="D795" s="2"/>
      <c r="E795" s="2"/>
      <c r="F795" s="2"/>
      <c r="G795" s="2"/>
      <c r="H795" s="2"/>
      <c r="I795" s="2"/>
      <c r="J795" s="2"/>
      <c r="K795" s="2"/>
      <c r="L795" s="2"/>
      <c r="M795" s="2"/>
      <c r="N795" s="2"/>
      <c r="O795" s="2"/>
      <c r="P795" s="2"/>
      <c r="Q795" s="2"/>
      <c r="R795" s="2"/>
      <c r="S795" s="2"/>
      <c r="T795" s="2"/>
    </row>
    <row r="796" spans="1:20" ht="15.75" customHeight="1">
      <c r="A796" s="1"/>
      <c r="B796" s="2"/>
      <c r="C796" s="2"/>
      <c r="D796" s="2"/>
      <c r="E796" s="2"/>
      <c r="F796" s="2"/>
      <c r="G796" s="2"/>
      <c r="H796" s="2"/>
      <c r="I796" s="2"/>
      <c r="J796" s="2"/>
      <c r="K796" s="2"/>
      <c r="L796" s="2"/>
      <c r="M796" s="2"/>
      <c r="N796" s="2"/>
      <c r="O796" s="2"/>
      <c r="P796" s="2"/>
      <c r="Q796" s="2"/>
      <c r="R796" s="2"/>
      <c r="S796" s="2"/>
      <c r="T796" s="2"/>
    </row>
    <row r="797" spans="1:20" ht="15.75" customHeight="1">
      <c r="A797" s="1"/>
      <c r="B797" s="2"/>
      <c r="C797" s="2"/>
      <c r="D797" s="2"/>
      <c r="E797" s="2"/>
      <c r="F797" s="2"/>
      <c r="G797" s="2"/>
      <c r="H797" s="2"/>
      <c r="I797" s="2"/>
      <c r="J797" s="2"/>
      <c r="K797" s="2"/>
      <c r="L797" s="2"/>
      <c r="M797" s="2"/>
      <c r="N797" s="2"/>
      <c r="O797" s="2"/>
      <c r="P797" s="2"/>
      <c r="Q797" s="2"/>
      <c r="R797" s="2"/>
      <c r="S797" s="2"/>
      <c r="T797" s="2"/>
    </row>
    <row r="798" spans="1:20" ht="15.75" customHeight="1">
      <c r="A798" s="1"/>
      <c r="B798" s="2"/>
      <c r="C798" s="2"/>
      <c r="D798" s="2"/>
      <c r="E798" s="2"/>
      <c r="F798" s="2"/>
      <c r="G798" s="2"/>
      <c r="H798" s="2"/>
      <c r="I798" s="2"/>
      <c r="J798" s="2"/>
      <c r="K798" s="2"/>
      <c r="L798" s="2"/>
      <c r="M798" s="2"/>
      <c r="N798" s="2"/>
      <c r="O798" s="2"/>
      <c r="P798" s="2"/>
      <c r="Q798" s="2"/>
      <c r="R798" s="2"/>
      <c r="S798" s="2"/>
      <c r="T798" s="2"/>
    </row>
    <row r="799" spans="1:20" ht="15.75" customHeight="1">
      <c r="A799" s="1"/>
      <c r="B799" s="2"/>
      <c r="C799" s="2"/>
      <c r="D799" s="2"/>
      <c r="E799" s="2"/>
      <c r="F799" s="2"/>
      <c r="G799" s="2"/>
      <c r="H799" s="2"/>
      <c r="I799" s="2"/>
      <c r="J799" s="2"/>
      <c r="K799" s="2"/>
      <c r="L799" s="2"/>
      <c r="M799" s="2"/>
      <c r="N799" s="2"/>
      <c r="O799" s="2"/>
      <c r="P799" s="2"/>
      <c r="Q799" s="2"/>
      <c r="R799" s="2"/>
      <c r="S799" s="2"/>
      <c r="T799" s="2"/>
    </row>
    <row r="800" spans="1:20" ht="15.75" customHeight="1">
      <c r="A800" s="1"/>
      <c r="B800" s="2"/>
      <c r="C800" s="2"/>
      <c r="D800" s="2"/>
      <c r="E800" s="2"/>
      <c r="F800" s="2"/>
      <c r="G800" s="2"/>
      <c r="H800" s="2"/>
      <c r="I800" s="2"/>
      <c r="J800" s="2"/>
      <c r="K800" s="2"/>
      <c r="L800" s="2"/>
      <c r="M800" s="2"/>
      <c r="N800" s="2"/>
      <c r="O800" s="2"/>
      <c r="P800" s="2"/>
      <c r="Q800" s="2"/>
      <c r="R800" s="2"/>
      <c r="S800" s="2"/>
      <c r="T800" s="2"/>
    </row>
    <row r="801" spans="1:20" ht="15.75" customHeight="1">
      <c r="A801" s="1"/>
      <c r="B801" s="2"/>
      <c r="C801" s="2"/>
      <c r="D801" s="2"/>
      <c r="E801" s="2"/>
      <c r="F801" s="2"/>
      <c r="G801" s="2"/>
      <c r="H801" s="2"/>
      <c r="I801" s="2"/>
      <c r="J801" s="2"/>
      <c r="K801" s="2"/>
      <c r="L801" s="2"/>
      <c r="M801" s="2"/>
      <c r="N801" s="2"/>
      <c r="O801" s="2"/>
      <c r="P801" s="2"/>
      <c r="Q801" s="2"/>
      <c r="R801" s="2"/>
      <c r="S801" s="2"/>
      <c r="T801" s="2"/>
    </row>
    <row r="802" spans="1:20" ht="15.75" customHeight="1">
      <c r="A802" s="1"/>
      <c r="B802" s="2"/>
      <c r="C802" s="2"/>
      <c r="D802" s="2"/>
      <c r="E802" s="2"/>
      <c r="F802" s="2"/>
      <c r="G802" s="2"/>
      <c r="H802" s="2"/>
      <c r="I802" s="2"/>
      <c r="J802" s="2"/>
      <c r="K802" s="2"/>
      <c r="L802" s="2"/>
      <c r="M802" s="2"/>
      <c r="N802" s="2"/>
      <c r="O802" s="2"/>
      <c r="P802" s="2"/>
      <c r="Q802" s="2"/>
      <c r="R802" s="2"/>
      <c r="S802" s="2"/>
      <c r="T802" s="2"/>
    </row>
    <row r="803" spans="1:20" ht="15.75" customHeight="1">
      <c r="A803" s="1"/>
      <c r="B803" s="2"/>
      <c r="C803" s="2"/>
      <c r="D803" s="2"/>
      <c r="E803" s="2"/>
      <c r="F803" s="2"/>
      <c r="G803" s="2"/>
      <c r="H803" s="2"/>
      <c r="I803" s="2"/>
      <c r="J803" s="2"/>
      <c r="K803" s="2"/>
      <c r="L803" s="2"/>
      <c r="M803" s="2"/>
      <c r="N803" s="2"/>
      <c r="O803" s="2"/>
      <c r="P803" s="2"/>
      <c r="Q803" s="2"/>
      <c r="R803" s="2"/>
      <c r="S803" s="2"/>
      <c r="T803" s="2"/>
    </row>
    <row r="804" spans="1:20" ht="15.75" customHeight="1">
      <c r="A804" s="1"/>
      <c r="B804" s="2"/>
      <c r="C804" s="2"/>
      <c r="D804" s="2"/>
      <c r="E804" s="2"/>
      <c r="F804" s="2"/>
      <c r="G804" s="2"/>
      <c r="H804" s="2"/>
      <c r="I804" s="2"/>
      <c r="J804" s="2"/>
      <c r="K804" s="2"/>
      <c r="L804" s="2"/>
      <c r="M804" s="2"/>
      <c r="N804" s="2"/>
      <c r="O804" s="2"/>
      <c r="P804" s="2"/>
      <c r="Q804" s="2"/>
      <c r="R804" s="2"/>
      <c r="S804" s="2"/>
      <c r="T804" s="2"/>
    </row>
    <row r="805" spans="1:20" ht="15.75" customHeight="1">
      <c r="A805" s="1"/>
      <c r="B805" s="2"/>
      <c r="C805" s="2"/>
      <c r="D805" s="2"/>
      <c r="E805" s="2"/>
      <c r="F805" s="2"/>
      <c r="G805" s="2"/>
      <c r="H805" s="2"/>
      <c r="I805" s="2"/>
      <c r="J805" s="2"/>
      <c r="K805" s="2"/>
      <c r="L805" s="2"/>
      <c r="M805" s="2"/>
      <c r="N805" s="2"/>
      <c r="O805" s="2"/>
      <c r="P805" s="2"/>
      <c r="Q805" s="2"/>
      <c r="R805" s="2"/>
      <c r="S805" s="2"/>
      <c r="T805" s="2"/>
    </row>
    <row r="806" spans="1:20" ht="15.75" customHeight="1">
      <c r="A806" s="1"/>
      <c r="B806" s="2"/>
      <c r="C806" s="2"/>
      <c r="D806" s="2"/>
      <c r="E806" s="2"/>
      <c r="F806" s="2"/>
      <c r="G806" s="2"/>
      <c r="H806" s="2"/>
      <c r="I806" s="2"/>
      <c r="J806" s="2"/>
      <c r="K806" s="2"/>
      <c r="L806" s="2"/>
      <c r="M806" s="2"/>
      <c r="N806" s="2"/>
      <c r="O806" s="2"/>
      <c r="P806" s="2"/>
      <c r="Q806" s="2"/>
      <c r="R806" s="2"/>
      <c r="S806" s="2"/>
      <c r="T806" s="2"/>
    </row>
    <row r="807" spans="1:20" ht="15.75" customHeight="1">
      <c r="A807" s="1"/>
      <c r="B807" s="2"/>
      <c r="C807" s="2"/>
      <c r="D807" s="2"/>
      <c r="E807" s="2"/>
      <c r="F807" s="2"/>
      <c r="G807" s="2"/>
      <c r="H807" s="2"/>
      <c r="I807" s="2"/>
      <c r="J807" s="2"/>
      <c r="K807" s="2"/>
      <c r="L807" s="2"/>
      <c r="M807" s="2"/>
      <c r="N807" s="2"/>
      <c r="O807" s="2"/>
      <c r="P807" s="2"/>
      <c r="Q807" s="2"/>
      <c r="R807" s="2"/>
      <c r="S807" s="2"/>
      <c r="T807" s="2"/>
    </row>
    <row r="808" spans="1:20" ht="15.75" customHeight="1">
      <c r="A808" s="1"/>
      <c r="B808" s="2"/>
      <c r="C808" s="2"/>
      <c r="D808" s="2"/>
      <c r="E808" s="2"/>
      <c r="F808" s="2"/>
      <c r="G808" s="2"/>
      <c r="H808" s="2"/>
      <c r="I808" s="2"/>
      <c r="J808" s="2"/>
      <c r="K808" s="2"/>
      <c r="L808" s="2"/>
      <c r="M808" s="2"/>
      <c r="N808" s="2"/>
      <c r="O808" s="2"/>
      <c r="P808" s="2"/>
      <c r="Q808" s="2"/>
      <c r="R808" s="2"/>
      <c r="S808" s="2"/>
      <c r="T808" s="2"/>
    </row>
    <row r="809" spans="1:20" ht="15.75" customHeight="1">
      <c r="A809" s="1"/>
      <c r="B809" s="2"/>
      <c r="C809" s="2"/>
      <c r="D809" s="2"/>
      <c r="E809" s="2"/>
      <c r="F809" s="2"/>
      <c r="G809" s="2"/>
      <c r="H809" s="2"/>
      <c r="I809" s="2"/>
      <c r="J809" s="2"/>
      <c r="K809" s="2"/>
      <c r="L809" s="2"/>
      <c r="M809" s="2"/>
      <c r="N809" s="2"/>
      <c r="O809" s="2"/>
      <c r="P809" s="2"/>
      <c r="Q809" s="2"/>
      <c r="R809" s="2"/>
      <c r="S809" s="2"/>
      <c r="T809" s="2"/>
    </row>
    <row r="810" spans="1:20" ht="15.75" customHeight="1">
      <c r="A810" s="1"/>
      <c r="B810" s="2"/>
      <c r="C810" s="2"/>
      <c r="D810" s="2"/>
      <c r="E810" s="2"/>
      <c r="F810" s="2"/>
      <c r="G810" s="2"/>
      <c r="H810" s="2"/>
      <c r="I810" s="2"/>
      <c r="J810" s="2"/>
      <c r="K810" s="2"/>
      <c r="L810" s="2"/>
      <c r="M810" s="2"/>
      <c r="N810" s="2"/>
      <c r="O810" s="2"/>
      <c r="P810" s="2"/>
      <c r="Q810" s="2"/>
      <c r="R810" s="2"/>
      <c r="S810" s="2"/>
      <c r="T810" s="2"/>
    </row>
    <row r="811" spans="1:20" ht="15.75" customHeight="1">
      <c r="A811" s="1"/>
      <c r="B811" s="2"/>
      <c r="C811" s="2"/>
      <c r="D811" s="2"/>
      <c r="E811" s="2"/>
      <c r="F811" s="2"/>
      <c r="G811" s="2"/>
      <c r="H811" s="2"/>
      <c r="I811" s="2"/>
      <c r="J811" s="2"/>
      <c r="K811" s="2"/>
      <c r="L811" s="2"/>
      <c r="M811" s="2"/>
      <c r="N811" s="2"/>
      <c r="O811" s="2"/>
      <c r="P811" s="2"/>
      <c r="Q811" s="2"/>
      <c r="R811" s="2"/>
      <c r="S811" s="2"/>
      <c r="T811" s="2"/>
    </row>
    <row r="812" spans="1:20" ht="15.75" customHeight="1">
      <c r="A812" s="1"/>
      <c r="B812" s="2"/>
      <c r="C812" s="2"/>
      <c r="D812" s="2"/>
      <c r="E812" s="2"/>
      <c r="F812" s="2"/>
      <c r="G812" s="2"/>
      <c r="H812" s="2"/>
      <c r="I812" s="2"/>
      <c r="J812" s="2"/>
      <c r="K812" s="2"/>
      <c r="L812" s="2"/>
      <c r="M812" s="2"/>
      <c r="N812" s="2"/>
      <c r="O812" s="2"/>
      <c r="P812" s="2"/>
      <c r="Q812" s="2"/>
      <c r="R812" s="2"/>
      <c r="S812" s="2"/>
      <c r="T812" s="2"/>
    </row>
    <row r="813" spans="1:20" ht="15.75" customHeight="1">
      <c r="A813" s="1"/>
      <c r="B813" s="2"/>
      <c r="C813" s="2"/>
      <c r="D813" s="2"/>
      <c r="E813" s="2"/>
      <c r="F813" s="2"/>
      <c r="G813" s="2"/>
      <c r="H813" s="2"/>
      <c r="I813" s="2"/>
      <c r="J813" s="2"/>
      <c r="K813" s="2"/>
      <c r="L813" s="2"/>
      <c r="M813" s="2"/>
      <c r="N813" s="2"/>
      <c r="O813" s="2"/>
      <c r="P813" s="2"/>
      <c r="Q813" s="2"/>
      <c r="R813" s="2"/>
      <c r="S813" s="2"/>
      <c r="T813" s="2"/>
    </row>
    <row r="814" spans="1:20" ht="15.75" customHeight="1">
      <c r="A814" s="1"/>
      <c r="B814" s="2"/>
      <c r="C814" s="2"/>
      <c r="D814" s="2"/>
      <c r="E814" s="2"/>
      <c r="F814" s="2"/>
      <c r="G814" s="2"/>
      <c r="H814" s="2"/>
      <c r="I814" s="2"/>
      <c r="J814" s="2"/>
      <c r="K814" s="2"/>
      <c r="L814" s="2"/>
      <c r="M814" s="2"/>
      <c r="N814" s="2"/>
      <c r="O814" s="2"/>
      <c r="P814" s="2"/>
      <c r="Q814" s="2"/>
      <c r="R814" s="2"/>
      <c r="S814" s="2"/>
      <c r="T814" s="2"/>
    </row>
    <row r="815" spans="1:20" ht="15.75" customHeight="1">
      <c r="A815" s="1"/>
      <c r="B815" s="2"/>
      <c r="C815" s="2"/>
      <c r="D815" s="2"/>
      <c r="E815" s="2"/>
      <c r="F815" s="2"/>
      <c r="G815" s="2"/>
      <c r="H815" s="2"/>
      <c r="I815" s="2"/>
      <c r="J815" s="2"/>
      <c r="K815" s="2"/>
      <c r="L815" s="2"/>
      <c r="M815" s="2"/>
      <c r="N815" s="2"/>
      <c r="O815" s="2"/>
      <c r="P815" s="2"/>
      <c r="Q815" s="2"/>
      <c r="R815" s="2"/>
      <c r="S815" s="2"/>
      <c r="T815" s="2"/>
    </row>
    <row r="816" spans="1:20" ht="15.75" customHeight="1">
      <c r="A816" s="1"/>
      <c r="B816" s="2"/>
      <c r="C816" s="2"/>
      <c r="D816" s="2"/>
      <c r="E816" s="2"/>
      <c r="F816" s="2"/>
      <c r="G816" s="2"/>
      <c r="H816" s="2"/>
      <c r="I816" s="2"/>
      <c r="J816" s="2"/>
      <c r="K816" s="2"/>
      <c r="L816" s="2"/>
      <c r="M816" s="2"/>
      <c r="N816" s="2"/>
      <c r="O816" s="2"/>
      <c r="P816" s="2"/>
      <c r="Q816" s="2"/>
      <c r="R816" s="2"/>
      <c r="S816" s="2"/>
      <c r="T816" s="2"/>
    </row>
    <row r="817" spans="1:20" ht="15.75" customHeight="1">
      <c r="A817" s="1"/>
      <c r="B817" s="2"/>
      <c r="C817" s="2"/>
      <c r="D817" s="2"/>
      <c r="E817" s="2"/>
      <c r="F817" s="2"/>
      <c r="G817" s="2"/>
      <c r="H817" s="2"/>
      <c r="I817" s="2"/>
      <c r="J817" s="2"/>
      <c r="K817" s="2"/>
      <c r="L817" s="2"/>
      <c r="M817" s="2"/>
      <c r="N817" s="2"/>
      <c r="O817" s="2"/>
      <c r="P817" s="2"/>
      <c r="Q817" s="2"/>
      <c r="R817" s="2"/>
      <c r="S817" s="2"/>
      <c r="T817" s="2"/>
    </row>
    <row r="818" spans="1:20" ht="15.75" customHeight="1">
      <c r="A818" s="1"/>
      <c r="B818" s="2"/>
      <c r="C818" s="2"/>
      <c r="D818" s="2"/>
      <c r="E818" s="2"/>
      <c r="F818" s="2"/>
      <c r="G818" s="2"/>
      <c r="H818" s="2"/>
      <c r="I818" s="2"/>
      <c r="J818" s="2"/>
      <c r="K818" s="2"/>
      <c r="L818" s="2"/>
      <c r="M818" s="2"/>
      <c r="N818" s="2"/>
      <c r="O818" s="2"/>
      <c r="P818" s="2"/>
      <c r="Q818" s="2"/>
      <c r="R818" s="2"/>
      <c r="S818" s="2"/>
      <c r="T818" s="2"/>
    </row>
    <row r="819" spans="1:20" ht="15.75" customHeight="1">
      <c r="A819" s="1"/>
      <c r="B819" s="2"/>
      <c r="C819" s="2"/>
      <c r="D819" s="2"/>
      <c r="E819" s="2"/>
      <c r="F819" s="2"/>
      <c r="G819" s="2"/>
      <c r="H819" s="2"/>
      <c r="I819" s="2"/>
      <c r="J819" s="2"/>
      <c r="K819" s="2"/>
      <c r="L819" s="2"/>
      <c r="M819" s="2"/>
      <c r="N819" s="2"/>
      <c r="O819" s="2"/>
      <c r="P819" s="2"/>
      <c r="Q819" s="2"/>
      <c r="R819" s="2"/>
      <c r="S819" s="2"/>
      <c r="T819" s="2"/>
    </row>
    <row r="820" spans="1:20" ht="15.75" customHeight="1">
      <c r="A820" s="1"/>
      <c r="B820" s="2"/>
      <c r="C820" s="2"/>
      <c r="D820" s="2"/>
      <c r="E820" s="2"/>
      <c r="F820" s="2"/>
      <c r="G820" s="2"/>
      <c r="H820" s="2"/>
      <c r="I820" s="2"/>
      <c r="J820" s="2"/>
      <c r="K820" s="2"/>
      <c r="L820" s="2"/>
      <c r="M820" s="2"/>
      <c r="N820" s="2"/>
      <c r="O820" s="2"/>
      <c r="P820" s="2"/>
      <c r="Q820" s="2"/>
      <c r="R820" s="2"/>
      <c r="S820" s="2"/>
      <c r="T820" s="2"/>
    </row>
    <row r="821" spans="1:20" ht="15.75" customHeight="1">
      <c r="A821" s="1"/>
      <c r="B821" s="2"/>
      <c r="C821" s="2"/>
      <c r="D821" s="2"/>
      <c r="E821" s="2"/>
      <c r="F821" s="2"/>
      <c r="G821" s="2"/>
      <c r="H821" s="2"/>
      <c r="I821" s="2"/>
      <c r="J821" s="2"/>
      <c r="K821" s="2"/>
      <c r="L821" s="2"/>
      <c r="M821" s="2"/>
      <c r="N821" s="2"/>
      <c r="O821" s="2"/>
      <c r="P821" s="2"/>
      <c r="Q821" s="2"/>
      <c r="R821" s="2"/>
      <c r="S821" s="2"/>
      <c r="T821" s="2"/>
    </row>
    <row r="822" spans="1:20" ht="15.75" customHeight="1">
      <c r="A822" s="1"/>
      <c r="B822" s="2"/>
      <c r="C822" s="2"/>
      <c r="D822" s="2"/>
      <c r="E822" s="2"/>
      <c r="F822" s="2"/>
      <c r="G822" s="2"/>
      <c r="H822" s="2"/>
      <c r="I822" s="2"/>
      <c r="J822" s="2"/>
      <c r="K822" s="2"/>
      <c r="L822" s="2"/>
      <c r="M822" s="2"/>
      <c r="N822" s="2"/>
      <c r="O822" s="2"/>
      <c r="P822" s="2"/>
      <c r="Q822" s="2"/>
      <c r="R822" s="2"/>
      <c r="S822" s="2"/>
      <c r="T822" s="2"/>
    </row>
    <row r="823" spans="1:20" ht="15.75" customHeight="1">
      <c r="A823" s="1"/>
      <c r="B823" s="2"/>
      <c r="C823" s="2"/>
      <c r="D823" s="2"/>
      <c r="E823" s="2"/>
      <c r="F823" s="2"/>
      <c r="G823" s="2"/>
      <c r="H823" s="2"/>
      <c r="I823" s="2"/>
      <c r="J823" s="2"/>
      <c r="K823" s="2"/>
      <c r="L823" s="2"/>
      <c r="M823" s="2"/>
      <c r="N823" s="2"/>
      <c r="O823" s="2"/>
      <c r="P823" s="2"/>
      <c r="Q823" s="2"/>
      <c r="R823" s="2"/>
      <c r="S823" s="2"/>
      <c r="T823" s="2"/>
    </row>
    <row r="824" spans="1:20" ht="15.75" customHeight="1">
      <c r="A824" s="1"/>
      <c r="B824" s="2"/>
      <c r="C824" s="2"/>
      <c r="D824" s="2"/>
      <c r="E824" s="2"/>
      <c r="F824" s="2"/>
      <c r="G824" s="2"/>
      <c r="H824" s="2"/>
      <c r="I824" s="2"/>
      <c r="J824" s="2"/>
      <c r="K824" s="2"/>
      <c r="L824" s="2"/>
      <c r="M824" s="2"/>
      <c r="N824" s="2"/>
      <c r="O824" s="2"/>
      <c r="P824" s="2"/>
      <c r="Q824" s="2"/>
      <c r="R824" s="2"/>
      <c r="S824" s="2"/>
      <c r="T824" s="2"/>
    </row>
    <row r="825" spans="1:20" ht="15.75" customHeight="1">
      <c r="A825" s="1"/>
      <c r="B825" s="2"/>
      <c r="C825" s="2"/>
      <c r="D825" s="2"/>
      <c r="E825" s="2"/>
      <c r="F825" s="2"/>
      <c r="G825" s="2"/>
      <c r="H825" s="2"/>
      <c r="I825" s="2"/>
      <c r="J825" s="2"/>
      <c r="K825" s="2"/>
      <c r="L825" s="2"/>
      <c r="M825" s="2"/>
      <c r="N825" s="2"/>
      <c r="O825" s="2"/>
      <c r="P825" s="2"/>
      <c r="Q825" s="2"/>
      <c r="R825" s="2"/>
      <c r="S825" s="2"/>
      <c r="T825" s="2"/>
    </row>
    <row r="826" spans="1:20" ht="15.75" customHeight="1">
      <c r="A826" s="1"/>
      <c r="B826" s="2"/>
      <c r="C826" s="2"/>
      <c r="D826" s="2"/>
      <c r="E826" s="2"/>
      <c r="F826" s="2"/>
      <c r="G826" s="2"/>
      <c r="H826" s="2"/>
      <c r="I826" s="2"/>
      <c r="J826" s="2"/>
      <c r="K826" s="2"/>
      <c r="L826" s="2"/>
      <c r="M826" s="2"/>
      <c r="N826" s="2"/>
      <c r="O826" s="2"/>
      <c r="P826" s="2"/>
      <c r="Q826" s="2"/>
      <c r="R826" s="2"/>
      <c r="S826" s="2"/>
      <c r="T826" s="2"/>
    </row>
    <row r="827" spans="1:20" ht="15.75" customHeight="1">
      <c r="A827" s="1"/>
      <c r="B827" s="2"/>
      <c r="C827" s="2"/>
      <c r="D827" s="2"/>
      <c r="E827" s="2"/>
      <c r="F827" s="2"/>
      <c r="G827" s="2"/>
      <c r="H827" s="2"/>
      <c r="I827" s="2"/>
      <c r="J827" s="2"/>
      <c r="K827" s="2"/>
      <c r="L827" s="2"/>
      <c r="M827" s="2"/>
      <c r="N827" s="2"/>
      <c r="O827" s="2"/>
      <c r="P827" s="2"/>
      <c r="Q827" s="2"/>
      <c r="R827" s="2"/>
      <c r="S827" s="2"/>
      <c r="T827" s="2"/>
    </row>
    <row r="828" spans="1:20" ht="15.75" customHeight="1">
      <c r="A828" s="1"/>
      <c r="B828" s="2"/>
      <c r="C828" s="2"/>
      <c r="D828" s="2"/>
      <c r="E828" s="2"/>
      <c r="F828" s="2"/>
      <c r="G828" s="2"/>
      <c r="H828" s="2"/>
      <c r="I828" s="2"/>
      <c r="J828" s="2"/>
      <c r="K828" s="2"/>
      <c r="L828" s="2"/>
      <c r="M828" s="2"/>
      <c r="N828" s="2"/>
      <c r="O828" s="2"/>
      <c r="P828" s="2"/>
      <c r="Q828" s="2"/>
      <c r="R828" s="2"/>
      <c r="S828" s="2"/>
      <c r="T828" s="2"/>
    </row>
    <row r="829" spans="1:20" ht="15.75" customHeight="1">
      <c r="A829" s="1"/>
      <c r="B829" s="2"/>
      <c r="C829" s="2"/>
      <c r="D829" s="2"/>
      <c r="E829" s="2"/>
      <c r="F829" s="2"/>
      <c r="G829" s="2"/>
      <c r="H829" s="2"/>
      <c r="I829" s="2"/>
      <c r="J829" s="2"/>
      <c r="K829" s="2"/>
      <c r="L829" s="2"/>
      <c r="M829" s="2"/>
      <c r="N829" s="2"/>
      <c r="O829" s="2"/>
      <c r="P829" s="2"/>
      <c r="Q829" s="2"/>
      <c r="R829" s="2"/>
      <c r="S829" s="2"/>
      <c r="T829" s="2"/>
    </row>
    <row r="830" spans="1:20" ht="15.75" customHeight="1">
      <c r="A830" s="1"/>
      <c r="B830" s="2"/>
      <c r="C830" s="2"/>
      <c r="D830" s="2"/>
      <c r="E830" s="2"/>
      <c r="F830" s="2"/>
      <c r="G830" s="2"/>
      <c r="H830" s="2"/>
      <c r="I830" s="2"/>
      <c r="J830" s="2"/>
      <c r="K830" s="2"/>
      <c r="L830" s="2"/>
      <c r="M830" s="2"/>
      <c r="N830" s="2"/>
      <c r="O830" s="2"/>
      <c r="P830" s="2"/>
      <c r="Q830" s="2"/>
      <c r="R830" s="2"/>
      <c r="S830" s="2"/>
      <c r="T830" s="2"/>
    </row>
    <row r="831" spans="1:20" ht="15.75" customHeight="1">
      <c r="A831" s="1"/>
      <c r="B831" s="2"/>
      <c r="C831" s="2"/>
      <c r="D831" s="2"/>
      <c r="E831" s="2"/>
      <c r="F831" s="2"/>
      <c r="G831" s="2"/>
      <c r="H831" s="2"/>
      <c r="I831" s="2"/>
      <c r="J831" s="2"/>
      <c r="K831" s="2"/>
      <c r="L831" s="2"/>
      <c r="M831" s="2"/>
      <c r="N831" s="2"/>
      <c r="O831" s="2"/>
      <c r="P831" s="2"/>
      <c r="Q831" s="2"/>
      <c r="R831" s="2"/>
      <c r="S831" s="2"/>
      <c r="T831" s="2"/>
    </row>
    <row r="832" spans="1:20" ht="15.75" customHeight="1">
      <c r="A832" s="1"/>
      <c r="B832" s="2"/>
      <c r="C832" s="2"/>
      <c r="D832" s="2"/>
      <c r="E832" s="2"/>
      <c r="F832" s="2"/>
      <c r="G832" s="2"/>
      <c r="H832" s="2"/>
      <c r="I832" s="2"/>
      <c r="J832" s="2"/>
      <c r="K832" s="2"/>
      <c r="L832" s="2"/>
      <c r="M832" s="2"/>
      <c r="N832" s="2"/>
      <c r="O832" s="2"/>
      <c r="P832" s="2"/>
      <c r="Q832" s="2"/>
      <c r="R832" s="2"/>
      <c r="S832" s="2"/>
      <c r="T832" s="2"/>
    </row>
    <row r="833" spans="1:20" ht="15.75" customHeight="1">
      <c r="A833" s="1"/>
      <c r="B833" s="2"/>
      <c r="C833" s="2"/>
      <c r="D833" s="2"/>
      <c r="E833" s="2"/>
      <c r="F833" s="2"/>
      <c r="G833" s="2"/>
      <c r="H833" s="2"/>
      <c r="I833" s="2"/>
      <c r="J833" s="2"/>
      <c r="K833" s="2"/>
      <c r="L833" s="2"/>
      <c r="M833" s="2"/>
      <c r="N833" s="2"/>
      <c r="O833" s="2"/>
      <c r="P833" s="2"/>
      <c r="Q833" s="2"/>
      <c r="R833" s="2"/>
      <c r="S833" s="2"/>
      <c r="T833" s="2"/>
    </row>
    <row r="834" spans="1:20" ht="15.75" customHeight="1">
      <c r="A834" s="1"/>
      <c r="B834" s="2"/>
      <c r="C834" s="2"/>
      <c r="D834" s="2"/>
      <c r="E834" s="2"/>
      <c r="F834" s="2"/>
      <c r="G834" s="2"/>
      <c r="H834" s="2"/>
      <c r="I834" s="2"/>
      <c r="J834" s="2"/>
      <c r="K834" s="2"/>
      <c r="L834" s="2"/>
      <c r="M834" s="2"/>
      <c r="N834" s="2"/>
      <c r="O834" s="2"/>
      <c r="P834" s="2"/>
      <c r="Q834" s="2"/>
      <c r="R834" s="2"/>
      <c r="S834" s="2"/>
      <c r="T834" s="2"/>
    </row>
    <row r="835" spans="1:20" ht="15.75" customHeight="1">
      <c r="A835" s="1"/>
      <c r="B835" s="2"/>
      <c r="C835" s="2"/>
      <c r="D835" s="2"/>
      <c r="E835" s="2"/>
      <c r="F835" s="2"/>
      <c r="G835" s="2"/>
      <c r="H835" s="2"/>
      <c r="I835" s="2"/>
      <c r="J835" s="2"/>
      <c r="K835" s="2"/>
      <c r="L835" s="2"/>
      <c r="M835" s="2"/>
      <c r="N835" s="2"/>
      <c r="O835" s="2"/>
      <c r="P835" s="2"/>
      <c r="Q835" s="2"/>
      <c r="R835" s="2"/>
      <c r="S835" s="2"/>
      <c r="T835" s="2"/>
    </row>
    <row r="836" spans="1:20" ht="15.75" customHeight="1">
      <c r="A836" s="1"/>
      <c r="B836" s="2"/>
      <c r="C836" s="2"/>
      <c r="D836" s="2"/>
      <c r="E836" s="2"/>
      <c r="F836" s="2"/>
      <c r="G836" s="2"/>
      <c r="H836" s="2"/>
      <c r="I836" s="2"/>
      <c r="J836" s="2"/>
      <c r="K836" s="2"/>
      <c r="L836" s="2"/>
      <c r="M836" s="2"/>
      <c r="N836" s="2"/>
      <c r="O836" s="2"/>
      <c r="P836" s="2"/>
      <c r="Q836" s="2"/>
      <c r="R836" s="2"/>
      <c r="S836" s="2"/>
      <c r="T836" s="2"/>
    </row>
    <row r="837" spans="1:20" ht="15.75" customHeight="1">
      <c r="A837" s="1"/>
      <c r="B837" s="2"/>
      <c r="C837" s="2"/>
      <c r="D837" s="2"/>
      <c r="E837" s="2"/>
      <c r="F837" s="2"/>
      <c r="G837" s="2"/>
      <c r="H837" s="2"/>
      <c r="I837" s="2"/>
      <c r="J837" s="2"/>
      <c r="K837" s="2"/>
      <c r="L837" s="2"/>
      <c r="M837" s="2"/>
      <c r="N837" s="2"/>
      <c r="O837" s="2"/>
      <c r="P837" s="2"/>
      <c r="Q837" s="2"/>
      <c r="R837" s="2"/>
      <c r="S837" s="2"/>
      <c r="T837" s="2"/>
    </row>
    <row r="838" spans="1:20" ht="15.75" customHeight="1">
      <c r="A838" s="1"/>
      <c r="B838" s="2"/>
      <c r="C838" s="2"/>
      <c r="D838" s="2"/>
      <c r="E838" s="2"/>
      <c r="F838" s="2"/>
      <c r="G838" s="2"/>
      <c r="H838" s="2"/>
      <c r="I838" s="2"/>
      <c r="J838" s="2"/>
      <c r="K838" s="2"/>
      <c r="L838" s="2"/>
      <c r="M838" s="2"/>
      <c r="N838" s="2"/>
      <c r="O838" s="2"/>
      <c r="P838" s="2"/>
      <c r="Q838" s="2"/>
      <c r="R838" s="2"/>
      <c r="S838" s="2"/>
      <c r="T838" s="2"/>
    </row>
    <row r="839" spans="1:20" ht="15.75" customHeight="1">
      <c r="A839" s="1"/>
      <c r="B839" s="2"/>
      <c r="C839" s="2"/>
      <c r="D839" s="2"/>
      <c r="E839" s="2"/>
      <c r="F839" s="2"/>
      <c r="G839" s="2"/>
      <c r="H839" s="2"/>
      <c r="I839" s="2"/>
      <c r="J839" s="2"/>
      <c r="K839" s="2"/>
      <c r="L839" s="2"/>
      <c r="M839" s="2"/>
      <c r="N839" s="2"/>
      <c r="O839" s="2"/>
      <c r="P839" s="2"/>
      <c r="Q839" s="2"/>
      <c r="R839" s="2"/>
      <c r="S839" s="2"/>
      <c r="T839" s="2"/>
    </row>
    <row r="840" spans="1:20" ht="15.75" customHeight="1">
      <c r="A840" s="1"/>
      <c r="B840" s="2"/>
      <c r="C840" s="2"/>
      <c r="D840" s="2"/>
      <c r="E840" s="2"/>
      <c r="F840" s="2"/>
      <c r="G840" s="2"/>
      <c r="H840" s="2"/>
      <c r="I840" s="2"/>
      <c r="J840" s="2"/>
      <c r="K840" s="2"/>
      <c r="L840" s="2"/>
      <c r="M840" s="2"/>
      <c r="N840" s="2"/>
      <c r="O840" s="2"/>
      <c r="P840" s="2"/>
      <c r="Q840" s="2"/>
      <c r="R840" s="2"/>
      <c r="S840" s="2"/>
      <c r="T840" s="2"/>
    </row>
    <row r="841" spans="1:20" ht="15.75" customHeight="1">
      <c r="A841" s="1"/>
      <c r="B841" s="2"/>
      <c r="C841" s="2"/>
      <c r="D841" s="2"/>
      <c r="E841" s="2"/>
      <c r="F841" s="2"/>
      <c r="G841" s="2"/>
      <c r="H841" s="2"/>
      <c r="I841" s="2"/>
      <c r="J841" s="2"/>
      <c r="K841" s="2"/>
      <c r="L841" s="2"/>
      <c r="M841" s="2"/>
      <c r="N841" s="2"/>
      <c r="O841" s="2"/>
      <c r="P841" s="2"/>
      <c r="Q841" s="2"/>
      <c r="R841" s="2"/>
      <c r="S841" s="2"/>
      <c r="T841" s="2"/>
    </row>
    <row r="842" spans="1:20" ht="15.75" customHeight="1">
      <c r="A842" s="1"/>
      <c r="B842" s="2"/>
      <c r="C842" s="2"/>
      <c r="D842" s="2"/>
      <c r="E842" s="2"/>
      <c r="F842" s="2"/>
      <c r="G842" s="2"/>
      <c r="H842" s="2"/>
      <c r="I842" s="2"/>
      <c r="J842" s="2"/>
      <c r="K842" s="2"/>
      <c r="L842" s="2"/>
      <c r="M842" s="2"/>
      <c r="N842" s="2"/>
      <c r="O842" s="2"/>
      <c r="P842" s="2"/>
      <c r="Q842" s="2"/>
      <c r="R842" s="2"/>
      <c r="S842" s="2"/>
      <c r="T842" s="2"/>
    </row>
    <row r="843" spans="1:20" ht="15.75" customHeight="1">
      <c r="A843" s="1"/>
      <c r="B843" s="2"/>
      <c r="C843" s="2"/>
      <c r="D843" s="2"/>
      <c r="E843" s="2"/>
      <c r="F843" s="2"/>
      <c r="G843" s="2"/>
      <c r="H843" s="2"/>
      <c r="I843" s="2"/>
      <c r="J843" s="2"/>
      <c r="K843" s="2"/>
      <c r="L843" s="2"/>
      <c r="M843" s="2"/>
      <c r="N843" s="2"/>
      <c r="O843" s="2"/>
      <c r="P843" s="2"/>
      <c r="Q843" s="2"/>
      <c r="R843" s="2"/>
      <c r="S843" s="2"/>
      <c r="T843" s="2"/>
    </row>
    <row r="844" spans="1:20" ht="15.75" customHeight="1">
      <c r="A844" s="1"/>
      <c r="B844" s="2"/>
      <c r="C844" s="2"/>
      <c r="D844" s="2"/>
      <c r="E844" s="2"/>
      <c r="F844" s="2"/>
      <c r="G844" s="2"/>
      <c r="H844" s="2"/>
      <c r="I844" s="2"/>
      <c r="J844" s="2"/>
      <c r="K844" s="2"/>
      <c r="L844" s="2"/>
      <c r="M844" s="2"/>
      <c r="N844" s="2"/>
      <c r="O844" s="2"/>
      <c r="P844" s="2"/>
      <c r="Q844" s="2"/>
      <c r="R844" s="2"/>
      <c r="S844" s="2"/>
      <c r="T844" s="2"/>
    </row>
    <row r="845" spans="1:20" ht="15.75" customHeight="1">
      <c r="A845" s="1"/>
      <c r="B845" s="2"/>
      <c r="C845" s="2"/>
      <c r="D845" s="2"/>
      <c r="E845" s="2"/>
      <c r="F845" s="2"/>
      <c r="G845" s="2"/>
      <c r="H845" s="2"/>
      <c r="I845" s="2"/>
      <c r="J845" s="2"/>
      <c r="K845" s="2"/>
      <c r="L845" s="2"/>
      <c r="M845" s="2"/>
      <c r="N845" s="2"/>
      <c r="O845" s="2"/>
      <c r="P845" s="2"/>
      <c r="Q845" s="2"/>
      <c r="R845" s="2"/>
      <c r="S845" s="2"/>
      <c r="T845" s="2"/>
    </row>
    <row r="846" spans="1:20" ht="15.75" customHeight="1">
      <c r="A846" s="1"/>
      <c r="B846" s="2"/>
      <c r="C846" s="2"/>
      <c r="D846" s="2"/>
      <c r="E846" s="2"/>
      <c r="F846" s="2"/>
      <c r="G846" s="2"/>
      <c r="H846" s="2"/>
      <c r="I846" s="2"/>
      <c r="J846" s="2"/>
      <c r="K846" s="2"/>
      <c r="L846" s="2"/>
      <c r="M846" s="2"/>
      <c r="N846" s="2"/>
      <c r="O846" s="2"/>
      <c r="P846" s="2"/>
      <c r="Q846" s="2"/>
      <c r="R846" s="2"/>
      <c r="S846" s="2"/>
      <c r="T846" s="2"/>
    </row>
    <row r="847" spans="1:20" ht="15.75" customHeight="1">
      <c r="A847" s="1"/>
      <c r="B847" s="2"/>
      <c r="C847" s="2"/>
      <c r="D847" s="2"/>
      <c r="E847" s="2"/>
      <c r="F847" s="2"/>
      <c r="G847" s="2"/>
      <c r="H847" s="2"/>
      <c r="I847" s="2"/>
      <c r="J847" s="2"/>
      <c r="K847" s="2"/>
      <c r="L847" s="2"/>
      <c r="M847" s="2"/>
      <c r="N847" s="2"/>
      <c r="O847" s="2"/>
      <c r="P847" s="2"/>
      <c r="Q847" s="2"/>
      <c r="R847" s="2"/>
      <c r="S847" s="2"/>
      <c r="T847" s="2"/>
    </row>
    <row r="848" spans="1:20" ht="15.75" customHeight="1">
      <c r="A848" s="1"/>
      <c r="B848" s="2"/>
      <c r="C848" s="2"/>
      <c r="D848" s="2"/>
      <c r="E848" s="2"/>
      <c r="F848" s="2"/>
      <c r="G848" s="2"/>
      <c r="H848" s="2"/>
      <c r="I848" s="2"/>
      <c r="J848" s="2"/>
      <c r="K848" s="2"/>
      <c r="L848" s="2"/>
      <c r="M848" s="2"/>
      <c r="N848" s="2"/>
      <c r="O848" s="2"/>
      <c r="P848" s="2"/>
      <c r="Q848" s="2"/>
      <c r="R848" s="2"/>
      <c r="S848" s="2"/>
      <c r="T848" s="2"/>
    </row>
    <row r="849" spans="1:20" ht="15.75" customHeight="1">
      <c r="A849" s="1"/>
      <c r="B849" s="2"/>
      <c r="C849" s="2"/>
      <c r="D849" s="2"/>
      <c r="E849" s="2"/>
      <c r="F849" s="2"/>
      <c r="G849" s="2"/>
      <c r="H849" s="2"/>
      <c r="I849" s="2"/>
      <c r="J849" s="2"/>
      <c r="K849" s="2"/>
      <c r="L849" s="2"/>
      <c r="M849" s="2"/>
      <c r="N849" s="2"/>
      <c r="O849" s="2"/>
      <c r="P849" s="2"/>
      <c r="Q849" s="2"/>
      <c r="R849" s="2"/>
      <c r="S849" s="2"/>
      <c r="T849" s="2"/>
    </row>
    <row r="850" spans="1:20" ht="15.75" customHeight="1">
      <c r="A850" s="1"/>
      <c r="B850" s="2"/>
      <c r="C850" s="2"/>
      <c r="D850" s="2"/>
      <c r="E850" s="2"/>
      <c r="F850" s="2"/>
      <c r="G850" s="2"/>
      <c r="H850" s="2"/>
      <c r="I850" s="2"/>
      <c r="J850" s="2"/>
      <c r="K850" s="2"/>
      <c r="L850" s="2"/>
      <c r="M850" s="2"/>
      <c r="N850" s="2"/>
      <c r="O850" s="2"/>
      <c r="P850" s="2"/>
      <c r="Q850" s="2"/>
      <c r="R850" s="2"/>
      <c r="S850" s="2"/>
      <c r="T850" s="2"/>
    </row>
    <row r="851" spans="1:20" ht="15.75" customHeight="1">
      <c r="A851" s="1"/>
      <c r="B851" s="2"/>
      <c r="C851" s="2"/>
      <c r="D851" s="2"/>
      <c r="E851" s="2"/>
      <c r="F851" s="2"/>
      <c r="G851" s="2"/>
      <c r="H851" s="2"/>
      <c r="I851" s="2"/>
      <c r="J851" s="2"/>
      <c r="K851" s="2"/>
      <c r="L851" s="2"/>
      <c r="M851" s="2"/>
      <c r="N851" s="2"/>
      <c r="O851" s="2"/>
      <c r="P851" s="2"/>
      <c r="Q851" s="2"/>
      <c r="R851" s="2"/>
      <c r="S851" s="2"/>
      <c r="T851" s="2"/>
    </row>
    <row r="852" spans="1:20" ht="15.75" customHeight="1">
      <c r="A852" s="1"/>
      <c r="B852" s="2"/>
      <c r="C852" s="2"/>
      <c r="D852" s="2"/>
      <c r="E852" s="2"/>
      <c r="F852" s="2"/>
      <c r="G852" s="2"/>
      <c r="H852" s="2"/>
      <c r="I852" s="2"/>
      <c r="J852" s="2"/>
      <c r="K852" s="2"/>
      <c r="L852" s="2"/>
      <c r="M852" s="2"/>
      <c r="N852" s="2"/>
      <c r="O852" s="2"/>
      <c r="P852" s="2"/>
      <c r="Q852" s="2"/>
      <c r="R852" s="2"/>
      <c r="S852" s="2"/>
      <c r="T852" s="2"/>
    </row>
    <row r="853" spans="1:20" ht="15.75" customHeight="1">
      <c r="A853" s="1"/>
      <c r="B853" s="2"/>
      <c r="C853" s="2"/>
      <c r="D853" s="2"/>
      <c r="E853" s="2"/>
      <c r="F853" s="2"/>
      <c r="G853" s="2"/>
      <c r="H853" s="2"/>
      <c r="I853" s="2"/>
      <c r="J853" s="2"/>
      <c r="K853" s="2"/>
      <c r="L853" s="2"/>
      <c r="M853" s="2"/>
      <c r="N853" s="2"/>
      <c r="O853" s="2"/>
      <c r="P853" s="2"/>
      <c r="Q853" s="2"/>
      <c r="R853" s="2"/>
      <c r="S853" s="2"/>
      <c r="T853" s="2"/>
    </row>
    <row r="854" spans="1:20" ht="15.75" customHeight="1">
      <c r="A854" s="1"/>
      <c r="B854" s="2"/>
      <c r="C854" s="2"/>
      <c r="D854" s="2"/>
      <c r="E854" s="2"/>
      <c r="F854" s="2"/>
      <c r="G854" s="2"/>
      <c r="H854" s="2"/>
      <c r="I854" s="2"/>
      <c r="J854" s="2"/>
      <c r="K854" s="2"/>
      <c r="L854" s="2"/>
      <c r="M854" s="2"/>
      <c r="N854" s="2"/>
      <c r="O854" s="2"/>
      <c r="P854" s="2"/>
      <c r="Q854" s="2"/>
      <c r="R854" s="2"/>
      <c r="S854" s="2"/>
      <c r="T854" s="2"/>
    </row>
    <row r="855" spans="1:20" ht="15.75" customHeight="1">
      <c r="A855" s="1"/>
      <c r="B855" s="2"/>
      <c r="C855" s="2"/>
      <c r="D855" s="2"/>
      <c r="E855" s="2"/>
      <c r="F855" s="2"/>
      <c r="G855" s="2"/>
      <c r="H855" s="2"/>
      <c r="I855" s="2"/>
      <c r="J855" s="2"/>
      <c r="K855" s="2"/>
      <c r="L855" s="2"/>
      <c r="M855" s="2"/>
      <c r="N855" s="2"/>
      <c r="O855" s="2"/>
      <c r="P855" s="2"/>
      <c r="Q855" s="2"/>
      <c r="R855" s="2"/>
      <c r="S855" s="2"/>
      <c r="T855" s="2"/>
    </row>
    <row r="856" spans="1:20" ht="15.75" customHeight="1">
      <c r="A856" s="1"/>
      <c r="B856" s="2"/>
      <c r="C856" s="2"/>
      <c r="D856" s="2"/>
      <c r="E856" s="2"/>
      <c r="F856" s="2"/>
      <c r="G856" s="2"/>
      <c r="H856" s="2"/>
      <c r="I856" s="2"/>
      <c r="J856" s="2"/>
      <c r="K856" s="2"/>
      <c r="L856" s="2"/>
      <c r="M856" s="2"/>
      <c r="N856" s="2"/>
      <c r="O856" s="2"/>
      <c r="P856" s="2"/>
      <c r="Q856" s="2"/>
      <c r="R856" s="2"/>
      <c r="S856" s="2"/>
      <c r="T856" s="2"/>
    </row>
    <row r="857" spans="1:20" ht="15.75" customHeight="1">
      <c r="A857" s="1"/>
      <c r="B857" s="2"/>
      <c r="C857" s="2"/>
      <c r="D857" s="2"/>
      <c r="E857" s="2"/>
      <c r="F857" s="2"/>
      <c r="G857" s="2"/>
      <c r="H857" s="2"/>
      <c r="I857" s="2"/>
      <c r="J857" s="2"/>
      <c r="K857" s="2"/>
      <c r="L857" s="2"/>
      <c r="M857" s="2"/>
      <c r="N857" s="2"/>
      <c r="O857" s="2"/>
      <c r="P857" s="2"/>
      <c r="Q857" s="2"/>
      <c r="R857" s="2"/>
      <c r="S857" s="2"/>
      <c r="T857" s="2"/>
    </row>
    <row r="858" spans="1:20" ht="15.75" customHeight="1">
      <c r="A858" s="1"/>
      <c r="B858" s="2"/>
      <c r="C858" s="2"/>
      <c r="D858" s="2"/>
      <c r="E858" s="2"/>
      <c r="F858" s="2"/>
      <c r="G858" s="2"/>
      <c r="H858" s="2"/>
      <c r="I858" s="2"/>
      <c r="J858" s="2"/>
      <c r="K858" s="2"/>
      <c r="L858" s="2"/>
      <c r="M858" s="2"/>
      <c r="N858" s="2"/>
      <c r="O858" s="2"/>
      <c r="P858" s="2"/>
      <c r="Q858" s="2"/>
      <c r="R858" s="2"/>
      <c r="S858" s="2"/>
      <c r="T858" s="2"/>
    </row>
    <row r="859" spans="1:20" ht="15.75" customHeight="1">
      <c r="A859" s="1"/>
      <c r="B859" s="2"/>
      <c r="C859" s="2"/>
      <c r="D859" s="2"/>
      <c r="E859" s="2"/>
      <c r="F859" s="2"/>
      <c r="G859" s="2"/>
      <c r="H859" s="2"/>
      <c r="I859" s="2"/>
      <c r="J859" s="2"/>
      <c r="K859" s="2"/>
      <c r="L859" s="2"/>
      <c r="M859" s="2"/>
      <c r="N859" s="2"/>
      <c r="O859" s="2"/>
      <c r="P859" s="2"/>
      <c r="Q859" s="2"/>
      <c r="R859" s="2"/>
      <c r="S859" s="2"/>
      <c r="T859" s="2"/>
    </row>
    <row r="860" spans="1:20" ht="15.75" customHeight="1">
      <c r="A860" s="1"/>
      <c r="B860" s="2"/>
      <c r="C860" s="2"/>
      <c r="D860" s="2"/>
      <c r="E860" s="2"/>
      <c r="F860" s="2"/>
      <c r="G860" s="2"/>
      <c r="H860" s="2"/>
      <c r="I860" s="2"/>
      <c r="J860" s="2"/>
      <c r="K860" s="2"/>
      <c r="L860" s="2"/>
      <c r="M860" s="2"/>
      <c r="N860" s="2"/>
      <c r="O860" s="2"/>
      <c r="P860" s="2"/>
      <c r="Q860" s="2"/>
      <c r="R860" s="2"/>
      <c r="S860" s="2"/>
      <c r="T860" s="2"/>
    </row>
    <row r="861" spans="1:20" ht="15.75" customHeight="1">
      <c r="A861" s="1"/>
      <c r="B861" s="2"/>
      <c r="C861" s="2"/>
      <c r="D861" s="2"/>
      <c r="E861" s="2"/>
      <c r="F861" s="2"/>
      <c r="G861" s="2"/>
      <c r="H861" s="2"/>
      <c r="I861" s="2"/>
      <c r="J861" s="2"/>
      <c r="K861" s="2"/>
      <c r="L861" s="2"/>
      <c r="M861" s="2"/>
      <c r="N861" s="2"/>
      <c r="O861" s="2"/>
      <c r="P861" s="2"/>
      <c r="Q861" s="2"/>
      <c r="R861" s="2"/>
      <c r="S861" s="2"/>
      <c r="T861" s="2"/>
    </row>
    <row r="862" spans="1:20" ht="15.75" customHeight="1">
      <c r="A862" s="1"/>
      <c r="B862" s="2"/>
      <c r="C862" s="2"/>
      <c r="D862" s="2"/>
      <c r="E862" s="2"/>
      <c r="F862" s="2"/>
      <c r="G862" s="2"/>
      <c r="H862" s="2"/>
      <c r="I862" s="2"/>
      <c r="J862" s="2"/>
      <c r="K862" s="2"/>
      <c r="L862" s="2"/>
      <c r="M862" s="2"/>
      <c r="N862" s="2"/>
      <c r="O862" s="2"/>
      <c r="P862" s="2"/>
      <c r="Q862" s="2"/>
      <c r="R862" s="2"/>
      <c r="S862" s="2"/>
      <c r="T862" s="2"/>
    </row>
    <row r="863" spans="1:20" ht="15.75" customHeight="1">
      <c r="A863" s="1"/>
      <c r="B863" s="2"/>
      <c r="C863" s="2"/>
      <c r="D863" s="2"/>
      <c r="E863" s="2"/>
      <c r="F863" s="2"/>
      <c r="G863" s="2"/>
      <c r="H863" s="2"/>
      <c r="I863" s="2"/>
      <c r="J863" s="2"/>
      <c r="K863" s="2"/>
      <c r="L863" s="2"/>
      <c r="M863" s="2"/>
      <c r="N863" s="2"/>
      <c r="O863" s="2"/>
      <c r="P863" s="2"/>
      <c r="Q863" s="2"/>
      <c r="R863" s="2"/>
      <c r="S863" s="2"/>
      <c r="T863" s="2"/>
    </row>
    <row r="864" spans="1:20" ht="15.75" customHeight="1">
      <c r="A864" s="1"/>
      <c r="B864" s="2"/>
      <c r="C864" s="2"/>
      <c r="D864" s="2"/>
      <c r="E864" s="2"/>
      <c r="F864" s="2"/>
      <c r="G864" s="2"/>
      <c r="H864" s="2"/>
      <c r="I864" s="2"/>
      <c r="J864" s="2"/>
      <c r="K864" s="2"/>
      <c r="L864" s="2"/>
      <c r="M864" s="2"/>
      <c r="N864" s="2"/>
      <c r="O864" s="2"/>
      <c r="P864" s="2"/>
      <c r="Q864" s="2"/>
      <c r="R864" s="2"/>
      <c r="S864" s="2"/>
      <c r="T864" s="2"/>
    </row>
    <row r="865" spans="1:20" ht="15.75" customHeight="1">
      <c r="A865" s="1"/>
      <c r="B865" s="2"/>
      <c r="C865" s="2"/>
      <c r="D865" s="2"/>
      <c r="E865" s="2"/>
      <c r="F865" s="2"/>
      <c r="G865" s="2"/>
      <c r="H865" s="2"/>
      <c r="I865" s="2"/>
      <c r="J865" s="2"/>
      <c r="K865" s="2"/>
      <c r="L865" s="2"/>
      <c r="M865" s="2"/>
      <c r="N865" s="2"/>
      <c r="O865" s="2"/>
      <c r="P865" s="2"/>
      <c r="Q865" s="2"/>
      <c r="R865" s="2"/>
      <c r="S865" s="2"/>
      <c r="T865" s="2"/>
    </row>
    <row r="866" spans="1:20" ht="15.75" customHeight="1">
      <c r="A866" s="1"/>
      <c r="B866" s="2"/>
      <c r="C866" s="2"/>
      <c r="D866" s="2"/>
      <c r="E866" s="2"/>
      <c r="F866" s="2"/>
      <c r="G866" s="2"/>
      <c r="H866" s="2"/>
      <c r="I866" s="2"/>
      <c r="J866" s="2"/>
      <c r="K866" s="2"/>
      <c r="L866" s="2"/>
      <c r="M866" s="2"/>
      <c r="N866" s="2"/>
      <c r="O866" s="2"/>
      <c r="P866" s="2"/>
      <c r="Q866" s="2"/>
      <c r="R866" s="2"/>
      <c r="S866" s="2"/>
      <c r="T866" s="2"/>
    </row>
    <row r="867" spans="1:20" ht="15.75" customHeight="1">
      <c r="A867" s="1"/>
      <c r="B867" s="2"/>
      <c r="C867" s="2"/>
      <c r="D867" s="2"/>
      <c r="E867" s="2"/>
      <c r="F867" s="2"/>
      <c r="G867" s="2"/>
      <c r="H867" s="2"/>
      <c r="I867" s="2"/>
      <c r="J867" s="2"/>
      <c r="K867" s="2"/>
      <c r="L867" s="2"/>
      <c r="M867" s="2"/>
      <c r="N867" s="2"/>
      <c r="O867" s="2"/>
      <c r="P867" s="2"/>
      <c r="Q867" s="2"/>
      <c r="R867" s="2"/>
      <c r="S867" s="2"/>
      <c r="T867" s="2"/>
    </row>
    <row r="868" spans="1:20" ht="15.75" customHeight="1">
      <c r="A868" s="1"/>
      <c r="B868" s="2"/>
      <c r="C868" s="2"/>
      <c r="D868" s="2"/>
      <c r="E868" s="2"/>
      <c r="F868" s="2"/>
      <c r="G868" s="2"/>
      <c r="H868" s="2"/>
      <c r="I868" s="2"/>
      <c r="J868" s="2"/>
      <c r="K868" s="2"/>
      <c r="L868" s="2"/>
      <c r="M868" s="2"/>
      <c r="N868" s="2"/>
      <c r="O868" s="2"/>
      <c r="P868" s="2"/>
      <c r="Q868" s="2"/>
      <c r="R868" s="2"/>
      <c r="S868" s="2"/>
      <c r="T868" s="2"/>
    </row>
    <row r="869" spans="1:20" ht="15.75" customHeight="1">
      <c r="A869" s="1"/>
      <c r="B869" s="2"/>
      <c r="C869" s="2"/>
      <c r="D869" s="2"/>
      <c r="E869" s="2"/>
      <c r="F869" s="2"/>
      <c r="G869" s="2"/>
      <c r="H869" s="2"/>
      <c r="I869" s="2"/>
      <c r="J869" s="2"/>
      <c r="K869" s="2"/>
      <c r="L869" s="2"/>
      <c r="M869" s="2"/>
      <c r="N869" s="2"/>
      <c r="O869" s="2"/>
      <c r="P869" s="2"/>
      <c r="Q869" s="2"/>
      <c r="R869" s="2"/>
      <c r="S869" s="2"/>
      <c r="T869" s="2"/>
    </row>
    <row r="870" spans="1:20" ht="15.75" customHeight="1">
      <c r="A870" s="1"/>
      <c r="B870" s="2"/>
      <c r="C870" s="2"/>
      <c r="D870" s="2"/>
      <c r="E870" s="2"/>
      <c r="F870" s="2"/>
      <c r="G870" s="2"/>
      <c r="H870" s="2"/>
      <c r="I870" s="2"/>
      <c r="J870" s="2"/>
      <c r="K870" s="2"/>
      <c r="L870" s="2"/>
      <c r="M870" s="2"/>
      <c r="N870" s="2"/>
      <c r="O870" s="2"/>
      <c r="P870" s="2"/>
      <c r="Q870" s="2"/>
      <c r="R870" s="2"/>
      <c r="S870" s="2"/>
      <c r="T870" s="2"/>
    </row>
    <row r="871" spans="1:20" ht="15.75" customHeight="1">
      <c r="A871" s="1"/>
      <c r="B871" s="2"/>
      <c r="C871" s="2"/>
      <c r="D871" s="2"/>
      <c r="E871" s="2"/>
      <c r="F871" s="2"/>
      <c r="G871" s="2"/>
      <c r="H871" s="2"/>
      <c r="I871" s="2"/>
      <c r="J871" s="2"/>
      <c r="K871" s="2"/>
      <c r="L871" s="2"/>
      <c r="M871" s="2"/>
      <c r="N871" s="2"/>
      <c r="O871" s="2"/>
      <c r="P871" s="2"/>
      <c r="Q871" s="2"/>
      <c r="R871" s="2"/>
      <c r="S871" s="2"/>
      <c r="T871" s="2"/>
    </row>
    <row r="872" spans="1:20" ht="15.75" customHeight="1">
      <c r="A872" s="1"/>
      <c r="B872" s="2"/>
      <c r="C872" s="2"/>
      <c r="D872" s="2"/>
      <c r="E872" s="2"/>
      <c r="F872" s="2"/>
      <c r="G872" s="2"/>
      <c r="H872" s="2"/>
      <c r="I872" s="2"/>
      <c r="J872" s="2"/>
      <c r="K872" s="2"/>
      <c r="L872" s="2"/>
      <c r="M872" s="2"/>
      <c r="N872" s="2"/>
      <c r="O872" s="2"/>
      <c r="P872" s="2"/>
      <c r="Q872" s="2"/>
      <c r="R872" s="2"/>
      <c r="S872" s="2"/>
      <c r="T872" s="2"/>
    </row>
    <row r="873" spans="1:20" ht="15.75" customHeight="1">
      <c r="A873" s="1"/>
      <c r="B873" s="2"/>
      <c r="C873" s="2"/>
      <c r="D873" s="2"/>
      <c r="E873" s="2"/>
      <c r="F873" s="2"/>
      <c r="G873" s="2"/>
      <c r="H873" s="2"/>
      <c r="I873" s="2"/>
      <c r="J873" s="2"/>
      <c r="K873" s="2"/>
      <c r="L873" s="2"/>
      <c r="M873" s="2"/>
      <c r="N873" s="2"/>
      <c r="O873" s="2"/>
      <c r="P873" s="2"/>
      <c r="Q873" s="2"/>
      <c r="R873" s="2"/>
      <c r="S873" s="2"/>
      <c r="T873" s="2"/>
    </row>
    <row r="874" spans="1:20" ht="15.75" customHeight="1">
      <c r="A874" s="1"/>
      <c r="B874" s="2"/>
      <c r="C874" s="2"/>
      <c r="D874" s="2"/>
      <c r="E874" s="2"/>
      <c r="F874" s="2"/>
      <c r="G874" s="2"/>
      <c r="H874" s="2"/>
      <c r="I874" s="2"/>
      <c r="J874" s="2"/>
      <c r="K874" s="2"/>
      <c r="L874" s="2"/>
      <c r="M874" s="2"/>
      <c r="N874" s="2"/>
      <c r="O874" s="2"/>
      <c r="P874" s="2"/>
      <c r="Q874" s="2"/>
      <c r="R874" s="2"/>
      <c r="S874" s="2"/>
      <c r="T874" s="2"/>
    </row>
    <row r="875" spans="1:20" ht="15.75" customHeight="1">
      <c r="A875" s="1"/>
      <c r="B875" s="2"/>
      <c r="C875" s="2"/>
      <c r="D875" s="2"/>
      <c r="E875" s="2"/>
      <c r="F875" s="2"/>
      <c r="G875" s="2"/>
      <c r="H875" s="2"/>
      <c r="I875" s="2"/>
      <c r="J875" s="2"/>
      <c r="K875" s="2"/>
      <c r="L875" s="2"/>
      <c r="M875" s="2"/>
      <c r="N875" s="2"/>
      <c r="O875" s="2"/>
      <c r="P875" s="2"/>
      <c r="Q875" s="2"/>
      <c r="R875" s="2"/>
      <c r="S875" s="2"/>
      <c r="T875" s="2"/>
    </row>
    <row r="876" spans="1:20" ht="15.75" customHeight="1">
      <c r="A876" s="1"/>
      <c r="B876" s="2"/>
      <c r="C876" s="2"/>
      <c r="D876" s="2"/>
      <c r="E876" s="2"/>
      <c r="F876" s="2"/>
      <c r="G876" s="2"/>
      <c r="H876" s="2"/>
      <c r="I876" s="2"/>
      <c r="J876" s="2"/>
      <c r="K876" s="2"/>
      <c r="L876" s="2"/>
      <c r="M876" s="2"/>
      <c r="N876" s="2"/>
      <c r="O876" s="2"/>
      <c r="P876" s="2"/>
      <c r="Q876" s="2"/>
      <c r="R876" s="2"/>
      <c r="S876" s="2"/>
      <c r="T876" s="2"/>
    </row>
    <row r="877" spans="1:20" ht="15.75" customHeight="1">
      <c r="A877" s="1"/>
      <c r="B877" s="2"/>
      <c r="C877" s="2"/>
      <c r="D877" s="2"/>
      <c r="E877" s="2"/>
      <c r="F877" s="2"/>
      <c r="G877" s="2"/>
      <c r="H877" s="2"/>
      <c r="I877" s="2"/>
      <c r="J877" s="2"/>
      <c r="K877" s="2"/>
      <c r="L877" s="2"/>
      <c r="M877" s="2"/>
      <c r="N877" s="2"/>
      <c r="O877" s="2"/>
      <c r="P877" s="2"/>
      <c r="Q877" s="2"/>
      <c r="R877" s="2"/>
      <c r="S877" s="2"/>
      <c r="T877" s="2"/>
    </row>
    <row r="878" spans="1:20" ht="15.75" customHeight="1">
      <c r="A878" s="1"/>
      <c r="B878" s="2"/>
      <c r="C878" s="2"/>
      <c r="D878" s="2"/>
      <c r="E878" s="2"/>
      <c r="F878" s="2"/>
      <c r="G878" s="2"/>
      <c r="H878" s="2"/>
      <c r="I878" s="2"/>
      <c r="J878" s="2"/>
      <c r="K878" s="2"/>
      <c r="L878" s="2"/>
      <c r="M878" s="2"/>
      <c r="N878" s="2"/>
      <c r="O878" s="2"/>
      <c r="P878" s="2"/>
      <c r="Q878" s="2"/>
      <c r="R878" s="2"/>
      <c r="S878" s="2"/>
      <c r="T878" s="2"/>
    </row>
    <row r="879" spans="1:20" ht="15.75" customHeight="1">
      <c r="A879" s="1"/>
      <c r="B879" s="2"/>
      <c r="C879" s="2"/>
      <c r="D879" s="2"/>
      <c r="E879" s="2"/>
      <c r="F879" s="2"/>
      <c r="G879" s="2"/>
      <c r="H879" s="2"/>
      <c r="I879" s="2"/>
      <c r="J879" s="2"/>
      <c r="K879" s="2"/>
      <c r="L879" s="2"/>
      <c r="M879" s="2"/>
      <c r="N879" s="2"/>
      <c r="O879" s="2"/>
      <c r="P879" s="2"/>
      <c r="Q879" s="2"/>
      <c r="R879" s="2"/>
      <c r="S879" s="2"/>
      <c r="T879" s="2"/>
    </row>
    <row r="880" spans="1:20" ht="15.75" customHeight="1">
      <c r="A880" s="1"/>
      <c r="B880" s="2"/>
      <c r="C880" s="2"/>
      <c r="D880" s="2"/>
      <c r="E880" s="2"/>
      <c r="F880" s="2"/>
      <c r="G880" s="2"/>
      <c r="H880" s="2"/>
      <c r="I880" s="2"/>
      <c r="J880" s="2"/>
      <c r="K880" s="2"/>
      <c r="L880" s="2"/>
      <c r="M880" s="2"/>
      <c r="N880" s="2"/>
      <c r="O880" s="2"/>
      <c r="P880" s="2"/>
      <c r="Q880" s="2"/>
      <c r="R880" s="2"/>
      <c r="S880" s="2"/>
      <c r="T880" s="2"/>
    </row>
    <row r="881" spans="1:20" ht="15.75" customHeight="1">
      <c r="A881" s="1"/>
      <c r="B881" s="2"/>
      <c r="C881" s="2"/>
      <c r="D881" s="2"/>
      <c r="E881" s="2"/>
      <c r="F881" s="2"/>
      <c r="G881" s="2"/>
      <c r="H881" s="2"/>
      <c r="I881" s="2"/>
      <c r="J881" s="2"/>
      <c r="K881" s="2"/>
      <c r="L881" s="2"/>
      <c r="M881" s="2"/>
      <c r="N881" s="2"/>
      <c r="O881" s="2"/>
      <c r="P881" s="2"/>
      <c r="Q881" s="2"/>
      <c r="R881" s="2"/>
      <c r="S881" s="2"/>
      <c r="T881" s="2"/>
    </row>
    <row r="882" spans="1:20" ht="15.75" customHeight="1">
      <c r="A882" s="1"/>
      <c r="B882" s="2"/>
      <c r="C882" s="2"/>
      <c r="D882" s="2"/>
      <c r="E882" s="2"/>
      <c r="F882" s="2"/>
      <c r="G882" s="2"/>
      <c r="H882" s="2"/>
      <c r="I882" s="2"/>
      <c r="J882" s="2"/>
      <c r="K882" s="2"/>
      <c r="L882" s="2"/>
      <c r="M882" s="2"/>
      <c r="N882" s="2"/>
      <c r="O882" s="2"/>
      <c r="P882" s="2"/>
      <c r="Q882" s="2"/>
      <c r="R882" s="2"/>
      <c r="S882" s="2"/>
      <c r="T882" s="2"/>
    </row>
    <row r="883" spans="1:20" ht="15.75" customHeight="1">
      <c r="A883" s="1"/>
      <c r="B883" s="2"/>
      <c r="C883" s="2"/>
      <c r="D883" s="2"/>
      <c r="E883" s="2"/>
      <c r="F883" s="2"/>
      <c r="G883" s="2"/>
      <c r="H883" s="2"/>
      <c r="I883" s="2"/>
      <c r="J883" s="2"/>
      <c r="K883" s="2"/>
      <c r="L883" s="2"/>
      <c r="M883" s="2"/>
      <c r="N883" s="2"/>
      <c r="O883" s="2"/>
      <c r="P883" s="2"/>
      <c r="Q883" s="2"/>
      <c r="R883" s="2"/>
      <c r="S883" s="2"/>
      <c r="T883" s="2"/>
    </row>
    <row r="884" spans="1:20" ht="15.75" customHeight="1">
      <c r="A884" s="1"/>
      <c r="B884" s="2"/>
      <c r="C884" s="2"/>
      <c r="D884" s="2"/>
      <c r="E884" s="2"/>
      <c r="F884" s="2"/>
      <c r="G884" s="2"/>
      <c r="H884" s="2"/>
      <c r="I884" s="2"/>
      <c r="J884" s="2"/>
      <c r="K884" s="2"/>
      <c r="L884" s="2"/>
      <c r="M884" s="2"/>
      <c r="N884" s="2"/>
      <c r="O884" s="2"/>
      <c r="P884" s="2"/>
      <c r="Q884" s="2"/>
      <c r="R884" s="2"/>
      <c r="S884" s="2"/>
      <c r="T884" s="2"/>
    </row>
    <row r="885" spans="1:20" ht="15.75" customHeight="1">
      <c r="A885" s="1"/>
      <c r="B885" s="2"/>
      <c r="C885" s="2"/>
      <c r="D885" s="2"/>
      <c r="E885" s="2"/>
      <c r="F885" s="2"/>
      <c r="G885" s="2"/>
      <c r="H885" s="2"/>
      <c r="I885" s="2"/>
      <c r="J885" s="2"/>
      <c r="K885" s="2"/>
      <c r="L885" s="2"/>
      <c r="M885" s="2"/>
      <c r="N885" s="2"/>
      <c r="O885" s="2"/>
      <c r="P885" s="2"/>
      <c r="Q885" s="2"/>
      <c r="R885" s="2"/>
      <c r="S885" s="2"/>
      <c r="T885" s="2"/>
    </row>
    <row r="886" spans="1:20" ht="15.75" customHeight="1">
      <c r="A886" s="1"/>
      <c r="B886" s="2"/>
      <c r="C886" s="2"/>
      <c r="D886" s="2"/>
      <c r="E886" s="2"/>
      <c r="F886" s="2"/>
      <c r="G886" s="2"/>
      <c r="H886" s="2"/>
      <c r="I886" s="2"/>
      <c r="J886" s="2"/>
      <c r="K886" s="2"/>
      <c r="L886" s="2"/>
      <c r="M886" s="2"/>
      <c r="N886" s="2"/>
      <c r="O886" s="2"/>
      <c r="P886" s="2"/>
      <c r="Q886" s="2"/>
      <c r="R886" s="2"/>
      <c r="S886" s="2"/>
      <c r="T886" s="2"/>
    </row>
    <row r="887" spans="1:20" ht="15.75" customHeight="1">
      <c r="A887" s="1"/>
      <c r="B887" s="2"/>
      <c r="C887" s="2"/>
      <c r="D887" s="2"/>
      <c r="E887" s="2"/>
      <c r="F887" s="2"/>
      <c r="G887" s="2"/>
      <c r="H887" s="2"/>
      <c r="I887" s="2"/>
      <c r="J887" s="2"/>
      <c r="K887" s="2"/>
      <c r="L887" s="2"/>
      <c r="M887" s="2"/>
      <c r="N887" s="2"/>
      <c r="O887" s="2"/>
      <c r="P887" s="2"/>
      <c r="Q887" s="2"/>
      <c r="R887" s="2"/>
      <c r="S887" s="2"/>
      <c r="T887" s="2"/>
    </row>
    <row r="888" spans="1:20" ht="15.75" customHeight="1">
      <c r="A888" s="1"/>
      <c r="B888" s="2"/>
      <c r="C888" s="2"/>
      <c r="D888" s="2"/>
      <c r="E888" s="2"/>
      <c r="F888" s="2"/>
      <c r="G888" s="2"/>
      <c r="H888" s="2"/>
      <c r="I888" s="2"/>
      <c r="J888" s="2"/>
      <c r="K888" s="2"/>
      <c r="L888" s="2"/>
      <c r="M888" s="2"/>
      <c r="N888" s="2"/>
      <c r="O888" s="2"/>
      <c r="P888" s="2"/>
      <c r="Q888" s="2"/>
      <c r="R888" s="2"/>
      <c r="S888" s="2"/>
      <c r="T888" s="2"/>
    </row>
    <row r="889" spans="1:20" ht="15.75" customHeight="1">
      <c r="A889" s="1"/>
      <c r="B889" s="2"/>
      <c r="C889" s="2"/>
      <c r="D889" s="2"/>
      <c r="E889" s="2"/>
      <c r="F889" s="2"/>
      <c r="G889" s="2"/>
      <c r="H889" s="2"/>
      <c r="I889" s="2"/>
      <c r="J889" s="2"/>
      <c r="K889" s="2"/>
      <c r="L889" s="2"/>
      <c r="M889" s="2"/>
      <c r="N889" s="2"/>
      <c r="O889" s="2"/>
      <c r="P889" s="2"/>
      <c r="Q889" s="2"/>
      <c r="R889" s="2"/>
      <c r="S889" s="2"/>
      <c r="T889" s="2"/>
    </row>
    <row r="890" spans="1:20" ht="15.75" customHeight="1">
      <c r="A890" s="1"/>
      <c r="B890" s="2"/>
      <c r="C890" s="2"/>
      <c r="D890" s="2"/>
      <c r="E890" s="2"/>
      <c r="F890" s="2"/>
      <c r="G890" s="2"/>
      <c r="H890" s="2"/>
      <c r="I890" s="2"/>
      <c r="J890" s="2"/>
      <c r="K890" s="2"/>
      <c r="L890" s="2"/>
      <c r="M890" s="2"/>
      <c r="N890" s="2"/>
      <c r="O890" s="2"/>
      <c r="P890" s="2"/>
      <c r="Q890" s="2"/>
      <c r="R890" s="2"/>
      <c r="S890" s="2"/>
      <c r="T890" s="2"/>
    </row>
    <row r="891" spans="1:20" ht="15.75" customHeight="1">
      <c r="A891" s="1"/>
      <c r="B891" s="2"/>
      <c r="C891" s="2"/>
      <c r="D891" s="2"/>
      <c r="E891" s="2"/>
      <c r="F891" s="2"/>
      <c r="G891" s="2"/>
      <c r="H891" s="2"/>
      <c r="I891" s="2"/>
      <c r="J891" s="2"/>
      <c r="K891" s="2"/>
      <c r="L891" s="2"/>
      <c r="M891" s="2"/>
      <c r="N891" s="2"/>
      <c r="O891" s="2"/>
      <c r="P891" s="2"/>
      <c r="Q891" s="2"/>
      <c r="R891" s="2"/>
      <c r="S891" s="2"/>
      <c r="T891" s="2"/>
    </row>
    <row r="892" spans="1:20" ht="15.75" customHeight="1">
      <c r="A892" s="1"/>
      <c r="B892" s="2"/>
      <c r="C892" s="2"/>
      <c r="D892" s="2"/>
      <c r="E892" s="2"/>
      <c r="F892" s="2"/>
      <c r="G892" s="2"/>
      <c r="H892" s="2"/>
      <c r="I892" s="2"/>
      <c r="J892" s="2"/>
      <c r="K892" s="2"/>
      <c r="L892" s="2"/>
      <c r="M892" s="2"/>
      <c r="N892" s="2"/>
      <c r="O892" s="2"/>
      <c r="P892" s="2"/>
      <c r="Q892" s="2"/>
      <c r="R892" s="2"/>
      <c r="S892" s="2"/>
      <c r="T892" s="2"/>
    </row>
    <row r="893" spans="1:20" ht="15.75" customHeight="1">
      <c r="A893" s="1"/>
      <c r="B893" s="2"/>
      <c r="C893" s="2"/>
      <c r="D893" s="2"/>
      <c r="E893" s="2"/>
      <c r="F893" s="2"/>
      <c r="G893" s="2"/>
      <c r="H893" s="2"/>
      <c r="I893" s="2"/>
      <c r="J893" s="2"/>
      <c r="K893" s="2"/>
      <c r="L893" s="2"/>
      <c r="M893" s="2"/>
      <c r="N893" s="2"/>
      <c r="O893" s="2"/>
      <c r="P893" s="2"/>
      <c r="Q893" s="2"/>
      <c r="R893" s="2"/>
      <c r="S893" s="2"/>
      <c r="T893" s="2"/>
    </row>
    <row r="894" spans="1:20" ht="15.75" customHeight="1">
      <c r="A894" s="1"/>
      <c r="B894" s="2"/>
      <c r="C894" s="2"/>
      <c r="D894" s="2"/>
      <c r="E894" s="2"/>
      <c r="F894" s="2"/>
      <c r="G894" s="2"/>
      <c r="H894" s="2"/>
      <c r="I894" s="2"/>
      <c r="J894" s="2"/>
      <c r="K894" s="2"/>
      <c r="L894" s="2"/>
      <c r="M894" s="2"/>
      <c r="N894" s="2"/>
      <c r="O894" s="2"/>
      <c r="P894" s="2"/>
      <c r="Q894" s="2"/>
      <c r="R894" s="2"/>
      <c r="S894" s="2"/>
      <c r="T894" s="2"/>
    </row>
    <row r="895" spans="1:20" ht="15.75" customHeight="1">
      <c r="A895" s="1"/>
      <c r="B895" s="2"/>
      <c r="C895" s="2"/>
      <c r="D895" s="2"/>
      <c r="E895" s="2"/>
      <c r="F895" s="2"/>
      <c r="G895" s="2"/>
      <c r="H895" s="2"/>
      <c r="I895" s="2"/>
      <c r="J895" s="2"/>
      <c r="K895" s="2"/>
      <c r="L895" s="2"/>
      <c r="M895" s="2"/>
      <c r="N895" s="2"/>
      <c r="O895" s="2"/>
      <c r="P895" s="2"/>
      <c r="Q895" s="2"/>
      <c r="R895" s="2"/>
      <c r="S895" s="2"/>
      <c r="T895" s="2"/>
    </row>
    <row r="896" spans="1:20" ht="15.75" customHeight="1">
      <c r="A896" s="1"/>
      <c r="B896" s="2"/>
      <c r="C896" s="2"/>
      <c r="D896" s="2"/>
      <c r="E896" s="2"/>
      <c r="F896" s="2"/>
      <c r="G896" s="2"/>
      <c r="H896" s="2"/>
      <c r="I896" s="2"/>
      <c r="J896" s="2"/>
      <c r="K896" s="2"/>
      <c r="L896" s="2"/>
      <c r="M896" s="2"/>
      <c r="N896" s="2"/>
      <c r="O896" s="2"/>
      <c r="P896" s="2"/>
      <c r="Q896" s="2"/>
      <c r="R896" s="2"/>
      <c r="S896" s="2"/>
      <c r="T896" s="2"/>
    </row>
    <row r="897" spans="1:20" ht="15.75" customHeight="1">
      <c r="A897" s="1"/>
      <c r="B897" s="2"/>
      <c r="C897" s="2"/>
      <c r="D897" s="2"/>
      <c r="E897" s="2"/>
      <c r="F897" s="2"/>
      <c r="G897" s="2"/>
      <c r="H897" s="2"/>
      <c r="I897" s="2"/>
      <c r="J897" s="2"/>
      <c r="K897" s="2"/>
      <c r="L897" s="2"/>
      <c r="M897" s="2"/>
      <c r="N897" s="2"/>
      <c r="O897" s="2"/>
      <c r="P897" s="2"/>
      <c r="Q897" s="2"/>
      <c r="R897" s="2"/>
      <c r="S897" s="2"/>
      <c r="T897" s="2"/>
    </row>
    <row r="898" spans="1:20" ht="15.75" customHeight="1">
      <c r="A898" s="1"/>
      <c r="B898" s="2"/>
      <c r="C898" s="2"/>
      <c r="D898" s="2"/>
      <c r="E898" s="2"/>
      <c r="F898" s="2"/>
      <c r="G898" s="2"/>
      <c r="H898" s="2"/>
      <c r="I898" s="2"/>
      <c r="J898" s="2"/>
      <c r="K898" s="2"/>
      <c r="L898" s="2"/>
      <c r="M898" s="2"/>
      <c r="N898" s="2"/>
      <c r="O898" s="2"/>
      <c r="P898" s="2"/>
      <c r="Q898" s="2"/>
      <c r="R898" s="2"/>
      <c r="S898" s="2"/>
      <c r="T898" s="2"/>
    </row>
    <row r="899" spans="1:20" ht="15.75" customHeight="1">
      <c r="A899" s="1"/>
      <c r="B899" s="2"/>
      <c r="C899" s="2"/>
      <c r="D899" s="2"/>
      <c r="E899" s="2"/>
      <c r="F899" s="2"/>
      <c r="G899" s="2"/>
      <c r="H899" s="2"/>
      <c r="I899" s="2"/>
      <c r="J899" s="2"/>
      <c r="K899" s="2"/>
      <c r="L899" s="2"/>
      <c r="M899" s="2"/>
      <c r="N899" s="2"/>
      <c r="O899" s="2"/>
      <c r="P899" s="2"/>
      <c r="Q899" s="2"/>
      <c r="R899" s="2"/>
      <c r="S899" s="2"/>
      <c r="T899" s="2"/>
    </row>
    <row r="900" spans="1:20" ht="15.75" customHeight="1">
      <c r="A900" s="1"/>
      <c r="B900" s="2"/>
      <c r="C900" s="2"/>
      <c r="D900" s="2"/>
      <c r="E900" s="2"/>
      <c r="F900" s="2"/>
      <c r="G900" s="2"/>
      <c r="H900" s="2"/>
      <c r="I900" s="2"/>
      <c r="J900" s="2"/>
      <c r="K900" s="2"/>
      <c r="L900" s="2"/>
      <c r="M900" s="2"/>
      <c r="N900" s="2"/>
      <c r="O900" s="2"/>
      <c r="P900" s="2"/>
      <c r="Q900" s="2"/>
      <c r="R900" s="2"/>
      <c r="S900" s="2"/>
      <c r="T900" s="2"/>
    </row>
    <row r="901" spans="1:20" ht="15.75" customHeight="1">
      <c r="A901" s="1"/>
      <c r="B901" s="2"/>
      <c r="C901" s="2"/>
      <c r="D901" s="2"/>
      <c r="E901" s="2"/>
      <c r="F901" s="2"/>
      <c r="G901" s="2"/>
      <c r="H901" s="2"/>
      <c r="I901" s="2"/>
      <c r="J901" s="2"/>
      <c r="K901" s="2"/>
      <c r="L901" s="2"/>
      <c r="M901" s="2"/>
      <c r="N901" s="2"/>
      <c r="O901" s="2"/>
      <c r="P901" s="2"/>
      <c r="Q901" s="2"/>
      <c r="R901" s="2"/>
      <c r="S901" s="2"/>
      <c r="T901" s="2"/>
    </row>
    <row r="902" spans="1:20" ht="15.75" customHeight="1">
      <c r="A902" s="1"/>
      <c r="B902" s="2"/>
      <c r="C902" s="2"/>
      <c r="D902" s="2"/>
      <c r="E902" s="2"/>
      <c r="F902" s="2"/>
      <c r="G902" s="2"/>
      <c r="H902" s="2"/>
      <c r="I902" s="2"/>
      <c r="J902" s="2"/>
      <c r="K902" s="2"/>
      <c r="L902" s="2"/>
      <c r="M902" s="2"/>
      <c r="N902" s="2"/>
      <c r="O902" s="2"/>
      <c r="P902" s="2"/>
      <c r="Q902" s="2"/>
      <c r="R902" s="2"/>
      <c r="S902" s="2"/>
      <c r="T902" s="2"/>
    </row>
    <row r="903" spans="1:20" ht="15.75" customHeight="1">
      <c r="A903" s="1"/>
      <c r="B903" s="2"/>
      <c r="C903" s="2"/>
      <c r="D903" s="2"/>
      <c r="E903" s="2"/>
      <c r="F903" s="2"/>
      <c r="G903" s="2"/>
      <c r="H903" s="2"/>
      <c r="I903" s="2"/>
      <c r="J903" s="2"/>
      <c r="K903" s="2"/>
      <c r="L903" s="2"/>
      <c r="M903" s="2"/>
      <c r="N903" s="2"/>
      <c r="O903" s="2"/>
      <c r="P903" s="2"/>
      <c r="Q903" s="2"/>
      <c r="R903" s="2"/>
      <c r="S903" s="2"/>
      <c r="T903" s="2"/>
    </row>
    <row r="904" spans="1:20" ht="15.75" customHeight="1">
      <c r="A904" s="1"/>
      <c r="B904" s="2"/>
      <c r="C904" s="2"/>
      <c r="D904" s="2"/>
      <c r="E904" s="2"/>
      <c r="F904" s="2"/>
      <c r="G904" s="2"/>
      <c r="H904" s="2"/>
      <c r="I904" s="2"/>
      <c r="J904" s="2"/>
      <c r="K904" s="2"/>
      <c r="L904" s="2"/>
      <c r="M904" s="2"/>
      <c r="N904" s="2"/>
      <c r="O904" s="2"/>
      <c r="P904" s="2"/>
      <c r="Q904" s="2"/>
      <c r="R904" s="2"/>
      <c r="S904" s="2"/>
      <c r="T904" s="2"/>
    </row>
    <row r="905" spans="1:20" ht="15.75" customHeight="1">
      <c r="A905" s="1"/>
      <c r="B905" s="2"/>
      <c r="C905" s="2"/>
      <c r="D905" s="2"/>
      <c r="E905" s="2"/>
      <c r="F905" s="2"/>
      <c r="G905" s="2"/>
      <c r="H905" s="2"/>
      <c r="I905" s="2"/>
      <c r="J905" s="2"/>
      <c r="K905" s="2"/>
      <c r="L905" s="2"/>
      <c r="M905" s="2"/>
      <c r="N905" s="2"/>
      <c r="O905" s="2"/>
      <c r="P905" s="2"/>
      <c r="Q905" s="2"/>
      <c r="R905" s="2"/>
      <c r="S905" s="2"/>
      <c r="T905" s="2"/>
    </row>
    <row r="906" spans="1:20" ht="15.75" customHeight="1">
      <c r="A906" s="1"/>
      <c r="B906" s="2"/>
      <c r="C906" s="2"/>
      <c r="D906" s="2"/>
      <c r="E906" s="2"/>
      <c r="F906" s="2"/>
      <c r="G906" s="2"/>
      <c r="H906" s="2"/>
      <c r="I906" s="2"/>
      <c r="J906" s="2"/>
      <c r="K906" s="2"/>
      <c r="L906" s="2"/>
      <c r="M906" s="2"/>
      <c r="N906" s="2"/>
      <c r="O906" s="2"/>
      <c r="P906" s="2"/>
      <c r="Q906" s="2"/>
      <c r="R906" s="2"/>
      <c r="S906" s="2"/>
      <c r="T906" s="2"/>
    </row>
    <row r="907" spans="1:20" ht="15.75" customHeight="1">
      <c r="A907" s="1"/>
      <c r="B907" s="2"/>
      <c r="C907" s="2"/>
      <c r="D907" s="2"/>
      <c r="E907" s="2"/>
      <c r="F907" s="2"/>
      <c r="G907" s="2"/>
      <c r="H907" s="2"/>
      <c r="I907" s="2"/>
      <c r="J907" s="2"/>
      <c r="K907" s="2"/>
      <c r="L907" s="2"/>
      <c r="M907" s="2"/>
      <c r="N907" s="2"/>
      <c r="O907" s="2"/>
      <c r="P907" s="2"/>
      <c r="Q907" s="2"/>
      <c r="R907" s="2"/>
      <c r="S907" s="2"/>
      <c r="T907" s="2"/>
    </row>
    <row r="908" spans="1:20" ht="15.75" customHeight="1">
      <c r="A908" s="1"/>
      <c r="B908" s="2"/>
      <c r="C908" s="2"/>
      <c r="D908" s="2"/>
      <c r="E908" s="2"/>
      <c r="F908" s="2"/>
      <c r="G908" s="2"/>
      <c r="H908" s="2"/>
      <c r="I908" s="2"/>
      <c r="J908" s="2"/>
      <c r="K908" s="2"/>
      <c r="L908" s="2"/>
      <c r="M908" s="2"/>
      <c r="N908" s="2"/>
      <c r="O908" s="2"/>
      <c r="P908" s="2"/>
      <c r="Q908" s="2"/>
      <c r="R908" s="2"/>
      <c r="S908" s="2"/>
      <c r="T908" s="2"/>
    </row>
    <row r="909" spans="1:20" ht="15.75" customHeight="1">
      <c r="A909" s="1"/>
      <c r="B909" s="2"/>
      <c r="C909" s="2"/>
      <c r="D909" s="2"/>
      <c r="E909" s="2"/>
      <c r="F909" s="2"/>
      <c r="G909" s="2"/>
      <c r="H909" s="2"/>
      <c r="I909" s="2"/>
      <c r="J909" s="2"/>
      <c r="K909" s="2"/>
      <c r="L909" s="2"/>
      <c r="M909" s="2"/>
      <c r="N909" s="2"/>
      <c r="O909" s="2"/>
      <c r="P909" s="2"/>
      <c r="Q909" s="2"/>
      <c r="R909" s="2"/>
      <c r="S909" s="2"/>
      <c r="T909" s="2"/>
    </row>
    <row r="910" spans="1:20" ht="15.75" customHeight="1">
      <c r="A910" s="1"/>
      <c r="B910" s="2"/>
      <c r="C910" s="2"/>
      <c r="D910" s="2"/>
      <c r="E910" s="2"/>
      <c r="F910" s="2"/>
      <c r="G910" s="2"/>
      <c r="H910" s="2"/>
      <c r="I910" s="2"/>
      <c r="J910" s="2"/>
      <c r="K910" s="2"/>
      <c r="L910" s="2"/>
      <c r="M910" s="2"/>
      <c r="N910" s="2"/>
      <c r="O910" s="2"/>
      <c r="P910" s="2"/>
      <c r="Q910" s="2"/>
      <c r="R910" s="2"/>
      <c r="S910" s="2"/>
      <c r="T910" s="2"/>
    </row>
    <row r="911" spans="1:20" ht="15.75" customHeight="1">
      <c r="A911" s="1"/>
      <c r="B911" s="2"/>
      <c r="C911" s="2"/>
      <c r="D911" s="2"/>
      <c r="E911" s="2"/>
      <c r="F911" s="2"/>
      <c r="G911" s="2"/>
      <c r="H911" s="2"/>
      <c r="I911" s="2"/>
      <c r="J911" s="2"/>
      <c r="K911" s="2"/>
      <c r="L911" s="2"/>
      <c r="M911" s="2"/>
      <c r="N911" s="2"/>
      <c r="O911" s="2"/>
      <c r="P911" s="2"/>
      <c r="Q911" s="2"/>
      <c r="R911" s="2"/>
      <c r="S911" s="2"/>
      <c r="T911" s="2"/>
    </row>
    <row r="912" spans="1:20" ht="15.75" customHeight="1">
      <c r="A912" s="1"/>
      <c r="B912" s="2"/>
      <c r="C912" s="2"/>
      <c r="D912" s="2"/>
      <c r="E912" s="2"/>
      <c r="F912" s="2"/>
      <c r="G912" s="2"/>
      <c r="H912" s="2"/>
      <c r="I912" s="2"/>
      <c r="J912" s="2"/>
      <c r="K912" s="2"/>
      <c r="L912" s="2"/>
      <c r="M912" s="2"/>
      <c r="N912" s="2"/>
      <c r="O912" s="2"/>
      <c r="P912" s="2"/>
      <c r="Q912" s="2"/>
      <c r="R912" s="2"/>
      <c r="S912" s="2"/>
      <c r="T912" s="2"/>
    </row>
    <row r="913" spans="1:20" ht="15.75" customHeight="1">
      <c r="A913" s="1"/>
      <c r="B913" s="2"/>
      <c r="C913" s="2"/>
      <c r="D913" s="2"/>
      <c r="E913" s="2"/>
      <c r="F913" s="2"/>
      <c r="G913" s="2"/>
      <c r="H913" s="2"/>
      <c r="I913" s="2"/>
      <c r="J913" s="2"/>
      <c r="K913" s="2"/>
      <c r="L913" s="2"/>
      <c r="M913" s="2"/>
      <c r="N913" s="2"/>
      <c r="O913" s="2"/>
      <c r="P913" s="2"/>
      <c r="Q913" s="2"/>
      <c r="R913" s="2"/>
      <c r="S913" s="2"/>
      <c r="T913" s="2"/>
    </row>
    <row r="914" spans="1:20" ht="15.75" customHeight="1">
      <c r="A914" s="1"/>
      <c r="B914" s="2"/>
      <c r="C914" s="2"/>
      <c r="D914" s="2"/>
      <c r="E914" s="2"/>
      <c r="F914" s="2"/>
      <c r="G914" s="2"/>
      <c r="H914" s="2"/>
      <c r="I914" s="2"/>
      <c r="J914" s="2"/>
      <c r="K914" s="2"/>
      <c r="L914" s="2"/>
      <c r="M914" s="2"/>
      <c r="N914" s="2"/>
      <c r="O914" s="2"/>
      <c r="P914" s="2"/>
      <c r="Q914" s="2"/>
      <c r="R914" s="2"/>
      <c r="S914" s="2"/>
      <c r="T914" s="2"/>
    </row>
    <row r="915" spans="1:20" ht="15.75" customHeight="1">
      <c r="A915" s="1"/>
      <c r="B915" s="2"/>
      <c r="C915" s="2"/>
      <c r="D915" s="2"/>
      <c r="E915" s="2"/>
      <c r="F915" s="2"/>
      <c r="G915" s="2"/>
      <c r="H915" s="2"/>
      <c r="I915" s="2"/>
      <c r="J915" s="2"/>
      <c r="K915" s="2"/>
      <c r="L915" s="2"/>
      <c r="M915" s="2"/>
      <c r="N915" s="2"/>
      <c r="O915" s="2"/>
      <c r="P915" s="2"/>
      <c r="Q915" s="2"/>
      <c r="R915" s="2"/>
      <c r="S915" s="2"/>
      <c r="T915" s="2"/>
    </row>
    <row r="916" spans="1:20" ht="15.75" customHeight="1">
      <c r="A916" s="1"/>
      <c r="B916" s="2"/>
      <c r="C916" s="2"/>
      <c r="D916" s="2"/>
      <c r="E916" s="2"/>
      <c r="F916" s="2"/>
      <c r="G916" s="2"/>
      <c r="H916" s="2"/>
      <c r="I916" s="2"/>
      <c r="J916" s="2"/>
      <c r="K916" s="2"/>
      <c r="L916" s="2"/>
      <c r="M916" s="2"/>
      <c r="N916" s="2"/>
      <c r="O916" s="2"/>
      <c r="P916" s="2"/>
      <c r="Q916" s="2"/>
      <c r="R916" s="2"/>
      <c r="S916" s="2"/>
      <c r="T916" s="2"/>
    </row>
    <row r="917" spans="1:20" ht="15.75" customHeight="1">
      <c r="A917" s="1"/>
      <c r="B917" s="2"/>
      <c r="C917" s="2"/>
      <c r="D917" s="2"/>
      <c r="E917" s="2"/>
      <c r="F917" s="2"/>
      <c r="G917" s="2"/>
      <c r="H917" s="2"/>
      <c r="I917" s="2"/>
      <c r="J917" s="2"/>
      <c r="K917" s="2"/>
      <c r="L917" s="2"/>
      <c r="M917" s="2"/>
      <c r="N917" s="2"/>
      <c r="O917" s="2"/>
      <c r="P917" s="2"/>
      <c r="Q917" s="2"/>
      <c r="R917" s="2"/>
      <c r="S917" s="2"/>
      <c r="T917" s="2"/>
    </row>
    <row r="918" spans="1:20" ht="15.75" customHeight="1">
      <c r="A918" s="1"/>
      <c r="B918" s="2"/>
      <c r="C918" s="2"/>
      <c r="D918" s="2"/>
      <c r="E918" s="2"/>
      <c r="F918" s="2"/>
      <c r="G918" s="2"/>
      <c r="H918" s="2"/>
      <c r="I918" s="2"/>
      <c r="J918" s="2"/>
      <c r="K918" s="2"/>
      <c r="L918" s="2"/>
      <c r="M918" s="2"/>
      <c r="N918" s="2"/>
      <c r="O918" s="2"/>
      <c r="P918" s="2"/>
      <c r="Q918" s="2"/>
      <c r="R918" s="2"/>
      <c r="S918" s="2"/>
      <c r="T918" s="2"/>
    </row>
    <row r="919" spans="1:20" ht="15.75" customHeight="1">
      <c r="A919" s="1"/>
      <c r="B919" s="2"/>
      <c r="C919" s="2"/>
      <c r="D919" s="2"/>
      <c r="E919" s="2"/>
      <c r="F919" s="2"/>
      <c r="G919" s="2"/>
      <c r="H919" s="2"/>
      <c r="I919" s="2"/>
      <c r="J919" s="2"/>
      <c r="K919" s="2"/>
      <c r="L919" s="2"/>
      <c r="M919" s="2"/>
      <c r="N919" s="2"/>
      <c r="O919" s="2"/>
      <c r="P919" s="2"/>
      <c r="Q919" s="2"/>
      <c r="R919" s="2"/>
      <c r="S919" s="2"/>
      <c r="T919" s="2"/>
    </row>
    <row r="920" spans="1:20" ht="15.75" customHeight="1">
      <c r="A920" s="1"/>
      <c r="B920" s="2"/>
      <c r="C920" s="2"/>
      <c r="D920" s="2"/>
      <c r="E920" s="2"/>
      <c r="F920" s="2"/>
      <c r="G920" s="2"/>
      <c r="H920" s="2"/>
      <c r="I920" s="2"/>
      <c r="J920" s="2"/>
      <c r="K920" s="2"/>
      <c r="L920" s="2"/>
      <c r="M920" s="2"/>
      <c r="N920" s="2"/>
      <c r="O920" s="2"/>
      <c r="P920" s="2"/>
      <c r="Q920" s="2"/>
      <c r="R920" s="2"/>
      <c r="S920" s="2"/>
      <c r="T920" s="2"/>
    </row>
    <row r="921" spans="1:20" ht="15.75" customHeight="1">
      <c r="A921" s="1"/>
      <c r="B921" s="2"/>
      <c r="C921" s="2"/>
      <c r="D921" s="2"/>
      <c r="E921" s="2"/>
      <c r="F921" s="2"/>
      <c r="G921" s="2"/>
      <c r="H921" s="2"/>
      <c r="I921" s="2"/>
      <c r="J921" s="2"/>
      <c r="K921" s="2"/>
      <c r="L921" s="2"/>
      <c r="M921" s="2"/>
      <c r="N921" s="2"/>
      <c r="O921" s="2"/>
      <c r="P921" s="2"/>
      <c r="Q921" s="2"/>
      <c r="R921" s="2"/>
      <c r="S921" s="2"/>
      <c r="T921" s="2"/>
    </row>
    <row r="922" spans="1:20" ht="15.75" customHeight="1">
      <c r="A922" s="1"/>
      <c r="B922" s="2"/>
      <c r="C922" s="2"/>
      <c r="D922" s="2"/>
      <c r="E922" s="2"/>
      <c r="F922" s="2"/>
      <c r="G922" s="2"/>
      <c r="H922" s="2"/>
      <c r="I922" s="2"/>
      <c r="J922" s="2"/>
      <c r="K922" s="2"/>
      <c r="L922" s="2"/>
      <c r="M922" s="2"/>
      <c r="N922" s="2"/>
      <c r="O922" s="2"/>
      <c r="P922" s="2"/>
      <c r="Q922" s="2"/>
      <c r="R922" s="2"/>
      <c r="S922" s="2"/>
      <c r="T922" s="2"/>
    </row>
    <row r="923" spans="1:20" ht="15.75" customHeight="1">
      <c r="A923" s="1"/>
      <c r="B923" s="2"/>
      <c r="C923" s="2"/>
      <c r="D923" s="2"/>
      <c r="E923" s="2"/>
      <c r="F923" s="2"/>
      <c r="G923" s="2"/>
      <c r="H923" s="2"/>
      <c r="I923" s="2"/>
      <c r="J923" s="2"/>
      <c r="K923" s="2"/>
      <c r="L923" s="2"/>
      <c r="M923" s="2"/>
      <c r="N923" s="2"/>
      <c r="O923" s="2"/>
      <c r="P923" s="2"/>
      <c r="Q923" s="2"/>
      <c r="R923" s="2"/>
      <c r="S923" s="2"/>
      <c r="T923" s="2"/>
    </row>
    <row r="924" spans="1:20" ht="15.75" customHeight="1">
      <c r="A924" s="1"/>
      <c r="B924" s="2"/>
      <c r="C924" s="2"/>
      <c r="D924" s="2"/>
      <c r="E924" s="2"/>
      <c r="F924" s="2"/>
      <c r="G924" s="2"/>
      <c r="H924" s="2"/>
      <c r="I924" s="2"/>
      <c r="J924" s="2"/>
      <c r="K924" s="2"/>
      <c r="L924" s="2"/>
      <c r="M924" s="2"/>
      <c r="N924" s="2"/>
      <c r="O924" s="2"/>
      <c r="P924" s="2"/>
      <c r="Q924" s="2"/>
      <c r="R924" s="2"/>
      <c r="S924" s="2"/>
      <c r="T924" s="2"/>
    </row>
    <row r="925" spans="1:20" ht="15.75" customHeight="1">
      <c r="A925" s="1"/>
      <c r="B925" s="2"/>
      <c r="C925" s="2"/>
      <c r="D925" s="2"/>
      <c r="E925" s="2"/>
      <c r="F925" s="2"/>
      <c r="G925" s="2"/>
      <c r="H925" s="2"/>
      <c r="I925" s="2"/>
      <c r="J925" s="2"/>
      <c r="K925" s="2"/>
      <c r="L925" s="2"/>
      <c r="M925" s="2"/>
      <c r="N925" s="2"/>
      <c r="O925" s="2"/>
      <c r="P925" s="2"/>
      <c r="Q925" s="2"/>
      <c r="R925" s="2"/>
      <c r="S925" s="2"/>
      <c r="T925" s="2"/>
    </row>
    <row r="926" spans="1:20" ht="15.75" customHeight="1">
      <c r="A926" s="1"/>
      <c r="B926" s="2"/>
      <c r="C926" s="2"/>
      <c r="D926" s="2"/>
      <c r="E926" s="2"/>
      <c r="F926" s="2"/>
      <c r="G926" s="2"/>
      <c r="H926" s="2"/>
      <c r="I926" s="2"/>
      <c r="J926" s="2"/>
      <c r="K926" s="2"/>
      <c r="L926" s="2"/>
      <c r="M926" s="2"/>
      <c r="N926" s="2"/>
      <c r="O926" s="2"/>
      <c r="P926" s="2"/>
      <c r="Q926" s="2"/>
      <c r="R926" s="2"/>
      <c r="S926" s="2"/>
      <c r="T926" s="2"/>
    </row>
    <row r="927" spans="1:20" ht="15.75" customHeight="1">
      <c r="A927" s="1"/>
      <c r="B927" s="2"/>
      <c r="C927" s="2"/>
      <c r="D927" s="2"/>
      <c r="E927" s="2"/>
      <c r="F927" s="2"/>
      <c r="G927" s="2"/>
      <c r="H927" s="2"/>
      <c r="I927" s="2"/>
      <c r="J927" s="2"/>
      <c r="K927" s="2"/>
      <c r="L927" s="2"/>
      <c r="M927" s="2"/>
      <c r="N927" s="2"/>
      <c r="O927" s="2"/>
      <c r="P927" s="2"/>
      <c r="Q927" s="2"/>
      <c r="R927" s="2"/>
      <c r="S927" s="2"/>
      <c r="T927" s="2"/>
    </row>
    <row r="928" spans="1:20" ht="15.75" customHeight="1">
      <c r="A928" s="1"/>
      <c r="B928" s="2"/>
      <c r="C928" s="2"/>
      <c r="D928" s="2"/>
      <c r="E928" s="2"/>
      <c r="F928" s="2"/>
      <c r="G928" s="2"/>
      <c r="H928" s="2"/>
      <c r="I928" s="2"/>
      <c r="J928" s="2"/>
      <c r="K928" s="2"/>
      <c r="L928" s="2"/>
      <c r="M928" s="2"/>
      <c r="N928" s="2"/>
      <c r="O928" s="2"/>
      <c r="P928" s="2"/>
      <c r="Q928" s="2"/>
      <c r="R928" s="2"/>
      <c r="S928" s="2"/>
      <c r="T928" s="2"/>
    </row>
    <row r="929" spans="1:20" ht="15.75" customHeight="1">
      <c r="A929" s="1"/>
      <c r="B929" s="2"/>
      <c r="C929" s="2"/>
      <c r="D929" s="2"/>
      <c r="E929" s="2"/>
      <c r="F929" s="2"/>
      <c r="G929" s="2"/>
      <c r="H929" s="2"/>
      <c r="I929" s="2"/>
      <c r="J929" s="2"/>
      <c r="K929" s="2"/>
      <c r="L929" s="2"/>
      <c r="M929" s="2"/>
      <c r="N929" s="2"/>
      <c r="O929" s="2"/>
      <c r="P929" s="2"/>
      <c r="Q929" s="2"/>
      <c r="R929" s="2"/>
      <c r="S929" s="2"/>
      <c r="T929" s="2"/>
    </row>
    <row r="930" spans="1:20" ht="15.75" customHeight="1">
      <c r="A930" s="1"/>
      <c r="B930" s="2"/>
      <c r="C930" s="2"/>
      <c r="D930" s="2"/>
      <c r="E930" s="2"/>
      <c r="F930" s="2"/>
      <c r="G930" s="2"/>
      <c r="H930" s="2"/>
      <c r="I930" s="2"/>
      <c r="J930" s="2"/>
      <c r="K930" s="2"/>
      <c r="L930" s="2"/>
      <c r="M930" s="2"/>
      <c r="N930" s="2"/>
      <c r="O930" s="2"/>
      <c r="P930" s="2"/>
      <c r="Q930" s="2"/>
      <c r="R930" s="2"/>
      <c r="S930" s="2"/>
      <c r="T930" s="2"/>
    </row>
    <row r="931" spans="1:20" ht="15.75" customHeight="1">
      <c r="A931" s="1"/>
      <c r="B931" s="2"/>
      <c r="C931" s="2"/>
      <c r="D931" s="2"/>
      <c r="E931" s="2"/>
      <c r="F931" s="2"/>
      <c r="G931" s="2"/>
      <c r="H931" s="2"/>
      <c r="I931" s="2"/>
      <c r="J931" s="2"/>
      <c r="K931" s="2"/>
      <c r="L931" s="2"/>
      <c r="M931" s="2"/>
      <c r="N931" s="2"/>
      <c r="O931" s="2"/>
      <c r="P931" s="2"/>
      <c r="Q931" s="2"/>
      <c r="R931" s="2"/>
      <c r="S931" s="2"/>
      <c r="T931" s="2"/>
    </row>
    <row r="932" spans="1:20" ht="15.75" customHeight="1">
      <c r="A932" s="1"/>
      <c r="B932" s="2"/>
      <c r="C932" s="2"/>
      <c r="D932" s="2"/>
      <c r="E932" s="2"/>
      <c r="F932" s="2"/>
      <c r="G932" s="2"/>
      <c r="H932" s="2"/>
      <c r="I932" s="2"/>
      <c r="J932" s="2"/>
      <c r="K932" s="2"/>
      <c r="L932" s="2"/>
      <c r="M932" s="2"/>
      <c r="N932" s="2"/>
      <c r="O932" s="2"/>
      <c r="P932" s="2"/>
      <c r="Q932" s="2"/>
      <c r="R932" s="2"/>
      <c r="S932" s="2"/>
      <c r="T932" s="2"/>
    </row>
    <row r="933" spans="1:20" ht="15.75" customHeight="1">
      <c r="A933" s="1"/>
      <c r="B933" s="2"/>
      <c r="C933" s="2"/>
      <c r="D933" s="2"/>
      <c r="E933" s="2"/>
      <c r="F933" s="2"/>
      <c r="G933" s="2"/>
      <c r="H933" s="2"/>
      <c r="I933" s="2"/>
      <c r="J933" s="2"/>
      <c r="K933" s="2"/>
      <c r="L933" s="2"/>
      <c r="M933" s="2"/>
      <c r="N933" s="2"/>
      <c r="O933" s="2"/>
      <c r="P933" s="2"/>
      <c r="Q933" s="2"/>
      <c r="R933" s="2"/>
      <c r="S933" s="2"/>
      <c r="T933" s="2"/>
    </row>
    <row r="934" spans="1:20" ht="15.75" customHeight="1">
      <c r="A934" s="1"/>
      <c r="B934" s="2"/>
      <c r="C934" s="2"/>
      <c r="D934" s="2"/>
      <c r="E934" s="2"/>
      <c r="F934" s="2"/>
      <c r="G934" s="2"/>
      <c r="H934" s="2"/>
      <c r="I934" s="2"/>
      <c r="J934" s="2"/>
      <c r="K934" s="2"/>
      <c r="L934" s="2"/>
      <c r="M934" s="2"/>
      <c r="N934" s="2"/>
      <c r="O934" s="2"/>
      <c r="P934" s="2"/>
      <c r="Q934" s="2"/>
      <c r="R934" s="2"/>
      <c r="S934" s="2"/>
      <c r="T934" s="2"/>
    </row>
    <row r="935" spans="1:20" ht="15.75" customHeight="1">
      <c r="A935" s="1"/>
      <c r="B935" s="2"/>
      <c r="C935" s="2"/>
      <c r="D935" s="2"/>
      <c r="E935" s="2"/>
      <c r="F935" s="2"/>
      <c r="G935" s="2"/>
      <c r="H935" s="2"/>
      <c r="I935" s="2"/>
      <c r="J935" s="2"/>
      <c r="K935" s="2"/>
      <c r="L935" s="2"/>
      <c r="M935" s="2"/>
      <c r="N935" s="2"/>
      <c r="O935" s="2"/>
      <c r="P935" s="2"/>
      <c r="Q935" s="2"/>
      <c r="R935" s="2"/>
      <c r="S935" s="2"/>
      <c r="T935" s="2"/>
    </row>
    <row r="936" spans="1:20" ht="15.75" customHeight="1">
      <c r="A936" s="1"/>
      <c r="B936" s="2"/>
      <c r="C936" s="2"/>
      <c r="D936" s="2"/>
      <c r="E936" s="2"/>
      <c r="F936" s="2"/>
      <c r="G936" s="2"/>
      <c r="H936" s="2"/>
      <c r="I936" s="2"/>
      <c r="J936" s="2"/>
      <c r="K936" s="2"/>
      <c r="L936" s="2"/>
      <c r="M936" s="2"/>
      <c r="N936" s="2"/>
      <c r="O936" s="2"/>
      <c r="P936" s="2"/>
      <c r="Q936" s="2"/>
      <c r="R936" s="2"/>
      <c r="S936" s="2"/>
      <c r="T936" s="2"/>
    </row>
    <row r="937" spans="1:20" ht="15.75" customHeight="1">
      <c r="A937" s="1"/>
      <c r="B937" s="2"/>
      <c r="C937" s="2"/>
      <c r="D937" s="2"/>
      <c r="E937" s="2"/>
      <c r="F937" s="2"/>
      <c r="G937" s="2"/>
      <c r="H937" s="2"/>
      <c r="I937" s="2"/>
      <c r="J937" s="2"/>
      <c r="K937" s="2"/>
      <c r="L937" s="2"/>
      <c r="M937" s="2"/>
      <c r="N937" s="2"/>
      <c r="O937" s="2"/>
      <c r="P937" s="2"/>
      <c r="Q937" s="2"/>
      <c r="R937" s="2"/>
      <c r="S937" s="2"/>
      <c r="T937" s="2"/>
    </row>
    <row r="938" spans="1:20" ht="15.75" customHeight="1">
      <c r="A938" s="1"/>
      <c r="B938" s="2"/>
      <c r="C938" s="2"/>
      <c r="D938" s="2"/>
      <c r="E938" s="2"/>
      <c r="F938" s="2"/>
      <c r="G938" s="2"/>
      <c r="H938" s="2"/>
      <c r="I938" s="2"/>
      <c r="J938" s="2"/>
      <c r="K938" s="2"/>
      <c r="L938" s="2"/>
      <c r="M938" s="2"/>
      <c r="N938" s="2"/>
      <c r="O938" s="2"/>
      <c r="P938" s="2"/>
      <c r="Q938" s="2"/>
      <c r="R938" s="2"/>
      <c r="S938" s="2"/>
      <c r="T938" s="2"/>
    </row>
    <row r="939" spans="1:20" ht="15.75" customHeight="1">
      <c r="A939" s="1"/>
      <c r="B939" s="2"/>
      <c r="C939" s="2"/>
      <c r="D939" s="2"/>
      <c r="E939" s="2"/>
      <c r="F939" s="2"/>
      <c r="G939" s="2"/>
      <c r="H939" s="2"/>
      <c r="I939" s="2"/>
      <c r="J939" s="2"/>
      <c r="K939" s="2"/>
      <c r="L939" s="2"/>
      <c r="M939" s="2"/>
      <c r="N939" s="2"/>
      <c r="O939" s="2"/>
      <c r="P939" s="2"/>
      <c r="Q939" s="2"/>
      <c r="R939" s="2"/>
      <c r="S939" s="2"/>
      <c r="T939" s="2"/>
    </row>
    <row r="940" spans="1:20" ht="15.75" customHeight="1">
      <c r="A940" s="1"/>
      <c r="B940" s="2"/>
      <c r="C940" s="2"/>
      <c r="D940" s="2"/>
      <c r="E940" s="2"/>
      <c r="F940" s="2"/>
      <c r="G940" s="2"/>
      <c r="H940" s="2"/>
      <c r="I940" s="2"/>
      <c r="J940" s="2"/>
      <c r="K940" s="2"/>
      <c r="L940" s="2"/>
      <c r="M940" s="2"/>
      <c r="N940" s="2"/>
      <c r="O940" s="2"/>
      <c r="P940" s="2"/>
      <c r="Q940" s="2"/>
      <c r="R940" s="2"/>
      <c r="S940" s="2"/>
      <c r="T940" s="2"/>
    </row>
    <row r="941" spans="1:20" ht="15.75" customHeight="1">
      <c r="A941" s="1"/>
      <c r="B941" s="2"/>
      <c r="C941" s="2"/>
      <c r="D941" s="2"/>
      <c r="E941" s="2"/>
      <c r="F941" s="2"/>
      <c r="G941" s="2"/>
      <c r="H941" s="2"/>
      <c r="I941" s="2"/>
      <c r="J941" s="2"/>
      <c r="K941" s="2"/>
      <c r="L941" s="2"/>
      <c r="M941" s="2"/>
      <c r="N941" s="2"/>
      <c r="O941" s="2"/>
      <c r="P941" s="2"/>
      <c r="Q941" s="2"/>
      <c r="R941" s="2"/>
      <c r="S941" s="2"/>
      <c r="T941" s="2"/>
    </row>
    <row r="942" spans="1:20" ht="15.75" customHeight="1">
      <c r="A942" s="1"/>
      <c r="B942" s="2"/>
      <c r="C942" s="2"/>
      <c r="D942" s="2"/>
      <c r="E942" s="2"/>
      <c r="F942" s="2"/>
      <c r="G942" s="2"/>
      <c r="H942" s="2"/>
      <c r="I942" s="2"/>
      <c r="J942" s="2"/>
      <c r="K942" s="2"/>
      <c r="L942" s="2"/>
      <c r="M942" s="2"/>
      <c r="N942" s="2"/>
      <c r="O942" s="2"/>
      <c r="P942" s="2"/>
      <c r="Q942" s="2"/>
      <c r="R942" s="2"/>
      <c r="S942" s="2"/>
      <c r="T942" s="2"/>
    </row>
    <row r="943" spans="1:20" ht="15.75" customHeight="1">
      <c r="A943" s="1"/>
      <c r="B943" s="2"/>
      <c r="C943" s="2"/>
      <c r="D943" s="2"/>
      <c r="E943" s="2"/>
      <c r="F943" s="2"/>
      <c r="G943" s="2"/>
      <c r="H943" s="2"/>
      <c r="I943" s="2"/>
      <c r="J943" s="2"/>
      <c r="K943" s="2"/>
      <c r="L943" s="2"/>
      <c r="M943" s="2"/>
      <c r="N943" s="2"/>
      <c r="O943" s="2"/>
      <c r="P943" s="2"/>
      <c r="Q943" s="2"/>
      <c r="R943" s="2"/>
      <c r="S943" s="2"/>
      <c r="T943" s="2"/>
    </row>
    <row r="944" spans="1:20" ht="15.75" customHeight="1">
      <c r="A944" s="1"/>
      <c r="B944" s="2"/>
      <c r="C944" s="2"/>
      <c r="D944" s="2"/>
      <c r="E944" s="2"/>
      <c r="F944" s="2"/>
      <c r="G944" s="2"/>
      <c r="H944" s="2"/>
      <c r="I944" s="2"/>
      <c r="J944" s="2"/>
      <c r="K944" s="2"/>
      <c r="L944" s="2"/>
      <c r="M944" s="2"/>
      <c r="N944" s="2"/>
      <c r="O944" s="2"/>
      <c r="P944" s="2"/>
      <c r="Q944" s="2"/>
      <c r="R944" s="2"/>
      <c r="S944" s="2"/>
      <c r="T944" s="2"/>
    </row>
    <row r="945" spans="1:20" ht="15.75" customHeight="1">
      <c r="A945" s="1"/>
      <c r="B945" s="2"/>
      <c r="C945" s="2"/>
      <c r="D945" s="2"/>
      <c r="E945" s="2"/>
      <c r="F945" s="2"/>
      <c r="G945" s="2"/>
      <c r="H945" s="2"/>
      <c r="I945" s="2"/>
      <c r="J945" s="2"/>
      <c r="K945" s="2"/>
      <c r="L945" s="2"/>
      <c r="M945" s="2"/>
      <c r="N945" s="2"/>
      <c r="O945" s="2"/>
      <c r="P945" s="2"/>
      <c r="Q945" s="2"/>
      <c r="R945" s="2"/>
      <c r="S945" s="2"/>
      <c r="T945" s="2"/>
    </row>
    <row r="946" spans="1:20" ht="15.75" customHeight="1">
      <c r="A946" s="1"/>
      <c r="B946" s="2"/>
      <c r="C946" s="2"/>
      <c r="D946" s="2"/>
      <c r="E946" s="2"/>
      <c r="F946" s="2"/>
      <c r="G946" s="2"/>
      <c r="H946" s="2"/>
      <c r="I946" s="2"/>
      <c r="J946" s="2"/>
      <c r="K946" s="2"/>
      <c r="L946" s="2"/>
      <c r="M946" s="2"/>
      <c r="N946" s="2"/>
      <c r="O946" s="2"/>
      <c r="P946" s="2"/>
      <c r="Q946" s="2"/>
      <c r="R946" s="2"/>
      <c r="S946" s="2"/>
      <c r="T946" s="2"/>
    </row>
    <row r="947" spans="1:20" ht="15.75" customHeight="1">
      <c r="A947" s="1"/>
      <c r="B947" s="2"/>
      <c r="C947" s="2"/>
      <c r="D947" s="2"/>
      <c r="E947" s="2"/>
      <c r="F947" s="2"/>
      <c r="G947" s="2"/>
      <c r="H947" s="2"/>
      <c r="I947" s="2"/>
      <c r="J947" s="2"/>
      <c r="K947" s="2"/>
      <c r="L947" s="2"/>
      <c r="M947" s="2"/>
      <c r="N947" s="2"/>
      <c r="O947" s="2"/>
      <c r="P947" s="2"/>
      <c r="Q947" s="2"/>
      <c r="R947" s="2"/>
      <c r="S947" s="2"/>
      <c r="T947" s="2"/>
    </row>
    <row r="948" spans="1:20" ht="15.75" customHeight="1">
      <c r="A948" s="1"/>
      <c r="B948" s="2"/>
      <c r="C948" s="2"/>
      <c r="D948" s="2"/>
      <c r="E948" s="2"/>
      <c r="F948" s="2"/>
      <c r="G948" s="2"/>
      <c r="H948" s="2"/>
      <c r="I948" s="2"/>
      <c r="J948" s="2"/>
      <c r="K948" s="2"/>
      <c r="L948" s="2"/>
      <c r="M948" s="2"/>
      <c r="N948" s="2"/>
      <c r="O948" s="2"/>
      <c r="P948" s="2"/>
      <c r="Q948" s="2"/>
      <c r="R948" s="2"/>
      <c r="S948" s="2"/>
      <c r="T948" s="2"/>
    </row>
    <row r="949" spans="1:20" ht="15.75" customHeight="1">
      <c r="A949" s="1"/>
      <c r="B949" s="2"/>
      <c r="C949" s="2"/>
      <c r="D949" s="2"/>
      <c r="E949" s="2"/>
      <c r="F949" s="2"/>
      <c r="G949" s="2"/>
      <c r="H949" s="2"/>
      <c r="I949" s="2"/>
      <c r="J949" s="2"/>
      <c r="K949" s="2"/>
      <c r="L949" s="2"/>
      <c r="M949" s="2"/>
      <c r="N949" s="2"/>
      <c r="O949" s="2"/>
      <c r="P949" s="2"/>
      <c r="Q949" s="2"/>
      <c r="R949" s="2"/>
      <c r="S949" s="2"/>
      <c r="T949" s="2"/>
    </row>
    <row r="950" spans="1:20" ht="15.75" customHeight="1">
      <c r="A950" s="1"/>
      <c r="B950" s="2"/>
      <c r="C950" s="2"/>
      <c r="D950" s="2"/>
      <c r="E950" s="2"/>
      <c r="F950" s="2"/>
      <c r="G950" s="2"/>
      <c r="H950" s="2"/>
      <c r="I950" s="2"/>
      <c r="J950" s="2"/>
      <c r="K950" s="2"/>
      <c r="L950" s="2"/>
      <c r="M950" s="2"/>
      <c r="N950" s="2"/>
      <c r="O950" s="2"/>
      <c r="P950" s="2"/>
      <c r="Q950" s="2"/>
      <c r="R950" s="2"/>
      <c r="S950" s="2"/>
      <c r="T950" s="2"/>
    </row>
    <row r="951" spans="1:20" ht="15.75" customHeight="1">
      <c r="A951" s="1"/>
      <c r="B951" s="2"/>
      <c r="C951" s="2"/>
      <c r="D951" s="2"/>
      <c r="E951" s="2"/>
      <c r="F951" s="2"/>
      <c r="G951" s="2"/>
      <c r="H951" s="2"/>
      <c r="I951" s="2"/>
      <c r="J951" s="2"/>
      <c r="K951" s="2"/>
      <c r="L951" s="2"/>
      <c r="M951" s="2"/>
      <c r="N951" s="2"/>
      <c r="O951" s="2"/>
      <c r="P951" s="2"/>
      <c r="Q951" s="2"/>
      <c r="R951" s="2"/>
      <c r="S951" s="2"/>
      <c r="T951" s="2"/>
    </row>
    <row r="952" spans="1:20" ht="15.75" customHeight="1">
      <c r="A952" s="1"/>
      <c r="B952" s="2"/>
      <c r="C952" s="2"/>
      <c r="D952" s="2"/>
      <c r="E952" s="2"/>
      <c r="F952" s="2"/>
      <c r="G952" s="2"/>
      <c r="H952" s="2"/>
      <c r="I952" s="2"/>
      <c r="J952" s="2"/>
      <c r="K952" s="2"/>
      <c r="L952" s="2"/>
      <c r="M952" s="2"/>
      <c r="N952" s="2"/>
      <c r="O952" s="2"/>
      <c r="P952" s="2"/>
      <c r="Q952" s="2"/>
      <c r="R952" s="2"/>
      <c r="S952" s="2"/>
      <c r="T952" s="2"/>
    </row>
    <row r="953" spans="1:20" ht="15.75" customHeight="1">
      <c r="A953" s="1"/>
      <c r="B953" s="2"/>
      <c r="C953" s="2"/>
      <c r="D953" s="2"/>
      <c r="E953" s="2"/>
      <c r="F953" s="2"/>
      <c r="G953" s="2"/>
      <c r="H953" s="2"/>
      <c r="I953" s="2"/>
      <c r="J953" s="2"/>
      <c r="K953" s="2"/>
      <c r="L953" s="2"/>
      <c r="M953" s="2"/>
      <c r="N953" s="2"/>
      <c r="O953" s="2"/>
      <c r="P953" s="2"/>
      <c r="Q953" s="2"/>
      <c r="R953" s="2"/>
      <c r="S953" s="2"/>
      <c r="T953" s="2"/>
    </row>
    <row r="954" spans="1:20" ht="15.75" customHeight="1">
      <c r="A954" s="1"/>
      <c r="B954" s="2"/>
      <c r="C954" s="2"/>
      <c r="D954" s="2"/>
      <c r="E954" s="2"/>
      <c r="F954" s="2"/>
      <c r="G954" s="2"/>
      <c r="H954" s="2"/>
      <c r="I954" s="2"/>
      <c r="J954" s="2"/>
      <c r="K954" s="2"/>
      <c r="L954" s="2"/>
      <c r="M954" s="2"/>
      <c r="N954" s="2"/>
      <c r="O954" s="2"/>
      <c r="P954" s="2"/>
      <c r="Q954" s="2"/>
      <c r="R954" s="2"/>
      <c r="S954" s="2"/>
      <c r="T954" s="2"/>
    </row>
    <row r="955" spans="1:20" ht="15.75" customHeight="1">
      <c r="A955" s="1"/>
      <c r="B955" s="2"/>
      <c r="C955" s="2"/>
      <c r="D955" s="2"/>
      <c r="E955" s="2"/>
      <c r="F955" s="2"/>
      <c r="G955" s="2"/>
      <c r="H955" s="2"/>
      <c r="I955" s="2"/>
      <c r="J955" s="2"/>
      <c r="K955" s="2"/>
      <c r="L955" s="2"/>
      <c r="M955" s="2"/>
      <c r="N955" s="2"/>
      <c r="O955" s="2"/>
      <c r="P955" s="2"/>
      <c r="Q955" s="2"/>
      <c r="R955" s="2"/>
      <c r="S955" s="2"/>
      <c r="T955" s="2"/>
    </row>
    <row r="956" spans="1:20" ht="15.75" customHeight="1">
      <c r="A956" s="1"/>
      <c r="B956" s="2"/>
      <c r="C956" s="2"/>
      <c r="D956" s="2"/>
      <c r="E956" s="2"/>
      <c r="F956" s="2"/>
      <c r="G956" s="2"/>
      <c r="H956" s="2"/>
      <c r="I956" s="2"/>
      <c r="J956" s="2"/>
      <c r="K956" s="2"/>
      <c r="L956" s="2"/>
      <c r="M956" s="2"/>
      <c r="N956" s="2"/>
      <c r="O956" s="2"/>
      <c r="P956" s="2"/>
      <c r="Q956" s="2"/>
      <c r="R956" s="2"/>
      <c r="S956" s="2"/>
      <c r="T956" s="2"/>
    </row>
    <row r="957" spans="1:20" ht="15.75" customHeight="1">
      <c r="A957" s="1"/>
      <c r="B957" s="2"/>
      <c r="C957" s="2"/>
      <c r="D957" s="2"/>
      <c r="E957" s="2"/>
      <c r="F957" s="2"/>
      <c r="G957" s="2"/>
      <c r="H957" s="2"/>
      <c r="I957" s="2"/>
      <c r="J957" s="2"/>
      <c r="K957" s="2"/>
      <c r="L957" s="2"/>
      <c r="M957" s="2"/>
      <c r="N957" s="2"/>
      <c r="O957" s="2"/>
      <c r="P957" s="2"/>
      <c r="Q957" s="2"/>
      <c r="R957" s="2"/>
      <c r="S957" s="2"/>
      <c r="T957" s="2"/>
    </row>
    <row r="958" spans="1:20" ht="15.75" customHeight="1">
      <c r="A958" s="1"/>
      <c r="B958" s="2"/>
      <c r="C958" s="2"/>
      <c r="D958" s="2"/>
      <c r="E958" s="2"/>
      <c r="F958" s="2"/>
      <c r="G958" s="2"/>
      <c r="H958" s="2"/>
      <c r="I958" s="2"/>
      <c r="J958" s="2"/>
      <c r="K958" s="2"/>
      <c r="L958" s="2"/>
      <c r="M958" s="2"/>
      <c r="N958" s="2"/>
      <c r="O958" s="2"/>
      <c r="P958" s="2"/>
      <c r="Q958" s="2"/>
      <c r="R958" s="2"/>
      <c r="S958" s="2"/>
      <c r="T958" s="2"/>
    </row>
    <row r="959" spans="1:20" ht="15.75" customHeight="1">
      <c r="A959" s="1"/>
      <c r="B959" s="2"/>
      <c r="C959" s="2"/>
      <c r="D959" s="2"/>
      <c r="E959" s="2"/>
      <c r="F959" s="2"/>
      <c r="G959" s="2"/>
      <c r="H959" s="2"/>
      <c r="I959" s="2"/>
      <c r="J959" s="2"/>
      <c r="K959" s="2"/>
      <c r="L959" s="2"/>
      <c r="M959" s="2"/>
      <c r="N959" s="2"/>
      <c r="O959" s="2"/>
      <c r="P959" s="2"/>
      <c r="Q959" s="2"/>
      <c r="R959" s="2"/>
      <c r="S959" s="2"/>
      <c r="T959" s="2"/>
    </row>
    <row r="960" spans="1:20" ht="15.75" customHeight="1">
      <c r="A960" s="1"/>
      <c r="B960" s="2"/>
      <c r="C960" s="2"/>
      <c r="D960" s="2"/>
      <c r="E960" s="2"/>
      <c r="F960" s="2"/>
      <c r="G960" s="2"/>
      <c r="H960" s="2"/>
      <c r="I960" s="2"/>
      <c r="J960" s="2"/>
      <c r="K960" s="2"/>
      <c r="L960" s="2"/>
      <c r="M960" s="2"/>
      <c r="N960" s="2"/>
      <c r="O960" s="2"/>
      <c r="P960" s="2"/>
      <c r="Q960" s="2"/>
      <c r="R960" s="2"/>
      <c r="S960" s="2"/>
      <c r="T960" s="2"/>
    </row>
    <row r="961" spans="1:20" ht="15.75" customHeight="1">
      <c r="A961" s="1"/>
      <c r="B961" s="2"/>
      <c r="C961" s="2"/>
      <c r="D961" s="2"/>
      <c r="E961" s="2"/>
      <c r="F961" s="2"/>
      <c r="G961" s="2"/>
      <c r="H961" s="2"/>
      <c r="I961" s="2"/>
      <c r="J961" s="2"/>
      <c r="K961" s="2"/>
      <c r="L961" s="2"/>
      <c r="M961" s="2"/>
      <c r="N961" s="2"/>
      <c r="O961" s="2"/>
      <c r="P961" s="2"/>
      <c r="Q961" s="2"/>
      <c r="R961" s="2"/>
      <c r="S961" s="2"/>
      <c r="T961" s="2"/>
    </row>
    <row r="962" spans="1:20" ht="15.75" customHeight="1">
      <c r="A962" s="1"/>
      <c r="B962" s="2"/>
      <c r="C962" s="2"/>
      <c r="D962" s="2"/>
      <c r="E962" s="2"/>
      <c r="F962" s="2"/>
      <c r="G962" s="2"/>
      <c r="H962" s="2"/>
      <c r="I962" s="2"/>
      <c r="J962" s="2"/>
      <c r="K962" s="2"/>
      <c r="L962" s="2"/>
      <c r="M962" s="2"/>
      <c r="N962" s="2"/>
      <c r="O962" s="2"/>
      <c r="P962" s="2"/>
      <c r="Q962" s="2"/>
      <c r="R962" s="2"/>
      <c r="S962" s="2"/>
      <c r="T962" s="2"/>
    </row>
    <row r="963" spans="1:20" ht="15.75" customHeight="1">
      <c r="A963" s="1"/>
      <c r="B963" s="2"/>
      <c r="C963" s="2"/>
      <c r="D963" s="2"/>
      <c r="E963" s="2"/>
      <c r="F963" s="2"/>
      <c r="G963" s="2"/>
      <c r="H963" s="2"/>
      <c r="I963" s="2"/>
      <c r="J963" s="2"/>
      <c r="K963" s="2"/>
      <c r="L963" s="2"/>
      <c r="M963" s="2"/>
      <c r="N963" s="2"/>
      <c r="O963" s="2"/>
      <c r="P963" s="2"/>
      <c r="Q963" s="2"/>
      <c r="R963" s="2"/>
      <c r="S963" s="2"/>
      <c r="T963" s="2"/>
    </row>
    <row r="964" spans="1:20" ht="15.75" customHeight="1">
      <c r="A964" s="1"/>
      <c r="B964" s="2"/>
      <c r="C964" s="2"/>
      <c r="D964" s="2"/>
      <c r="E964" s="2"/>
      <c r="F964" s="2"/>
      <c r="G964" s="2"/>
      <c r="H964" s="2"/>
      <c r="I964" s="2"/>
      <c r="J964" s="2"/>
      <c r="K964" s="2"/>
      <c r="L964" s="2"/>
      <c r="M964" s="2"/>
      <c r="N964" s="2"/>
      <c r="O964" s="2"/>
      <c r="P964" s="2"/>
      <c r="Q964" s="2"/>
      <c r="R964" s="2"/>
      <c r="S964" s="2"/>
      <c r="T964" s="2"/>
    </row>
    <row r="965" spans="1:20" ht="15.75" customHeight="1">
      <c r="A965" s="1"/>
      <c r="B965" s="2"/>
      <c r="C965" s="2"/>
      <c r="D965" s="2"/>
      <c r="E965" s="2"/>
      <c r="F965" s="2"/>
      <c r="G965" s="2"/>
      <c r="H965" s="2"/>
      <c r="I965" s="2"/>
      <c r="J965" s="2"/>
      <c r="K965" s="2"/>
      <c r="L965" s="2"/>
      <c r="M965" s="2"/>
      <c r="N965" s="2"/>
      <c r="O965" s="2"/>
      <c r="P965" s="2"/>
      <c r="Q965" s="2"/>
      <c r="R965" s="2"/>
      <c r="S965" s="2"/>
      <c r="T965" s="2"/>
    </row>
    <row r="966" spans="1:20" ht="15.75" customHeight="1">
      <c r="A966" s="1"/>
      <c r="B966" s="2"/>
      <c r="C966" s="2"/>
      <c r="D966" s="2"/>
      <c r="E966" s="2"/>
      <c r="F966" s="2"/>
      <c r="G966" s="2"/>
      <c r="H966" s="2"/>
      <c r="I966" s="2"/>
      <c r="J966" s="2"/>
      <c r="K966" s="2"/>
      <c r="L966" s="2"/>
      <c r="M966" s="2"/>
      <c r="N966" s="2"/>
      <c r="O966" s="2"/>
      <c r="P966" s="2"/>
      <c r="Q966" s="2"/>
      <c r="R966" s="2"/>
      <c r="S966" s="2"/>
      <c r="T966" s="2"/>
    </row>
    <row r="967" spans="1:20" ht="15.75" customHeight="1">
      <c r="A967" s="1"/>
      <c r="B967" s="2"/>
      <c r="C967" s="2"/>
      <c r="D967" s="2"/>
      <c r="E967" s="2"/>
      <c r="F967" s="2"/>
      <c r="G967" s="2"/>
      <c r="H967" s="2"/>
      <c r="I967" s="2"/>
      <c r="J967" s="2"/>
      <c r="K967" s="2"/>
      <c r="L967" s="2"/>
      <c r="M967" s="2"/>
      <c r="N967" s="2"/>
      <c r="O967" s="2"/>
      <c r="P967" s="2"/>
      <c r="Q967" s="2"/>
      <c r="R967" s="2"/>
      <c r="S967" s="2"/>
      <c r="T967" s="2"/>
    </row>
    <row r="968" spans="1:20" ht="15.75" customHeight="1">
      <c r="A968" s="1"/>
      <c r="B968" s="2"/>
      <c r="C968" s="2"/>
      <c r="D968" s="2"/>
      <c r="E968" s="2"/>
      <c r="F968" s="2"/>
      <c r="G968" s="2"/>
      <c r="H968" s="2"/>
      <c r="I968" s="2"/>
      <c r="J968" s="2"/>
      <c r="K968" s="2"/>
      <c r="L968" s="2"/>
      <c r="M968" s="2"/>
      <c r="N968" s="2"/>
      <c r="O968" s="2"/>
      <c r="P968" s="2"/>
      <c r="Q968" s="2"/>
      <c r="R968" s="2"/>
      <c r="S968" s="2"/>
      <c r="T968" s="2"/>
    </row>
    <row r="969" spans="1:20" ht="15.75" customHeight="1">
      <c r="A969" s="1"/>
      <c r="B969" s="2"/>
      <c r="C969" s="2"/>
      <c r="D969" s="2"/>
      <c r="E969" s="2"/>
      <c r="F969" s="2"/>
      <c r="G969" s="2"/>
      <c r="H969" s="2"/>
      <c r="I969" s="2"/>
      <c r="J969" s="2"/>
      <c r="K969" s="2"/>
      <c r="L969" s="2"/>
      <c r="M969" s="2"/>
      <c r="N969" s="2"/>
      <c r="O969" s="2"/>
      <c r="P969" s="2"/>
      <c r="Q969" s="2"/>
      <c r="R969" s="2"/>
      <c r="S969" s="2"/>
      <c r="T969" s="2"/>
    </row>
    <row r="970" spans="1:20" ht="15.75" customHeight="1">
      <c r="A970" s="1"/>
      <c r="B970" s="2"/>
      <c r="C970" s="2"/>
      <c r="D970" s="2"/>
      <c r="E970" s="2"/>
      <c r="F970" s="2"/>
      <c r="G970" s="2"/>
      <c r="H970" s="2"/>
      <c r="I970" s="2"/>
      <c r="J970" s="2"/>
      <c r="K970" s="2"/>
      <c r="L970" s="2"/>
      <c r="M970" s="2"/>
      <c r="N970" s="2"/>
      <c r="O970" s="2"/>
      <c r="P970" s="2"/>
      <c r="Q970" s="2"/>
      <c r="R970" s="2"/>
      <c r="S970" s="2"/>
      <c r="T970" s="2"/>
    </row>
    <row r="971" spans="1:20" ht="15.75" customHeight="1">
      <c r="A971" s="1"/>
      <c r="B971" s="2"/>
      <c r="C971" s="2"/>
      <c r="D971" s="2"/>
      <c r="E971" s="2"/>
      <c r="F971" s="2"/>
      <c r="G971" s="2"/>
      <c r="H971" s="2"/>
      <c r="I971" s="2"/>
      <c r="J971" s="2"/>
      <c r="K971" s="2"/>
      <c r="L971" s="2"/>
      <c r="M971" s="2"/>
      <c r="N971" s="2"/>
      <c r="O971" s="2"/>
      <c r="P971" s="2"/>
      <c r="Q971" s="2"/>
      <c r="R971" s="2"/>
      <c r="S971" s="2"/>
      <c r="T971" s="2"/>
    </row>
    <row r="972" spans="1:20" ht="15.75" customHeight="1">
      <c r="A972" s="1"/>
      <c r="B972" s="2"/>
      <c r="C972" s="2"/>
      <c r="D972" s="2"/>
      <c r="E972" s="2"/>
      <c r="F972" s="2"/>
      <c r="G972" s="2"/>
      <c r="H972" s="2"/>
      <c r="I972" s="2"/>
      <c r="J972" s="2"/>
      <c r="K972" s="2"/>
      <c r="L972" s="2"/>
      <c r="M972" s="2"/>
      <c r="N972" s="2"/>
      <c r="O972" s="2"/>
      <c r="P972" s="2"/>
      <c r="Q972" s="2"/>
      <c r="R972" s="2"/>
      <c r="S972" s="2"/>
      <c r="T972" s="2"/>
    </row>
    <row r="973" spans="1:20" ht="15.75" customHeight="1">
      <c r="A973" s="1"/>
      <c r="B973" s="2"/>
      <c r="C973" s="2"/>
      <c r="D973" s="2"/>
      <c r="E973" s="2"/>
      <c r="F973" s="2"/>
      <c r="G973" s="2"/>
      <c r="H973" s="2"/>
      <c r="I973" s="2"/>
      <c r="J973" s="2"/>
      <c r="K973" s="2"/>
      <c r="L973" s="2"/>
      <c r="M973" s="2"/>
      <c r="N973" s="2"/>
      <c r="O973" s="2"/>
      <c r="P973" s="2"/>
      <c r="Q973" s="2"/>
      <c r="R973" s="2"/>
      <c r="S973" s="2"/>
      <c r="T973" s="2"/>
    </row>
    <row r="974" spans="1:20" ht="15.75" customHeight="1">
      <c r="A974" s="1"/>
      <c r="B974" s="2"/>
      <c r="C974" s="2"/>
      <c r="D974" s="2"/>
      <c r="E974" s="2"/>
      <c r="F974" s="2"/>
      <c r="G974" s="2"/>
      <c r="H974" s="2"/>
      <c r="I974" s="2"/>
      <c r="J974" s="2"/>
      <c r="K974" s="2"/>
      <c r="L974" s="2"/>
      <c r="M974" s="2"/>
      <c r="N974" s="2"/>
      <c r="O974" s="2"/>
      <c r="P974" s="2"/>
      <c r="Q974" s="2"/>
      <c r="R974" s="2"/>
      <c r="S974" s="2"/>
      <c r="T974" s="2"/>
    </row>
    <row r="975" spans="1:20" ht="15.75" customHeight="1">
      <c r="A975" s="1"/>
      <c r="B975" s="2"/>
      <c r="C975" s="2"/>
      <c r="D975" s="2"/>
      <c r="E975" s="2"/>
      <c r="F975" s="2"/>
      <c r="G975" s="2"/>
      <c r="H975" s="2"/>
      <c r="I975" s="2"/>
      <c r="J975" s="2"/>
      <c r="K975" s="2"/>
      <c r="L975" s="2"/>
      <c r="M975" s="2"/>
      <c r="N975" s="2"/>
      <c r="O975" s="2"/>
      <c r="P975" s="2"/>
      <c r="Q975" s="2"/>
      <c r="R975" s="2"/>
      <c r="S975" s="2"/>
      <c r="T975" s="2"/>
    </row>
    <row r="976" spans="1:20" ht="15.75" customHeight="1">
      <c r="A976" s="1"/>
      <c r="B976" s="2"/>
      <c r="C976" s="2"/>
      <c r="D976" s="2"/>
      <c r="E976" s="2"/>
      <c r="F976" s="2"/>
      <c r="G976" s="2"/>
      <c r="H976" s="2"/>
      <c r="I976" s="2"/>
      <c r="J976" s="2"/>
      <c r="K976" s="2"/>
      <c r="L976" s="2"/>
      <c r="M976" s="2"/>
      <c r="N976" s="2"/>
      <c r="O976" s="2"/>
      <c r="P976" s="2"/>
      <c r="Q976" s="2"/>
      <c r="R976" s="2"/>
      <c r="S976" s="2"/>
      <c r="T976" s="2"/>
    </row>
    <row r="977" spans="1:20" ht="15.75" customHeight="1">
      <c r="A977" s="1"/>
      <c r="B977" s="2"/>
      <c r="C977" s="2"/>
      <c r="D977" s="2"/>
      <c r="E977" s="2"/>
      <c r="F977" s="2"/>
      <c r="G977" s="2"/>
      <c r="H977" s="2"/>
      <c r="I977" s="2"/>
      <c r="J977" s="2"/>
      <c r="K977" s="2"/>
      <c r="L977" s="2"/>
      <c r="M977" s="2"/>
      <c r="N977" s="2"/>
      <c r="O977" s="2"/>
      <c r="P977" s="2"/>
      <c r="Q977" s="2"/>
      <c r="R977" s="2"/>
      <c r="S977" s="2"/>
      <c r="T977" s="2"/>
    </row>
    <row r="978" spans="1:20" ht="15.75" customHeight="1">
      <c r="A978" s="1"/>
      <c r="B978" s="2"/>
      <c r="C978" s="2"/>
      <c r="D978" s="2"/>
      <c r="E978" s="2"/>
      <c r="F978" s="2"/>
      <c r="G978" s="2"/>
      <c r="H978" s="2"/>
      <c r="I978" s="2"/>
      <c r="J978" s="2"/>
      <c r="K978" s="2"/>
      <c r="L978" s="2"/>
      <c r="M978" s="2"/>
      <c r="N978" s="2"/>
      <c r="O978" s="2"/>
      <c r="P978" s="2"/>
      <c r="Q978" s="2"/>
      <c r="R978" s="2"/>
      <c r="S978" s="2"/>
      <c r="T978" s="2"/>
    </row>
    <row r="979" spans="1:20" ht="15.75" customHeight="1">
      <c r="A979" s="1"/>
      <c r="B979" s="2"/>
      <c r="C979" s="2"/>
      <c r="D979" s="2"/>
      <c r="E979" s="2"/>
      <c r="F979" s="2"/>
      <c r="G979" s="2"/>
      <c r="H979" s="2"/>
      <c r="I979" s="2"/>
      <c r="J979" s="2"/>
      <c r="K979" s="2"/>
      <c r="L979" s="2"/>
      <c r="M979" s="2"/>
      <c r="N979" s="2"/>
      <c r="O979" s="2"/>
      <c r="P979" s="2"/>
      <c r="Q979" s="2"/>
      <c r="R979" s="2"/>
      <c r="S979" s="2"/>
      <c r="T979" s="2"/>
    </row>
    <row r="980" spans="1:20" ht="15.75" customHeight="1">
      <c r="A980" s="1"/>
      <c r="B980" s="2"/>
      <c r="C980" s="2"/>
      <c r="D980" s="2"/>
      <c r="E980" s="2"/>
      <c r="F980" s="2"/>
      <c r="G980" s="2"/>
      <c r="H980" s="2"/>
      <c r="I980" s="2"/>
      <c r="J980" s="2"/>
      <c r="K980" s="2"/>
      <c r="L980" s="2"/>
      <c r="M980" s="2"/>
      <c r="N980" s="2"/>
      <c r="O980" s="2"/>
      <c r="P980" s="2"/>
      <c r="Q980" s="2"/>
      <c r="R980" s="2"/>
      <c r="S980" s="2"/>
      <c r="T980" s="2"/>
    </row>
    <row r="981" spans="1:20" ht="15.75" customHeight="1">
      <c r="A981" s="1"/>
      <c r="B981" s="2"/>
      <c r="C981" s="2"/>
      <c r="D981" s="2"/>
      <c r="E981" s="2"/>
      <c r="F981" s="2"/>
      <c r="G981" s="2"/>
      <c r="H981" s="2"/>
      <c r="I981" s="2"/>
      <c r="J981" s="2"/>
      <c r="K981" s="2"/>
      <c r="L981" s="2"/>
      <c r="M981" s="2"/>
      <c r="N981" s="2"/>
      <c r="O981" s="2"/>
      <c r="P981" s="2"/>
      <c r="Q981" s="2"/>
      <c r="R981" s="2"/>
      <c r="S981" s="2"/>
      <c r="T981" s="2"/>
    </row>
    <row r="982" spans="1:20" ht="15.75" customHeight="1">
      <c r="A982" s="1"/>
      <c r="B982" s="2"/>
      <c r="C982" s="2"/>
      <c r="D982" s="2"/>
      <c r="E982" s="2"/>
      <c r="F982" s="2"/>
      <c r="G982" s="2"/>
      <c r="H982" s="2"/>
      <c r="I982" s="2"/>
      <c r="J982" s="2"/>
      <c r="K982" s="2"/>
      <c r="L982" s="2"/>
      <c r="M982" s="2"/>
      <c r="N982" s="2"/>
      <c r="O982" s="2"/>
      <c r="P982" s="2"/>
      <c r="Q982" s="2"/>
      <c r="R982" s="2"/>
      <c r="S982" s="2"/>
      <c r="T982" s="2"/>
    </row>
    <row r="983" spans="1:20" ht="15.75" customHeight="1">
      <c r="A983" s="1"/>
      <c r="B983" s="2"/>
      <c r="C983" s="2"/>
      <c r="D983" s="2"/>
      <c r="E983" s="2"/>
      <c r="F983" s="2"/>
      <c r="G983" s="2"/>
      <c r="H983" s="2"/>
      <c r="I983" s="2"/>
      <c r="J983" s="2"/>
      <c r="K983" s="2"/>
      <c r="L983" s="2"/>
      <c r="M983" s="2"/>
      <c r="N983" s="2"/>
      <c r="O983" s="2"/>
      <c r="P983" s="2"/>
      <c r="Q983" s="2"/>
      <c r="R983" s="2"/>
      <c r="S983" s="2"/>
      <c r="T983" s="2"/>
    </row>
    <row r="984" spans="1:20" ht="15.75" customHeight="1">
      <c r="A984" s="1"/>
      <c r="B984" s="2"/>
      <c r="C984" s="2"/>
      <c r="D984" s="2"/>
      <c r="E984" s="2"/>
      <c r="F984" s="2"/>
      <c r="G984" s="2"/>
      <c r="H984" s="2"/>
      <c r="I984" s="2"/>
      <c r="J984" s="2"/>
      <c r="K984" s="2"/>
      <c r="L984" s="2"/>
      <c r="M984" s="2"/>
      <c r="N984" s="2"/>
      <c r="O984" s="2"/>
      <c r="P984" s="2"/>
      <c r="Q984" s="2"/>
      <c r="R984" s="2"/>
      <c r="S984" s="2"/>
      <c r="T984" s="2"/>
    </row>
    <row r="985" spans="1:20" ht="15.75" customHeight="1">
      <c r="A985" s="1"/>
      <c r="B985" s="2"/>
      <c r="C985" s="2"/>
      <c r="D985" s="2"/>
      <c r="E985" s="2"/>
      <c r="F985" s="2"/>
      <c r="G985" s="2"/>
      <c r="H985" s="2"/>
      <c r="I985" s="2"/>
      <c r="J985" s="2"/>
      <c r="K985" s="2"/>
      <c r="L985" s="2"/>
      <c r="M985" s="2"/>
      <c r="N985" s="2"/>
      <c r="O985" s="2"/>
      <c r="P985" s="2"/>
      <c r="Q985" s="2"/>
      <c r="R985" s="2"/>
      <c r="S985" s="2"/>
      <c r="T985" s="2"/>
    </row>
    <row r="986" spans="1:20" ht="15.75" customHeight="1">
      <c r="A986" s="1"/>
      <c r="B986" s="2"/>
      <c r="C986" s="2"/>
      <c r="D986" s="2"/>
      <c r="E986" s="2"/>
      <c r="F986" s="2"/>
      <c r="G986" s="2"/>
      <c r="H986" s="2"/>
      <c r="I986" s="2"/>
      <c r="J986" s="2"/>
      <c r="K986" s="2"/>
      <c r="L986" s="2"/>
      <c r="M986" s="2"/>
      <c r="N986" s="2"/>
      <c r="O986" s="2"/>
      <c r="P986" s="2"/>
      <c r="Q986" s="2"/>
      <c r="R986" s="2"/>
      <c r="S986" s="2"/>
      <c r="T986" s="2"/>
    </row>
    <row r="987" spans="1:20" ht="15.75" customHeight="1">
      <c r="A987" s="1"/>
      <c r="B987" s="2"/>
      <c r="C987" s="2"/>
      <c r="D987" s="2"/>
      <c r="E987" s="2"/>
      <c r="F987" s="2"/>
      <c r="G987" s="2"/>
      <c r="H987" s="2"/>
      <c r="I987" s="2"/>
      <c r="J987" s="2"/>
      <c r="K987" s="2"/>
      <c r="L987" s="2"/>
      <c r="M987" s="2"/>
      <c r="N987" s="2"/>
      <c r="O987" s="2"/>
      <c r="P987" s="2"/>
      <c r="Q987" s="2"/>
      <c r="R987" s="2"/>
      <c r="S987" s="2"/>
      <c r="T987" s="2"/>
    </row>
    <row r="988" spans="1:20" ht="15.75" customHeight="1">
      <c r="A988" s="1"/>
      <c r="B988" s="2"/>
      <c r="C988" s="2"/>
      <c r="D988" s="2"/>
      <c r="E988" s="2"/>
      <c r="F988" s="2"/>
      <c r="G988" s="2"/>
      <c r="H988" s="2"/>
      <c r="I988" s="2"/>
      <c r="J988" s="2"/>
      <c r="K988" s="2"/>
      <c r="L988" s="2"/>
      <c r="M988" s="2"/>
      <c r="N988" s="2"/>
      <c r="O988" s="2"/>
      <c r="P988" s="2"/>
      <c r="Q988" s="2"/>
      <c r="R988" s="2"/>
      <c r="S988" s="2"/>
      <c r="T988" s="2"/>
    </row>
    <row r="989" spans="1:20" ht="15.75" customHeight="1">
      <c r="A989" s="1"/>
      <c r="B989" s="2"/>
      <c r="C989" s="2"/>
      <c r="D989" s="2"/>
      <c r="E989" s="2"/>
      <c r="F989" s="2"/>
      <c r="G989" s="2"/>
      <c r="H989" s="2"/>
      <c r="I989" s="2"/>
      <c r="J989" s="2"/>
      <c r="K989" s="2"/>
      <c r="L989" s="2"/>
      <c r="M989" s="2"/>
      <c r="N989" s="2"/>
      <c r="O989" s="2"/>
      <c r="P989" s="2"/>
      <c r="Q989" s="2"/>
      <c r="R989" s="2"/>
      <c r="S989" s="2"/>
      <c r="T989" s="2"/>
    </row>
    <row r="990" spans="1:20" ht="15.75" customHeight="1">
      <c r="A990" s="1"/>
      <c r="B990" s="2"/>
      <c r="C990" s="2"/>
      <c r="D990" s="2"/>
      <c r="E990" s="2"/>
      <c r="F990" s="2"/>
      <c r="G990" s="2"/>
      <c r="H990" s="2"/>
      <c r="I990" s="2"/>
      <c r="J990" s="2"/>
      <c r="K990" s="2"/>
      <c r="L990" s="2"/>
      <c r="M990" s="2"/>
      <c r="N990" s="2"/>
      <c r="O990" s="2"/>
      <c r="P990" s="2"/>
      <c r="Q990" s="2"/>
      <c r="R990" s="2"/>
      <c r="S990" s="2"/>
      <c r="T990" s="2"/>
    </row>
    <row r="991" spans="1:20" ht="15.75" customHeight="1">
      <c r="A991" s="1"/>
      <c r="B991" s="2"/>
      <c r="C991" s="2"/>
      <c r="D991" s="2"/>
      <c r="E991" s="2"/>
      <c r="F991" s="2"/>
      <c r="G991" s="2"/>
      <c r="H991" s="2"/>
      <c r="I991" s="2"/>
      <c r="J991" s="2"/>
      <c r="K991" s="2"/>
      <c r="L991" s="2"/>
      <c r="M991" s="2"/>
      <c r="N991" s="2"/>
      <c r="O991" s="2"/>
      <c r="P991" s="2"/>
      <c r="Q991" s="2"/>
      <c r="R991" s="2"/>
      <c r="S991" s="2"/>
      <c r="T991" s="2"/>
    </row>
    <row r="992" spans="1:20" ht="15.75" customHeight="1">
      <c r="A992" s="1"/>
      <c r="B992" s="2"/>
      <c r="C992" s="2"/>
      <c r="D992" s="2"/>
      <c r="E992" s="2"/>
      <c r="F992" s="2"/>
      <c r="G992" s="2"/>
      <c r="H992" s="2"/>
      <c r="I992" s="2"/>
      <c r="J992" s="2"/>
      <c r="K992" s="2"/>
      <c r="L992" s="2"/>
      <c r="M992" s="2"/>
      <c r="N992" s="2"/>
      <c r="O992" s="2"/>
      <c r="P992" s="2"/>
      <c r="Q992" s="2"/>
      <c r="R992" s="2"/>
      <c r="S992" s="2"/>
      <c r="T992" s="2"/>
    </row>
    <row r="993" spans="1:20" ht="15.75" customHeight="1">
      <c r="A993" s="1"/>
      <c r="B993" s="2"/>
      <c r="C993" s="2"/>
      <c r="D993" s="2"/>
      <c r="E993" s="2"/>
      <c r="F993" s="2"/>
      <c r="G993" s="2"/>
      <c r="H993" s="2"/>
      <c r="I993" s="2"/>
      <c r="J993" s="2"/>
      <c r="K993" s="2"/>
      <c r="L993" s="2"/>
      <c r="M993" s="2"/>
      <c r="N993" s="2"/>
      <c r="O993" s="2"/>
      <c r="P993" s="2"/>
      <c r="Q993" s="2"/>
      <c r="R993" s="2"/>
      <c r="S993" s="2"/>
      <c r="T993" s="2"/>
    </row>
    <row r="994" spans="1:20" ht="15.75" customHeight="1">
      <c r="A994" s="1"/>
      <c r="B994" s="2"/>
      <c r="C994" s="2"/>
      <c r="D994" s="2"/>
      <c r="E994" s="2"/>
      <c r="F994" s="2"/>
      <c r="G994" s="2"/>
      <c r="H994" s="2"/>
      <c r="I994" s="2"/>
      <c r="J994" s="2"/>
      <c r="K994" s="2"/>
      <c r="L994" s="2"/>
      <c r="M994" s="2"/>
      <c r="N994" s="2"/>
      <c r="O994" s="2"/>
      <c r="P994" s="2"/>
      <c r="Q994" s="2"/>
      <c r="R994" s="2"/>
      <c r="S994" s="2"/>
      <c r="T994" s="2"/>
    </row>
    <row r="995" spans="1:20" ht="15.75" customHeight="1">
      <c r="A995" s="1"/>
      <c r="B995" s="2"/>
      <c r="C995" s="2"/>
      <c r="D995" s="2"/>
      <c r="E995" s="2"/>
      <c r="F995" s="2"/>
      <c r="G995" s="2"/>
      <c r="H995" s="2"/>
      <c r="I995" s="2"/>
      <c r="J995" s="2"/>
      <c r="K995" s="2"/>
      <c r="L995" s="2"/>
      <c r="M995" s="2"/>
      <c r="N995" s="2"/>
      <c r="O995" s="2"/>
      <c r="P995" s="2"/>
      <c r="Q995" s="2"/>
      <c r="R995" s="2"/>
      <c r="S995" s="2"/>
      <c r="T995" s="2"/>
    </row>
    <row r="996" spans="1:20" ht="15.75" customHeight="1">
      <c r="A996" s="1"/>
      <c r="B996" s="2"/>
      <c r="C996" s="2"/>
      <c r="D996" s="2"/>
      <c r="E996" s="2"/>
      <c r="F996" s="2"/>
      <c r="G996" s="2"/>
      <c r="H996" s="2"/>
      <c r="I996" s="2"/>
      <c r="J996" s="2"/>
      <c r="K996" s="2"/>
      <c r="L996" s="2"/>
      <c r="M996" s="2"/>
      <c r="N996" s="2"/>
      <c r="O996" s="2"/>
      <c r="P996" s="2"/>
      <c r="Q996" s="2"/>
      <c r="R996" s="2"/>
      <c r="S996" s="2"/>
      <c r="T996" s="2"/>
    </row>
    <row r="997" spans="1:20" ht="15.75" customHeight="1">
      <c r="A997" s="1"/>
      <c r="B997" s="2"/>
      <c r="C997" s="2"/>
      <c r="D997" s="2"/>
      <c r="E997" s="2"/>
      <c r="F997" s="2"/>
      <c r="G997" s="2"/>
      <c r="H997" s="2"/>
      <c r="I997" s="2"/>
      <c r="J997" s="2"/>
      <c r="K997" s="2"/>
      <c r="L997" s="2"/>
      <c r="M997" s="2"/>
      <c r="N997" s="2"/>
      <c r="O997" s="2"/>
      <c r="P997" s="2"/>
      <c r="Q997" s="2"/>
      <c r="R997" s="2"/>
      <c r="S997" s="2"/>
      <c r="T997" s="2"/>
    </row>
    <row r="998" spans="1:20" ht="15.75" customHeight="1">
      <c r="A998" s="1"/>
      <c r="B998" s="2"/>
      <c r="C998" s="2"/>
      <c r="D998" s="2"/>
      <c r="E998" s="2"/>
      <c r="F998" s="2"/>
      <c r="G998" s="2"/>
      <c r="H998" s="2"/>
      <c r="I998" s="2"/>
      <c r="J998" s="2"/>
      <c r="K998" s="2"/>
      <c r="L998" s="2"/>
      <c r="M998" s="2"/>
      <c r="N998" s="2"/>
      <c r="O998" s="2"/>
      <c r="P998" s="2"/>
      <c r="Q998" s="2"/>
      <c r="R998" s="2"/>
      <c r="S998" s="2"/>
      <c r="T998" s="2"/>
    </row>
    <row r="999" spans="1:20" ht="15.75" customHeight="1">
      <c r="A999" s="1"/>
      <c r="B999" s="2"/>
      <c r="C999" s="2"/>
      <c r="D999" s="2"/>
      <c r="E999" s="2"/>
      <c r="F999" s="2"/>
      <c r="G999" s="2"/>
      <c r="H999" s="2"/>
      <c r="I999" s="2"/>
      <c r="J999" s="2"/>
      <c r="K999" s="2"/>
      <c r="L999" s="2"/>
      <c r="M999" s="2"/>
      <c r="N999" s="2"/>
      <c r="O999" s="2"/>
      <c r="P999" s="2"/>
      <c r="Q999" s="2"/>
      <c r="R999" s="2"/>
      <c r="S999" s="2"/>
      <c r="T999" s="2"/>
    </row>
    <row r="1000" spans="1:20" ht="15.75" customHeight="1">
      <c r="A1000" s="1"/>
      <c r="B1000" s="2"/>
      <c r="C1000" s="2"/>
      <c r="D1000" s="2"/>
      <c r="E1000" s="2"/>
      <c r="F1000" s="2"/>
      <c r="G1000" s="2"/>
      <c r="H1000" s="2"/>
      <c r="I1000" s="2"/>
      <c r="J1000" s="2"/>
      <c r="K1000" s="2"/>
      <c r="L1000" s="2"/>
      <c r="M1000" s="2"/>
      <c r="N1000" s="2"/>
      <c r="O1000" s="2"/>
      <c r="P1000" s="2"/>
      <c r="Q1000" s="2"/>
      <c r="R1000" s="2"/>
      <c r="S1000" s="2"/>
      <c r="T1000" s="2"/>
    </row>
  </sheetData>
  <conditionalFormatting sqref="E76:T76">
    <cfRule type="containsText" dxfId="23" priority="6" operator="containsText" text="TRUE">
      <formula>NOT(ISERROR(SEARCH(("TRUE"),(E76))))</formula>
    </cfRule>
  </conditionalFormatting>
  <conditionalFormatting sqref="E111:T111">
    <cfRule type="containsText" dxfId="22" priority="5" operator="containsText" text="TRUE">
      <formula>NOT(ISERROR(SEARCH(("TRUE"),(E111))))</formula>
    </cfRule>
  </conditionalFormatting>
  <pageMargins left="0.7" right="0.7" top="0.75" bottom="0.75"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C1000"/>
  <sheetViews>
    <sheetView zoomScale="70" zoomScaleNormal="60" workbookViewId="0">
      <pane xSplit="3" ySplit="3" topLeftCell="U4" activePane="bottomRight" state="frozen"/>
      <selection pane="topRight" activeCell="D1" sqref="D1"/>
      <selection pane="bottomLeft" activeCell="A4" sqref="A4"/>
      <selection pane="bottomRight" activeCell="V1" sqref="V1:AD1048576"/>
    </sheetView>
  </sheetViews>
  <sheetFormatPr defaultColWidth="14.42578125" defaultRowHeight="15" customHeight="1"/>
  <cols>
    <col min="1" max="1" width="5.5703125" customWidth="1"/>
    <col min="2" max="2" width="41.28515625" customWidth="1"/>
    <col min="3" max="3" width="13.5703125" customWidth="1"/>
    <col min="4" max="11" width="18.5703125" hidden="1" customWidth="1"/>
    <col min="12" max="20" width="29.140625" customWidth="1"/>
  </cols>
  <sheetData>
    <row r="1" spans="1:29" ht="15.75" customHeight="1">
      <c r="A1" s="1"/>
      <c r="B1" s="2"/>
      <c r="C1" s="2"/>
      <c r="D1" s="2"/>
      <c r="E1" s="2"/>
      <c r="F1" s="2"/>
      <c r="G1" s="2"/>
      <c r="H1" s="2"/>
      <c r="I1" s="2"/>
      <c r="J1" s="2"/>
      <c r="K1" s="2"/>
      <c r="L1" s="2"/>
      <c r="M1" s="2"/>
      <c r="N1" s="2"/>
      <c r="O1" s="2"/>
      <c r="P1" s="2"/>
      <c r="Q1" s="2"/>
      <c r="R1" s="2"/>
      <c r="S1" s="2"/>
      <c r="T1" s="2"/>
    </row>
    <row r="2" spans="1:29" ht="15.75" customHeight="1" thickBot="1">
      <c r="A2" s="1"/>
      <c r="B2" s="2"/>
      <c r="C2" s="2"/>
      <c r="D2" s="2"/>
      <c r="E2" s="2"/>
      <c r="F2" s="2"/>
      <c r="G2" s="2"/>
      <c r="H2" s="2"/>
      <c r="I2" s="2"/>
      <c r="J2" s="2"/>
      <c r="K2" s="2"/>
      <c r="L2" s="2"/>
      <c r="M2" s="2"/>
      <c r="N2" s="2"/>
      <c r="O2" s="2"/>
      <c r="P2" s="2"/>
      <c r="Q2" s="2"/>
      <c r="R2" s="2"/>
      <c r="S2" s="2"/>
      <c r="T2" s="2"/>
    </row>
    <row r="3" spans="1:29" ht="15.75" customHeight="1" thickBot="1">
      <c r="A3" s="45"/>
      <c r="B3" s="46" t="s">
        <v>77</v>
      </c>
      <c r="C3" s="47" t="s">
        <v>1</v>
      </c>
      <c r="D3" s="47">
        <v>2008</v>
      </c>
      <c r="E3" s="47">
        <f t="shared" ref="E3:T3" si="0">D3+1</f>
        <v>2009</v>
      </c>
      <c r="F3" s="47">
        <f t="shared" si="0"/>
        <v>2010</v>
      </c>
      <c r="G3" s="47">
        <f t="shared" si="0"/>
        <v>2011</v>
      </c>
      <c r="H3" s="47">
        <f t="shared" si="0"/>
        <v>2012</v>
      </c>
      <c r="I3" s="47">
        <f t="shared" si="0"/>
        <v>2013</v>
      </c>
      <c r="J3" s="47">
        <f t="shared" si="0"/>
        <v>2014</v>
      </c>
      <c r="K3" s="47">
        <f t="shared" si="0"/>
        <v>2015</v>
      </c>
      <c r="L3" s="47">
        <f t="shared" si="0"/>
        <v>2016</v>
      </c>
      <c r="M3" s="47">
        <f t="shared" si="0"/>
        <v>2017</v>
      </c>
      <c r="N3" s="47">
        <f t="shared" si="0"/>
        <v>2018</v>
      </c>
      <c r="O3" s="47">
        <v>2019</v>
      </c>
      <c r="P3" s="47">
        <f t="shared" si="0"/>
        <v>2020</v>
      </c>
      <c r="Q3" s="47">
        <f t="shared" si="0"/>
        <v>2021</v>
      </c>
      <c r="R3" s="47">
        <f t="shared" si="0"/>
        <v>2022</v>
      </c>
      <c r="S3" s="47">
        <f t="shared" si="0"/>
        <v>2023</v>
      </c>
      <c r="T3" s="47">
        <f t="shared" si="0"/>
        <v>2024</v>
      </c>
    </row>
    <row r="4" spans="1:29" ht="15.75" customHeight="1">
      <c r="A4" s="1"/>
      <c r="B4" s="2"/>
      <c r="C4" s="2"/>
      <c r="D4" s="2"/>
      <c r="E4" s="2"/>
      <c r="F4" s="2"/>
      <c r="G4" s="2"/>
      <c r="H4" s="2"/>
      <c r="I4" s="2"/>
      <c r="J4" s="2"/>
      <c r="K4" s="2"/>
      <c r="L4" s="2"/>
      <c r="M4" s="2"/>
      <c r="N4" s="2"/>
      <c r="O4" s="2"/>
      <c r="P4" s="2"/>
      <c r="Q4" s="2"/>
      <c r="R4" s="2"/>
      <c r="S4" s="2"/>
      <c r="T4" s="2"/>
    </row>
    <row r="5" spans="1:29" ht="15.75" customHeight="1">
      <c r="A5" s="6" t="s">
        <v>2</v>
      </c>
      <c r="B5" s="2"/>
      <c r="C5" s="2"/>
      <c r="D5" s="2"/>
      <c r="E5" s="2"/>
      <c r="F5" s="2"/>
      <c r="G5" s="2"/>
      <c r="H5" s="2"/>
      <c r="I5" s="2"/>
      <c r="J5" s="2"/>
      <c r="K5" s="2"/>
      <c r="L5" s="2"/>
      <c r="M5" s="2"/>
      <c r="N5" s="2"/>
      <c r="O5" s="2"/>
      <c r="P5" s="2"/>
      <c r="Q5" s="2"/>
      <c r="R5" s="2"/>
      <c r="S5" s="2"/>
      <c r="T5" s="2"/>
    </row>
    <row r="6" spans="1:29" ht="6.75" customHeight="1">
      <c r="A6" s="7"/>
      <c r="B6" s="2"/>
      <c r="C6" s="2"/>
      <c r="D6" s="2"/>
      <c r="E6" s="2"/>
      <c r="F6" s="2"/>
      <c r="G6" s="2"/>
      <c r="H6" s="2"/>
      <c r="I6" s="2"/>
      <c r="J6" s="2"/>
      <c r="K6" s="2"/>
      <c r="L6" s="2"/>
      <c r="M6" s="2"/>
      <c r="N6" s="2"/>
      <c r="O6" s="2"/>
      <c r="P6" s="2"/>
      <c r="Q6" s="2"/>
      <c r="R6" s="2"/>
      <c r="S6" s="2"/>
      <c r="T6" s="2"/>
    </row>
    <row r="7" spans="1:29" ht="15.75" customHeight="1">
      <c r="A7" s="48" t="s">
        <v>3</v>
      </c>
      <c r="B7" s="48" t="s">
        <v>4</v>
      </c>
      <c r="C7" s="48" t="s">
        <v>5</v>
      </c>
      <c r="D7" s="48">
        <f t="shared" ref="D7:T7" si="1">D$3</f>
        <v>2008</v>
      </c>
      <c r="E7" s="48">
        <f t="shared" si="1"/>
        <v>2009</v>
      </c>
      <c r="F7" s="48">
        <f t="shared" si="1"/>
        <v>2010</v>
      </c>
      <c r="G7" s="48">
        <f t="shared" si="1"/>
        <v>2011</v>
      </c>
      <c r="H7" s="48">
        <f t="shared" si="1"/>
        <v>2012</v>
      </c>
      <c r="I7" s="48">
        <f t="shared" si="1"/>
        <v>2013</v>
      </c>
      <c r="J7" s="48">
        <f t="shared" si="1"/>
        <v>2014</v>
      </c>
      <c r="K7" s="48">
        <f t="shared" si="1"/>
        <v>2015</v>
      </c>
      <c r="L7" s="48">
        <f t="shared" si="1"/>
        <v>2016</v>
      </c>
      <c r="M7" s="48">
        <f t="shared" si="1"/>
        <v>2017</v>
      </c>
      <c r="N7" s="48">
        <f t="shared" si="1"/>
        <v>2018</v>
      </c>
      <c r="O7" s="48">
        <v>2019</v>
      </c>
      <c r="P7" s="48">
        <f t="shared" si="1"/>
        <v>2020</v>
      </c>
      <c r="Q7" s="48">
        <f t="shared" si="1"/>
        <v>2021</v>
      </c>
      <c r="R7" s="48">
        <f t="shared" si="1"/>
        <v>2022</v>
      </c>
      <c r="S7" s="48">
        <f t="shared" si="1"/>
        <v>2023</v>
      </c>
      <c r="T7" s="48">
        <f t="shared" si="1"/>
        <v>2024</v>
      </c>
    </row>
    <row r="8" spans="1:29"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v>-15</v>
      </c>
      <c r="P8" s="9">
        <f t="shared" si="2"/>
        <v>-16</v>
      </c>
      <c r="Q8" s="9">
        <f t="shared" si="2"/>
        <v>-17</v>
      </c>
      <c r="R8" s="9">
        <f t="shared" si="2"/>
        <v>-18</v>
      </c>
      <c r="S8" s="9">
        <f t="shared" si="2"/>
        <v>-19</v>
      </c>
      <c r="T8" s="9">
        <f t="shared" si="2"/>
        <v>-20</v>
      </c>
    </row>
    <row r="9" spans="1:29" ht="15.75" customHeight="1">
      <c r="A9" s="10">
        <v>1</v>
      </c>
      <c r="B9" s="11" t="s">
        <v>6</v>
      </c>
      <c r="C9" s="10" t="s">
        <v>78</v>
      </c>
      <c r="D9" s="12">
        <f t="shared" ref="D9:N9" si="3">SUM(D10:D11)</f>
        <v>170100000000</v>
      </c>
      <c r="E9" s="12">
        <f t="shared" si="3"/>
        <v>159630000000</v>
      </c>
      <c r="F9" s="12">
        <f t="shared" si="3"/>
        <v>157140000000</v>
      </c>
      <c r="G9" s="12">
        <f t="shared" si="3"/>
        <v>152890000000</v>
      </c>
      <c r="H9" s="12">
        <f t="shared" si="3"/>
        <v>150700000000</v>
      </c>
      <c r="I9" s="12">
        <f t="shared" si="3"/>
        <v>150390000000</v>
      </c>
      <c r="J9" s="12">
        <f t="shared" si="3"/>
        <v>149298500000</v>
      </c>
      <c r="K9" s="12">
        <f t="shared" si="3"/>
        <v>151330000000</v>
      </c>
      <c r="L9" s="12">
        <f t="shared" si="3"/>
        <v>144060000000</v>
      </c>
      <c r="M9" s="12">
        <f t="shared" si="3"/>
        <v>142720000000</v>
      </c>
      <c r="N9" s="12">
        <f t="shared" si="3"/>
        <v>135550000000</v>
      </c>
      <c r="O9" s="12">
        <v>77292530000</v>
      </c>
      <c r="P9" s="204">
        <v>62390130000</v>
      </c>
      <c r="Q9" s="204">
        <v>60612334125.075508</v>
      </c>
      <c r="R9" s="204">
        <v>54830409999.999985</v>
      </c>
      <c r="S9" s="204">
        <v>54760000000</v>
      </c>
      <c r="T9" s="204">
        <v>51981750000</v>
      </c>
      <c r="Z9" s="209"/>
      <c r="AA9" s="209"/>
      <c r="AB9" s="209"/>
      <c r="AC9" s="209"/>
    </row>
    <row r="10" spans="1:29" ht="15.75" customHeight="1">
      <c r="A10" s="14">
        <v>1.1000000000000001</v>
      </c>
      <c r="B10" s="15" t="s">
        <v>8</v>
      </c>
      <c r="C10" s="14" t="s">
        <v>78</v>
      </c>
      <c r="D10" s="16">
        <v>112500000000</v>
      </c>
      <c r="E10" s="16">
        <v>107340000000</v>
      </c>
      <c r="F10" s="16">
        <v>108400000000</v>
      </c>
      <c r="G10" s="16">
        <v>104710000000</v>
      </c>
      <c r="H10" s="16">
        <v>103350000000</v>
      </c>
      <c r="I10" s="16">
        <v>101540000000</v>
      </c>
      <c r="J10" s="16">
        <v>100255600000</v>
      </c>
      <c r="K10" s="16">
        <v>97990000000</v>
      </c>
      <c r="L10" s="16">
        <v>101220000000</v>
      </c>
      <c r="M10" s="16">
        <v>100370000000</v>
      </c>
      <c r="N10" s="16">
        <v>96060000000</v>
      </c>
      <c r="O10" s="16">
        <v>49737950000</v>
      </c>
      <c r="P10" s="182">
        <v>43569730000</v>
      </c>
      <c r="Q10" s="182">
        <v>41624309736.16922</v>
      </c>
      <c r="R10" s="182">
        <v>36344699999.999992</v>
      </c>
      <c r="S10" s="182">
        <v>35300000000</v>
      </c>
      <c r="T10" s="182">
        <v>33838440000</v>
      </c>
      <c r="Z10" s="209"/>
      <c r="AA10" s="209"/>
      <c r="AB10" s="209"/>
      <c r="AC10" s="209"/>
    </row>
    <row r="11" spans="1:29" ht="15.75" customHeight="1">
      <c r="A11" s="14">
        <v>1.2</v>
      </c>
      <c r="B11" s="15" t="s">
        <v>9</v>
      </c>
      <c r="C11" s="14" t="s">
        <v>78</v>
      </c>
      <c r="D11" s="16">
        <v>57600000000</v>
      </c>
      <c r="E11" s="16">
        <v>52290000000</v>
      </c>
      <c r="F11" s="16">
        <v>48740000000</v>
      </c>
      <c r="G11" s="16">
        <v>48180000000</v>
      </c>
      <c r="H11" s="16">
        <v>47350000000</v>
      </c>
      <c r="I11" s="16">
        <v>48850000000</v>
      </c>
      <c r="J11" s="16">
        <v>49042900000</v>
      </c>
      <c r="K11" s="16">
        <v>53340000000</v>
      </c>
      <c r="L11" s="16">
        <v>42840000000</v>
      </c>
      <c r="M11" s="16">
        <v>42350000000</v>
      </c>
      <c r="N11" s="16">
        <v>39490000000</v>
      </c>
      <c r="O11" s="16">
        <v>27554580000</v>
      </c>
      <c r="P11" s="182">
        <v>18820400000.000004</v>
      </c>
      <c r="Q11" s="182">
        <v>18988024388.906288</v>
      </c>
      <c r="R11" s="182">
        <v>18485709999.999996</v>
      </c>
      <c r="S11" s="182">
        <v>19460000000</v>
      </c>
      <c r="T11" s="182">
        <v>18143310000</v>
      </c>
      <c r="Z11" s="209"/>
      <c r="AA11" s="209"/>
      <c r="AB11" s="209"/>
      <c r="AC11" s="209"/>
    </row>
    <row r="12" spans="1:29" ht="15.75" customHeight="1">
      <c r="A12" s="10">
        <v>2</v>
      </c>
      <c r="B12" s="11" t="s">
        <v>10</v>
      </c>
      <c r="C12" s="10" t="s">
        <v>78</v>
      </c>
      <c r="D12" s="12">
        <f t="shared" ref="D12:J12" si="4">SUM(D13:D16)</f>
        <v>998558690000</v>
      </c>
      <c r="E12" s="12">
        <f t="shared" si="4"/>
        <v>1655829549240.2229</v>
      </c>
      <c r="F12" s="12">
        <f t="shared" si="4"/>
        <v>1423788236919.3281</v>
      </c>
      <c r="G12" s="12">
        <f t="shared" si="4"/>
        <v>1547181284460.5452</v>
      </c>
      <c r="H12" s="12">
        <f t="shared" si="4"/>
        <v>1576908218379.5049</v>
      </c>
      <c r="I12" s="12">
        <f t="shared" si="4"/>
        <v>1055500710713.0294</v>
      </c>
      <c r="J12" s="12">
        <f t="shared" si="4"/>
        <v>982312486622.68481</v>
      </c>
      <c r="K12" s="12">
        <v>666110000000</v>
      </c>
      <c r="L12" s="12">
        <v>591710000000</v>
      </c>
      <c r="M12" s="12">
        <f>323.93*1000000000</f>
        <v>323930000000</v>
      </c>
      <c r="N12" s="12">
        <v>433420000000</v>
      </c>
      <c r="O12" s="183">
        <v>53190000000</v>
      </c>
      <c r="P12" s="183">
        <v>66793228377.960884</v>
      </c>
      <c r="Q12" s="183">
        <v>68416313901.257042</v>
      </c>
      <c r="R12" s="183">
        <v>73695073671.472733</v>
      </c>
      <c r="S12" s="183">
        <v>44807550000.000008</v>
      </c>
      <c r="T12" s="183">
        <v>68257929999.999985</v>
      </c>
      <c r="Z12" s="209"/>
      <c r="AA12" s="209"/>
      <c r="AB12" s="209"/>
      <c r="AC12" s="209"/>
    </row>
    <row r="13" spans="1:29" ht="15.75" customHeight="1">
      <c r="A13" s="14">
        <v>2.1</v>
      </c>
      <c r="B13" s="15" t="s">
        <v>11</v>
      </c>
      <c r="C13" s="14" t="s">
        <v>78</v>
      </c>
      <c r="D13" s="16">
        <v>315020520000</v>
      </c>
      <c r="E13" s="16">
        <v>701147600350.323</v>
      </c>
      <c r="F13" s="16">
        <v>677166415716.99194</v>
      </c>
      <c r="G13" s="16">
        <v>806351701283.32605</v>
      </c>
      <c r="H13" s="16">
        <v>828284031997.151</v>
      </c>
      <c r="I13" s="16">
        <v>566645686203.05994</v>
      </c>
      <c r="J13" s="16">
        <v>579246370934.11597</v>
      </c>
      <c r="K13" s="16"/>
      <c r="L13" s="16"/>
      <c r="M13" s="16"/>
      <c r="N13" s="16"/>
      <c r="O13" s="182"/>
      <c r="P13" s="182"/>
      <c r="Q13" s="182"/>
      <c r="R13" s="182"/>
      <c r="S13" s="182"/>
      <c r="T13" s="182"/>
      <c r="Z13" s="209"/>
      <c r="AA13" s="209"/>
      <c r="AB13" s="209"/>
      <c r="AC13" s="209"/>
    </row>
    <row r="14" spans="1:29" ht="15.75" customHeight="1">
      <c r="A14" s="14">
        <v>2.2000000000000002</v>
      </c>
      <c r="B14" s="15" t="s">
        <v>12</v>
      </c>
      <c r="C14" s="14" t="s">
        <v>78</v>
      </c>
      <c r="D14" s="16">
        <v>248244410000</v>
      </c>
      <c r="E14" s="16">
        <v>399337675877.20801</v>
      </c>
      <c r="F14" s="16">
        <v>341217912233.22003</v>
      </c>
      <c r="G14" s="16">
        <v>480178263934.47101</v>
      </c>
      <c r="H14" s="16">
        <v>495613713139.20197</v>
      </c>
      <c r="I14" s="16">
        <v>312936118648.41797</v>
      </c>
      <c r="J14" s="16">
        <v>242018016180.56201</v>
      </c>
      <c r="K14" s="16"/>
      <c r="L14" s="16"/>
      <c r="M14" s="16"/>
      <c r="N14" s="16"/>
      <c r="O14" s="16"/>
      <c r="P14" s="16"/>
      <c r="Q14" s="16"/>
      <c r="R14" s="16"/>
      <c r="S14" s="16"/>
      <c r="T14" s="16"/>
      <c r="Z14" s="209"/>
      <c r="AA14" s="209"/>
      <c r="AB14" s="209"/>
      <c r="AC14" s="209"/>
    </row>
    <row r="15" spans="1:29" ht="15.75" customHeight="1">
      <c r="A15" s="14">
        <v>2.2999999999999998</v>
      </c>
      <c r="B15" s="15" t="s">
        <v>13</v>
      </c>
      <c r="C15" s="14" t="s">
        <v>78</v>
      </c>
      <c r="D15" s="16">
        <v>217646880000</v>
      </c>
      <c r="E15" s="16">
        <v>277672136506.34601</v>
      </c>
      <c r="F15" s="16">
        <v>202701954484.55798</v>
      </c>
      <c r="G15" s="16">
        <v>130325659621.37399</v>
      </c>
      <c r="H15" s="16">
        <v>126505236621.576</v>
      </c>
      <c r="I15" s="16">
        <v>87959452930.775803</v>
      </c>
      <c r="J15" s="16">
        <v>80524049754.003403</v>
      </c>
      <c r="K15" s="16"/>
      <c r="L15" s="16"/>
      <c r="M15" s="16"/>
      <c r="N15" s="16"/>
      <c r="O15" s="16"/>
      <c r="P15" s="16"/>
      <c r="Q15" s="16"/>
      <c r="R15" s="16"/>
      <c r="S15" s="16"/>
      <c r="T15" s="16"/>
      <c r="Z15" s="209"/>
      <c r="AA15" s="209"/>
      <c r="AB15" s="209"/>
      <c r="AC15" s="209"/>
    </row>
    <row r="16" spans="1:29" ht="15.75" customHeight="1">
      <c r="A16" s="14">
        <v>2.4</v>
      </c>
      <c r="B16" s="15" t="s">
        <v>14</v>
      </c>
      <c r="C16" s="14" t="s">
        <v>78</v>
      </c>
      <c r="D16" s="16">
        <v>217646880000</v>
      </c>
      <c r="E16" s="16">
        <v>277672136506.34601</v>
      </c>
      <c r="F16" s="16">
        <v>202701954484.55798</v>
      </c>
      <c r="G16" s="16">
        <v>130325659621.37399</v>
      </c>
      <c r="H16" s="16">
        <v>126505236621.576</v>
      </c>
      <c r="I16" s="16">
        <v>87959452930.775803</v>
      </c>
      <c r="J16" s="16">
        <v>80524049754.003403</v>
      </c>
      <c r="K16" s="16"/>
      <c r="L16" s="16"/>
      <c r="M16" s="16"/>
      <c r="N16" s="16"/>
      <c r="O16" s="16"/>
      <c r="P16" s="16"/>
      <c r="Q16" s="16"/>
      <c r="R16" s="16"/>
      <c r="S16" s="16"/>
      <c r="T16" s="16"/>
      <c r="Z16" s="209"/>
      <c r="AA16" s="209"/>
      <c r="AB16" s="209"/>
      <c r="AC16" s="209"/>
    </row>
    <row r="17" spans="1:29" ht="15.75" customHeight="1">
      <c r="A17" s="17" t="s">
        <v>15</v>
      </c>
      <c r="B17" s="2"/>
      <c r="C17" s="2"/>
      <c r="D17" s="2"/>
      <c r="E17" s="2"/>
      <c r="F17" s="2"/>
      <c r="G17" s="2"/>
      <c r="H17" s="2"/>
      <c r="I17" s="2"/>
      <c r="J17" s="2"/>
      <c r="K17" s="2"/>
      <c r="L17" s="2"/>
      <c r="M17" s="2"/>
      <c r="N17" s="2"/>
      <c r="O17" s="2"/>
      <c r="P17" s="2"/>
      <c r="Q17" s="2"/>
      <c r="R17" s="2"/>
      <c r="S17" s="2"/>
      <c r="T17" s="2"/>
    </row>
    <row r="18" spans="1:29" ht="15.75" customHeight="1">
      <c r="A18" s="1"/>
      <c r="B18" s="2"/>
      <c r="C18" s="2"/>
      <c r="D18" s="2"/>
      <c r="E18" s="2"/>
      <c r="F18" s="2"/>
      <c r="G18" s="2"/>
      <c r="H18" s="2"/>
      <c r="I18" s="2"/>
      <c r="J18" s="2"/>
      <c r="K18" s="2"/>
      <c r="L18" s="2"/>
      <c r="M18" s="2"/>
      <c r="N18" s="2"/>
      <c r="O18" s="179"/>
      <c r="P18" s="179"/>
      <c r="Q18" s="179"/>
      <c r="R18" s="179"/>
      <c r="S18" s="179"/>
      <c r="T18" s="179"/>
    </row>
    <row r="19" spans="1:29" ht="15.75" customHeight="1">
      <c r="A19" s="1"/>
      <c r="B19" s="2"/>
      <c r="C19" s="2"/>
      <c r="D19" s="2"/>
      <c r="E19" s="2"/>
      <c r="F19" s="2"/>
      <c r="G19" s="2"/>
      <c r="H19" s="2"/>
      <c r="I19" s="2"/>
      <c r="J19" s="2"/>
      <c r="K19" s="2"/>
      <c r="L19" s="2"/>
      <c r="M19" s="2"/>
      <c r="N19" s="2"/>
      <c r="O19" s="2"/>
      <c r="P19" s="2"/>
      <c r="Q19" s="2"/>
      <c r="R19" s="2"/>
      <c r="S19" s="2"/>
      <c r="T19" s="2"/>
    </row>
    <row r="20" spans="1:29" ht="15.75" customHeight="1">
      <c r="A20" s="6" t="s">
        <v>16</v>
      </c>
      <c r="B20" s="2"/>
      <c r="C20" s="2"/>
      <c r="D20" s="2"/>
      <c r="E20" s="2"/>
      <c r="F20" s="2"/>
      <c r="G20" s="2"/>
      <c r="H20" s="2"/>
      <c r="I20" s="2"/>
      <c r="J20" s="2"/>
      <c r="K20" s="2"/>
      <c r="L20" s="2"/>
      <c r="M20" s="2"/>
      <c r="N20" s="2"/>
      <c r="O20" s="2"/>
      <c r="P20" s="185"/>
      <c r="Q20" s="185"/>
      <c r="R20" s="185"/>
      <c r="S20" s="185"/>
      <c r="T20" s="185"/>
    </row>
    <row r="21" spans="1:29" ht="7.5" customHeight="1">
      <c r="A21" s="7"/>
      <c r="B21" s="2"/>
      <c r="C21" s="2"/>
      <c r="D21" s="2"/>
      <c r="E21" s="2"/>
      <c r="F21" s="2"/>
      <c r="G21" s="2"/>
      <c r="H21" s="2"/>
      <c r="I21" s="2"/>
      <c r="J21" s="2"/>
      <c r="K21" s="2"/>
      <c r="L21" s="2"/>
      <c r="M21" s="2"/>
      <c r="N21" s="2"/>
      <c r="O21" s="2"/>
      <c r="P21" s="2"/>
      <c r="Q21" s="2"/>
      <c r="R21" s="2"/>
      <c r="S21" s="2"/>
      <c r="T21" s="2"/>
    </row>
    <row r="22" spans="1:29" ht="15.75" customHeight="1">
      <c r="A22" s="48" t="s">
        <v>3</v>
      </c>
      <c r="B22" s="48" t="s">
        <v>4</v>
      </c>
      <c r="C22" s="48" t="s">
        <v>5</v>
      </c>
      <c r="D22" s="48">
        <f t="shared" ref="D22:T22" si="5">D$3</f>
        <v>2008</v>
      </c>
      <c r="E22" s="48">
        <f t="shared" si="5"/>
        <v>2009</v>
      </c>
      <c r="F22" s="48">
        <f t="shared" si="5"/>
        <v>2010</v>
      </c>
      <c r="G22" s="48">
        <f t="shared" si="5"/>
        <v>2011</v>
      </c>
      <c r="H22" s="48">
        <f t="shared" si="5"/>
        <v>2012</v>
      </c>
      <c r="I22" s="48">
        <f t="shared" si="5"/>
        <v>2013</v>
      </c>
      <c r="J22" s="48">
        <f t="shared" si="5"/>
        <v>2014</v>
      </c>
      <c r="K22" s="48">
        <f t="shared" si="5"/>
        <v>2015</v>
      </c>
      <c r="L22" s="48">
        <f t="shared" si="5"/>
        <v>2016</v>
      </c>
      <c r="M22" s="48">
        <f t="shared" si="5"/>
        <v>2017</v>
      </c>
      <c r="N22" s="48">
        <f t="shared" si="5"/>
        <v>2018</v>
      </c>
      <c r="O22" s="48">
        <v>2019</v>
      </c>
      <c r="P22" s="48">
        <f t="shared" si="5"/>
        <v>2020</v>
      </c>
      <c r="Q22" s="48">
        <f t="shared" si="5"/>
        <v>2021</v>
      </c>
      <c r="R22" s="48">
        <f t="shared" si="5"/>
        <v>2022</v>
      </c>
      <c r="S22" s="48">
        <f t="shared" si="5"/>
        <v>2023</v>
      </c>
      <c r="T22" s="48">
        <f t="shared" si="5"/>
        <v>2024</v>
      </c>
    </row>
    <row r="23" spans="1:29" ht="15.75" customHeight="1">
      <c r="A23" s="9">
        <v>-1</v>
      </c>
      <c r="B23" s="9">
        <f t="shared" ref="B23:T23" si="6">A23-1</f>
        <v>-2</v>
      </c>
      <c r="C23" s="9">
        <f t="shared" si="6"/>
        <v>-3</v>
      </c>
      <c r="D23" s="9">
        <f t="shared" si="6"/>
        <v>-4</v>
      </c>
      <c r="E23" s="9">
        <f t="shared" si="6"/>
        <v>-5</v>
      </c>
      <c r="F23" s="9">
        <f t="shared" si="6"/>
        <v>-6</v>
      </c>
      <c r="G23" s="9">
        <f t="shared" si="6"/>
        <v>-7</v>
      </c>
      <c r="H23" s="9">
        <f t="shared" si="6"/>
        <v>-8</v>
      </c>
      <c r="I23" s="9">
        <f t="shared" si="6"/>
        <v>-9</v>
      </c>
      <c r="J23" s="9">
        <f t="shared" si="6"/>
        <v>-10</v>
      </c>
      <c r="K23" s="9">
        <f t="shared" si="6"/>
        <v>-11</v>
      </c>
      <c r="L23" s="9">
        <f t="shared" si="6"/>
        <v>-12</v>
      </c>
      <c r="M23" s="9">
        <f t="shared" si="6"/>
        <v>-13</v>
      </c>
      <c r="N23" s="9">
        <f t="shared" si="6"/>
        <v>-14</v>
      </c>
      <c r="O23" s="9">
        <v>-15</v>
      </c>
      <c r="P23" s="189">
        <f t="shared" si="6"/>
        <v>-16</v>
      </c>
      <c r="Q23" s="189">
        <f t="shared" si="6"/>
        <v>-17</v>
      </c>
      <c r="R23" s="189">
        <f t="shared" si="6"/>
        <v>-18</v>
      </c>
      <c r="S23" s="189">
        <f t="shared" si="6"/>
        <v>-19</v>
      </c>
      <c r="T23" s="189">
        <f t="shared" si="6"/>
        <v>-20</v>
      </c>
    </row>
    <row r="24" spans="1:29" ht="15.75" customHeight="1">
      <c r="A24" s="14">
        <v>1</v>
      </c>
      <c r="B24" s="15" t="s">
        <v>17</v>
      </c>
      <c r="C24" s="14" t="s">
        <v>78</v>
      </c>
      <c r="D24" s="18">
        <v>2891027654</v>
      </c>
      <c r="E24" s="18">
        <v>3060896591</v>
      </c>
      <c r="F24" s="18">
        <v>3407592282</v>
      </c>
      <c r="G24" s="18">
        <v>3256378919</v>
      </c>
      <c r="H24" s="18">
        <v>3174639377</v>
      </c>
      <c r="I24" s="18">
        <v>3120838073</v>
      </c>
      <c r="J24" s="18">
        <v>3175790961</v>
      </c>
      <c r="K24" s="18">
        <v>3116141861</v>
      </c>
      <c r="L24" s="18">
        <v>3070238603</v>
      </c>
      <c r="M24" s="18">
        <v>2781153200</v>
      </c>
      <c r="N24" s="18">
        <v>2996801787</v>
      </c>
      <c r="O24" s="188">
        <v>2809668273</v>
      </c>
      <c r="P24" s="190">
        <v>2442830693.5998445</v>
      </c>
      <c r="Q24" s="190">
        <v>2433315890</v>
      </c>
      <c r="R24" s="190">
        <v>2370515580.0000005</v>
      </c>
      <c r="S24" s="190">
        <v>2422102520.9587488</v>
      </c>
      <c r="T24" s="190">
        <v>2489369570</v>
      </c>
      <c r="Z24" s="209"/>
      <c r="AA24" s="209"/>
      <c r="AB24" s="209"/>
      <c r="AC24" s="209"/>
    </row>
    <row r="25" spans="1:29" ht="15.75" customHeight="1">
      <c r="A25" s="14">
        <v>2</v>
      </c>
      <c r="B25" s="15" t="s">
        <v>19</v>
      </c>
      <c r="C25" s="14" t="s">
        <v>79</v>
      </c>
      <c r="D25" s="18">
        <f t="shared" ref="D25:N25" si="7">D26/D24*1000000</f>
        <v>77619.446825148945</v>
      </c>
      <c r="E25" s="18">
        <f t="shared" si="7"/>
        <v>51040.324411661117</v>
      </c>
      <c r="F25" s="18">
        <f t="shared" si="7"/>
        <v>52027.164173121528</v>
      </c>
      <c r="G25" s="18">
        <f t="shared" si="7"/>
        <v>74824.449659751102</v>
      </c>
      <c r="H25" s="18">
        <f t="shared" si="7"/>
        <v>103797.47940381066</v>
      </c>
      <c r="I25" s="18">
        <f t="shared" si="7"/>
        <v>91088.294238408736</v>
      </c>
      <c r="J25" s="18">
        <f t="shared" si="7"/>
        <v>88936.750445478872</v>
      </c>
      <c r="K25" s="18">
        <f t="shared" si="7"/>
        <v>95837.749950551472</v>
      </c>
      <c r="L25" s="18">
        <f t="shared" si="7"/>
        <v>92060.373104845217</v>
      </c>
      <c r="M25" s="18">
        <f t="shared" si="7"/>
        <v>96308.562422549381</v>
      </c>
      <c r="N25" s="18">
        <f t="shared" si="7"/>
        <v>95405.59340165231</v>
      </c>
      <c r="O25" s="188">
        <v>99728.338902319942</v>
      </c>
      <c r="P25" s="201">
        <f>P26/P24*1000000</f>
        <v>107007.40866514209</v>
      </c>
      <c r="Q25" s="201">
        <f t="shared" ref="Q25:T25" si="8">Q26/Q24*1000000</f>
        <v>138415.56468959528</v>
      </c>
      <c r="R25" s="201">
        <f t="shared" si="8"/>
        <v>175868.94936877815</v>
      </c>
      <c r="S25" s="201">
        <f t="shared" si="8"/>
        <v>156929.0520558565</v>
      </c>
      <c r="T25" s="201">
        <f t="shared" si="8"/>
        <v>156363.50624103085</v>
      </c>
      <c r="Z25" s="209"/>
      <c r="AA25" s="209"/>
      <c r="AB25" s="209"/>
      <c r="AC25" s="209"/>
    </row>
    <row r="26" spans="1:29" ht="15.75" customHeight="1">
      <c r="A26" s="14">
        <v>3</v>
      </c>
      <c r="B26" s="15" t="s">
        <v>21</v>
      </c>
      <c r="C26" s="14" t="s">
        <v>22</v>
      </c>
      <c r="D26" s="18">
        <v>224399967.25968811</v>
      </c>
      <c r="E26" s="18">
        <v>156229154.99518761</v>
      </c>
      <c r="F26" s="18">
        <v>177287363.09067583</v>
      </c>
      <c r="G26" s="18">
        <v>243656760.49779022</v>
      </c>
      <c r="H26" s="18">
        <v>329519565.34868383</v>
      </c>
      <c r="I26" s="18">
        <v>284271816.66385251</v>
      </c>
      <c r="J26" s="18">
        <v>282444528.16546452</v>
      </c>
      <c r="K26" s="18">
        <v>298644024.48496413</v>
      </c>
      <c r="L26" s="18">
        <v>282647311.31307876</v>
      </c>
      <c r="M26" s="18">
        <v>267848866.56887299</v>
      </c>
      <c r="N26" s="18">
        <v>285911652.79586703</v>
      </c>
      <c r="O26" s="188">
        <v>280203549.73284</v>
      </c>
      <c r="P26" s="190">
        <v>261400982.32979107</v>
      </c>
      <c r="Q26" s="190">
        <v>336808792.98251516</v>
      </c>
      <c r="R26" s="190">
        <v>416900084.51691985</v>
      </c>
      <c r="S26" s="190">
        <v>380098252.59615678</v>
      </c>
      <c r="T26" s="190">
        <v>389246554.2949273</v>
      </c>
      <c r="Z26" s="209"/>
      <c r="AA26" s="209"/>
      <c r="AB26" s="209"/>
      <c r="AC26" s="209"/>
    </row>
    <row r="27" spans="1:29" ht="15.75" customHeight="1">
      <c r="A27" s="17" t="s">
        <v>23</v>
      </c>
      <c r="B27" s="2"/>
      <c r="C27" s="2"/>
      <c r="D27" s="2"/>
      <c r="E27" s="2"/>
      <c r="F27" s="2"/>
      <c r="G27" s="2"/>
      <c r="H27" s="2"/>
      <c r="I27" s="2"/>
      <c r="J27" s="2"/>
      <c r="K27" s="2"/>
      <c r="L27" s="2"/>
      <c r="M27" s="2"/>
      <c r="N27" s="2"/>
      <c r="O27" s="2"/>
      <c r="P27" s="185"/>
      <c r="Q27" s="185"/>
      <c r="R27" s="185"/>
      <c r="S27" s="185"/>
      <c r="T27" s="185"/>
      <c r="Z27" s="209"/>
      <c r="AA27" s="209"/>
      <c r="AB27" s="209"/>
      <c r="AC27" s="209"/>
    </row>
    <row r="28" spans="1:29" ht="15.75" customHeight="1">
      <c r="A28" s="19"/>
      <c r="B28" s="2"/>
      <c r="C28" s="2"/>
      <c r="D28" s="2"/>
      <c r="E28" s="2"/>
      <c r="F28" s="2"/>
      <c r="G28" s="2"/>
      <c r="H28" s="2"/>
      <c r="I28" s="2"/>
      <c r="J28" s="2"/>
      <c r="K28" s="2"/>
      <c r="L28" s="2"/>
      <c r="M28" s="2"/>
      <c r="N28" s="2"/>
      <c r="O28" s="2"/>
      <c r="P28" s="2"/>
      <c r="Q28" s="2"/>
      <c r="R28" s="2"/>
      <c r="S28" s="2"/>
      <c r="T28" s="2"/>
      <c r="Z28" s="209"/>
      <c r="AA28" s="209"/>
      <c r="AB28" s="209"/>
      <c r="AC28" s="209"/>
    </row>
    <row r="29" spans="1:29" ht="15.75" customHeight="1">
      <c r="A29" s="19"/>
      <c r="B29" s="2"/>
      <c r="C29" s="2"/>
      <c r="D29" s="2"/>
      <c r="E29" s="20"/>
      <c r="F29" s="2"/>
      <c r="G29" s="2"/>
      <c r="H29" s="2"/>
      <c r="I29" s="2"/>
      <c r="J29" s="2"/>
      <c r="K29" s="2"/>
      <c r="L29" s="2"/>
      <c r="M29" s="2"/>
      <c r="N29" s="2"/>
      <c r="O29" s="2"/>
      <c r="P29" s="2"/>
      <c r="Q29" s="2"/>
      <c r="R29" s="2"/>
      <c r="S29" s="2"/>
      <c r="T29" s="2"/>
      <c r="Z29" s="209"/>
      <c r="AA29" s="209"/>
      <c r="AB29" s="209"/>
      <c r="AC29" s="209"/>
    </row>
    <row r="30" spans="1:29" ht="15.75" customHeight="1">
      <c r="A30" s="6" t="s">
        <v>24</v>
      </c>
      <c r="B30" s="2"/>
      <c r="C30" s="2"/>
      <c r="D30" s="2"/>
      <c r="E30" s="2"/>
      <c r="F30" s="2"/>
      <c r="G30" s="2"/>
      <c r="H30" s="2"/>
      <c r="I30" s="2"/>
      <c r="J30" s="2"/>
      <c r="K30" s="2"/>
      <c r="L30" s="2"/>
      <c r="M30" s="2"/>
      <c r="N30" s="2"/>
      <c r="O30" s="2"/>
      <c r="P30" s="2"/>
      <c r="Q30" s="2"/>
      <c r="R30" s="2"/>
      <c r="S30" s="2"/>
      <c r="T30" s="2"/>
      <c r="Z30" s="209"/>
      <c r="AA30" s="209"/>
      <c r="AB30" s="209"/>
      <c r="AC30" s="209"/>
    </row>
    <row r="31" spans="1:29" ht="7.5" customHeight="1">
      <c r="A31" s="19"/>
      <c r="B31" s="2"/>
      <c r="C31" s="2"/>
      <c r="D31" s="2"/>
      <c r="E31" s="2"/>
      <c r="F31" s="2"/>
      <c r="G31" s="2"/>
      <c r="H31" s="2"/>
      <c r="I31" s="2"/>
      <c r="J31" s="2"/>
      <c r="K31" s="2"/>
      <c r="L31" s="2"/>
      <c r="M31" s="2"/>
      <c r="N31" s="2"/>
      <c r="O31" s="2"/>
      <c r="P31" s="2"/>
      <c r="Q31" s="2"/>
      <c r="R31" s="2"/>
      <c r="S31" s="2"/>
      <c r="T31" s="2"/>
      <c r="Z31" s="209"/>
      <c r="AA31" s="209"/>
      <c r="AB31" s="209"/>
      <c r="AC31" s="209"/>
    </row>
    <row r="32" spans="1:29" ht="15.75" customHeight="1">
      <c r="A32" s="48" t="s">
        <v>3</v>
      </c>
      <c r="B32" s="48" t="s">
        <v>4</v>
      </c>
      <c r="C32" s="48" t="s">
        <v>5</v>
      </c>
      <c r="D32" s="48">
        <f t="shared" ref="D32:T32" si="9">D$3</f>
        <v>2008</v>
      </c>
      <c r="E32" s="48">
        <f t="shared" si="9"/>
        <v>2009</v>
      </c>
      <c r="F32" s="48">
        <f t="shared" si="9"/>
        <v>2010</v>
      </c>
      <c r="G32" s="48">
        <f t="shared" si="9"/>
        <v>2011</v>
      </c>
      <c r="H32" s="48">
        <f t="shared" si="9"/>
        <v>2012</v>
      </c>
      <c r="I32" s="48">
        <f t="shared" si="9"/>
        <v>2013</v>
      </c>
      <c r="J32" s="48">
        <f t="shared" si="9"/>
        <v>2014</v>
      </c>
      <c r="K32" s="48">
        <f t="shared" si="9"/>
        <v>2015</v>
      </c>
      <c r="L32" s="48">
        <f t="shared" si="9"/>
        <v>2016</v>
      </c>
      <c r="M32" s="48">
        <f t="shared" si="9"/>
        <v>2017</v>
      </c>
      <c r="N32" s="48">
        <f t="shared" si="9"/>
        <v>2018</v>
      </c>
      <c r="O32" s="48">
        <v>2019</v>
      </c>
      <c r="P32" s="48">
        <f t="shared" si="9"/>
        <v>2020</v>
      </c>
      <c r="Q32" s="48">
        <f t="shared" si="9"/>
        <v>2021</v>
      </c>
      <c r="R32" s="48">
        <f t="shared" si="9"/>
        <v>2022</v>
      </c>
      <c r="S32" s="48">
        <f t="shared" si="9"/>
        <v>2023</v>
      </c>
      <c r="T32" s="48">
        <f t="shared" si="9"/>
        <v>2024</v>
      </c>
    </row>
    <row r="33" spans="1:29" ht="15.75" customHeight="1">
      <c r="A33" s="9">
        <v>-1</v>
      </c>
      <c r="B33" s="9">
        <f t="shared" ref="B33:T33" si="10">A33-1</f>
        <v>-2</v>
      </c>
      <c r="C33" s="9">
        <f t="shared" si="10"/>
        <v>-3</v>
      </c>
      <c r="D33" s="9">
        <f t="shared" si="10"/>
        <v>-4</v>
      </c>
      <c r="E33" s="9">
        <f t="shared" si="10"/>
        <v>-5</v>
      </c>
      <c r="F33" s="9">
        <f t="shared" si="10"/>
        <v>-6</v>
      </c>
      <c r="G33" s="9">
        <f t="shared" si="10"/>
        <v>-7</v>
      </c>
      <c r="H33" s="9">
        <f t="shared" si="10"/>
        <v>-8</v>
      </c>
      <c r="I33" s="9">
        <f t="shared" si="10"/>
        <v>-9</v>
      </c>
      <c r="J33" s="9">
        <f t="shared" si="10"/>
        <v>-10</v>
      </c>
      <c r="K33" s="9">
        <f t="shared" si="10"/>
        <v>-11</v>
      </c>
      <c r="L33" s="9">
        <f t="shared" si="10"/>
        <v>-12</v>
      </c>
      <c r="M33" s="9">
        <f t="shared" si="10"/>
        <v>-13</v>
      </c>
      <c r="N33" s="9">
        <f t="shared" si="10"/>
        <v>-14</v>
      </c>
      <c r="O33" s="9">
        <v>-15</v>
      </c>
      <c r="P33" s="9">
        <f t="shared" si="10"/>
        <v>-16</v>
      </c>
      <c r="Q33" s="9">
        <f t="shared" si="10"/>
        <v>-17</v>
      </c>
      <c r="R33" s="9">
        <f t="shared" si="10"/>
        <v>-18</v>
      </c>
      <c r="S33" s="9">
        <f t="shared" si="10"/>
        <v>-19</v>
      </c>
      <c r="T33" s="9">
        <f t="shared" si="10"/>
        <v>-20</v>
      </c>
    </row>
    <row r="34" spans="1:29" ht="15.75" customHeight="1">
      <c r="A34" s="14">
        <v>1</v>
      </c>
      <c r="B34" s="21" t="s">
        <v>25</v>
      </c>
      <c r="C34" s="14" t="s">
        <v>22</v>
      </c>
      <c r="D34" s="18"/>
      <c r="E34" s="18"/>
      <c r="F34" s="22">
        <v>79145788</v>
      </c>
      <c r="G34" s="18"/>
      <c r="H34" s="18"/>
      <c r="I34" s="18"/>
      <c r="J34" s="18"/>
      <c r="K34" s="18"/>
      <c r="L34" s="18">
        <v>50886085</v>
      </c>
      <c r="M34" s="18"/>
      <c r="N34" s="18"/>
      <c r="O34" s="18"/>
      <c r="P34" s="18"/>
      <c r="Q34" s="18"/>
      <c r="R34" s="18"/>
      <c r="S34" s="18"/>
      <c r="T34" s="18"/>
    </row>
    <row r="35" spans="1:29" ht="15.75" customHeight="1">
      <c r="A35" s="14">
        <v>2</v>
      </c>
      <c r="B35" s="15" t="s">
        <v>26</v>
      </c>
      <c r="C35" s="14" t="s">
        <v>22</v>
      </c>
      <c r="D35" s="18"/>
      <c r="E35" s="18"/>
      <c r="F35" s="22">
        <v>18280023</v>
      </c>
      <c r="G35" s="18"/>
      <c r="H35" s="18"/>
      <c r="I35" s="18"/>
      <c r="J35" s="18"/>
      <c r="K35" s="18"/>
      <c r="L35" s="18">
        <v>26822774</v>
      </c>
      <c r="M35" s="18"/>
      <c r="N35" s="18"/>
      <c r="O35" s="18"/>
      <c r="P35" s="18"/>
      <c r="Q35" s="18"/>
      <c r="R35" s="18"/>
      <c r="S35" s="18"/>
      <c r="T35" s="18"/>
    </row>
    <row r="36" spans="1:29" ht="15.75" customHeight="1">
      <c r="A36" s="14">
        <v>3</v>
      </c>
      <c r="B36" s="21" t="s">
        <v>27</v>
      </c>
      <c r="C36" s="14" t="s">
        <v>22</v>
      </c>
      <c r="D36" s="18"/>
      <c r="E36" s="18"/>
      <c r="F36" s="22">
        <v>1506374</v>
      </c>
      <c r="G36" s="18"/>
      <c r="H36" s="18"/>
      <c r="I36" s="18"/>
      <c r="J36" s="18"/>
      <c r="K36" s="18"/>
      <c r="L36" s="18">
        <v>1122873</v>
      </c>
      <c r="M36" s="18"/>
      <c r="N36" s="18"/>
      <c r="O36" s="18"/>
      <c r="P36" s="18"/>
      <c r="Q36" s="18"/>
      <c r="R36" s="18"/>
      <c r="S36" s="18"/>
      <c r="T36" s="18"/>
    </row>
    <row r="37" spans="1:29" ht="15.75" customHeight="1">
      <c r="A37" s="14">
        <v>4</v>
      </c>
      <c r="B37" s="21" t="s">
        <v>28</v>
      </c>
      <c r="C37" s="14" t="s">
        <v>22</v>
      </c>
      <c r="D37" s="18"/>
      <c r="E37" s="18"/>
      <c r="F37" s="22">
        <v>151748081</v>
      </c>
      <c r="G37" s="18"/>
      <c r="H37" s="18"/>
      <c r="I37" s="18"/>
      <c r="J37" s="18"/>
      <c r="K37" s="18"/>
      <c r="L37" s="18">
        <v>115035862</v>
      </c>
      <c r="M37" s="18"/>
      <c r="N37" s="18"/>
      <c r="O37" s="18"/>
      <c r="P37" s="18"/>
      <c r="Q37" s="18"/>
      <c r="R37" s="18"/>
      <c r="S37" s="18"/>
      <c r="T37" s="18"/>
    </row>
    <row r="38" spans="1:29" ht="15.75" customHeight="1">
      <c r="A38" s="14">
        <v>5</v>
      </c>
      <c r="B38" s="21" t="s">
        <v>29</v>
      </c>
      <c r="C38" s="14" t="s">
        <v>22</v>
      </c>
      <c r="D38" s="18"/>
      <c r="E38" s="18"/>
      <c r="F38" s="22">
        <v>250680266</v>
      </c>
      <c r="G38" s="18"/>
      <c r="H38" s="18"/>
      <c r="I38" s="18"/>
      <c r="J38" s="18"/>
      <c r="K38" s="18"/>
      <c r="L38" s="18">
        <v>193867594</v>
      </c>
      <c r="M38" s="18"/>
      <c r="N38" s="18"/>
      <c r="O38" s="18"/>
      <c r="P38" s="18"/>
      <c r="Q38" s="18"/>
      <c r="R38" s="18"/>
      <c r="S38" s="18"/>
      <c r="T38" s="18"/>
    </row>
    <row r="39" spans="1:29" ht="15.75" customHeight="1">
      <c r="A39" s="17" t="s">
        <v>30</v>
      </c>
      <c r="B39" s="2"/>
      <c r="C39" s="2"/>
      <c r="D39" s="2"/>
      <c r="E39" s="2"/>
      <c r="F39" s="2"/>
      <c r="G39" s="2"/>
      <c r="H39" s="2"/>
      <c r="I39" s="2"/>
      <c r="J39" s="2"/>
      <c r="K39" s="2"/>
      <c r="L39" s="2"/>
      <c r="M39" s="2"/>
      <c r="N39" s="2"/>
      <c r="O39" s="2"/>
      <c r="P39" s="2"/>
      <c r="Q39" s="2"/>
      <c r="R39" s="2"/>
      <c r="S39" s="2"/>
      <c r="T39" s="2"/>
    </row>
    <row r="40" spans="1:29" ht="15.75" customHeight="1">
      <c r="A40" s="19"/>
      <c r="B40" s="2"/>
      <c r="C40" s="2"/>
      <c r="D40" s="2"/>
      <c r="E40" s="2"/>
      <c r="F40" s="2"/>
      <c r="G40" s="2"/>
      <c r="H40" s="2"/>
      <c r="I40" s="2"/>
      <c r="J40" s="2"/>
      <c r="K40" s="2"/>
      <c r="L40" s="2"/>
      <c r="M40" s="2"/>
      <c r="N40" s="2"/>
      <c r="O40" s="2"/>
      <c r="P40" s="2"/>
      <c r="Q40" s="2"/>
      <c r="R40" s="2"/>
      <c r="S40" s="2"/>
      <c r="T40" s="2"/>
      <c r="Z40" s="209"/>
      <c r="AA40" s="209"/>
      <c r="AB40" s="209"/>
      <c r="AC40" s="209"/>
    </row>
    <row r="41" spans="1:29" ht="15.75" customHeight="1">
      <c r="A41" s="19"/>
      <c r="B41" s="2"/>
      <c r="C41" s="2"/>
      <c r="D41" s="2"/>
      <c r="E41" s="2"/>
      <c r="F41" s="2"/>
      <c r="G41" s="2"/>
      <c r="H41" s="2"/>
      <c r="I41" s="2"/>
      <c r="J41" s="2"/>
      <c r="K41" s="2"/>
      <c r="L41" s="2"/>
      <c r="M41" s="2"/>
      <c r="N41" s="2"/>
      <c r="O41" s="2"/>
      <c r="P41" s="2"/>
      <c r="Q41" s="2"/>
      <c r="R41" s="2"/>
      <c r="S41" s="2"/>
      <c r="T41" s="2"/>
      <c r="Z41" s="209"/>
      <c r="AA41" s="209"/>
      <c r="AB41" s="209"/>
      <c r="AC41" s="209"/>
    </row>
    <row r="42" spans="1:29" ht="15.75" customHeight="1">
      <c r="A42" s="6" t="s">
        <v>31</v>
      </c>
      <c r="B42" s="2"/>
      <c r="C42" s="2"/>
      <c r="D42" s="2"/>
      <c r="E42" s="2"/>
      <c r="F42" s="2"/>
      <c r="G42" s="2"/>
      <c r="H42" s="2"/>
      <c r="I42" s="2"/>
      <c r="J42" s="2"/>
      <c r="K42" s="2"/>
      <c r="L42" s="2"/>
      <c r="M42" s="2"/>
      <c r="N42" s="2"/>
      <c r="O42" s="2"/>
      <c r="P42" s="2"/>
      <c r="Q42" s="2"/>
      <c r="R42" s="2"/>
      <c r="S42" s="2"/>
      <c r="T42" s="2"/>
      <c r="Z42" s="209"/>
      <c r="AA42" s="209"/>
      <c r="AB42" s="209"/>
      <c r="AC42" s="209"/>
    </row>
    <row r="43" spans="1:29" ht="7.5" customHeight="1">
      <c r="A43" s="7"/>
      <c r="B43" s="2"/>
      <c r="C43" s="2"/>
      <c r="D43" s="2"/>
      <c r="E43" s="2"/>
      <c r="F43" s="2"/>
      <c r="G43" s="2"/>
      <c r="H43" s="2"/>
      <c r="I43" s="2"/>
      <c r="J43" s="2"/>
      <c r="K43" s="2"/>
      <c r="L43" s="2"/>
      <c r="M43" s="2"/>
      <c r="N43" s="2"/>
      <c r="O43" s="2"/>
      <c r="P43" s="2"/>
      <c r="Q43" s="2"/>
      <c r="R43" s="2"/>
      <c r="S43" s="2"/>
      <c r="T43" s="2"/>
      <c r="Z43" s="209"/>
      <c r="AA43" s="209"/>
      <c r="AB43" s="209"/>
      <c r="AC43" s="209"/>
    </row>
    <row r="44" spans="1:29" ht="15.75" customHeight="1">
      <c r="A44" s="48" t="s">
        <v>3</v>
      </c>
      <c r="B44" s="48" t="s">
        <v>4</v>
      </c>
      <c r="C44" s="48" t="s">
        <v>5</v>
      </c>
      <c r="D44" s="48">
        <f t="shared" ref="D44:T44" si="11">D$3</f>
        <v>2008</v>
      </c>
      <c r="E44" s="48">
        <f t="shared" si="11"/>
        <v>2009</v>
      </c>
      <c r="F44" s="48">
        <f t="shared" si="11"/>
        <v>2010</v>
      </c>
      <c r="G44" s="48">
        <f t="shared" si="11"/>
        <v>2011</v>
      </c>
      <c r="H44" s="48">
        <f t="shared" si="11"/>
        <v>2012</v>
      </c>
      <c r="I44" s="48">
        <f t="shared" si="11"/>
        <v>2013</v>
      </c>
      <c r="J44" s="48">
        <f t="shared" si="11"/>
        <v>2014</v>
      </c>
      <c r="K44" s="48">
        <f t="shared" si="11"/>
        <v>2015</v>
      </c>
      <c r="L44" s="48">
        <f t="shared" si="11"/>
        <v>2016</v>
      </c>
      <c r="M44" s="48">
        <f t="shared" si="11"/>
        <v>2017</v>
      </c>
      <c r="N44" s="48">
        <f t="shared" si="11"/>
        <v>2018</v>
      </c>
      <c r="O44" s="48">
        <v>2019</v>
      </c>
      <c r="P44" s="48">
        <f t="shared" si="11"/>
        <v>2020</v>
      </c>
      <c r="Q44" s="48">
        <f t="shared" si="11"/>
        <v>2021</v>
      </c>
      <c r="R44" s="48">
        <f t="shared" si="11"/>
        <v>2022</v>
      </c>
      <c r="S44" s="48">
        <f t="shared" si="11"/>
        <v>2023</v>
      </c>
      <c r="T44" s="48">
        <f t="shared" si="11"/>
        <v>2024</v>
      </c>
      <c r="Z44" s="209"/>
      <c r="AA44" s="209"/>
      <c r="AB44" s="209"/>
      <c r="AC44" s="209"/>
    </row>
    <row r="45" spans="1:29" ht="15.75" customHeight="1">
      <c r="A45" s="9">
        <v>-1</v>
      </c>
      <c r="B45" s="9">
        <f t="shared" ref="B45:T45" si="12">A45-1</f>
        <v>-2</v>
      </c>
      <c r="C45" s="9">
        <f t="shared" si="12"/>
        <v>-3</v>
      </c>
      <c r="D45" s="9">
        <f t="shared" si="12"/>
        <v>-4</v>
      </c>
      <c r="E45" s="9">
        <f t="shared" si="12"/>
        <v>-5</v>
      </c>
      <c r="F45" s="9">
        <f t="shared" si="12"/>
        <v>-6</v>
      </c>
      <c r="G45" s="9">
        <f t="shared" si="12"/>
        <v>-7</v>
      </c>
      <c r="H45" s="9">
        <f t="shared" si="12"/>
        <v>-8</v>
      </c>
      <c r="I45" s="9">
        <f t="shared" si="12"/>
        <v>-9</v>
      </c>
      <c r="J45" s="9">
        <f t="shared" si="12"/>
        <v>-10</v>
      </c>
      <c r="K45" s="9">
        <f t="shared" si="12"/>
        <v>-11</v>
      </c>
      <c r="L45" s="9">
        <f t="shared" si="12"/>
        <v>-12</v>
      </c>
      <c r="M45" s="9">
        <f t="shared" si="12"/>
        <v>-13</v>
      </c>
      <c r="N45" s="9">
        <f t="shared" si="12"/>
        <v>-14</v>
      </c>
      <c r="O45" s="9">
        <v>-15</v>
      </c>
      <c r="P45" s="9">
        <f t="shared" si="12"/>
        <v>-16</v>
      </c>
      <c r="Q45" s="9">
        <f t="shared" si="12"/>
        <v>-17</v>
      </c>
      <c r="R45" s="9">
        <f t="shared" si="12"/>
        <v>-18</v>
      </c>
      <c r="S45" s="9">
        <f t="shared" si="12"/>
        <v>-19</v>
      </c>
      <c r="T45" s="9">
        <f t="shared" si="12"/>
        <v>-20</v>
      </c>
      <c r="Z45" s="209"/>
      <c r="AA45" s="209"/>
      <c r="AB45" s="209"/>
      <c r="AC45" s="209"/>
    </row>
    <row r="46" spans="1:29" ht="15.75" customHeight="1">
      <c r="A46" s="14">
        <v>1</v>
      </c>
      <c r="B46" s="15" t="s">
        <v>21</v>
      </c>
      <c r="C46" s="14" t="s">
        <v>22</v>
      </c>
      <c r="D46" s="18">
        <f t="shared" ref="D46:Q46" si="13">D26</f>
        <v>224399967.25968811</v>
      </c>
      <c r="E46" s="18">
        <f t="shared" si="13"/>
        <v>156229154.99518761</v>
      </c>
      <c r="F46" s="18">
        <f t="shared" si="13"/>
        <v>177287363.09067583</v>
      </c>
      <c r="G46" s="18">
        <f t="shared" si="13"/>
        <v>243656760.49779022</v>
      </c>
      <c r="H46" s="18">
        <f t="shared" si="13"/>
        <v>329519565.34868383</v>
      </c>
      <c r="I46" s="18">
        <f t="shared" si="13"/>
        <v>284271816.66385251</v>
      </c>
      <c r="J46" s="18">
        <f t="shared" si="13"/>
        <v>282444528.16546452</v>
      </c>
      <c r="K46" s="18">
        <f t="shared" si="13"/>
        <v>298644024.48496413</v>
      </c>
      <c r="L46" s="18">
        <f t="shared" si="13"/>
        <v>282647311.31307876</v>
      </c>
      <c r="M46" s="18">
        <f t="shared" si="13"/>
        <v>267848866.56887299</v>
      </c>
      <c r="N46" s="18">
        <f t="shared" si="13"/>
        <v>285911652.79586703</v>
      </c>
      <c r="O46" s="18">
        <v>280203549.73284</v>
      </c>
      <c r="P46" s="18">
        <f t="shared" si="13"/>
        <v>261400982.32979107</v>
      </c>
      <c r="Q46" s="18">
        <f t="shared" si="13"/>
        <v>336808792.98251516</v>
      </c>
      <c r="R46" s="18">
        <f t="shared" ref="R46:S46" si="14">R26</f>
        <v>416900084.51691985</v>
      </c>
      <c r="S46" s="18">
        <f t="shared" si="14"/>
        <v>380098252.59615678</v>
      </c>
      <c r="T46" s="18">
        <f t="shared" ref="T46" si="15">T26</f>
        <v>389246554.2949273</v>
      </c>
      <c r="Z46" s="209"/>
      <c r="AA46" s="209"/>
      <c r="AB46" s="209"/>
      <c r="AC46" s="209"/>
    </row>
    <row r="47" spans="1:29" ht="15.75" customHeight="1">
      <c r="A47" s="14">
        <f t="shared" ref="A47:A56" si="16">A46+1</f>
        <v>2</v>
      </c>
      <c r="B47" s="15" t="s">
        <v>32</v>
      </c>
      <c r="C47" s="14" t="s">
        <v>22</v>
      </c>
      <c r="D47" s="18">
        <f t="shared" ref="D47:M47" si="17">$F34/$F$38*D$46</f>
        <v>70848465.734204292</v>
      </c>
      <c r="E47" s="18">
        <f t="shared" si="17"/>
        <v>49325301.021773525</v>
      </c>
      <c r="F47" s="18">
        <f t="shared" si="17"/>
        <v>55973883.697146125</v>
      </c>
      <c r="G47" s="18">
        <f t="shared" si="17"/>
        <v>76928298.421084642</v>
      </c>
      <c r="H47" s="18">
        <f t="shared" si="17"/>
        <v>104037250.62641779</v>
      </c>
      <c r="I47" s="18">
        <f t="shared" si="17"/>
        <v>89751448.309266344</v>
      </c>
      <c r="J47" s="18">
        <f t="shared" si="17"/>
        <v>89174529.390135095</v>
      </c>
      <c r="K47" s="18">
        <f t="shared" si="17"/>
        <v>94289099.922024891</v>
      </c>
      <c r="L47" s="18">
        <f t="shared" si="17"/>
        <v>89238552.906094864</v>
      </c>
      <c r="M47" s="18">
        <f t="shared" si="17"/>
        <v>84566328.047139972</v>
      </c>
      <c r="N47" s="18">
        <f t="shared" ref="N47:Q47" si="18">$L34/$L$38*N$46</f>
        <v>75045676.105419546</v>
      </c>
      <c r="O47" s="18">
        <v>73547421.489158332</v>
      </c>
      <c r="P47" s="18">
        <f t="shared" si="18"/>
        <v>68612150.857544795</v>
      </c>
      <c r="Q47" s="18">
        <f t="shared" si="18"/>
        <v>88405083.669917881</v>
      </c>
      <c r="R47" s="18">
        <f t="shared" ref="R47:S47" si="19">$L34/$L$38*R$46</f>
        <v>109427329.75391012</v>
      </c>
      <c r="S47" s="18">
        <f t="shared" si="19"/>
        <v>99767638.267381117</v>
      </c>
      <c r="T47" s="18">
        <f t="shared" ref="T47" si="20">$L34/$L$38*T$46</f>
        <v>102168871.2338834</v>
      </c>
      <c r="Z47" s="209"/>
      <c r="AA47" s="209"/>
      <c r="AB47" s="209"/>
      <c r="AC47" s="209"/>
    </row>
    <row r="48" spans="1:29" ht="15.75" customHeight="1">
      <c r="A48" s="14">
        <f t="shared" si="16"/>
        <v>3</v>
      </c>
      <c r="B48" s="15" t="s">
        <v>26</v>
      </c>
      <c r="C48" s="14" t="s">
        <v>22</v>
      </c>
      <c r="D48" s="18">
        <f t="shared" ref="D48:M48" si="21">$F35/$F$38*D$46</f>
        <v>16363619.794093985</v>
      </c>
      <c r="E48" s="18">
        <f t="shared" si="21"/>
        <v>11392490.4905861</v>
      </c>
      <c r="F48" s="18">
        <f t="shared" si="21"/>
        <v>12928090.138961736</v>
      </c>
      <c r="G48" s="18">
        <f t="shared" si="21"/>
        <v>17767857.267253324</v>
      </c>
      <c r="H48" s="18">
        <f t="shared" si="21"/>
        <v>24029116.171130691</v>
      </c>
      <c r="I48" s="18">
        <f t="shared" si="21"/>
        <v>20729574.887506329</v>
      </c>
      <c r="J48" s="18">
        <f t="shared" si="21"/>
        <v>20596325.963244505</v>
      </c>
      <c r="K48" s="18">
        <f t="shared" si="21"/>
        <v>21777620.247130692</v>
      </c>
      <c r="L48" s="18">
        <f t="shared" si="21"/>
        <v>20611113.248504531</v>
      </c>
      <c r="M48" s="18">
        <f t="shared" si="21"/>
        <v>19531985.981708385</v>
      </c>
      <c r="N48" s="18">
        <f t="shared" ref="N48:Q48" si="22">$L35/$L$38*N$46</f>
        <v>39557635.645439588</v>
      </c>
      <c r="O48" s="18">
        <v>38767884.479351036</v>
      </c>
      <c r="P48" s="18">
        <f t="shared" si="22"/>
        <v>36166433.63516432</v>
      </c>
      <c r="Q48" s="18">
        <f t="shared" si="22"/>
        <v>46599568.029831693</v>
      </c>
      <c r="R48" s="18">
        <f t="shared" ref="R48:S48" si="23">$L35/$L$38*R$46</f>
        <v>57680690.809925877</v>
      </c>
      <c r="S48" s="18">
        <f t="shared" si="23"/>
        <v>52588931.016400956</v>
      </c>
      <c r="T48" s="18">
        <f t="shared" ref="T48" si="24">$L35/$L$38*T$46</f>
        <v>53854654.822463855</v>
      </c>
      <c r="Z48" s="209"/>
      <c r="AA48" s="209"/>
      <c r="AB48" s="209"/>
      <c r="AC48" s="209"/>
    </row>
    <row r="49" spans="1:29" ht="15.75" customHeight="1">
      <c r="A49" s="14">
        <f t="shared" si="16"/>
        <v>4</v>
      </c>
      <c r="B49" s="21" t="s">
        <v>27</v>
      </c>
      <c r="C49" s="14" t="s">
        <v>22</v>
      </c>
      <c r="D49" s="18">
        <f t="shared" ref="D49:M49" si="25">$F36/$F$38*D$46</f>
        <v>1348451.8812535703</v>
      </c>
      <c r="E49" s="18">
        <f t="shared" si="25"/>
        <v>938803.60381746502</v>
      </c>
      <c r="F49" s="18">
        <f t="shared" si="25"/>
        <v>1065345.4240724067</v>
      </c>
      <c r="G49" s="18">
        <f t="shared" si="25"/>
        <v>1464168.7389070275</v>
      </c>
      <c r="H49" s="18">
        <f t="shared" si="25"/>
        <v>1980130.7604028084</v>
      </c>
      <c r="I49" s="18">
        <f t="shared" si="25"/>
        <v>1708230.4897314659</v>
      </c>
      <c r="J49" s="18">
        <f t="shared" si="25"/>
        <v>1697250.0486764421</v>
      </c>
      <c r="K49" s="18">
        <f t="shared" si="25"/>
        <v>1794595.1666554932</v>
      </c>
      <c r="L49" s="18">
        <f t="shared" si="25"/>
        <v>1698468.6019597878</v>
      </c>
      <c r="M49" s="18">
        <f t="shared" si="25"/>
        <v>1609542.6056745108</v>
      </c>
      <c r="N49" s="18">
        <f t="shared" ref="N49:Q49" si="26">$L36/$L$38*N$46</f>
        <v>1655988.3407324567</v>
      </c>
      <c r="O49" s="18">
        <v>1622927.2464131538</v>
      </c>
      <c r="P49" s="18">
        <f t="shared" si="26"/>
        <v>1514023.5620379106</v>
      </c>
      <c r="Q49" s="18">
        <f t="shared" si="26"/>
        <v>1950782.4489876102</v>
      </c>
      <c r="R49" s="18">
        <f t="shared" ref="R49:S49" si="27">$L36/$L$38*R$46</f>
        <v>2414667.8614155976</v>
      </c>
      <c r="S49" s="18">
        <f t="shared" si="27"/>
        <v>2201513.1893956675</v>
      </c>
      <c r="T49" s="18">
        <f t="shared" ref="T49" si="28">$L36/$L$38*T$46</f>
        <v>2254499.770399007</v>
      </c>
      <c r="Z49" s="209"/>
      <c r="AA49" s="209"/>
      <c r="AB49" s="209"/>
      <c r="AC49" s="209"/>
    </row>
    <row r="50" spans="1:29" ht="15.75" customHeight="1">
      <c r="A50" s="10">
        <f t="shared" si="16"/>
        <v>5</v>
      </c>
      <c r="B50" s="11" t="s">
        <v>33</v>
      </c>
      <c r="C50" s="10" t="s">
        <v>22</v>
      </c>
      <c r="D50" s="49">
        <f t="shared" ref="D50:M50" si="29">$F37/$F$38*D$46</f>
        <v>135839429.85013628</v>
      </c>
      <c r="E50" s="49">
        <f t="shared" si="29"/>
        <v>94572559.879010513</v>
      </c>
      <c r="F50" s="49">
        <f t="shared" si="29"/>
        <v>107320043.83049557</v>
      </c>
      <c r="G50" s="49">
        <f t="shared" si="29"/>
        <v>147496436.07054523</v>
      </c>
      <c r="H50" s="49">
        <f t="shared" si="29"/>
        <v>199473067.79073256</v>
      </c>
      <c r="I50" s="49">
        <f t="shared" si="29"/>
        <v>172082562.97734839</v>
      </c>
      <c r="J50" s="49">
        <f t="shared" si="29"/>
        <v>170976422.76340848</v>
      </c>
      <c r="K50" s="49">
        <f t="shared" si="29"/>
        <v>180782709.14915305</v>
      </c>
      <c r="L50" s="49">
        <f t="shared" si="29"/>
        <v>171099176.5565196</v>
      </c>
      <c r="M50" s="49">
        <f t="shared" si="29"/>
        <v>162141009.93435013</v>
      </c>
      <c r="N50" s="49">
        <f t="shared" ref="N50:Q50" si="30">$L37/$L$38*N$46</f>
        <v>169652352.70427546</v>
      </c>
      <c r="O50" s="49">
        <v>166265316.51791748</v>
      </c>
      <c r="P50" s="49">
        <f t="shared" si="30"/>
        <v>155108374.27504405</v>
      </c>
      <c r="Q50" s="49">
        <f t="shared" si="30"/>
        <v>199853358.83377799</v>
      </c>
      <c r="R50" s="49">
        <f t="shared" ref="R50:S50" si="31">$L37/$L$38*R$46</f>
        <v>247377396.09166828</v>
      </c>
      <c r="S50" s="49">
        <f t="shared" si="31"/>
        <v>225540170.12297907</v>
      </c>
      <c r="T50" s="49">
        <f t="shared" ref="T50" si="32">$L37/$L$38*T$46</f>
        <v>230968528.46818104</v>
      </c>
      <c r="Z50" s="209"/>
      <c r="AA50" s="209"/>
      <c r="AB50" s="209"/>
      <c r="AC50" s="209"/>
    </row>
    <row r="51" spans="1:29" ht="15.75" customHeight="1">
      <c r="A51" s="14">
        <f t="shared" si="16"/>
        <v>6</v>
      </c>
      <c r="B51" s="21" t="s">
        <v>34</v>
      </c>
      <c r="C51" s="14" t="s">
        <v>22</v>
      </c>
      <c r="D51" s="18"/>
      <c r="E51" s="18"/>
      <c r="F51" s="18"/>
      <c r="G51" s="18"/>
      <c r="H51" s="18"/>
      <c r="I51" s="18"/>
      <c r="J51" s="18"/>
      <c r="K51" s="18"/>
      <c r="L51" s="18"/>
      <c r="M51" s="18"/>
      <c r="N51" s="18"/>
      <c r="O51" s="18"/>
      <c r="P51" s="18"/>
      <c r="Q51" s="18"/>
      <c r="R51" s="18"/>
      <c r="S51" s="18"/>
      <c r="T51" s="18"/>
      <c r="Z51" s="209"/>
      <c r="AA51" s="209"/>
      <c r="AB51" s="209"/>
      <c r="AC51" s="209"/>
    </row>
    <row r="52" spans="1:29" ht="15.75" customHeight="1">
      <c r="A52" s="14">
        <f t="shared" si="16"/>
        <v>7</v>
      </c>
      <c r="B52" s="15" t="s">
        <v>35</v>
      </c>
      <c r="C52" s="14" t="s">
        <v>22</v>
      </c>
      <c r="D52" s="18"/>
      <c r="E52" s="18"/>
      <c r="F52" s="18"/>
      <c r="G52" s="18"/>
      <c r="H52" s="18"/>
      <c r="I52" s="18"/>
      <c r="J52" s="18"/>
      <c r="K52" s="18"/>
      <c r="L52" s="18"/>
      <c r="M52" s="18"/>
      <c r="N52" s="18"/>
      <c r="O52" s="18"/>
      <c r="P52" s="18"/>
      <c r="Q52" s="18"/>
      <c r="R52" s="18"/>
      <c r="S52" s="18"/>
      <c r="T52" s="18"/>
      <c r="Z52" s="209"/>
      <c r="AA52" s="209"/>
      <c r="AB52" s="209"/>
      <c r="AC52" s="209"/>
    </row>
    <row r="53" spans="1:29" ht="15.75" customHeight="1">
      <c r="A53" s="14">
        <f t="shared" si="16"/>
        <v>8</v>
      </c>
      <c r="B53" s="21" t="s">
        <v>36</v>
      </c>
      <c r="C53" s="14" t="s">
        <v>22</v>
      </c>
      <c r="D53" s="18"/>
      <c r="E53" s="18"/>
      <c r="F53" s="18"/>
      <c r="G53" s="18"/>
      <c r="H53" s="18"/>
      <c r="I53" s="18"/>
      <c r="J53" s="18"/>
      <c r="K53" s="18"/>
      <c r="L53" s="18"/>
      <c r="M53" s="18"/>
      <c r="N53" s="18"/>
      <c r="O53" s="18"/>
      <c r="P53" s="18"/>
      <c r="Q53" s="18"/>
      <c r="R53" s="18"/>
      <c r="S53" s="18"/>
      <c r="T53" s="18"/>
      <c r="Z53" s="209"/>
      <c r="AA53" s="209"/>
      <c r="AB53" s="209"/>
      <c r="AC53" s="209"/>
    </row>
    <row r="54" spans="1:29" ht="15.75" customHeight="1">
      <c r="A54" s="10">
        <f t="shared" si="16"/>
        <v>9</v>
      </c>
      <c r="B54" s="11" t="s">
        <v>37</v>
      </c>
      <c r="C54" s="10" t="s">
        <v>22</v>
      </c>
      <c r="D54" s="49">
        <f t="shared" ref="D54:Q54" si="33">D50+D51-D52-D53</f>
        <v>135839429.85013628</v>
      </c>
      <c r="E54" s="49">
        <f t="shared" si="33"/>
        <v>94572559.879010513</v>
      </c>
      <c r="F54" s="49">
        <f t="shared" si="33"/>
        <v>107320043.83049557</v>
      </c>
      <c r="G54" s="49">
        <f t="shared" si="33"/>
        <v>147496436.07054523</v>
      </c>
      <c r="H54" s="49">
        <f t="shared" si="33"/>
        <v>199473067.79073256</v>
      </c>
      <c r="I54" s="49">
        <f t="shared" si="33"/>
        <v>172082562.97734839</v>
      </c>
      <c r="J54" s="49">
        <f t="shared" si="33"/>
        <v>170976422.76340848</v>
      </c>
      <c r="K54" s="49">
        <f t="shared" si="33"/>
        <v>180782709.14915305</v>
      </c>
      <c r="L54" s="49">
        <f t="shared" si="33"/>
        <v>171099176.5565196</v>
      </c>
      <c r="M54" s="49">
        <f t="shared" si="33"/>
        <v>162141009.93435013</v>
      </c>
      <c r="N54" s="49">
        <f t="shared" si="33"/>
        <v>169652352.70427546</v>
      </c>
      <c r="O54" s="49">
        <v>166265316.51791748</v>
      </c>
      <c r="P54" s="49">
        <f t="shared" si="33"/>
        <v>155108374.27504405</v>
      </c>
      <c r="Q54" s="49">
        <f t="shared" si="33"/>
        <v>199853358.83377799</v>
      </c>
      <c r="R54" s="49">
        <f t="shared" ref="R54:S54" si="34">R50+R51-R52-R53</f>
        <v>247377396.09166828</v>
      </c>
      <c r="S54" s="49">
        <f t="shared" si="34"/>
        <v>225540170.12297907</v>
      </c>
      <c r="T54" s="49">
        <f t="shared" ref="T54" si="35">T50+T51-T52-T53</f>
        <v>230968528.46818104</v>
      </c>
      <c r="Z54" s="209"/>
      <c r="AA54" s="209"/>
      <c r="AB54" s="209"/>
      <c r="AC54" s="209"/>
    </row>
    <row r="55" spans="1:29" ht="15.75" customHeight="1">
      <c r="A55" s="14">
        <f t="shared" si="16"/>
        <v>10</v>
      </c>
      <c r="B55" s="21" t="s">
        <v>38</v>
      </c>
      <c r="C55" s="26" t="s">
        <v>80</v>
      </c>
      <c r="D55" s="18">
        <f t="shared" ref="D55:Q55" si="36">D24/1000000</f>
        <v>2891.027654</v>
      </c>
      <c r="E55" s="18">
        <f t="shared" si="36"/>
        <v>3060.8965910000002</v>
      </c>
      <c r="F55" s="18">
        <f t="shared" si="36"/>
        <v>3407.5922820000001</v>
      </c>
      <c r="G55" s="18">
        <f t="shared" si="36"/>
        <v>3256.3789190000002</v>
      </c>
      <c r="H55" s="18">
        <f t="shared" si="36"/>
        <v>3174.639377</v>
      </c>
      <c r="I55" s="18">
        <f t="shared" si="36"/>
        <v>3120.8380729999999</v>
      </c>
      <c r="J55" s="18">
        <f t="shared" si="36"/>
        <v>3175.7909610000002</v>
      </c>
      <c r="K55" s="18">
        <f t="shared" si="36"/>
        <v>3116.1418610000001</v>
      </c>
      <c r="L55" s="18">
        <f t="shared" si="36"/>
        <v>3070.2386029999998</v>
      </c>
      <c r="M55" s="18">
        <f t="shared" si="36"/>
        <v>2781.1532000000002</v>
      </c>
      <c r="N55" s="18">
        <f t="shared" si="36"/>
        <v>2996.8017869999999</v>
      </c>
      <c r="O55" s="18">
        <v>2809.6682730000002</v>
      </c>
      <c r="P55" s="18">
        <f t="shared" si="36"/>
        <v>2442.8306935998444</v>
      </c>
      <c r="Q55" s="18">
        <f t="shared" si="36"/>
        <v>2433.3158899999999</v>
      </c>
      <c r="R55" s="18">
        <f t="shared" ref="R55:S55" si="37">R24/1000000</f>
        <v>2370.5155800000007</v>
      </c>
      <c r="S55" s="18">
        <f t="shared" si="37"/>
        <v>2422.1025209587488</v>
      </c>
      <c r="T55" s="18">
        <f t="shared" ref="T55" si="38">T24/1000000</f>
        <v>2489.3695699999998</v>
      </c>
      <c r="Z55" s="209"/>
      <c r="AA55" s="209"/>
      <c r="AB55" s="209"/>
      <c r="AC55" s="209"/>
    </row>
    <row r="56" spans="1:29" ht="15.75" customHeight="1">
      <c r="A56" s="10">
        <f t="shared" si="16"/>
        <v>11</v>
      </c>
      <c r="B56" s="11" t="s">
        <v>39</v>
      </c>
      <c r="C56" s="10" t="s">
        <v>79</v>
      </c>
      <c r="D56" s="49">
        <f t="shared" ref="D56:Q56" si="39">D54/D55</f>
        <v>46986.554992716883</v>
      </c>
      <c r="E56" s="49">
        <f t="shared" si="39"/>
        <v>30897.0123842418</v>
      </c>
      <c r="F56" s="49">
        <f t="shared" si="39"/>
        <v>31494.391038914662</v>
      </c>
      <c r="G56" s="49">
        <f t="shared" si="39"/>
        <v>45294.617039174249</v>
      </c>
      <c r="H56" s="49">
        <f t="shared" si="39"/>
        <v>62833.299818523788</v>
      </c>
      <c r="I56" s="49">
        <f t="shared" si="39"/>
        <v>55139.856330940238</v>
      </c>
      <c r="J56" s="49">
        <f t="shared" si="39"/>
        <v>53837.429749964096</v>
      </c>
      <c r="K56" s="49">
        <f t="shared" si="39"/>
        <v>58014.916269292735</v>
      </c>
      <c r="L56" s="49">
        <f t="shared" si="39"/>
        <v>55728.299549531657</v>
      </c>
      <c r="M56" s="49">
        <f t="shared" si="39"/>
        <v>58299.920311599562</v>
      </c>
      <c r="N56" s="49">
        <f t="shared" si="39"/>
        <v>56611.135724831795</v>
      </c>
      <c r="O56" s="49">
        <v>59176.137665671493</v>
      </c>
      <c r="P56" s="49">
        <f t="shared" si="39"/>
        <v>63495.343611583128</v>
      </c>
      <c r="Q56" s="49">
        <f t="shared" si="39"/>
        <v>82132.106092389833</v>
      </c>
      <c r="R56" s="49">
        <f t="shared" ref="R56:S56" si="40">R54/R55</f>
        <v>104355.94609830331</v>
      </c>
      <c r="S56" s="49">
        <f t="shared" si="40"/>
        <v>93117.515947963577</v>
      </c>
      <c r="T56" s="49">
        <f t="shared" ref="T56" si="41">T54/T55</f>
        <v>92781.936138225166</v>
      </c>
      <c r="Z56" s="209"/>
      <c r="AA56" s="209"/>
      <c r="AB56" s="209"/>
      <c r="AC56" s="209"/>
    </row>
    <row r="57" spans="1:29" ht="15.75" customHeight="1">
      <c r="A57" s="19"/>
      <c r="B57" s="2"/>
      <c r="C57" s="2"/>
      <c r="D57" s="2"/>
      <c r="E57" s="2"/>
      <c r="F57" s="2"/>
      <c r="G57" s="2"/>
      <c r="H57" s="2"/>
      <c r="I57" s="2"/>
      <c r="J57" s="2"/>
      <c r="K57" s="2"/>
      <c r="L57" s="2"/>
      <c r="M57" s="2"/>
      <c r="N57" s="2"/>
      <c r="O57" s="2"/>
      <c r="P57" s="2"/>
      <c r="Q57" s="2"/>
      <c r="R57" s="2"/>
      <c r="S57" s="2"/>
      <c r="T57" s="2"/>
      <c r="Z57" s="209"/>
      <c r="AA57" s="209"/>
      <c r="AB57" s="209"/>
      <c r="AC57" s="209"/>
    </row>
    <row r="58" spans="1:29" ht="15.75" customHeight="1">
      <c r="A58" s="19"/>
      <c r="B58" s="2"/>
      <c r="C58" s="2"/>
      <c r="D58" s="2"/>
      <c r="E58" s="2"/>
      <c r="F58" s="2"/>
      <c r="G58" s="2"/>
      <c r="H58" s="2"/>
      <c r="I58" s="2"/>
      <c r="J58" s="2"/>
      <c r="K58" s="2"/>
      <c r="L58" s="2"/>
      <c r="M58" s="2"/>
      <c r="N58" s="2"/>
      <c r="O58" s="2"/>
      <c r="P58" s="2"/>
      <c r="Q58" s="2"/>
      <c r="R58" s="2"/>
      <c r="S58" s="2"/>
      <c r="T58" s="2"/>
      <c r="Z58" s="209"/>
      <c r="AA58" s="209"/>
      <c r="AB58" s="209"/>
      <c r="AC58" s="209"/>
    </row>
    <row r="59" spans="1:29" ht="15.75" customHeight="1">
      <c r="A59" s="6" t="s">
        <v>40</v>
      </c>
      <c r="B59" s="2"/>
      <c r="C59" s="2"/>
      <c r="D59" s="2"/>
      <c r="E59" s="2"/>
      <c r="F59" s="2"/>
      <c r="G59" s="2"/>
      <c r="H59" s="2"/>
      <c r="I59" s="2"/>
      <c r="J59" s="2"/>
      <c r="K59" s="2"/>
      <c r="L59" s="2"/>
      <c r="M59" s="2"/>
      <c r="N59" s="2"/>
      <c r="O59" s="2"/>
      <c r="P59" s="2"/>
      <c r="Q59" s="2"/>
      <c r="R59" s="2"/>
      <c r="S59" s="2"/>
      <c r="T59" s="2"/>
      <c r="Z59" s="209"/>
      <c r="AA59" s="209"/>
      <c r="AB59" s="209"/>
      <c r="AC59" s="209"/>
    </row>
    <row r="60" spans="1:29" ht="15.75" customHeight="1">
      <c r="A60" s="19"/>
      <c r="B60" s="2"/>
      <c r="C60" s="2"/>
      <c r="D60" s="2"/>
      <c r="E60" s="2"/>
      <c r="F60" s="2"/>
      <c r="G60" s="2"/>
      <c r="H60" s="2"/>
      <c r="I60" s="2"/>
      <c r="J60" s="2"/>
      <c r="K60" s="2"/>
      <c r="L60" s="2"/>
      <c r="M60" s="2"/>
      <c r="N60" s="2"/>
      <c r="O60" s="2"/>
      <c r="P60" s="2"/>
      <c r="Q60" s="2"/>
      <c r="R60" s="2"/>
      <c r="S60" s="2"/>
      <c r="T60" s="2"/>
      <c r="Z60" s="209"/>
      <c r="AA60" s="209"/>
      <c r="AB60" s="209"/>
      <c r="AC60" s="209"/>
    </row>
    <row r="61" spans="1:29" ht="15.75" customHeight="1">
      <c r="A61" s="48" t="s">
        <v>3</v>
      </c>
      <c r="B61" s="48" t="s">
        <v>4</v>
      </c>
      <c r="C61" s="48" t="s">
        <v>5</v>
      </c>
      <c r="D61" s="48">
        <f t="shared" ref="D61:T61" si="42">D$3</f>
        <v>2008</v>
      </c>
      <c r="E61" s="48">
        <f t="shared" si="42"/>
        <v>2009</v>
      </c>
      <c r="F61" s="48">
        <f t="shared" si="42"/>
        <v>2010</v>
      </c>
      <c r="G61" s="48">
        <f t="shared" si="42"/>
        <v>2011</v>
      </c>
      <c r="H61" s="48">
        <f t="shared" si="42"/>
        <v>2012</v>
      </c>
      <c r="I61" s="48">
        <f t="shared" si="42"/>
        <v>2013</v>
      </c>
      <c r="J61" s="48">
        <f t="shared" si="42"/>
        <v>2014</v>
      </c>
      <c r="K61" s="48">
        <f t="shared" si="42"/>
        <v>2015</v>
      </c>
      <c r="L61" s="48">
        <f t="shared" si="42"/>
        <v>2016</v>
      </c>
      <c r="M61" s="48">
        <f t="shared" si="42"/>
        <v>2017</v>
      </c>
      <c r="N61" s="48">
        <f t="shared" si="42"/>
        <v>2018</v>
      </c>
      <c r="O61" s="48">
        <v>2019</v>
      </c>
      <c r="P61" s="48">
        <f t="shared" si="42"/>
        <v>2020</v>
      </c>
      <c r="Q61" s="48">
        <f t="shared" si="42"/>
        <v>2021</v>
      </c>
      <c r="R61" s="48">
        <f t="shared" si="42"/>
        <v>2022</v>
      </c>
      <c r="S61" s="48">
        <f t="shared" si="42"/>
        <v>2023</v>
      </c>
      <c r="T61" s="48">
        <f t="shared" si="42"/>
        <v>2024</v>
      </c>
      <c r="Z61" s="209"/>
      <c r="AA61" s="209"/>
      <c r="AB61" s="209"/>
      <c r="AC61" s="209"/>
    </row>
    <row r="62" spans="1:29" ht="15.75" customHeight="1">
      <c r="A62" s="9">
        <v>-1</v>
      </c>
      <c r="B62" s="9">
        <f t="shared" ref="B62:T62" si="43">A62-1</f>
        <v>-2</v>
      </c>
      <c r="C62" s="9">
        <f t="shared" si="43"/>
        <v>-3</v>
      </c>
      <c r="D62" s="9">
        <f t="shared" si="43"/>
        <v>-4</v>
      </c>
      <c r="E62" s="9">
        <f t="shared" si="43"/>
        <v>-5</v>
      </c>
      <c r="F62" s="9">
        <f t="shared" si="43"/>
        <v>-6</v>
      </c>
      <c r="G62" s="9">
        <f t="shared" si="43"/>
        <v>-7</v>
      </c>
      <c r="H62" s="9">
        <f t="shared" si="43"/>
        <v>-8</v>
      </c>
      <c r="I62" s="9">
        <f t="shared" si="43"/>
        <v>-9</v>
      </c>
      <c r="J62" s="9">
        <f t="shared" si="43"/>
        <v>-10</v>
      </c>
      <c r="K62" s="9">
        <f t="shared" si="43"/>
        <v>-11</v>
      </c>
      <c r="L62" s="9">
        <f t="shared" si="43"/>
        <v>-12</v>
      </c>
      <c r="M62" s="9">
        <f t="shared" si="43"/>
        <v>-13</v>
      </c>
      <c r="N62" s="9">
        <f t="shared" si="43"/>
        <v>-14</v>
      </c>
      <c r="O62" s="9">
        <v>-15</v>
      </c>
      <c r="P62" s="9">
        <f t="shared" si="43"/>
        <v>-16</v>
      </c>
      <c r="Q62" s="9">
        <f t="shared" si="43"/>
        <v>-17</v>
      </c>
      <c r="R62" s="9">
        <f t="shared" si="43"/>
        <v>-18</v>
      </c>
      <c r="S62" s="9">
        <f t="shared" si="43"/>
        <v>-19</v>
      </c>
      <c r="T62" s="9">
        <f t="shared" si="43"/>
        <v>-20</v>
      </c>
      <c r="Z62" s="209"/>
      <c r="AA62" s="209"/>
      <c r="AB62" s="209"/>
      <c r="AC62" s="209"/>
    </row>
    <row r="63" spans="1:29" ht="15.75" customHeight="1">
      <c r="A63" s="10">
        <v>1</v>
      </c>
      <c r="B63" s="11" t="s">
        <v>41</v>
      </c>
      <c r="C63" s="10" t="s">
        <v>80</v>
      </c>
      <c r="D63" s="49"/>
      <c r="E63" s="49">
        <f t="shared" ref="E63:T63" si="44">D74</f>
        <v>170100</v>
      </c>
      <c r="F63" s="49">
        <f t="shared" si="44"/>
        <v>159630</v>
      </c>
      <c r="G63" s="49">
        <f t="shared" si="44"/>
        <v>157140</v>
      </c>
      <c r="H63" s="49">
        <f t="shared" si="44"/>
        <v>152890</v>
      </c>
      <c r="I63" s="49">
        <f t="shared" si="44"/>
        <v>150700</v>
      </c>
      <c r="J63" s="49">
        <f t="shared" si="44"/>
        <v>150390</v>
      </c>
      <c r="K63" s="49">
        <f t="shared" si="44"/>
        <v>149298.5</v>
      </c>
      <c r="L63" s="49">
        <f t="shared" si="44"/>
        <v>151330</v>
      </c>
      <c r="M63" s="49">
        <f t="shared" si="44"/>
        <v>144060</v>
      </c>
      <c r="N63" s="49">
        <f t="shared" si="44"/>
        <v>142720</v>
      </c>
      <c r="O63" s="49">
        <v>135550</v>
      </c>
      <c r="P63" s="49">
        <f t="shared" si="44"/>
        <v>77292.53</v>
      </c>
      <c r="Q63" s="49">
        <f t="shared" si="44"/>
        <v>62390.13</v>
      </c>
      <c r="R63" s="49">
        <f t="shared" si="44"/>
        <v>60612.334125075511</v>
      </c>
      <c r="S63" s="49">
        <f t="shared" si="44"/>
        <v>54830.409999999982</v>
      </c>
      <c r="T63" s="49">
        <f t="shared" si="44"/>
        <v>54760</v>
      </c>
      <c r="Z63" s="209"/>
      <c r="AA63" s="209"/>
      <c r="AB63" s="209"/>
      <c r="AC63" s="209"/>
    </row>
    <row r="64" spans="1:29" ht="15.75" customHeight="1">
      <c r="A64" s="10">
        <v>2</v>
      </c>
      <c r="B64" s="11" t="s">
        <v>43</v>
      </c>
      <c r="C64" s="10" t="s">
        <v>80</v>
      </c>
      <c r="D64" s="49">
        <f t="shared" ref="D64:Q64" si="45">SUM(D65:D67)</f>
        <v>0</v>
      </c>
      <c r="E64" s="49">
        <f t="shared" si="45"/>
        <v>0</v>
      </c>
      <c r="F64" s="49">
        <f t="shared" si="45"/>
        <v>0</v>
      </c>
      <c r="G64" s="49">
        <f t="shared" si="45"/>
        <v>0</v>
      </c>
      <c r="H64" s="49">
        <f t="shared" si="45"/>
        <v>0</v>
      </c>
      <c r="I64" s="49">
        <f t="shared" si="45"/>
        <v>0</v>
      </c>
      <c r="J64" s="49">
        <f t="shared" si="45"/>
        <v>0</v>
      </c>
      <c r="K64" s="49">
        <f t="shared" si="45"/>
        <v>0</v>
      </c>
      <c r="L64" s="49">
        <f t="shared" si="45"/>
        <v>0</v>
      </c>
      <c r="M64" s="49">
        <f t="shared" si="45"/>
        <v>0</v>
      </c>
      <c r="N64" s="49">
        <f t="shared" si="45"/>
        <v>0</v>
      </c>
      <c r="O64" s="49">
        <v>0</v>
      </c>
      <c r="P64" s="49">
        <f t="shared" si="45"/>
        <v>0</v>
      </c>
      <c r="Q64" s="49">
        <f t="shared" si="45"/>
        <v>0</v>
      </c>
      <c r="R64" s="49">
        <f t="shared" ref="R64" si="46">SUM(R65:R67)</f>
        <v>0</v>
      </c>
      <c r="S64" s="49">
        <f t="shared" ref="S64" si="47">SUM(S65:S67)</f>
        <v>0</v>
      </c>
      <c r="T64" s="49">
        <f t="shared" ref="T64" si="48">SUM(T65:T67)</f>
        <v>0</v>
      </c>
      <c r="Z64" s="209"/>
      <c r="AA64" s="209"/>
      <c r="AB64" s="209"/>
      <c r="AC64" s="209"/>
    </row>
    <row r="65" spans="1:29" ht="15.75" customHeight="1">
      <c r="A65" s="14">
        <v>2.1</v>
      </c>
      <c r="B65" s="15" t="s">
        <v>44</v>
      </c>
      <c r="C65" s="14" t="s">
        <v>80</v>
      </c>
      <c r="D65" s="18"/>
      <c r="E65" s="18"/>
      <c r="F65" s="18"/>
      <c r="G65" s="18"/>
      <c r="H65" s="18"/>
      <c r="I65" s="18"/>
      <c r="J65" s="18"/>
      <c r="K65" s="18"/>
      <c r="L65" s="18"/>
      <c r="M65" s="18"/>
      <c r="N65" s="18"/>
      <c r="O65" s="18"/>
      <c r="P65" s="18"/>
      <c r="Q65" s="18"/>
      <c r="R65" s="18"/>
      <c r="S65" s="18"/>
      <c r="T65" s="18"/>
      <c r="Z65" s="209"/>
      <c r="AA65" s="209"/>
      <c r="AB65" s="209"/>
      <c r="AC65" s="209"/>
    </row>
    <row r="66" spans="1:29" ht="15.75" customHeight="1">
      <c r="A66" s="14">
        <v>2.2000000000000002</v>
      </c>
      <c r="B66" s="15" t="s">
        <v>45</v>
      </c>
      <c r="C66" s="14" t="s">
        <v>80</v>
      </c>
      <c r="D66" s="18"/>
      <c r="E66" s="18"/>
      <c r="F66" s="18"/>
      <c r="G66" s="18"/>
      <c r="H66" s="18"/>
      <c r="I66" s="18"/>
      <c r="J66" s="18"/>
      <c r="K66" s="18"/>
      <c r="L66" s="18"/>
      <c r="M66" s="18"/>
      <c r="N66" s="18"/>
      <c r="O66" s="18"/>
      <c r="P66" s="18"/>
      <c r="Q66" s="18"/>
      <c r="R66" s="18"/>
      <c r="S66" s="18"/>
      <c r="T66" s="18"/>
      <c r="Z66" s="209"/>
      <c r="AA66" s="209"/>
      <c r="AB66" s="209"/>
      <c r="AC66" s="209"/>
    </row>
    <row r="67" spans="1:29" ht="15.75" customHeight="1">
      <c r="A67" s="14">
        <v>2.2999999999999998</v>
      </c>
      <c r="B67" s="15" t="s">
        <v>46</v>
      </c>
      <c r="C67" s="14" t="s">
        <v>80</v>
      </c>
      <c r="D67" s="18"/>
      <c r="E67" s="18"/>
      <c r="F67" s="18"/>
      <c r="G67" s="18"/>
      <c r="H67" s="18"/>
      <c r="I67" s="18"/>
      <c r="J67" s="18"/>
      <c r="K67" s="18"/>
      <c r="L67" s="18"/>
      <c r="M67" s="18"/>
      <c r="N67" s="18"/>
      <c r="O67" s="18"/>
      <c r="P67" s="18"/>
      <c r="Q67" s="18"/>
      <c r="R67" s="18"/>
      <c r="S67" s="18"/>
      <c r="T67" s="18"/>
      <c r="Z67" s="209"/>
      <c r="AA67" s="209"/>
      <c r="AB67" s="209"/>
      <c r="AC67" s="209"/>
    </row>
    <row r="68" spans="1:29" ht="15.75" customHeight="1">
      <c r="A68" s="10">
        <v>3</v>
      </c>
      <c r="B68" s="11" t="s">
        <v>47</v>
      </c>
      <c r="C68" s="10" t="s">
        <v>80</v>
      </c>
      <c r="D68" s="49">
        <f t="shared" ref="D68:Q68" si="49">SUM(D69:D72)</f>
        <v>2891.027654</v>
      </c>
      <c r="E68" s="49">
        <f t="shared" si="49"/>
        <v>3060.8965910000002</v>
      </c>
      <c r="F68" s="49">
        <f t="shared" si="49"/>
        <v>3407.5922820000001</v>
      </c>
      <c r="G68" s="49">
        <f t="shared" si="49"/>
        <v>3256.3789190000002</v>
      </c>
      <c r="H68" s="49">
        <f t="shared" si="49"/>
        <v>3174.639377</v>
      </c>
      <c r="I68" s="49">
        <f t="shared" si="49"/>
        <v>3120.8380729999999</v>
      </c>
      <c r="J68" s="49">
        <f t="shared" si="49"/>
        <v>3175.7909610000002</v>
      </c>
      <c r="K68" s="49">
        <f t="shared" si="49"/>
        <v>3116.1418610000001</v>
      </c>
      <c r="L68" s="49">
        <f t="shared" si="49"/>
        <v>3070.2386029999998</v>
      </c>
      <c r="M68" s="49">
        <f t="shared" si="49"/>
        <v>2781.1532000000002</v>
      </c>
      <c r="N68" s="49">
        <f t="shared" si="49"/>
        <v>2996.8017869999999</v>
      </c>
      <c r="O68" s="49">
        <v>2809.6682730000002</v>
      </c>
      <c r="P68" s="49">
        <f t="shared" si="49"/>
        <v>2442.8306935998444</v>
      </c>
      <c r="Q68" s="49">
        <f t="shared" si="49"/>
        <v>2433.3158899999999</v>
      </c>
      <c r="R68" s="49">
        <f t="shared" ref="R68" si="50">SUM(R69:R72)</f>
        <v>2370.5155800000007</v>
      </c>
      <c r="S68" s="49">
        <f t="shared" ref="S68" si="51">SUM(S69:S72)</f>
        <v>2422.1025209587488</v>
      </c>
      <c r="T68" s="49">
        <f t="shared" ref="T68" si="52">SUM(T69:T72)</f>
        <v>2489.3695699999998</v>
      </c>
      <c r="Z68" s="209"/>
      <c r="AA68" s="209"/>
      <c r="AB68" s="209"/>
      <c r="AC68" s="209"/>
    </row>
    <row r="69" spans="1:29" ht="15.75" customHeight="1">
      <c r="A69" s="14">
        <v>3.1</v>
      </c>
      <c r="B69" s="15" t="s">
        <v>48</v>
      </c>
      <c r="C69" s="14" t="s">
        <v>80</v>
      </c>
      <c r="D69" s="18">
        <f t="shared" ref="D69:N69" si="53">D24/1000000</f>
        <v>2891.027654</v>
      </c>
      <c r="E69" s="18">
        <f t="shared" si="53"/>
        <v>3060.8965910000002</v>
      </c>
      <c r="F69" s="18">
        <f t="shared" si="53"/>
        <v>3407.5922820000001</v>
      </c>
      <c r="G69" s="18">
        <f t="shared" si="53"/>
        <v>3256.3789190000002</v>
      </c>
      <c r="H69" s="18">
        <f t="shared" si="53"/>
        <v>3174.639377</v>
      </c>
      <c r="I69" s="18">
        <f t="shared" si="53"/>
        <v>3120.8380729999999</v>
      </c>
      <c r="J69" s="18">
        <f t="shared" si="53"/>
        <v>3175.7909610000002</v>
      </c>
      <c r="K69" s="18">
        <f t="shared" si="53"/>
        <v>3116.1418610000001</v>
      </c>
      <c r="L69" s="18">
        <f t="shared" si="53"/>
        <v>3070.2386029999998</v>
      </c>
      <c r="M69" s="18">
        <f t="shared" si="53"/>
        <v>2781.1532000000002</v>
      </c>
      <c r="N69" s="18">
        <f t="shared" si="53"/>
        <v>2996.8017869999999</v>
      </c>
      <c r="O69" s="18">
        <v>2809.6682730000002</v>
      </c>
      <c r="P69" s="18">
        <f>P24/1000000</f>
        <v>2442.8306935998444</v>
      </c>
      <c r="Q69" s="18">
        <f t="shared" ref="Q69:T69" si="54">Q24/1000000</f>
        <v>2433.3158899999999</v>
      </c>
      <c r="R69" s="18">
        <f t="shared" si="54"/>
        <v>2370.5155800000007</v>
      </c>
      <c r="S69" s="18">
        <f t="shared" si="54"/>
        <v>2422.1025209587488</v>
      </c>
      <c r="T69" s="18">
        <f t="shared" si="54"/>
        <v>2489.3695699999998</v>
      </c>
      <c r="Z69" s="209"/>
      <c r="AA69" s="209"/>
      <c r="AB69" s="209"/>
      <c r="AC69" s="209"/>
    </row>
    <row r="70" spans="1:29" ht="15.75" customHeight="1">
      <c r="A70" s="14">
        <v>3.2</v>
      </c>
      <c r="B70" s="15" t="s">
        <v>49</v>
      </c>
      <c r="C70" s="14" t="s">
        <v>80</v>
      </c>
      <c r="D70" s="18"/>
      <c r="E70" s="18"/>
      <c r="F70" s="18"/>
      <c r="G70" s="18"/>
      <c r="H70" s="18"/>
      <c r="I70" s="18"/>
      <c r="J70" s="18"/>
      <c r="K70" s="18"/>
      <c r="L70" s="18"/>
      <c r="M70" s="18"/>
      <c r="N70" s="18"/>
      <c r="O70" s="18"/>
      <c r="P70" s="18"/>
      <c r="Q70" s="18"/>
      <c r="R70" s="18"/>
      <c r="S70" s="18"/>
      <c r="T70" s="18"/>
      <c r="Z70" s="209"/>
      <c r="AA70" s="209"/>
      <c r="AB70" s="209"/>
      <c r="AC70" s="209"/>
    </row>
    <row r="71" spans="1:29" ht="15.75" customHeight="1">
      <c r="A71" s="14">
        <v>3.3</v>
      </c>
      <c r="B71" s="15" t="s">
        <v>50</v>
      </c>
      <c r="C71" s="14" t="s">
        <v>80</v>
      </c>
      <c r="D71" s="18"/>
      <c r="E71" s="18"/>
      <c r="F71" s="18"/>
      <c r="G71" s="18"/>
      <c r="H71" s="18"/>
      <c r="I71" s="18"/>
      <c r="J71" s="18"/>
      <c r="K71" s="18"/>
      <c r="L71" s="18"/>
      <c r="M71" s="18"/>
      <c r="N71" s="18"/>
      <c r="O71" s="18"/>
      <c r="P71" s="18"/>
      <c r="Q71" s="18"/>
      <c r="R71" s="18"/>
      <c r="S71" s="18"/>
      <c r="T71" s="18"/>
      <c r="Z71" s="209"/>
      <c r="AA71" s="209"/>
      <c r="AB71" s="209"/>
      <c r="AC71" s="209"/>
    </row>
    <row r="72" spans="1:29" ht="15.75" customHeight="1">
      <c r="A72" s="14">
        <v>3.4</v>
      </c>
      <c r="B72" s="15" t="s">
        <v>46</v>
      </c>
      <c r="C72" s="14" t="s">
        <v>80</v>
      </c>
      <c r="D72" s="18"/>
      <c r="E72" s="18"/>
      <c r="F72" s="18"/>
      <c r="G72" s="18"/>
      <c r="H72" s="18"/>
      <c r="I72" s="18"/>
      <c r="J72" s="18"/>
      <c r="K72" s="18"/>
      <c r="L72" s="18"/>
      <c r="M72" s="18"/>
      <c r="N72" s="18"/>
      <c r="O72" s="18"/>
      <c r="P72" s="18"/>
      <c r="Q72" s="18"/>
      <c r="R72" s="18"/>
      <c r="S72" s="18"/>
      <c r="T72" s="18"/>
      <c r="Z72" s="209"/>
      <c r="AA72" s="209"/>
      <c r="AB72" s="209"/>
      <c r="AC72" s="209"/>
    </row>
    <row r="73" spans="1:29" ht="15.75" customHeight="1">
      <c r="A73" s="10">
        <v>4</v>
      </c>
      <c r="B73" s="11" t="s">
        <v>51</v>
      </c>
      <c r="C73" s="10" t="s">
        <v>80</v>
      </c>
      <c r="D73" s="49">
        <f t="shared" ref="D73:Q73" si="55">D74-D63-D64+D68</f>
        <v>172991.027654</v>
      </c>
      <c r="E73" s="49">
        <f t="shared" si="55"/>
        <v>-7409.1034089999994</v>
      </c>
      <c r="F73" s="49">
        <f t="shared" si="55"/>
        <v>917.59228200000007</v>
      </c>
      <c r="G73" s="49">
        <f t="shared" si="55"/>
        <v>-993.62108099999978</v>
      </c>
      <c r="H73" s="49">
        <f t="shared" si="55"/>
        <v>984.63937699999997</v>
      </c>
      <c r="I73" s="49">
        <f t="shared" si="55"/>
        <v>2810.8380729999999</v>
      </c>
      <c r="J73" s="49">
        <f t="shared" si="55"/>
        <v>2084.2909610000002</v>
      </c>
      <c r="K73" s="49">
        <f t="shared" si="55"/>
        <v>5147.6418610000001</v>
      </c>
      <c r="L73" s="49">
        <f t="shared" si="55"/>
        <v>-4199.7613970000002</v>
      </c>
      <c r="M73" s="49">
        <f t="shared" si="55"/>
        <v>1441.1532000000002</v>
      </c>
      <c r="N73" s="49">
        <f t="shared" si="55"/>
        <v>-4173.1982129999997</v>
      </c>
      <c r="O73" s="49">
        <v>-55447.801726999998</v>
      </c>
      <c r="P73" s="49">
        <f t="shared" si="55"/>
        <v>-12459.569306400157</v>
      </c>
      <c r="Q73" s="49">
        <f t="shared" si="55"/>
        <v>655.52001507551358</v>
      </c>
      <c r="R73" s="49">
        <f t="shared" ref="R73" si="56">R74-R63-R64+R68</f>
        <v>-3411.4085450755288</v>
      </c>
      <c r="S73" s="49">
        <f t="shared" ref="S73" si="57">S74-S63-S64+S68</f>
        <v>2351.6925209587671</v>
      </c>
      <c r="T73" s="49">
        <f t="shared" ref="T73" si="58">T74-T63-T64+T68</f>
        <v>-288.88043000000016</v>
      </c>
      <c r="Z73" s="209"/>
      <c r="AA73" s="209"/>
      <c r="AB73" s="209"/>
      <c r="AC73" s="209"/>
    </row>
    <row r="74" spans="1:29" ht="15.75" customHeight="1">
      <c r="A74" s="10">
        <v>5</v>
      </c>
      <c r="B74" s="11" t="s">
        <v>52</v>
      </c>
      <c r="C74" s="10" t="s">
        <v>80</v>
      </c>
      <c r="D74" s="49">
        <f t="shared" ref="D74:N74" si="59">D9/1000000</f>
        <v>170100</v>
      </c>
      <c r="E74" s="49">
        <f t="shared" si="59"/>
        <v>159630</v>
      </c>
      <c r="F74" s="49">
        <f t="shared" si="59"/>
        <v>157140</v>
      </c>
      <c r="G74" s="49">
        <f t="shared" si="59"/>
        <v>152890</v>
      </c>
      <c r="H74" s="49">
        <f t="shared" si="59"/>
        <v>150700</v>
      </c>
      <c r="I74" s="49">
        <f t="shared" si="59"/>
        <v>150390</v>
      </c>
      <c r="J74" s="49">
        <f t="shared" si="59"/>
        <v>149298.5</v>
      </c>
      <c r="K74" s="49">
        <f t="shared" si="59"/>
        <v>151330</v>
      </c>
      <c r="L74" s="49">
        <f t="shared" si="59"/>
        <v>144060</v>
      </c>
      <c r="M74" s="49">
        <f t="shared" si="59"/>
        <v>142720</v>
      </c>
      <c r="N74" s="49">
        <f t="shared" si="59"/>
        <v>135550</v>
      </c>
      <c r="O74" s="49">
        <v>77292.53</v>
      </c>
      <c r="P74" s="49">
        <f>P9/1000000</f>
        <v>62390.13</v>
      </c>
      <c r="Q74" s="49">
        <f t="shared" ref="Q74:T74" si="60">Q9/1000000</f>
        <v>60612.334125075511</v>
      </c>
      <c r="R74" s="49">
        <f t="shared" si="60"/>
        <v>54830.409999999982</v>
      </c>
      <c r="S74" s="49">
        <f t="shared" si="60"/>
        <v>54760</v>
      </c>
      <c r="T74" s="49">
        <f t="shared" si="60"/>
        <v>51981.75</v>
      </c>
      <c r="Z74" s="209"/>
      <c r="AA74" s="209"/>
      <c r="AB74" s="209"/>
      <c r="AC74" s="209"/>
    </row>
    <row r="75" spans="1:29" ht="15.75" customHeight="1">
      <c r="A75" s="1"/>
      <c r="B75" s="2"/>
      <c r="C75" s="2"/>
      <c r="D75" s="20"/>
      <c r="E75" s="2"/>
      <c r="F75" s="2"/>
      <c r="G75" s="2"/>
      <c r="H75" s="2"/>
      <c r="I75" s="2"/>
      <c r="J75" s="2"/>
      <c r="K75" s="2"/>
      <c r="L75" s="2"/>
      <c r="M75" s="2"/>
      <c r="N75" s="2"/>
      <c r="O75" s="2"/>
      <c r="P75" s="2"/>
      <c r="Q75" s="2"/>
      <c r="R75" s="2"/>
      <c r="S75" s="2"/>
      <c r="T75" s="2"/>
      <c r="Z75" s="209"/>
      <c r="AA75" s="209"/>
      <c r="AB75" s="209"/>
      <c r="AC75" s="209"/>
    </row>
    <row r="76" spans="1:29" ht="15.75" customHeight="1">
      <c r="A76" s="28"/>
      <c r="B76" s="29" t="s">
        <v>53</v>
      </c>
      <c r="C76" s="30"/>
      <c r="D76" s="2"/>
      <c r="E76" s="2" t="b">
        <f t="shared" ref="E76:R76" si="61">E63+E64-E68+E73=E74</f>
        <v>1</v>
      </c>
      <c r="F76" s="2" t="b">
        <f t="shared" si="61"/>
        <v>1</v>
      </c>
      <c r="G76" s="2" t="b">
        <f t="shared" si="61"/>
        <v>1</v>
      </c>
      <c r="H76" s="2" t="b">
        <f t="shared" si="61"/>
        <v>1</v>
      </c>
      <c r="I76" s="2" t="b">
        <f t="shared" si="61"/>
        <v>1</v>
      </c>
      <c r="J76" s="2" t="b">
        <f t="shared" si="61"/>
        <v>1</v>
      </c>
      <c r="K76" s="2" t="b">
        <f t="shared" si="61"/>
        <v>1</v>
      </c>
      <c r="L76" s="2" t="b">
        <f t="shared" si="61"/>
        <v>1</v>
      </c>
      <c r="M76" s="2" t="b">
        <f t="shared" si="61"/>
        <v>1</v>
      </c>
      <c r="N76" s="2" t="b">
        <f t="shared" si="61"/>
        <v>1</v>
      </c>
      <c r="O76" s="2" t="b">
        <v>1</v>
      </c>
      <c r="P76" s="2" t="b">
        <f t="shared" si="61"/>
        <v>1</v>
      </c>
      <c r="Q76" s="2" t="b">
        <f t="shared" si="61"/>
        <v>1</v>
      </c>
      <c r="R76" s="2" t="b">
        <f t="shared" si="61"/>
        <v>1</v>
      </c>
      <c r="S76" s="2" t="b">
        <f>S63+S64-S68+S73=S74</f>
        <v>1</v>
      </c>
      <c r="T76" s="2" t="b">
        <f t="shared" ref="T76" si="62">T63+T64-T68+T73=T74</f>
        <v>1</v>
      </c>
      <c r="Z76" s="209"/>
      <c r="AA76" s="209"/>
      <c r="AB76" s="209"/>
      <c r="AC76" s="209"/>
    </row>
    <row r="77" spans="1:29" ht="15.75" customHeight="1">
      <c r="A77" s="1"/>
      <c r="B77" s="2"/>
      <c r="C77" s="2"/>
      <c r="D77" s="20"/>
      <c r="E77" s="2"/>
      <c r="F77" s="2"/>
      <c r="G77" s="2"/>
      <c r="H77" s="2"/>
      <c r="I77" s="2"/>
      <c r="J77" s="2"/>
      <c r="K77" s="2"/>
      <c r="L77" s="2"/>
      <c r="M77" s="2"/>
      <c r="N77" s="2"/>
      <c r="O77" s="2"/>
      <c r="P77" s="2"/>
      <c r="Q77" s="2"/>
      <c r="R77" s="2"/>
      <c r="S77" s="2"/>
      <c r="T77" s="2"/>
      <c r="Z77" s="209"/>
      <c r="AA77" s="209"/>
      <c r="AB77" s="209"/>
      <c r="AC77" s="209"/>
    </row>
    <row r="78" spans="1:29" ht="15.75" customHeight="1">
      <c r="A78" s="6" t="s">
        <v>54</v>
      </c>
      <c r="B78" s="2"/>
      <c r="C78" s="2"/>
      <c r="D78" s="2"/>
      <c r="E78" s="2"/>
      <c r="F78" s="2"/>
      <c r="G78" s="2"/>
      <c r="H78" s="2"/>
      <c r="I78" s="2"/>
      <c r="J78" s="2"/>
      <c r="K78" s="2"/>
      <c r="L78" s="2"/>
      <c r="M78" s="2"/>
      <c r="N78" s="2"/>
      <c r="O78" s="2"/>
      <c r="P78" s="2"/>
      <c r="Q78" s="2"/>
      <c r="R78" s="2"/>
      <c r="S78" s="2"/>
      <c r="T78" s="2"/>
      <c r="Z78" s="209"/>
      <c r="AA78" s="209"/>
      <c r="AB78" s="209"/>
      <c r="AC78" s="209"/>
    </row>
    <row r="79" spans="1:29" ht="15.75" customHeight="1">
      <c r="A79" s="7"/>
      <c r="B79" s="2"/>
      <c r="C79" s="2"/>
      <c r="D79" s="2"/>
      <c r="E79" s="2"/>
      <c r="F79" s="2"/>
      <c r="G79" s="2"/>
      <c r="H79" s="2"/>
      <c r="I79" s="2"/>
      <c r="J79" s="2"/>
      <c r="K79" s="2"/>
      <c r="L79" s="2"/>
      <c r="M79" s="2"/>
      <c r="N79" s="2"/>
      <c r="O79" s="2"/>
      <c r="P79" s="2"/>
      <c r="Q79" s="2"/>
      <c r="R79" s="2"/>
      <c r="S79" s="2"/>
      <c r="T79" s="2"/>
      <c r="Z79" s="209"/>
      <c r="AA79" s="209"/>
      <c r="AB79" s="209"/>
      <c r="AC79" s="209"/>
    </row>
    <row r="80" spans="1:29" ht="15.75" customHeight="1">
      <c r="A80" s="48" t="s">
        <v>3</v>
      </c>
      <c r="B80" s="48" t="s">
        <v>4</v>
      </c>
      <c r="C80" s="48" t="s">
        <v>5</v>
      </c>
      <c r="D80" s="48">
        <f t="shared" ref="D80:T80" si="63">D$3</f>
        <v>2008</v>
      </c>
      <c r="E80" s="48">
        <f t="shared" si="63"/>
        <v>2009</v>
      </c>
      <c r="F80" s="48">
        <f t="shared" si="63"/>
        <v>2010</v>
      </c>
      <c r="G80" s="48">
        <f t="shared" si="63"/>
        <v>2011</v>
      </c>
      <c r="H80" s="48">
        <f t="shared" si="63"/>
        <v>2012</v>
      </c>
      <c r="I80" s="48">
        <f t="shared" si="63"/>
        <v>2013</v>
      </c>
      <c r="J80" s="48">
        <f t="shared" si="63"/>
        <v>2014</v>
      </c>
      <c r="K80" s="48">
        <f t="shared" si="63"/>
        <v>2015</v>
      </c>
      <c r="L80" s="48">
        <f t="shared" si="63"/>
        <v>2016</v>
      </c>
      <c r="M80" s="48">
        <f t="shared" si="63"/>
        <v>2017</v>
      </c>
      <c r="N80" s="48">
        <f t="shared" si="63"/>
        <v>2018</v>
      </c>
      <c r="O80" s="48">
        <v>2019</v>
      </c>
      <c r="P80" s="48">
        <f t="shared" si="63"/>
        <v>2020</v>
      </c>
      <c r="Q80" s="48">
        <f t="shared" si="63"/>
        <v>2021</v>
      </c>
      <c r="R80" s="48">
        <f t="shared" si="63"/>
        <v>2022</v>
      </c>
      <c r="S80" s="48">
        <f t="shared" si="63"/>
        <v>2023</v>
      </c>
      <c r="T80" s="48">
        <f t="shared" si="63"/>
        <v>2024</v>
      </c>
      <c r="Z80" s="209"/>
      <c r="AA80" s="209"/>
      <c r="AB80" s="209"/>
      <c r="AC80" s="209"/>
    </row>
    <row r="81" spans="1:29" ht="15.75" customHeight="1">
      <c r="A81" s="9">
        <v>-1</v>
      </c>
      <c r="B81" s="9">
        <f t="shared" ref="B81:T81" si="64">A81-1</f>
        <v>-2</v>
      </c>
      <c r="C81" s="9">
        <f t="shared" si="64"/>
        <v>-3</v>
      </c>
      <c r="D81" s="9">
        <f t="shared" si="64"/>
        <v>-4</v>
      </c>
      <c r="E81" s="9">
        <f t="shared" si="64"/>
        <v>-5</v>
      </c>
      <c r="F81" s="9">
        <f t="shared" si="64"/>
        <v>-6</v>
      </c>
      <c r="G81" s="9">
        <f t="shared" si="64"/>
        <v>-7</v>
      </c>
      <c r="H81" s="9">
        <f t="shared" si="64"/>
        <v>-8</v>
      </c>
      <c r="I81" s="9">
        <f t="shared" si="64"/>
        <v>-9</v>
      </c>
      <c r="J81" s="9">
        <f t="shared" si="64"/>
        <v>-10</v>
      </c>
      <c r="K81" s="9">
        <f t="shared" si="64"/>
        <v>-11</v>
      </c>
      <c r="L81" s="9">
        <f t="shared" si="64"/>
        <v>-12</v>
      </c>
      <c r="M81" s="9">
        <f t="shared" si="64"/>
        <v>-13</v>
      </c>
      <c r="N81" s="9">
        <f t="shared" si="64"/>
        <v>-14</v>
      </c>
      <c r="O81" s="9">
        <v>-15</v>
      </c>
      <c r="P81" s="9">
        <f t="shared" si="64"/>
        <v>-16</v>
      </c>
      <c r="Q81" s="9">
        <f t="shared" si="64"/>
        <v>-17</v>
      </c>
      <c r="R81" s="9">
        <f t="shared" si="64"/>
        <v>-18</v>
      </c>
      <c r="S81" s="9">
        <f t="shared" si="64"/>
        <v>-19</v>
      </c>
      <c r="T81" s="9">
        <f t="shared" si="64"/>
        <v>-20</v>
      </c>
      <c r="Z81" s="209"/>
      <c r="AA81" s="209"/>
      <c r="AB81" s="209"/>
      <c r="AC81" s="209"/>
    </row>
    <row r="82" spans="1:29" ht="15.75" customHeight="1">
      <c r="A82" s="14">
        <v>1</v>
      </c>
      <c r="B82" s="15" t="s">
        <v>55</v>
      </c>
      <c r="C82" s="14" t="s">
        <v>79</v>
      </c>
      <c r="D82" s="18">
        <f t="shared" ref="D82:Q82" si="65">D56</f>
        <v>46986.554992716883</v>
      </c>
      <c r="E82" s="18">
        <f t="shared" si="65"/>
        <v>30897.0123842418</v>
      </c>
      <c r="F82" s="18">
        <f t="shared" si="65"/>
        <v>31494.391038914662</v>
      </c>
      <c r="G82" s="18">
        <f t="shared" si="65"/>
        <v>45294.617039174249</v>
      </c>
      <c r="H82" s="18">
        <f t="shared" si="65"/>
        <v>62833.299818523788</v>
      </c>
      <c r="I82" s="18">
        <f t="shared" si="65"/>
        <v>55139.856330940238</v>
      </c>
      <c r="J82" s="18">
        <f t="shared" si="65"/>
        <v>53837.429749964096</v>
      </c>
      <c r="K82" s="18">
        <f t="shared" si="65"/>
        <v>58014.916269292735</v>
      </c>
      <c r="L82" s="18">
        <f t="shared" si="65"/>
        <v>55728.299549531657</v>
      </c>
      <c r="M82" s="18">
        <f t="shared" si="65"/>
        <v>58299.920311599562</v>
      </c>
      <c r="N82" s="18">
        <f t="shared" si="65"/>
        <v>56611.135724831795</v>
      </c>
      <c r="O82" s="18">
        <v>59176.137665671493</v>
      </c>
      <c r="P82" s="18">
        <f t="shared" si="65"/>
        <v>63495.343611583128</v>
      </c>
      <c r="Q82" s="18">
        <f t="shared" si="65"/>
        <v>82132.106092389833</v>
      </c>
      <c r="R82" s="18">
        <f t="shared" ref="R82:S82" si="66">R56</f>
        <v>104355.94609830331</v>
      </c>
      <c r="S82" s="18">
        <f t="shared" si="66"/>
        <v>93117.515947963577</v>
      </c>
      <c r="T82" s="18">
        <f t="shared" ref="T82" si="67">T56</f>
        <v>92781.936138225166</v>
      </c>
      <c r="Z82" s="209"/>
      <c r="AA82" s="209"/>
      <c r="AB82" s="209"/>
      <c r="AC82" s="209"/>
    </row>
    <row r="83" spans="1:29" ht="15.75" customHeight="1">
      <c r="A83" s="14">
        <f t="shared" ref="A83:A90" si="68">A82+1</f>
        <v>2</v>
      </c>
      <c r="B83" s="15" t="s">
        <v>56</v>
      </c>
      <c r="C83" s="14" t="s">
        <v>80</v>
      </c>
      <c r="D83" s="18">
        <f t="shared" ref="D83:Q83" si="69">D55</f>
        <v>2891.027654</v>
      </c>
      <c r="E83" s="18">
        <f t="shared" si="69"/>
        <v>3060.8965910000002</v>
      </c>
      <c r="F83" s="18">
        <f t="shared" si="69"/>
        <v>3407.5922820000001</v>
      </c>
      <c r="G83" s="18">
        <f t="shared" si="69"/>
        <v>3256.3789190000002</v>
      </c>
      <c r="H83" s="18">
        <f t="shared" si="69"/>
        <v>3174.639377</v>
      </c>
      <c r="I83" s="18">
        <f t="shared" si="69"/>
        <v>3120.8380729999999</v>
      </c>
      <c r="J83" s="18">
        <f t="shared" si="69"/>
        <v>3175.7909610000002</v>
      </c>
      <c r="K83" s="18">
        <f t="shared" si="69"/>
        <v>3116.1418610000001</v>
      </c>
      <c r="L83" s="18">
        <f t="shared" si="69"/>
        <v>3070.2386029999998</v>
      </c>
      <c r="M83" s="18">
        <f t="shared" si="69"/>
        <v>2781.1532000000002</v>
      </c>
      <c r="N83" s="18">
        <f t="shared" si="69"/>
        <v>2996.8017869999999</v>
      </c>
      <c r="O83" s="18">
        <v>2809.6682730000002</v>
      </c>
      <c r="P83" s="18">
        <f t="shared" si="69"/>
        <v>2442.8306935998444</v>
      </c>
      <c r="Q83" s="18">
        <f t="shared" si="69"/>
        <v>2433.3158899999999</v>
      </c>
      <c r="R83" s="18">
        <f t="shared" ref="R83:S83" si="70">R55</f>
        <v>2370.5155800000007</v>
      </c>
      <c r="S83" s="18">
        <f t="shared" si="70"/>
        <v>2422.1025209587488</v>
      </c>
      <c r="T83" s="18">
        <f t="shared" ref="T83" si="71">T55</f>
        <v>2489.3695699999998</v>
      </c>
      <c r="Z83" s="209"/>
      <c r="AA83" s="209"/>
      <c r="AB83" s="209"/>
      <c r="AC83" s="209"/>
    </row>
    <row r="84" spans="1:29" ht="15.75" customHeight="1">
      <c r="A84" s="14">
        <f t="shared" si="68"/>
        <v>3</v>
      </c>
      <c r="B84" s="15" t="s">
        <v>57</v>
      </c>
      <c r="C84" s="14" t="s">
        <v>58</v>
      </c>
      <c r="D84" s="18">
        <f t="shared" ref="D84:Q84" si="72">D82*D83/1000</f>
        <v>135839.42985013628</v>
      </c>
      <c r="E84" s="18">
        <f t="shared" si="72"/>
        <v>94572.559879010514</v>
      </c>
      <c r="F84" s="18">
        <f t="shared" si="72"/>
        <v>107320.04383049556</v>
      </c>
      <c r="G84" s="18">
        <f t="shared" si="72"/>
        <v>147496.43607054523</v>
      </c>
      <c r="H84" s="18">
        <f t="shared" si="72"/>
        <v>199473.06779073257</v>
      </c>
      <c r="I84" s="18">
        <f t="shared" si="72"/>
        <v>172082.5629773484</v>
      </c>
      <c r="J84" s="18">
        <f t="shared" si="72"/>
        <v>170976.42276340848</v>
      </c>
      <c r="K84" s="18">
        <f t="shared" si="72"/>
        <v>180782.70914915306</v>
      </c>
      <c r="L84" s="18">
        <f t="shared" si="72"/>
        <v>171099.17655651961</v>
      </c>
      <c r="M84" s="18">
        <f t="shared" si="72"/>
        <v>162141.00993435012</v>
      </c>
      <c r="N84" s="18">
        <f t="shared" si="72"/>
        <v>169652.35270427546</v>
      </c>
      <c r="O84" s="18">
        <v>166265.3165179175</v>
      </c>
      <c r="P84" s="18">
        <f t="shared" si="72"/>
        <v>155108.37427504404</v>
      </c>
      <c r="Q84" s="18">
        <f t="shared" si="72"/>
        <v>199853.35883377795</v>
      </c>
      <c r="R84" s="18">
        <f t="shared" ref="R84:S84" si="73">R82*R83/1000</f>
        <v>247377.39609166828</v>
      </c>
      <c r="S84" s="18">
        <f t="shared" si="73"/>
        <v>225540.17012297906</v>
      </c>
      <c r="T84" s="18">
        <f t="shared" ref="T84" si="74">T82*T83/1000</f>
        <v>230968.528468181</v>
      </c>
      <c r="Z84" s="209"/>
      <c r="AA84" s="209"/>
      <c r="AB84" s="209"/>
      <c r="AC84" s="209"/>
    </row>
    <row r="85" spans="1:29" ht="15.75" customHeight="1">
      <c r="A85" s="14">
        <f t="shared" si="68"/>
        <v>4</v>
      </c>
      <c r="B85" s="21" t="s">
        <v>59</v>
      </c>
      <c r="C85" s="14" t="s">
        <v>60</v>
      </c>
      <c r="D85" s="18">
        <f t="shared" ref="D85:M85" si="75">D74/D83</f>
        <v>58.837209586927045</v>
      </c>
      <c r="E85" s="18">
        <f t="shared" si="75"/>
        <v>52.151386123060306</v>
      </c>
      <c r="F85" s="18">
        <f t="shared" si="75"/>
        <v>46.114671884328445</v>
      </c>
      <c r="G85" s="18">
        <f t="shared" si="75"/>
        <v>46.950924263737377</v>
      </c>
      <c r="H85" s="18">
        <f t="shared" si="75"/>
        <v>47.469958664221537</v>
      </c>
      <c r="I85" s="18">
        <f t="shared" si="75"/>
        <v>48.188978883942248</v>
      </c>
      <c r="J85" s="18">
        <f t="shared" si="75"/>
        <v>47.011438042820224</v>
      </c>
      <c r="K85" s="18">
        <f t="shared" si="75"/>
        <v>48.563257627634684</v>
      </c>
      <c r="L85" s="18">
        <f t="shared" si="75"/>
        <v>46.921434659584996</v>
      </c>
      <c r="M85" s="18">
        <f t="shared" si="75"/>
        <v>51.316842236522604</v>
      </c>
      <c r="N85" s="18">
        <f t="shared" ref="N85:T85" si="76">AVERAGE(J74/J83,K74/K83,L74/L83,M74/M83,N74/N83)</f>
        <v>47.808905189447991</v>
      </c>
      <c r="O85" s="18">
        <v>43.908514779407774</v>
      </c>
      <c r="P85" s="18">
        <f t="shared" si="76"/>
        <v>39.303882418979811</v>
      </c>
      <c r="Q85" s="18">
        <f t="shared" si="76"/>
        <v>34.901466881086826</v>
      </c>
      <c r="R85" s="18">
        <f t="shared" si="76"/>
        <v>29.26413088533868</v>
      </c>
      <c r="S85" s="18">
        <f t="shared" si="76"/>
        <v>24.739511551840849</v>
      </c>
      <c r="T85" s="18">
        <f t="shared" si="76"/>
        <v>23.41391269217716</v>
      </c>
      <c r="Z85" s="209"/>
      <c r="AA85" s="209"/>
      <c r="AB85" s="209"/>
      <c r="AC85" s="209"/>
    </row>
    <row r="86" spans="1:29" ht="15.75" customHeight="1">
      <c r="A86" s="31">
        <f t="shared" si="68"/>
        <v>5</v>
      </c>
      <c r="B86" s="32" t="s">
        <v>61</v>
      </c>
      <c r="C86" s="31"/>
      <c r="D86" s="33">
        <v>0.1318648305084745</v>
      </c>
      <c r="E86" s="33">
        <v>0.11456120218579237</v>
      </c>
      <c r="F86" s="33">
        <v>9.6083870967741916E-2</v>
      </c>
      <c r="G86" s="33">
        <v>8.4860816326530641E-2</v>
      </c>
      <c r="H86" s="33">
        <v>6.6462195121951215E-2</v>
      </c>
      <c r="I86" s="33">
        <v>7.5548571428571409E-2</v>
      </c>
      <c r="J86" s="33">
        <v>8.6841975308642003E-2</v>
      </c>
      <c r="K86" s="33">
        <v>8.4721074380165282E-2</v>
      </c>
      <c r="L86" s="33">
        <v>7.9230487804878069E-2</v>
      </c>
      <c r="M86" s="33">
        <v>7.6071308016877698E-2</v>
      </c>
      <c r="N86" s="33">
        <f>Bond!M26</f>
        <v>8.3599999999999994E-2</v>
      </c>
      <c r="O86" s="33">
        <v>7.6499999999999999E-2</v>
      </c>
      <c r="P86" s="33">
        <f>Bond!O26</f>
        <v>6.4799999999999996E-2</v>
      </c>
      <c r="Q86" s="33">
        <f>Bond!P26</f>
        <v>7.0499999999999993E-2</v>
      </c>
      <c r="R86" s="33">
        <f>Bond!Q26</f>
        <v>7.0900000000000005E-2</v>
      </c>
      <c r="S86" s="33">
        <f>Bond!R26</f>
        <v>6.7699999999999996E-2</v>
      </c>
      <c r="T86" s="33">
        <f>Bond!S26</f>
        <v>7.0900000000000005E-2</v>
      </c>
      <c r="Z86" s="209"/>
      <c r="AA86" s="209"/>
      <c r="AB86" s="209"/>
      <c r="AC86" s="209"/>
    </row>
    <row r="87" spans="1:29" ht="15.75" customHeight="1">
      <c r="A87" s="14">
        <f t="shared" si="68"/>
        <v>6</v>
      </c>
      <c r="B87" s="21" t="s">
        <v>62</v>
      </c>
      <c r="C87" s="14"/>
      <c r="D87" s="16">
        <f t="shared" ref="D87:Q87" si="77">PV(D86,D85,-1/D85)</f>
        <v>0.12880179466220484</v>
      </c>
      <c r="E87" s="16">
        <f t="shared" si="77"/>
        <v>0.16679230116747057</v>
      </c>
      <c r="F87" s="16">
        <f t="shared" si="77"/>
        <v>0.22240708248413715</v>
      </c>
      <c r="G87" s="16">
        <f t="shared" si="77"/>
        <v>0.24550519420177483</v>
      </c>
      <c r="H87" s="16">
        <f t="shared" si="77"/>
        <v>0.30201851271830815</v>
      </c>
      <c r="I87" s="16">
        <f t="shared" si="77"/>
        <v>0.26646436093593523</v>
      </c>
      <c r="J87" s="16">
        <f t="shared" si="77"/>
        <v>0.24005934476666269</v>
      </c>
      <c r="K87" s="16">
        <f t="shared" si="77"/>
        <v>0.23836969004715014</v>
      </c>
      <c r="L87" s="16">
        <f t="shared" si="77"/>
        <v>0.26147444056867386</v>
      </c>
      <c r="M87" s="16">
        <f t="shared" si="77"/>
        <v>0.25021437223654064</v>
      </c>
      <c r="N87" s="16">
        <f t="shared" si="77"/>
        <v>0.24481299969177794</v>
      </c>
      <c r="O87" s="16">
        <v>0.28600981131169523</v>
      </c>
      <c r="P87" s="16">
        <f t="shared" si="77"/>
        <v>0.35935040049114608</v>
      </c>
      <c r="Q87" s="16">
        <f t="shared" si="77"/>
        <v>0.36871197540432005</v>
      </c>
      <c r="R87" s="16">
        <f t="shared" ref="R87:S87" si="78">PV(R86,R85,-1/R85)</f>
        <v>0.41703844766864279</v>
      </c>
      <c r="S87" s="16">
        <f t="shared" si="78"/>
        <v>0.47897668233346724</v>
      </c>
      <c r="T87" s="16">
        <f t="shared" ref="T87" si="79">PV(T86,T85,-1/T85)</f>
        <v>0.4812378398856712</v>
      </c>
      <c r="Z87" s="209"/>
      <c r="AA87" s="209"/>
      <c r="AB87" s="209"/>
      <c r="AC87" s="209"/>
    </row>
    <row r="88" spans="1:29" ht="15.75" customHeight="1">
      <c r="A88" s="10">
        <f t="shared" si="68"/>
        <v>7</v>
      </c>
      <c r="B88" s="11" t="s">
        <v>63</v>
      </c>
      <c r="C88" s="10" t="s">
        <v>58</v>
      </c>
      <c r="D88" s="49">
        <f t="shared" ref="D88:Q88" si="80">D84*D85*D87</f>
        <v>1029437.1386303795</v>
      </c>
      <c r="E88" s="49">
        <f t="shared" si="80"/>
        <v>822634.65515874035</v>
      </c>
      <c r="F88" s="49">
        <f t="shared" si="80"/>
        <v>1100699.0138035726</v>
      </c>
      <c r="G88" s="49">
        <f t="shared" si="80"/>
        <v>1700146.5471193418</v>
      </c>
      <c r="H88" s="49">
        <f t="shared" si="80"/>
        <v>2859806.7378883767</v>
      </c>
      <c r="I88" s="49">
        <f t="shared" si="80"/>
        <v>2209651.1814644272</v>
      </c>
      <c r="J88" s="49">
        <f t="shared" si="80"/>
        <v>1929560.4055106894</v>
      </c>
      <c r="K88" s="49">
        <f t="shared" si="80"/>
        <v>2092742.2082036678</v>
      </c>
      <c r="L88" s="49">
        <f t="shared" si="80"/>
        <v>2099174.0281491606</v>
      </c>
      <c r="M88" s="49">
        <f t="shared" si="80"/>
        <v>2081924.8547662157</v>
      </c>
      <c r="N88" s="49">
        <f t="shared" si="80"/>
        <v>1985652.1056364621</v>
      </c>
      <c r="O88" s="49">
        <v>2088004.0759012178</v>
      </c>
      <c r="P88" s="49">
        <f t="shared" si="80"/>
        <v>2190729.8763846271</v>
      </c>
      <c r="Q88" s="49">
        <f t="shared" si="80"/>
        <v>2571830.69477779</v>
      </c>
      <c r="R88" s="49">
        <f t="shared" ref="R88:S88" si="81">R84*R85*R87</f>
        <v>3019059.9689860176</v>
      </c>
      <c r="S88" s="49">
        <f t="shared" si="81"/>
        <v>2672571.8887185925</v>
      </c>
      <c r="T88" s="49">
        <f t="shared" ref="T88" si="82">T84*T85*T87</f>
        <v>2602475.0266915513</v>
      </c>
      <c r="Z88" s="209"/>
      <c r="AA88" s="209"/>
      <c r="AB88" s="209"/>
      <c r="AC88" s="209"/>
    </row>
    <row r="89" spans="1:29" ht="15.75" customHeight="1">
      <c r="A89" s="14">
        <f t="shared" si="68"/>
        <v>8</v>
      </c>
      <c r="B89" s="21" t="s">
        <v>64</v>
      </c>
      <c r="C89" s="14" t="s">
        <v>80</v>
      </c>
      <c r="D89" s="18">
        <f t="shared" ref="D89:Q89" si="83">D74</f>
        <v>170100</v>
      </c>
      <c r="E89" s="18">
        <f t="shared" si="83"/>
        <v>159630</v>
      </c>
      <c r="F89" s="18">
        <f t="shared" si="83"/>
        <v>157140</v>
      </c>
      <c r="G89" s="18">
        <f t="shared" si="83"/>
        <v>152890</v>
      </c>
      <c r="H89" s="18">
        <f t="shared" si="83"/>
        <v>150700</v>
      </c>
      <c r="I89" s="18">
        <f t="shared" si="83"/>
        <v>150390</v>
      </c>
      <c r="J89" s="18">
        <f t="shared" si="83"/>
        <v>149298.5</v>
      </c>
      <c r="K89" s="18">
        <f t="shared" si="83"/>
        <v>151330</v>
      </c>
      <c r="L89" s="18">
        <f t="shared" si="83"/>
        <v>144060</v>
      </c>
      <c r="M89" s="18">
        <f t="shared" si="83"/>
        <v>142720</v>
      </c>
      <c r="N89" s="18">
        <f t="shared" si="83"/>
        <v>135550</v>
      </c>
      <c r="O89" s="18">
        <v>77292.53</v>
      </c>
      <c r="P89" s="18">
        <f t="shared" si="83"/>
        <v>62390.13</v>
      </c>
      <c r="Q89" s="18">
        <f t="shared" si="83"/>
        <v>60612.334125075511</v>
      </c>
      <c r="R89" s="18">
        <f t="shared" ref="R89:S89" si="84">R74</f>
        <v>54830.409999999982</v>
      </c>
      <c r="S89" s="18">
        <f t="shared" si="84"/>
        <v>54760</v>
      </c>
      <c r="T89" s="18">
        <f t="shared" ref="T89" si="85">T74</f>
        <v>51981.75</v>
      </c>
      <c r="Z89" s="209"/>
      <c r="AA89" s="209"/>
      <c r="AB89" s="209"/>
      <c r="AC89" s="209"/>
    </row>
    <row r="90" spans="1:29" ht="15.75" customHeight="1">
      <c r="A90" s="14">
        <f t="shared" si="68"/>
        <v>9</v>
      </c>
      <c r="B90" s="15" t="s">
        <v>65</v>
      </c>
      <c r="C90" s="14" t="s">
        <v>79</v>
      </c>
      <c r="D90" s="18">
        <f t="shared" ref="D90:Q90" si="86">D88/D89*1000</f>
        <v>6051.9526080563164</v>
      </c>
      <c r="E90" s="18">
        <f t="shared" si="86"/>
        <v>5153.3837947675274</v>
      </c>
      <c r="F90" s="18">
        <f t="shared" si="86"/>
        <v>7004.5756255795632</v>
      </c>
      <c r="G90" s="18">
        <f t="shared" si="86"/>
        <v>11120.063752497494</v>
      </c>
      <c r="H90" s="18">
        <f t="shared" si="86"/>
        <v>18976.819760374099</v>
      </c>
      <c r="I90" s="18">
        <f t="shared" si="86"/>
        <v>14692.806579323273</v>
      </c>
      <c r="J90" s="18">
        <f t="shared" si="86"/>
        <v>12924.178109697616</v>
      </c>
      <c r="K90" s="18">
        <f t="shared" si="86"/>
        <v>13828.997609222677</v>
      </c>
      <c r="L90" s="18">
        <f t="shared" si="86"/>
        <v>14571.525948557271</v>
      </c>
      <c r="M90" s="18">
        <f t="shared" si="86"/>
        <v>14587.477962207229</v>
      </c>
      <c r="N90" s="18">
        <f t="shared" si="86"/>
        <v>14648.853601154276</v>
      </c>
      <c r="O90" s="18">
        <v>27014.306245392894</v>
      </c>
      <c r="P90" s="18">
        <f t="shared" si="86"/>
        <v>35113.404578330374</v>
      </c>
      <c r="Q90" s="18">
        <f t="shared" si="86"/>
        <v>42430.814320246012</v>
      </c>
      <c r="R90" s="18">
        <f t="shared" ref="R90:S90" si="87">R88/R89*1000</f>
        <v>55061.779931720717</v>
      </c>
      <c r="S90" s="18">
        <f t="shared" si="87"/>
        <v>48805.184235182482</v>
      </c>
      <c r="T90" s="18">
        <f t="shared" ref="T90" si="88">T88/T89*1000</f>
        <v>50065.16761539485</v>
      </c>
      <c r="Z90" s="209"/>
      <c r="AA90" s="209"/>
      <c r="AB90" s="209"/>
      <c r="AC90" s="209"/>
    </row>
    <row r="91" spans="1:29" ht="15.75" customHeight="1">
      <c r="A91" s="1"/>
      <c r="B91" s="2"/>
      <c r="C91" s="2"/>
      <c r="D91" s="2"/>
      <c r="E91" s="2"/>
      <c r="F91" s="2"/>
      <c r="G91" s="2"/>
      <c r="H91" s="2"/>
      <c r="I91" s="2"/>
      <c r="J91" s="2"/>
      <c r="K91" s="2"/>
      <c r="L91" s="2"/>
      <c r="M91" s="2"/>
      <c r="N91" s="2"/>
      <c r="O91" s="2"/>
      <c r="P91" s="2"/>
      <c r="Q91" s="2"/>
      <c r="R91" s="2"/>
      <c r="S91" s="2"/>
      <c r="T91" s="2"/>
      <c r="Z91" s="209"/>
      <c r="AA91" s="209"/>
      <c r="AB91" s="209"/>
      <c r="AC91" s="209"/>
    </row>
    <row r="92" spans="1:29" ht="15.75" customHeight="1">
      <c r="A92" s="1"/>
      <c r="B92" s="2"/>
      <c r="C92" s="2"/>
      <c r="D92" s="2"/>
      <c r="E92" s="2"/>
      <c r="F92" s="2"/>
      <c r="G92" s="2"/>
      <c r="H92" s="2"/>
      <c r="I92" s="2"/>
      <c r="J92" s="2"/>
      <c r="K92" s="2"/>
      <c r="L92" s="2"/>
      <c r="M92" s="2"/>
      <c r="N92" s="2"/>
      <c r="O92" s="2"/>
      <c r="P92" s="2"/>
      <c r="Q92" s="2"/>
      <c r="R92" s="2"/>
      <c r="S92" s="2"/>
      <c r="T92" s="2"/>
      <c r="Z92" s="209"/>
      <c r="AA92" s="209"/>
      <c r="AB92" s="209"/>
      <c r="AC92" s="209"/>
    </row>
    <row r="93" spans="1:29" ht="15.75" customHeight="1">
      <c r="A93" s="6" t="s">
        <v>66</v>
      </c>
      <c r="B93" s="2"/>
      <c r="C93" s="2"/>
      <c r="D93" s="2"/>
      <c r="E93" s="2"/>
      <c r="F93" s="2"/>
      <c r="G93" s="2"/>
      <c r="H93" s="2"/>
      <c r="I93" s="2"/>
      <c r="J93" s="2"/>
      <c r="K93" s="2"/>
      <c r="L93" s="2"/>
      <c r="M93" s="2"/>
      <c r="N93" s="2"/>
      <c r="O93" s="2"/>
      <c r="P93" s="2"/>
      <c r="Q93" s="2"/>
      <c r="R93" s="2"/>
      <c r="S93" s="2"/>
      <c r="T93" s="2"/>
      <c r="Z93" s="209"/>
      <c r="AA93" s="209"/>
      <c r="AB93" s="209"/>
      <c r="AC93" s="209"/>
    </row>
    <row r="94" spans="1:29" ht="15.75" customHeight="1">
      <c r="A94" s="19"/>
      <c r="B94" s="2"/>
      <c r="C94" s="2"/>
      <c r="D94" s="2"/>
      <c r="E94" s="2"/>
      <c r="F94" s="2"/>
      <c r="G94" s="2"/>
      <c r="H94" s="2"/>
      <c r="I94" s="2"/>
      <c r="J94" s="2"/>
      <c r="K94" s="2"/>
      <c r="L94" s="2"/>
      <c r="M94" s="2"/>
      <c r="N94" s="2"/>
      <c r="O94" s="2"/>
      <c r="P94" s="2"/>
      <c r="Q94" s="2"/>
      <c r="R94" s="2"/>
      <c r="S94" s="2"/>
      <c r="T94" s="2"/>
      <c r="Z94" s="209"/>
      <c r="AA94" s="209"/>
      <c r="AB94" s="209"/>
      <c r="AC94" s="209"/>
    </row>
    <row r="95" spans="1:29" ht="15.75" customHeight="1">
      <c r="A95" s="48" t="s">
        <v>3</v>
      </c>
      <c r="B95" s="48" t="s">
        <v>4</v>
      </c>
      <c r="C95" s="48" t="s">
        <v>5</v>
      </c>
      <c r="D95" s="48">
        <f t="shared" ref="D95:T95" si="89">D$3</f>
        <v>2008</v>
      </c>
      <c r="E95" s="48">
        <f t="shared" si="89"/>
        <v>2009</v>
      </c>
      <c r="F95" s="48">
        <f t="shared" si="89"/>
        <v>2010</v>
      </c>
      <c r="G95" s="48">
        <f t="shared" si="89"/>
        <v>2011</v>
      </c>
      <c r="H95" s="48">
        <f t="shared" si="89"/>
        <v>2012</v>
      </c>
      <c r="I95" s="48">
        <f t="shared" si="89"/>
        <v>2013</v>
      </c>
      <c r="J95" s="48">
        <f t="shared" si="89"/>
        <v>2014</v>
      </c>
      <c r="K95" s="48">
        <f t="shared" si="89"/>
        <v>2015</v>
      </c>
      <c r="L95" s="48">
        <f t="shared" si="89"/>
        <v>2016</v>
      </c>
      <c r="M95" s="48">
        <f t="shared" si="89"/>
        <v>2017</v>
      </c>
      <c r="N95" s="48">
        <f t="shared" si="89"/>
        <v>2018</v>
      </c>
      <c r="O95" s="48">
        <v>2019</v>
      </c>
      <c r="P95" s="48">
        <f t="shared" si="89"/>
        <v>2020</v>
      </c>
      <c r="Q95" s="48">
        <f t="shared" si="89"/>
        <v>2021</v>
      </c>
      <c r="R95" s="48">
        <f t="shared" si="89"/>
        <v>2022</v>
      </c>
      <c r="S95" s="48">
        <f t="shared" si="89"/>
        <v>2023</v>
      </c>
      <c r="T95" s="48">
        <f t="shared" si="89"/>
        <v>2024</v>
      </c>
      <c r="Z95" s="209"/>
      <c r="AA95" s="209"/>
      <c r="AB95" s="209"/>
      <c r="AC95" s="209"/>
    </row>
    <row r="96" spans="1:29" ht="15.75" customHeight="1">
      <c r="A96" s="9">
        <v>-1</v>
      </c>
      <c r="B96" s="9">
        <f t="shared" ref="B96:T96" si="90">A96-1</f>
        <v>-2</v>
      </c>
      <c r="C96" s="9">
        <f t="shared" si="90"/>
        <v>-3</v>
      </c>
      <c r="D96" s="9">
        <f t="shared" si="90"/>
        <v>-4</v>
      </c>
      <c r="E96" s="9">
        <f t="shared" si="90"/>
        <v>-5</v>
      </c>
      <c r="F96" s="9">
        <f t="shared" si="90"/>
        <v>-6</v>
      </c>
      <c r="G96" s="9">
        <f t="shared" si="90"/>
        <v>-7</v>
      </c>
      <c r="H96" s="9">
        <f t="shared" si="90"/>
        <v>-8</v>
      </c>
      <c r="I96" s="9">
        <f t="shared" si="90"/>
        <v>-9</v>
      </c>
      <c r="J96" s="9">
        <f t="shared" si="90"/>
        <v>-10</v>
      </c>
      <c r="K96" s="9">
        <f t="shared" si="90"/>
        <v>-11</v>
      </c>
      <c r="L96" s="9">
        <f t="shared" si="90"/>
        <v>-12</v>
      </c>
      <c r="M96" s="9">
        <f t="shared" si="90"/>
        <v>-13</v>
      </c>
      <c r="N96" s="9">
        <f t="shared" si="90"/>
        <v>-14</v>
      </c>
      <c r="O96" s="9">
        <v>-15</v>
      </c>
      <c r="P96" s="9">
        <f t="shared" si="90"/>
        <v>-16</v>
      </c>
      <c r="Q96" s="9">
        <f t="shared" si="90"/>
        <v>-17</v>
      </c>
      <c r="R96" s="9">
        <f t="shared" si="90"/>
        <v>-18</v>
      </c>
      <c r="S96" s="9">
        <f t="shared" si="90"/>
        <v>-19</v>
      </c>
      <c r="T96" s="9">
        <f t="shared" si="90"/>
        <v>-20</v>
      </c>
      <c r="Z96" s="209"/>
      <c r="AA96" s="209"/>
      <c r="AB96" s="209"/>
      <c r="AC96" s="209"/>
    </row>
    <row r="97" spans="1:29" ht="15.75" customHeight="1">
      <c r="A97" s="31">
        <v>1</v>
      </c>
      <c r="B97" s="32" t="s">
        <v>41</v>
      </c>
      <c r="C97" s="31" t="s">
        <v>58</v>
      </c>
      <c r="D97" s="35"/>
      <c r="E97" s="35">
        <f t="shared" ref="E97:T97" si="91">D109</f>
        <v>1029437.1386303795</v>
      </c>
      <c r="F97" s="35">
        <f t="shared" si="91"/>
        <v>822634.65515874035</v>
      </c>
      <c r="G97" s="35">
        <f t="shared" si="91"/>
        <v>1100699.0138035726</v>
      </c>
      <c r="H97" s="35">
        <f t="shared" si="91"/>
        <v>1700146.5471193418</v>
      </c>
      <c r="I97" s="35">
        <f t="shared" si="91"/>
        <v>2859806.7378883767</v>
      </c>
      <c r="J97" s="35">
        <f t="shared" si="91"/>
        <v>2209651.1814644272</v>
      </c>
      <c r="K97" s="35">
        <f t="shared" si="91"/>
        <v>1929560.4055106894</v>
      </c>
      <c r="L97" s="35">
        <f t="shared" si="91"/>
        <v>2092742.2082036678</v>
      </c>
      <c r="M97" s="35">
        <f t="shared" si="91"/>
        <v>2099174.0281491606</v>
      </c>
      <c r="N97" s="35">
        <f t="shared" si="91"/>
        <v>2081924.8547662157</v>
      </c>
      <c r="O97" s="35">
        <v>1985652.1056364621</v>
      </c>
      <c r="P97" s="35">
        <f t="shared" si="91"/>
        <v>2088004.0759012178</v>
      </c>
      <c r="Q97" s="35">
        <f t="shared" si="91"/>
        <v>2190729.8763846271</v>
      </c>
      <c r="R97" s="35">
        <f t="shared" si="91"/>
        <v>2571830.69477779</v>
      </c>
      <c r="S97" s="35">
        <f t="shared" si="91"/>
        <v>3019059.9689860176</v>
      </c>
      <c r="T97" s="35">
        <f t="shared" si="91"/>
        <v>2672571.8887185925</v>
      </c>
      <c r="Z97" s="209"/>
      <c r="AA97" s="209"/>
      <c r="AB97" s="209"/>
      <c r="AC97" s="209"/>
    </row>
    <row r="98" spans="1:29" ht="15.75" customHeight="1">
      <c r="A98" s="31">
        <v>2</v>
      </c>
      <c r="B98" s="32" t="s">
        <v>43</v>
      </c>
      <c r="C98" s="31" t="s">
        <v>58</v>
      </c>
      <c r="D98" s="35">
        <f t="shared" ref="D98:Q98" si="92">SUM(D99:D101)</f>
        <v>0</v>
      </c>
      <c r="E98" s="35">
        <f t="shared" si="92"/>
        <v>0</v>
      </c>
      <c r="F98" s="35">
        <f t="shared" si="92"/>
        <v>0</v>
      </c>
      <c r="G98" s="35">
        <f t="shared" si="92"/>
        <v>0</v>
      </c>
      <c r="H98" s="35">
        <f t="shared" si="92"/>
        <v>0</v>
      </c>
      <c r="I98" s="35">
        <f t="shared" si="92"/>
        <v>0</v>
      </c>
      <c r="J98" s="35">
        <f t="shared" si="92"/>
        <v>0</v>
      </c>
      <c r="K98" s="35">
        <f t="shared" si="92"/>
        <v>0</v>
      </c>
      <c r="L98" s="35">
        <f t="shared" si="92"/>
        <v>0</v>
      </c>
      <c r="M98" s="35">
        <f t="shared" si="92"/>
        <v>0</v>
      </c>
      <c r="N98" s="35">
        <f t="shared" si="92"/>
        <v>0</v>
      </c>
      <c r="O98" s="35">
        <v>0</v>
      </c>
      <c r="P98" s="35">
        <f t="shared" si="92"/>
        <v>0</v>
      </c>
      <c r="Q98" s="35">
        <f t="shared" si="92"/>
        <v>0</v>
      </c>
      <c r="R98" s="35">
        <f t="shared" ref="R98:S98" si="93">SUM(R99:R101)</f>
        <v>0</v>
      </c>
      <c r="S98" s="35">
        <f t="shared" si="93"/>
        <v>0</v>
      </c>
      <c r="T98" s="35">
        <f t="shared" ref="T98" si="94">SUM(T99:T101)</f>
        <v>0</v>
      </c>
      <c r="Z98" s="209"/>
      <c r="AA98" s="209"/>
      <c r="AB98" s="209"/>
      <c r="AC98" s="209"/>
    </row>
    <row r="99" spans="1:29" ht="15.75" customHeight="1">
      <c r="A99" s="14">
        <v>2.1</v>
      </c>
      <c r="B99" s="15" t="s">
        <v>44</v>
      </c>
      <c r="C99" s="14" t="s">
        <v>58</v>
      </c>
      <c r="D99" s="18"/>
      <c r="E99" s="18">
        <f t="shared" ref="E99:T99" si="95">0.5*(D$90+E$90)*E65/1000</f>
        <v>0</v>
      </c>
      <c r="F99" s="18">
        <f t="shared" si="95"/>
        <v>0</v>
      </c>
      <c r="G99" s="18">
        <f t="shared" si="95"/>
        <v>0</v>
      </c>
      <c r="H99" s="18">
        <f t="shared" si="95"/>
        <v>0</v>
      </c>
      <c r="I99" s="18">
        <f t="shared" si="95"/>
        <v>0</v>
      </c>
      <c r="J99" s="18">
        <f t="shared" si="95"/>
        <v>0</v>
      </c>
      <c r="K99" s="18">
        <f t="shared" si="95"/>
        <v>0</v>
      </c>
      <c r="L99" s="18">
        <f t="shared" si="95"/>
        <v>0</v>
      </c>
      <c r="M99" s="18">
        <f t="shared" si="95"/>
        <v>0</v>
      </c>
      <c r="N99" s="18">
        <f t="shared" si="95"/>
        <v>0</v>
      </c>
      <c r="O99" s="18">
        <v>0</v>
      </c>
      <c r="P99" s="18">
        <f t="shared" si="95"/>
        <v>0</v>
      </c>
      <c r="Q99" s="18">
        <f t="shared" si="95"/>
        <v>0</v>
      </c>
      <c r="R99" s="18">
        <f t="shared" si="95"/>
        <v>0</v>
      </c>
      <c r="S99" s="18">
        <f t="shared" si="95"/>
        <v>0</v>
      </c>
      <c r="T99" s="18">
        <f t="shared" si="95"/>
        <v>0</v>
      </c>
      <c r="Z99" s="209"/>
      <c r="AA99" s="209"/>
      <c r="AB99" s="209"/>
      <c r="AC99" s="209"/>
    </row>
    <row r="100" spans="1:29" ht="15.75" customHeight="1">
      <c r="A100" s="14">
        <v>2.2000000000000002</v>
      </c>
      <c r="B100" s="15" t="s">
        <v>45</v>
      </c>
      <c r="C100" s="14" t="s">
        <v>58</v>
      </c>
      <c r="D100" s="18"/>
      <c r="E100" s="18">
        <f t="shared" ref="E100:T100" si="96">0.5*(D$90+E$90)*E66/1000</f>
        <v>0</v>
      </c>
      <c r="F100" s="18">
        <f t="shared" si="96"/>
        <v>0</v>
      </c>
      <c r="G100" s="18">
        <f t="shared" si="96"/>
        <v>0</v>
      </c>
      <c r="H100" s="18">
        <f t="shared" si="96"/>
        <v>0</v>
      </c>
      <c r="I100" s="18">
        <f t="shared" si="96"/>
        <v>0</v>
      </c>
      <c r="J100" s="18">
        <f t="shared" si="96"/>
        <v>0</v>
      </c>
      <c r="K100" s="18">
        <f t="shared" si="96"/>
        <v>0</v>
      </c>
      <c r="L100" s="18">
        <f t="shared" si="96"/>
        <v>0</v>
      </c>
      <c r="M100" s="18">
        <f t="shared" si="96"/>
        <v>0</v>
      </c>
      <c r="N100" s="18">
        <f t="shared" si="96"/>
        <v>0</v>
      </c>
      <c r="O100" s="18">
        <v>0</v>
      </c>
      <c r="P100" s="18">
        <f t="shared" si="96"/>
        <v>0</v>
      </c>
      <c r="Q100" s="18">
        <f t="shared" si="96"/>
        <v>0</v>
      </c>
      <c r="R100" s="18">
        <f t="shared" si="96"/>
        <v>0</v>
      </c>
      <c r="S100" s="18">
        <f t="shared" si="96"/>
        <v>0</v>
      </c>
      <c r="T100" s="18">
        <f t="shared" si="96"/>
        <v>0</v>
      </c>
      <c r="Z100" s="209"/>
      <c r="AA100" s="209"/>
      <c r="AB100" s="209"/>
      <c r="AC100" s="209"/>
    </row>
    <row r="101" spans="1:29" ht="15.75" customHeight="1">
      <c r="A101" s="14">
        <v>2.2999999999999998</v>
      </c>
      <c r="B101" s="15" t="s">
        <v>46</v>
      </c>
      <c r="C101" s="14" t="s">
        <v>58</v>
      </c>
      <c r="D101" s="18"/>
      <c r="E101" s="18">
        <f t="shared" ref="E101:T101" si="97">0.5*(D$90+E$90)*E67/1000</f>
        <v>0</v>
      </c>
      <c r="F101" s="18">
        <f t="shared" si="97"/>
        <v>0</v>
      </c>
      <c r="G101" s="18">
        <f t="shared" si="97"/>
        <v>0</v>
      </c>
      <c r="H101" s="18">
        <f t="shared" si="97"/>
        <v>0</v>
      </c>
      <c r="I101" s="18">
        <f t="shared" si="97"/>
        <v>0</v>
      </c>
      <c r="J101" s="18">
        <f t="shared" si="97"/>
        <v>0</v>
      </c>
      <c r="K101" s="18">
        <f t="shared" si="97"/>
        <v>0</v>
      </c>
      <c r="L101" s="18">
        <f t="shared" si="97"/>
        <v>0</v>
      </c>
      <c r="M101" s="18">
        <f t="shared" si="97"/>
        <v>0</v>
      </c>
      <c r="N101" s="18">
        <f t="shared" si="97"/>
        <v>0</v>
      </c>
      <c r="O101" s="18">
        <v>0</v>
      </c>
      <c r="P101" s="18">
        <f t="shared" si="97"/>
        <v>0</v>
      </c>
      <c r="Q101" s="18">
        <f t="shared" si="97"/>
        <v>0</v>
      </c>
      <c r="R101" s="18">
        <f t="shared" si="97"/>
        <v>0</v>
      </c>
      <c r="S101" s="18">
        <f t="shared" si="97"/>
        <v>0</v>
      </c>
      <c r="T101" s="18">
        <f t="shared" si="97"/>
        <v>0</v>
      </c>
      <c r="Z101" s="209"/>
      <c r="AA101" s="209"/>
      <c r="AB101" s="209"/>
      <c r="AC101" s="209"/>
    </row>
    <row r="102" spans="1:29" ht="15.75" customHeight="1">
      <c r="A102" s="31">
        <v>3</v>
      </c>
      <c r="B102" s="32" t="s">
        <v>47</v>
      </c>
      <c r="C102" s="31" t="s">
        <v>58</v>
      </c>
      <c r="D102" s="35">
        <f t="shared" ref="D102:Q102" si="98">SUM(D103:D106)</f>
        <v>0</v>
      </c>
      <c r="E102" s="35">
        <f t="shared" si="98"/>
        <v>17149.187998205853</v>
      </c>
      <c r="F102" s="35">
        <f t="shared" si="98"/>
        <v>20714.684342821969</v>
      </c>
      <c r="G102" s="35">
        <f t="shared" si="98"/>
        <v>29510.346792623699</v>
      </c>
      <c r="H102" s="35">
        <f t="shared" si="98"/>
        <v>47773.375762472126</v>
      </c>
      <c r="I102" s="35">
        <f t="shared" si="98"/>
        <v>52538.7258923056</v>
      </c>
      <c r="J102" s="35">
        <f t="shared" si="98"/>
        <v>43852.885172733964</v>
      </c>
      <c r="K102" s="35">
        <f t="shared" si="98"/>
        <v>41683.345386208144</v>
      </c>
      <c r="L102" s="35">
        <f t="shared" si="98"/>
        <v>43598.191886253444</v>
      </c>
      <c r="M102" s="35">
        <f t="shared" si="98"/>
        <v>40547.828517617607</v>
      </c>
      <c r="N102" s="35">
        <f t="shared" si="98"/>
        <v>43807.74533720313</v>
      </c>
      <c r="O102" s="35">
        <v>58529.829186885567</v>
      </c>
      <c r="P102" s="35">
        <f t="shared" si="98"/>
        <v>75883.739461643228</v>
      </c>
      <c r="Q102" s="35">
        <f t="shared" si="98"/>
        <v>94344.790011772115</v>
      </c>
      <c r="R102" s="35">
        <f t="shared" ref="R102:S102" si="99">SUM(R103:R106)</f>
        <v>115553.85680445282</v>
      </c>
      <c r="S102" s="35">
        <f t="shared" si="99"/>
        <v>125788.21787649412</v>
      </c>
      <c r="T102" s="35">
        <f t="shared" ref="T102" si="100">SUM(T103:T106)</f>
        <v>123062.4226360102</v>
      </c>
      <c r="Z102" s="209"/>
      <c r="AA102" s="209"/>
      <c r="AB102" s="209"/>
      <c r="AC102" s="209"/>
    </row>
    <row r="103" spans="1:29" ht="15.75" customHeight="1">
      <c r="A103" s="14">
        <v>3.1</v>
      </c>
      <c r="B103" s="15" t="s">
        <v>48</v>
      </c>
      <c r="C103" s="14" t="s">
        <v>58</v>
      </c>
      <c r="D103" s="18"/>
      <c r="E103" s="18">
        <f t="shared" ref="E103:T103" si="101">0.5*(D$90+E$90)*E69/1000</f>
        <v>17149.187998205853</v>
      </c>
      <c r="F103" s="18">
        <f t="shared" si="101"/>
        <v>20714.684342821969</v>
      </c>
      <c r="G103" s="18">
        <f t="shared" si="101"/>
        <v>29510.346792623699</v>
      </c>
      <c r="H103" s="18">
        <f t="shared" si="101"/>
        <v>47773.375762472126</v>
      </c>
      <c r="I103" s="18">
        <f t="shared" si="101"/>
        <v>52538.7258923056</v>
      </c>
      <c r="J103" s="18">
        <f t="shared" si="101"/>
        <v>43852.885172733964</v>
      </c>
      <c r="K103" s="18">
        <f t="shared" si="101"/>
        <v>41683.345386208144</v>
      </c>
      <c r="L103" s="18">
        <f t="shared" si="101"/>
        <v>43598.191886253444</v>
      </c>
      <c r="M103" s="18">
        <f t="shared" si="101"/>
        <v>40547.828517617607</v>
      </c>
      <c r="N103" s="18">
        <f t="shared" si="101"/>
        <v>43807.74533720313</v>
      </c>
      <c r="O103" s="18">
        <v>58529.829186885567</v>
      </c>
      <c r="P103" s="18">
        <f t="shared" si="101"/>
        <v>75883.739461643228</v>
      </c>
      <c r="Q103" s="18">
        <f t="shared" si="101"/>
        <v>94344.790011772115</v>
      </c>
      <c r="R103" s="18">
        <f t="shared" si="101"/>
        <v>115553.85680445282</v>
      </c>
      <c r="S103" s="18">
        <f t="shared" si="101"/>
        <v>125788.21787649412</v>
      </c>
      <c r="T103" s="18">
        <f t="shared" si="101"/>
        <v>123062.4226360102</v>
      </c>
      <c r="Z103" s="209"/>
      <c r="AA103" s="209"/>
      <c r="AB103" s="209"/>
      <c r="AC103" s="209"/>
    </row>
    <row r="104" spans="1:29" ht="15.75" customHeight="1">
      <c r="A104" s="14">
        <v>3.2</v>
      </c>
      <c r="B104" s="15" t="s">
        <v>49</v>
      </c>
      <c r="C104" s="14" t="s">
        <v>58</v>
      </c>
      <c r="D104" s="18"/>
      <c r="E104" s="18">
        <f t="shared" ref="E104:T104" si="102">0.5*(D$90+E$90)*E70/1000</f>
        <v>0</v>
      </c>
      <c r="F104" s="18">
        <f t="shared" si="102"/>
        <v>0</v>
      </c>
      <c r="G104" s="18">
        <f t="shared" si="102"/>
        <v>0</v>
      </c>
      <c r="H104" s="18">
        <f t="shared" si="102"/>
        <v>0</v>
      </c>
      <c r="I104" s="18">
        <f t="shared" si="102"/>
        <v>0</v>
      </c>
      <c r="J104" s="18">
        <f t="shared" si="102"/>
        <v>0</v>
      </c>
      <c r="K104" s="18">
        <f t="shared" si="102"/>
        <v>0</v>
      </c>
      <c r="L104" s="18">
        <f t="shared" si="102"/>
        <v>0</v>
      </c>
      <c r="M104" s="18">
        <f t="shared" si="102"/>
        <v>0</v>
      </c>
      <c r="N104" s="18">
        <f t="shared" si="102"/>
        <v>0</v>
      </c>
      <c r="O104" s="18">
        <v>0</v>
      </c>
      <c r="P104" s="18">
        <f t="shared" si="102"/>
        <v>0</v>
      </c>
      <c r="Q104" s="18">
        <f t="shared" si="102"/>
        <v>0</v>
      </c>
      <c r="R104" s="18">
        <f t="shared" si="102"/>
        <v>0</v>
      </c>
      <c r="S104" s="18">
        <f t="shared" si="102"/>
        <v>0</v>
      </c>
      <c r="T104" s="18">
        <f t="shared" si="102"/>
        <v>0</v>
      </c>
      <c r="Z104" s="209"/>
      <c r="AA104" s="209"/>
      <c r="AB104" s="209"/>
      <c r="AC104" s="209"/>
    </row>
    <row r="105" spans="1:29" ht="15.75" customHeight="1">
      <c r="A105" s="14">
        <v>3.3</v>
      </c>
      <c r="B105" s="15" t="s">
        <v>50</v>
      </c>
      <c r="C105" s="14" t="s">
        <v>58</v>
      </c>
      <c r="D105" s="18"/>
      <c r="E105" s="18">
        <f t="shared" ref="E105:T105" si="103">0.5*(D$90+E$90)*E71/1000</f>
        <v>0</v>
      </c>
      <c r="F105" s="18">
        <f t="shared" si="103"/>
        <v>0</v>
      </c>
      <c r="G105" s="18">
        <f t="shared" si="103"/>
        <v>0</v>
      </c>
      <c r="H105" s="18">
        <f t="shared" si="103"/>
        <v>0</v>
      </c>
      <c r="I105" s="18">
        <f t="shared" si="103"/>
        <v>0</v>
      </c>
      <c r="J105" s="18">
        <f t="shared" si="103"/>
        <v>0</v>
      </c>
      <c r="K105" s="18">
        <f t="shared" si="103"/>
        <v>0</v>
      </c>
      <c r="L105" s="18">
        <f t="shared" si="103"/>
        <v>0</v>
      </c>
      <c r="M105" s="18">
        <f t="shared" si="103"/>
        <v>0</v>
      </c>
      <c r="N105" s="18">
        <f t="shared" si="103"/>
        <v>0</v>
      </c>
      <c r="O105" s="18">
        <v>0</v>
      </c>
      <c r="P105" s="18">
        <f t="shared" si="103"/>
        <v>0</v>
      </c>
      <c r="Q105" s="18">
        <f t="shared" si="103"/>
        <v>0</v>
      </c>
      <c r="R105" s="18">
        <f t="shared" si="103"/>
        <v>0</v>
      </c>
      <c r="S105" s="18">
        <f t="shared" si="103"/>
        <v>0</v>
      </c>
      <c r="T105" s="18">
        <f t="shared" si="103"/>
        <v>0</v>
      </c>
      <c r="Z105" s="209"/>
      <c r="AA105" s="209"/>
      <c r="AB105" s="209"/>
      <c r="AC105" s="209"/>
    </row>
    <row r="106" spans="1:29" ht="15.75" customHeight="1">
      <c r="A106" s="14">
        <v>3.4</v>
      </c>
      <c r="B106" s="15" t="s">
        <v>46</v>
      </c>
      <c r="C106" s="14" t="s">
        <v>58</v>
      </c>
      <c r="D106" s="18"/>
      <c r="E106" s="18">
        <f t="shared" ref="E106:T106" si="104">0.5*(D$90+E$90)*E72/1000</f>
        <v>0</v>
      </c>
      <c r="F106" s="18">
        <f t="shared" si="104"/>
        <v>0</v>
      </c>
      <c r="G106" s="18">
        <f t="shared" si="104"/>
        <v>0</v>
      </c>
      <c r="H106" s="18">
        <f t="shared" si="104"/>
        <v>0</v>
      </c>
      <c r="I106" s="18">
        <f t="shared" si="104"/>
        <v>0</v>
      </c>
      <c r="J106" s="18">
        <f t="shared" si="104"/>
        <v>0</v>
      </c>
      <c r="K106" s="18">
        <f t="shared" si="104"/>
        <v>0</v>
      </c>
      <c r="L106" s="18">
        <f t="shared" si="104"/>
        <v>0</v>
      </c>
      <c r="M106" s="18">
        <f t="shared" si="104"/>
        <v>0</v>
      </c>
      <c r="N106" s="18">
        <f t="shared" si="104"/>
        <v>0</v>
      </c>
      <c r="O106" s="18">
        <v>0</v>
      </c>
      <c r="P106" s="18">
        <f t="shared" si="104"/>
        <v>0</v>
      </c>
      <c r="Q106" s="18">
        <f t="shared" si="104"/>
        <v>0</v>
      </c>
      <c r="R106" s="18">
        <f t="shared" si="104"/>
        <v>0</v>
      </c>
      <c r="S106" s="18">
        <f t="shared" si="104"/>
        <v>0</v>
      </c>
      <c r="T106" s="18">
        <f t="shared" si="104"/>
        <v>0</v>
      </c>
      <c r="Z106" s="209"/>
      <c r="AA106" s="209"/>
      <c r="AB106" s="209"/>
      <c r="AC106" s="209"/>
    </row>
    <row r="107" spans="1:29" ht="15.75" customHeight="1">
      <c r="A107" s="31">
        <v>4</v>
      </c>
      <c r="B107" s="32" t="s">
        <v>68</v>
      </c>
      <c r="C107" s="31" t="s">
        <v>58</v>
      </c>
      <c r="D107" s="35"/>
      <c r="E107" s="35">
        <f t="shared" ref="E107:T107" si="105">0.5*(D$90+E$90)*E73/1000</f>
        <v>-41510.748070576963</v>
      </c>
      <c r="F107" s="35">
        <f t="shared" si="105"/>
        <v>5578.0248644898429</v>
      </c>
      <c r="G107" s="35">
        <f t="shared" si="105"/>
        <v>-9004.5118857900452</v>
      </c>
      <c r="H107" s="35">
        <f t="shared" si="105"/>
        <v>14817.288315877728</v>
      </c>
      <c r="I107" s="35">
        <f t="shared" si="105"/>
        <v>47319.933809652503</v>
      </c>
      <c r="J107" s="35">
        <f t="shared" si="105"/>
        <v>28780.915778700819</v>
      </c>
      <c r="K107" s="35">
        <f t="shared" si="105"/>
        <v>68857.88362270144</v>
      </c>
      <c r="L107" s="35">
        <f t="shared" si="105"/>
        <v>-59637.71124627666</v>
      </c>
      <c r="M107" s="35">
        <f t="shared" si="105"/>
        <v>21011.295897405391</v>
      </c>
      <c r="N107" s="35">
        <f t="shared" si="105"/>
        <v>-61004.503317447867</v>
      </c>
      <c r="O107" s="35">
        <v>-1155065.3132458273</v>
      </c>
      <c r="P107" s="35">
        <f t="shared" si="105"/>
        <v>-387042.25942808361</v>
      </c>
      <c r="Q107" s="35">
        <f t="shared" si="105"/>
        <v>25415.893770706862</v>
      </c>
      <c r="R107" s="35">
        <f t="shared" si="105"/>
        <v>-166293.53455637034</v>
      </c>
      <c r="S107" s="35">
        <f t="shared" si="105"/>
        <v>122131.58140299925</v>
      </c>
      <c r="T107" s="35">
        <f t="shared" si="105"/>
        <v>-14280.854878423046</v>
      </c>
      <c r="Z107" s="209"/>
      <c r="AA107" s="209"/>
      <c r="AB107" s="209"/>
      <c r="AC107" s="209"/>
    </row>
    <row r="108" spans="1:29" ht="15.75" customHeight="1">
      <c r="A108" s="31">
        <v>5</v>
      </c>
      <c r="B108" s="32" t="s">
        <v>69</v>
      </c>
      <c r="C108" s="31" t="s">
        <v>58</v>
      </c>
      <c r="D108" s="35"/>
      <c r="E108" s="35">
        <f t="shared" ref="E108:T108" si="106">0.5*(D89+E89)*(E90-D90)/1000</f>
        <v>-148142.5474028562</v>
      </c>
      <c r="F108" s="35">
        <f t="shared" si="106"/>
        <v>293201.01812316431</v>
      </c>
      <c r="G108" s="35">
        <f t="shared" si="106"/>
        <v>637962.39199418295</v>
      </c>
      <c r="H108" s="35">
        <f t="shared" si="106"/>
        <v>1192616.2782156293</v>
      </c>
      <c r="I108" s="35">
        <f t="shared" si="106"/>
        <v>-644936.76434129663</v>
      </c>
      <c r="J108" s="35">
        <f t="shared" si="106"/>
        <v>-265018.80655970436</v>
      </c>
      <c r="K108" s="35">
        <f t="shared" si="106"/>
        <v>136007.26445648496</v>
      </c>
      <c r="L108" s="35">
        <f t="shared" si="106"/>
        <v>109667.72307802293</v>
      </c>
      <c r="M108" s="35">
        <f t="shared" si="106"/>
        <v>2287.3592372674398</v>
      </c>
      <c r="N108" s="35">
        <f t="shared" si="106"/>
        <v>8539.499524897421</v>
      </c>
      <c r="O108" s="35">
        <v>1315947.1126974688</v>
      </c>
      <c r="P108" s="35">
        <f t="shared" si="106"/>
        <v>565651.79937313637</v>
      </c>
      <c r="Q108" s="35">
        <f t="shared" si="106"/>
        <v>450029.71463422815</v>
      </c>
      <c r="R108" s="35">
        <f t="shared" si="106"/>
        <v>729076.66556905105</v>
      </c>
      <c r="S108" s="35">
        <f t="shared" si="106"/>
        <v>-342831.44379393035</v>
      </c>
      <c r="T108" s="35">
        <f t="shared" si="106"/>
        <v>67246.415487391801</v>
      </c>
      <c r="Z108" s="209"/>
      <c r="AA108" s="209"/>
      <c r="AB108" s="209"/>
      <c r="AC108" s="209"/>
    </row>
    <row r="109" spans="1:29" ht="15.75" customHeight="1">
      <c r="A109" s="31">
        <v>6</v>
      </c>
      <c r="B109" s="32" t="s">
        <v>52</v>
      </c>
      <c r="C109" s="31" t="s">
        <v>58</v>
      </c>
      <c r="D109" s="35">
        <f t="shared" ref="D109:Q109" si="107">D88</f>
        <v>1029437.1386303795</v>
      </c>
      <c r="E109" s="35">
        <f t="shared" si="107"/>
        <v>822634.65515874035</v>
      </c>
      <c r="F109" s="35">
        <f t="shared" si="107"/>
        <v>1100699.0138035726</v>
      </c>
      <c r="G109" s="35">
        <f t="shared" si="107"/>
        <v>1700146.5471193418</v>
      </c>
      <c r="H109" s="35">
        <f t="shared" si="107"/>
        <v>2859806.7378883767</v>
      </c>
      <c r="I109" s="35">
        <f t="shared" si="107"/>
        <v>2209651.1814644272</v>
      </c>
      <c r="J109" s="35">
        <f t="shared" si="107"/>
        <v>1929560.4055106894</v>
      </c>
      <c r="K109" s="35">
        <f t="shared" si="107"/>
        <v>2092742.2082036678</v>
      </c>
      <c r="L109" s="35">
        <f t="shared" si="107"/>
        <v>2099174.0281491606</v>
      </c>
      <c r="M109" s="35">
        <f t="shared" si="107"/>
        <v>2081924.8547662157</v>
      </c>
      <c r="N109" s="35">
        <f t="shared" si="107"/>
        <v>1985652.1056364621</v>
      </c>
      <c r="O109" s="35">
        <v>2088004.0759012178</v>
      </c>
      <c r="P109" s="35">
        <f t="shared" si="107"/>
        <v>2190729.8763846271</v>
      </c>
      <c r="Q109" s="35">
        <f t="shared" si="107"/>
        <v>2571830.69477779</v>
      </c>
      <c r="R109" s="35">
        <f t="shared" ref="R109:S109" si="108">R88</f>
        <v>3019059.9689860176</v>
      </c>
      <c r="S109" s="35">
        <f t="shared" si="108"/>
        <v>2672571.8887185925</v>
      </c>
      <c r="T109" s="35">
        <f t="shared" ref="T109" si="109">T88</f>
        <v>2602475.0266915513</v>
      </c>
      <c r="Z109" s="209"/>
      <c r="AA109" s="209"/>
      <c r="AB109" s="209"/>
      <c r="AC109" s="209"/>
    </row>
    <row r="110" spans="1:29" ht="15.75" customHeight="1">
      <c r="A110" s="1"/>
      <c r="B110" s="2"/>
      <c r="C110" s="2"/>
      <c r="D110" s="2"/>
      <c r="E110" s="2"/>
      <c r="F110" s="2"/>
      <c r="G110" s="2"/>
      <c r="H110" s="2"/>
      <c r="I110" s="2"/>
      <c r="J110" s="2"/>
      <c r="K110" s="2"/>
      <c r="L110" s="2"/>
      <c r="M110" s="2"/>
      <c r="N110" s="2"/>
      <c r="O110" s="2"/>
      <c r="P110" s="2"/>
      <c r="Q110" s="2"/>
      <c r="R110" s="2"/>
      <c r="S110" s="2"/>
      <c r="T110" s="2"/>
      <c r="Z110" s="209"/>
      <c r="AA110" s="209"/>
      <c r="AB110" s="209"/>
      <c r="AC110" s="209"/>
    </row>
    <row r="111" spans="1:29" ht="15.75" customHeight="1">
      <c r="A111" s="28"/>
      <c r="B111" s="29" t="s">
        <v>53</v>
      </c>
      <c r="C111" s="30"/>
      <c r="D111" s="2"/>
      <c r="E111" s="2" t="b">
        <f t="shared" ref="E111:Q111" si="110">E97+E98-E102+E107+E108=E109</f>
        <v>1</v>
      </c>
      <c r="F111" s="2" t="b">
        <f t="shared" si="110"/>
        <v>1</v>
      </c>
      <c r="G111" s="2" t="b">
        <f t="shared" si="110"/>
        <v>1</v>
      </c>
      <c r="H111" s="2" t="b">
        <f t="shared" si="110"/>
        <v>1</v>
      </c>
      <c r="I111" s="2" t="b">
        <f t="shared" si="110"/>
        <v>1</v>
      </c>
      <c r="J111" s="2" t="b">
        <f t="shared" si="110"/>
        <v>1</v>
      </c>
      <c r="K111" s="2" t="b">
        <f t="shared" si="110"/>
        <v>1</v>
      </c>
      <c r="L111" s="2" t="b">
        <f t="shared" si="110"/>
        <v>1</v>
      </c>
      <c r="M111" s="2" t="b">
        <f t="shared" si="110"/>
        <v>1</v>
      </c>
      <c r="N111" s="2" t="b">
        <f t="shared" si="110"/>
        <v>1</v>
      </c>
      <c r="O111" s="2" t="b">
        <v>1</v>
      </c>
      <c r="P111" s="2" t="b">
        <f t="shared" si="110"/>
        <v>1</v>
      </c>
      <c r="Q111" s="2" t="b">
        <f t="shared" si="110"/>
        <v>1</v>
      </c>
      <c r="R111" s="2" t="b">
        <f t="shared" ref="R111:S111" si="111">R97+R98-R102+R107+R108=R109</f>
        <v>1</v>
      </c>
      <c r="S111" s="2" t="b">
        <f t="shared" si="111"/>
        <v>1</v>
      </c>
      <c r="T111" s="2" t="b">
        <f t="shared" ref="T111" si="112">T97+T98-T102+T107+T108=T109</f>
        <v>1</v>
      </c>
      <c r="Z111" s="209"/>
      <c r="AA111" s="209"/>
      <c r="AB111" s="209"/>
      <c r="AC111" s="209"/>
    </row>
    <row r="112" spans="1:29" ht="15.75" customHeight="1">
      <c r="A112" s="1"/>
      <c r="B112" s="2"/>
      <c r="C112" s="2"/>
      <c r="D112" s="2"/>
      <c r="E112" s="2"/>
      <c r="F112" s="2"/>
      <c r="G112" s="2"/>
      <c r="H112" s="2"/>
      <c r="I112" s="2"/>
      <c r="J112" s="2"/>
      <c r="K112" s="2"/>
      <c r="L112" s="2"/>
      <c r="M112" s="2"/>
      <c r="N112" s="2"/>
      <c r="O112" s="2"/>
      <c r="P112" s="2"/>
      <c r="Q112" s="2"/>
      <c r="R112" s="2"/>
      <c r="S112" s="2"/>
      <c r="T112" s="2"/>
      <c r="Z112" s="209"/>
      <c r="AA112" s="209"/>
      <c r="AB112" s="209"/>
      <c r="AC112" s="209"/>
    </row>
    <row r="113" spans="1:29" ht="15.75" customHeight="1">
      <c r="A113" s="1"/>
      <c r="B113" s="2"/>
      <c r="C113" s="2"/>
      <c r="D113" s="2"/>
      <c r="E113" s="2"/>
      <c r="F113" s="2"/>
      <c r="G113" s="2"/>
      <c r="H113" s="2"/>
      <c r="I113" s="2"/>
      <c r="J113" s="2"/>
      <c r="K113" s="2"/>
      <c r="L113" s="2"/>
      <c r="M113" s="2"/>
      <c r="N113" s="2"/>
      <c r="O113" s="2"/>
      <c r="P113" s="2"/>
      <c r="Q113" s="20"/>
      <c r="R113" s="20"/>
      <c r="S113" s="20"/>
      <c r="T113" s="20"/>
      <c r="Z113" s="209"/>
      <c r="AA113" s="209"/>
      <c r="AB113" s="209"/>
      <c r="AC113" s="209"/>
    </row>
    <row r="114" spans="1:29" ht="15.75" customHeight="1">
      <c r="A114" s="1"/>
      <c r="B114" s="2"/>
      <c r="C114" s="2"/>
      <c r="D114" s="2"/>
      <c r="E114" s="2"/>
      <c r="F114" s="2"/>
      <c r="G114" s="2"/>
      <c r="H114" s="2"/>
      <c r="I114" s="2"/>
      <c r="J114" s="2"/>
      <c r="K114" s="2"/>
      <c r="L114" s="2"/>
      <c r="M114" s="2"/>
      <c r="N114" s="2"/>
      <c r="O114" s="2"/>
      <c r="P114" s="2"/>
      <c r="Q114" s="2"/>
      <c r="R114" s="2"/>
      <c r="S114" s="2"/>
      <c r="T114" s="2"/>
      <c r="Z114" s="209"/>
      <c r="AA114" s="209"/>
      <c r="AB114" s="209"/>
      <c r="AC114" s="209"/>
    </row>
    <row r="115" spans="1:29" ht="15.75" customHeight="1">
      <c r="A115" s="50"/>
      <c r="B115" s="51" t="s">
        <v>70</v>
      </c>
      <c r="C115" s="52"/>
      <c r="D115" s="53"/>
      <c r="E115" s="53"/>
      <c r="F115" s="53"/>
      <c r="G115" s="53"/>
      <c r="H115" s="53"/>
      <c r="I115" s="53"/>
      <c r="J115" s="53"/>
      <c r="K115" s="53"/>
      <c r="L115" s="53"/>
      <c r="M115" s="53"/>
      <c r="N115" s="53"/>
      <c r="O115" s="53"/>
      <c r="P115" s="53"/>
      <c r="Q115" s="53"/>
      <c r="R115" s="53"/>
      <c r="S115" s="53"/>
      <c r="T115" s="53"/>
      <c r="Z115" s="209"/>
      <c r="AA115" s="209"/>
      <c r="AB115" s="209"/>
      <c r="AC115" s="209"/>
    </row>
    <row r="116" spans="1:29" ht="15.75" customHeight="1">
      <c r="A116" s="1"/>
      <c r="B116" s="2"/>
      <c r="C116" s="2"/>
      <c r="D116" s="2"/>
      <c r="E116" s="2"/>
      <c r="F116" s="2"/>
      <c r="G116" s="2"/>
      <c r="H116" s="2"/>
      <c r="I116" s="2"/>
      <c r="J116" s="2"/>
      <c r="K116" s="2"/>
      <c r="L116" s="2"/>
      <c r="M116" s="2"/>
      <c r="N116" s="2"/>
      <c r="O116" s="2"/>
      <c r="P116" s="2"/>
      <c r="Q116" s="2"/>
      <c r="R116" s="2"/>
      <c r="S116" s="2"/>
      <c r="T116" s="2"/>
      <c r="Z116" s="209"/>
      <c r="AA116" s="209"/>
      <c r="AB116" s="209"/>
      <c r="AC116" s="209"/>
    </row>
    <row r="117" spans="1:29" ht="15.75" customHeight="1">
      <c r="A117" s="6" t="s">
        <v>81</v>
      </c>
      <c r="B117" s="2"/>
      <c r="C117" s="2"/>
      <c r="D117" s="2"/>
      <c r="E117" s="2"/>
      <c r="F117" s="2"/>
      <c r="G117" s="2"/>
      <c r="H117" s="2"/>
      <c r="I117" s="2"/>
      <c r="J117" s="2"/>
      <c r="K117" s="2"/>
      <c r="L117" s="2"/>
      <c r="M117" s="2"/>
      <c r="N117" s="2"/>
      <c r="O117" s="2"/>
      <c r="P117" s="2"/>
      <c r="Q117" s="2"/>
      <c r="R117" s="2"/>
      <c r="S117" s="2"/>
      <c r="T117" s="2"/>
      <c r="Z117" s="209"/>
      <c r="AA117" s="209"/>
      <c r="AB117" s="209"/>
      <c r="AC117" s="209"/>
    </row>
    <row r="118" spans="1:29" ht="15.75" customHeight="1">
      <c r="A118" s="1"/>
      <c r="B118" s="2"/>
      <c r="C118" s="2"/>
      <c r="D118" s="2"/>
      <c r="E118" s="2"/>
      <c r="F118" s="2"/>
      <c r="G118" s="2"/>
      <c r="H118" s="2"/>
      <c r="I118" s="2"/>
      <c r="J118" s="2"/>
      <c r="K118" s="2"/>
      <c r="L118" s="2"/>
      <c r="M118" s="2"/>
      <c r="N118" s="2"/>
      <c r="O118" s="2"/>
      <c r="P118" s="2"/>
      <c r="Q118" s="2"/>
      <c r="R118" s="2"/>
      <c r="S118" s="2"/>
      <c r="T118" s="2"/>
      <c r="Z118" s="209"/>
      <c r="AA118" s="209"/>
      <c r="AB118" s="209"/>
      <c r="AC118" s="209"/>
    </row>
    <row r="119" spans="1:29" ht="15.75" customHeight="1">
      <c r="A119" s="48" t="s">
        <v>3</v>
      </c>
      <c r="B119" s="48" t="s">
        <v>4</v>
      </c>
      <c r="C119" s="48" t="s">
        <v>5</v>
      </c>
      <c r="D119" s="48">
        <f t="shared" ref="D119:T119" si="113">D$3</f>
        <v>2008</v>
      </c>
      <c r="E119" s="48">
        <f t="shared" si="113"/>
        <v>2009</v>
      </c>
      <c r="F119" s="48">
        <f t="shared" si="113"/>
        <v>2010</v>
      </c>
      <c r="G119" s="48">
        <f t="shared" si="113"/>
        <v>2011</v>
      </c>
      <c r="H119" s="48">
        <f t="shared" si="113"/>
        <v>2012</v>
      </c>
      <c r="I119" s="48">
        <f t="shared" si="113"/>
        <v>2013</v>
      </c>
      <c r="J119" s="48">
        <f t="shared" si="113"/>
        <v>2014</v>
      </c>
      <c r="K119" s="48">
        <f t="shared" si="113"/>
        <v>2015</v>
      </c>
      <c r="L119" s="48">
        <f t="shared" si="113"/>
        <v>2016</v>
      </c>
      <c r="M119" s="48">
        <f t="shared" si="113"/>
        <v>2017</v>
      </c>
      <c r="N119" s="48">
        <f t="shared" si="113"/>
        <v>2018</v>
      </c>
      <c r="O119" s="48">
        <v>2019</v>
      </c>
      <c r="P119" s="48">
        <f t="shared" si="113"/>
        <v>2020</v>
      </c>
      <c r="Q119" s="48">
        <f t="shared" si="113"/>
        <v>2021</v>
      </c>
      <c r="R119" s="48">
        <f t="shared" si="113"/>
        <v>2022</v>
      </c>
      <c r="S119" s="48">
        <f t="shared" si="113"/>
        <v>2023</v>
      </c>
      <c r="T119" s="48">
        <f t="shared" si="113"/>
        <v>2024</v>
      </c>
      <c r="Z119" s="209"/>
      <c r="AA119" s="209"/>
      <c r="AB119" s="209"/>
      <c r="AC119" s="209"/>
    </row>
    <row r="120" spans="1:29" ht="15.75" customHeight="1">
      <c r="A120" s="9">
        <v>-1</v>
      </c>
      <c r="B120" s="9">
        <f t="shared" ref="B120:T120" si="114">A120-1</f>
        <v>-2</v>
      </c>
      <c r="C120" s="9">
        <f t="shared" si="114"/>
        <v>-3</v>
      </c>
      <c r="D120" s="9">
        <f t="shared" si="114"/>
        <v>-4</v>
      </c>
      <c r="E120" s="9">
        <f t="shared" si="114"/>
        <v>-5</v>
      </c>
      <c r="F120" s="9">
        <f t="shared" si="114"/>
        <v>-6</v>
      </c>
      <c r="G120" s="9">
        <f t="shared" si="114"/>
        <v>-7</v>
      </c>
      <c r="H120" s="9">
        <f t="shared" si="114"/>
        <v>-8</v>
      </c>
      <c r="I120" s="9">
        <f t="shared" si="114"/>
        <v>-9</v>
      </c>
      <c r="J120" s="9">
        <f t="shared" si="114"/>
        <v>-10</v>
      </c>
      <c r="K120" s="9">
        <f t="shared" si="114"/>
        <v>-11</v>
      </c>
      <c r="L120" s="9">
        <f t="shared" si="114"/>
        <v>-12</v>
      </c>
      <c r="M120" s="9">
        <f t="shared" si="114"/>
        <v>-13</v>
      </c>
      <c r="N120" s="9">
        <f t="shared" si="114"/>
        <v>-14</v>
      </c>
      <c r="O120" s="9">
        <v>-15</v>
      </c>
      <c r="P120" s="9">
        <f t="shared" si="114"/>
        <v>-16</v>
      </c>
      <c r="Q120" s="9">
        <f t="shared" si="114"/>
        <v>-17</v>
      </c>
      <c r="R120" s="9">
        <f t="shared" si="114"/>
        <v>-18</v>
      </c>
      <c r="S120" s="9">
        <f t="shared" si="114"/>
        <v>-19</v>
      </c>
      <c r="T120" s="9">
        <f t="shared" si="114"/>
        <v>-20</v>
      </c>
      <c r="Z120" s="209"/>
      <c r="AA120" s="209"/>
      <c r="AB120" s="209"/>
      <c r="AC120" s="209"/>
    </row>
    <row r="121" spans="1:29" ht="15.75" customHeight="1">
      <c r="A121" s="14">
        <v>1</v>
      </c>
      <c r="B121" s="21" t="s">
        <v>72</v>
      </c>
      <c r="C121" s="14" t="s">
        <v>22</v>
      </c>
      <c r="D121" s="22"/>
      <c r="E121" s="22"/>
      <c r="F121" s="22"/>
      <c r="G121" s="22"/>
      <c r="H121" s="22"/>
      <c r="I121" s="22"/>
      <c r="J121" s="22"/>
      <c r="K121" s="22"/>
      <c r="L121" s="40">
        <v>62772458.580339402</v>
      </c>
      <c r="M121" s="22"/>
      <c r="N121" s="22"/>
      <c r="O121" s="22"/>
      <c r="P121" s="22"/>
      <c r="Q121" s="22"/>
      <c r="R121" s="22"/>
      <c r="S121" s="22"/>
      <c r="T121" s="22"/>
      <c r="Z121" s="209"/>
      <c r="AA121" s="209"/>
      <c r="AB121" s="209"/>
      <c r="AC121" s="209"/>
    </row>
    <row r="122" spans="1:29" ht="15.75" customHeight="1">
      <c r="A122" s="14">
        <v>2</v>
      </c>
      <c r="B122" s="15" t="s">
        <v>26</v>
      </c>
      <c r="C122" s="14" t="s">
        <v>22</v>
      </c>
      <c r="D122" s="22"/>
      <c r="E122" s="22"/>
      <c r="F122" s="22"/>
      <c r="G122" s="22"/>
      <c r="H122" s="22"/>
      <c r="I122" s="22"/>
      <c r="J122" s="22"/>
      <c r="K122" s="22"/>
      <c r="L122" s="41">
        <v>29502459.1231962</v>
      </c>
      <c r="M122" s="22"/>
      <c r="N122" s="22"/>
      <c r="O122" s="22"/>
      <c r="P122" s="22"/>
      <c r="Q122" s="22"/>
      <c r="R122" s="22"/>
      <c r="S122" s="22"/>
      <c r="T122" s="22"/>
      <c r="Z122" s="209"/>
      <c r="AA122" s="209"/>
      <c r="AB122" s="209"/>
      <c r="AC122" s="209"/>
    </row>
    <row r="123" spans="1:29" ht="15.75" customHeight="1">
      <c r="A123" s="14">
        <v>3</v>
      </c>
      <c r="B123" s="21" t="s">
        <v>73</v>
      </c>
      <c r="C123" s="14" t="s">
        <v>22</v>
      </c>
      <c r="D123" s="22"/>
      <c r="E123" s="22"/>
      <c r="F123" s="22"/>
      <c r="G123" s="22"/>
      <c r="H123" s="22"/>
      <c r="I123" s="22"/>
      <c r="J123" s="22"/>
      <c r="K123" s="22"/>
      <c r="L123" s="41">
        <v>65850719.187233202</v>
      </c>
      <c r="M123" s="22"/>
      <c r="N123" s="22"/>
      <c r="O123" s="22"/>
      <c r="P123" s="22"/>
      <c r="Q123" s="22"/>
      <c r="R123" s="22"/>
      <c r="S123" s="22"/>
      <c r="T123" s="22"/>
      <c r="Z123" s="209"/>
      <c r="AA123" s="209"/>
      <c r="AB123" s="209"/>
      <c r="AC123" s="209"/>
    </row>
    <row r="124" spans="1:29" ht="15.75" customHeight="1">
      <c r="A124" s="14">
        <v>4</v>
      </c>
      <c r="B124" s="21" t="s">
        <v>35</v>
      </c>
      <c r="C124" s="14" t="s">
        <v>22</v>
      </c>
      <c r="D124" s="22"/>
      <c r="E124" s="22"/>
      <c r="F124" s="22"/>
      <c r="G124" s="22"/>
      <c r="H124" s="22"/>
      <c r="I124" s="22"/>
      <c r="J124" s="22"/>
      <c r="K124" s="22"/>
      <c r="L124" s="41">
        <v>58597374.524251103</v>
      </c>
      <c r="M124" s="22"/>
      <c r="N124" s="22"/>
      <c r="O124" s="22"/>
      <c r="P124" s="22"/>
      <c r="Q124" s="22"/>
      <c r="R124" s="22"/>
      <c r="S124" s="22"/>
      <c r="T124" s="22"/>
      <c r="Z124" s="209"/>
      <c r="AA124" s="209"/>
      <c r="AB124" s="209"/>
      <c r="AC124" s="209"/>
    </row>
    <row r="125" spans="1:29" ht="15.75" customHeight="1">
      <c r="A125" s="14">
        <v>5</v>
      </c>
      <c r="B125" s="21" t="s">
        <v>74</v>
      </c>
      <c r="C125" s="14" t="s">
        <v>22</v>
      </c>
      <c r="D125" s="22"/>
      <c r="E125" s="22"/>
      <c r="F125" s="22"/>
      <c r="G125" s="22"/>
      <c r="H125" s="22"/>
      <c r="I125" s="22"/>
      <c r="J125" s="22"/>
      <c r="K125" s="22"/>
      <c r="L125" s="41">
        <v>1242557.58881547</v>
      </c>
      <c r="M125" s="22"/>
      <c r="N125" s="22"/>
      <c r="O125" s="22"/>
      <c r="P125" s="22"/>
      <c r="Q125" s="22"/>
      <c r="R125" s="22"/>
      <c r="S125" s="22"/>
      <c r="T125" s="22"/>
      <c r="Z125" s="209"/>
      <c r="AA125" s="209"/>
      <c r="AB125" s="209"/>
      <c r="AC125" s="209"/>
    </row>
    <row r="126" spans="1:29" ht="15.75" customHeight="1">
      <c r="A126" s="14">
        <v>6</v>
      </c>
      <c r="B126" s="21" t="s">
        <v>75</v>
      </c>
      <c r="C126" s="14" t="s">
        <v>22</v>
      </c>
      <c r="D126" s="22"/>
      <c r="E126" s="22"/>
      <c r="F126" s="22"/>
      <c r="G126" s="22"/>
      <c r="H126" s="22"/>
      <c r="I126" s="22"/>
      <c r="J126" s="22"/>
      <c r="K126" s="22"/>
      <c r="L126" s="41">
        <v>0</v>
      </c>
      <c r="M126" s="22"/>
      <c r="N126" s="22"/>
      <c r="O126" s="22"/>
      <c r="P126" s="22"/>
      <c r="Q126" s="22"/>
      <c r="R126" s="22"/>
      <c r="S126" s="22"/>
      <c r="T126" s="22"/>
      <c r="Z126" s="209"/>
      <c r="AA126" s="209"/>
      <c r="AB126" s="209"/>
      <c r="AC126" s="209"/>
    </row>
    <row r="127" spans="1:29" ht="15.75" customHeight="1">
      <c r="A127" s="31">
        <v>7</v>
      </c>
      <c r="B127" s="42" t="s">
        <v>29</v>
      </c>
      <c r="C127" s="31" t="s">
        <v>22</v>
      </c>
      <c r="D127" s="43"/>
      <c r="E127" s="43"/>
      <c r="F127" s="43"/>
      <c r="G127" s="43"/>
      <c r="H127" s="43"/>
      <c r="I127" s="43"/>
      <c r="J127" s="43"/>
      <c r="K127" s="43"/>
      <c r="L127" s="44">
        <f>SUM(L121:L126)</f>
        <v>217965569.00383538</v>
      </c>
      <c r="M127" s="43"/>
      <c r="N127" s="43"/>
      <c r="O127" s="43"/>
      <c r="P127" s="43"/>
      <c r="Q127" s="43"/>
      <c r="R127" s="43"/>
      <c r="S127" s="43"/>
      <c r="T127" s="43"/>
      <c r="Z127" s="209"/>
      <c r="AA127" s="209"/>
      <c r="AB127" s="209"/>
      <c r="AC127" s="209"/>
    </row>
    <row r="128" spans="1:29" ht="15.75" customHeight="1">
      <c r="A128" s="17" t="s">
        <v>76</v>
      </c>
      <c r="B128" s="2"/>
      <c r="C128" s="2"/>
      <c r="D128" s="2"/>
      <c r="E128" s="2"/>
      <c r="F128" s="2"/>
      <c r="G128" s="2"/>
      <c r="H128" s="2"/>
      <c r="I128" s="2"/>
      <c r="J128" s="2"/>
      <c r="K128" s="2"/>
      <c r="L128" s="2"/>
      <c r="M128" s="2"/>
      <c r="N128" s="2"/>
      <c r="O128" s="2"/>
      <c r="P128" s="2"/>
      <c r="Q128" s="2"/>
      <c r="R128" s="2"/>
      <c r="S128" s="2"/>
      <c r="T128" s="2"/>
      <c r="Z128" s="209"/>
      <c r="AA128" s="209"/>
      <c r="AB128" s="209"/>
      <c r="AC128" s="209"/>
    </row>
    <row r="129" spans="1:29" ht="15.75" customHeight="1">
      <c r="A129" s="1"/>
      <c r="B129" s="2"/>
      <c r="C129" s="2"/>
      <c r="D129" s="2"/>
      <c r="E129" s="2"/>
      <c r="F129" s="2"/>
      <c r="G129" s="2"/>
      <c r="H129" s="2"/>
      <c r="I129" s="2"/>
      <c r="J129" s="2"/>
      <c r="K129" s="2"/>
      <c r="L129" s="2"/>
      <c r="M129" s="2"/>
      <c r="N129" s="2"/>
      <c r="O129" s="2"/>
      <c r="P129" s="2"/>
      <c r="Q129" s="2"/>
      <c r="R129" s="2"/>
      <c r="S129" s="2"/>
      <c r="T129" s="2"/>
      <c r="Z129" s="209"/>
      <c r="AA129" s="209"/>
      <c r="AB129" s="209"/>
      <c r="AC129" s="209"/>
    </row>
    <row r="130" spans="1:29" ht="15.75" customHeight="1">
      <c r="A130" s="1"/>
      <c r="B130" s="2"/>
      <c r="C130" s="2"/>
      <c r="D130" s="2"/>
      <c r="E130" s="2"/>
      <c r="F130" s="2"/>
      <c r="G130" s="2"/>
      <c r="H130" s="2"/>
      <c r="I130" s="2"/>
      <c r="J130" s="2"/>
      <c r="K130" s="2"/>
      <c r="L130" s="2"/>
      <c r="M130" s="2"/>
      <c r="N130" s="2"/>
      <c r="O130" s="2"/>
      <c r="P130" s="2"/>
      <c r="Q130" s="2"/>
      <c r="R130" s="2"/>
      <c r="S130" s="2"/>
      <c r="T130" s="2"/>
      <c r="Z130" s="209"/>
      <c r="AA130" s="209"/>
      <c r="AB130" s="209"/>
      <c r="AC130" s="209"/>
    </row>
    <row r="131" spans="1:29" ht="15.75" customHeight="1">
      <c r="A131" s="1"/>
      <c r="B131" s="2"/>
      <c r="C131" s="2"/>
      <c r="D131" s="2"/>
      <c r="E131" s="2"/>
      <c r="F131" s="2"/>
      <c r="G131" s="2"/>
      <c r="H131" s="2"/>
      <c r="I131" s="2"/>
      <c r="J131" s="2"/>
      <c r="K131" s="2"/>
      <c r="L131" s="2"/>
      <c r="M131" s="2"/>
      <c r="N131" s="2"/>
      <c r="O131" s="2"/>
      <c r="P131" s="2"/>
      <c r="Q131" s="2"/>
      <c r="R131" s="2"/>
      <c r="S131" s="2"/>
      <c r="T131" s="2"/>
      <c r="Z131" s="209"/>
      <c r="AA131" s="209"/>
      <c r="AB131" s="209"/>
      <c r="AC131" s="209"/>
    </row>
    <row r="132" spans="1:29" ht="15.75" customHeight="1">
      <c r="A132" s="1"/>
      <c r="B132" s="2"/>
      <c r="C132" s="2"/>
      <c r="D132" s="2"/>
      <c r="E132" s="2"/>
      <c r="F132" s="2"/>
      <c r="G132" s="2"/>
      <c r="H132" s="2"/>
      <c r="I132" s="2"/>
      <c r="J132" s="2"/>
      <c r="K132" s="2"/>
      <c r="L132" s="2"/>
      <c r="M132" s="2"/>
      <c r="N132" s="2"/>
      <c r="O132" s="2"/>
      <c r="P132" s="2"/>
      <c r="Q132" s="2"/>
      <c r="R132" s="2"/>
      <c r="S132" s="2"/>
      <c r="T132" s="2"/>
      <c r="Z132" s="209"/>
      <c r="AA132" s="209"/>
      <c r="AB132" s="209"/>
      <c r="AC132" s="209"/>
    </row>
    <row r="133" spans="1:29" ht="15.75" customHeight="1">
      <c r="A133" s="1"/>
      <c r="B133" s="2"/>
      <c r="C133" s="2"/>
      <c r="D133" s="2"/>
      <c r="E133" s="2"/>
      <c r="F133" s="2"/>
      <c r="G133" s="2"/>
      <c r="H133" s="2"/>
      <c r="I133" s="2"/>
      <c r="J133" s="2"/>
      <c r="K133" s="2"/>
      <c r="L133" s="2"/>
      <c r="M133" s="2"/>
      <c r="N133" s="2"/>
      <c r="O133" s="2"/>
      <c r="P133" s="2"/>
      <c r="Q133" s="2"/>
      <c r="R133" s="2"/>
      <c r="S133" s="2"/>
      <c r="T133" s="2"/>
      <c r="Z133" s="209"/>
      <c r="AA133" s="209"/>
      <c r="AB133" s="209"/>
      <c r="AC133" s="209"/>
    </row>
    <row r="134" spans="1:29" ht="15.75" customHeight="1">
      <c r="A134" s="1"/>
      <c r="B134" s="2"/>
      <c r="C134" s="2"/>
      <c r="D134" s="2"/>
      <c r="E134" s="2"/>
      <c r="F134" s="2"/>
      <c r="G134" s="2"/>
      <c r="H134" s="2"/>
      <c r="I134" s="2"/>
      <c r="J134" s="2"/>
      <c r="K134" s="2"/>
      <c r="L134" s="2"/>
      <c r="M134" s="2"/>
      <c r="N134" s="2"/>
      <c r="O134" s="2"/>
      <c r="P134" s="2"/>
      <c r="Q134" s="2"/>
      <c r="R134" s="2"/>
      <c r="S134" s="2"/>
      <c r="T134" s="2"/>
      <c r="Z134" s="209"/>
      <c r="AA134" s="209"/>
      <c r="AB134" s="209"/>
      <c r="AC134" s="209"/>
    </row>
    <row r="135" spans="1:29" ht="15.75" customHeight="1">
      <c r="A135" s="1"/>
      <c r="B135" s="2"/>
      <c r="C135" s="2"/>
      <c r="D135" s="2"/>
      <c r="E135" s="2"/>
      <c r="F135" s="2"/>
      <c r="G135" s="2"/>
      <c r="H135" s="2"/>
      <c r="I135" s="2"/>
      <c r="J135" s="2"/>
      <c r="K135" s="2"/>
      <c r="L135" s="2"/>
      <c r="M135" s="2"/>
      <c r="N135" s="2"/>
      <c r="O135" s="2"/>
      <c r="P135" s="2"/>
      <c r="Q135" s="2"/>
      <c r="R135" s="2"/>
      <c r="S135" s="2"/>
      <c r="T135" s="2"/>
      <c r="Z135" s="209"/>
      <c r="AA135" s="209"/>
      <c r="AB135" s="209"/>
      <c r="AC135" s="209"/>
    </row>
    <row r="136" spans="1:29" ht="15.75" customHeight="1">
      <c r="A136" s="1"/>
      <c r="B136" s="2"/>
      <c r="C136" s="2"/>
      <c r="D136" s="2"/>
      <c r="E136" s="2"/>
      <c r="F136" s="2"/>
      <c r="G136" s="2"/>
      <c r="H136" s="2"/>
      <c r="I136" s="2"/>
      <c r="J136" s="2"/>
      <c r="K136" s="2"/>
      <c r="L136" s="2"/>
      <c r="M136" s="2"/>
      <c r="N136" s="2"/>
      <c r="O136" s="2"/>
      <c r="P136" s="2"/>
      <c r="Q136" s="2"/>
      <c r="R136" s="2"/>
      <c r="S136" s="2"/>
      <c r="T136" s="2"/>
      <c r="Z136" s="209"/>
      <c r="AA136" s="209"/>
      <c r="AB136" s="209"/>
      <c r="AC136" s="209"/>
    </row>
    <row r="137" spans="1:29" ht="15.75" customHeight="1">
      <c r="A137" s="1"/>
      <c r="B137" s="2"/>
      <c r="C137" s="2"/>
      <c r="D137" s="2"/>
      <c r="E137" s="2"/>
      <c r="F137" s="2"/>
      <c r="G137" s="2"/>
      <c r="H137" s="2"/>
      <c r="I137" s="2"/>
      <c r="J137" s="2"/>
      <c r="K137" s="2"/>
      <c r="L137" s="2"/>
      <c r="M137" s="2"/>
      <c r="N137" s="2"/>
      <c r="O137" s="2"/>
      <c r="P137" s="2"/>
      <c r="Q137" s="2"/>
      <c r="R137" s="2"/>
      <c r="S137" s="2"/>
      <c r="T137" s="2"/>
      <c r="Z137" s="209"/>
      <c r="AA137" s="209"/>
      <c r="AB137" s="209"/>
      <c r="AC137" s="209"/>
    </row>
    <row r="138" spans="1:29" ht="15.75" customHeight="1">
      <c r="A138" s="1"/>
      <c r="B138" s="2"/>
      <c r="C138" s="2"/>
      <c r="D138" s="2"/>
      <c r="E138" s="2"/>
      <c r="F138" s="2"/>
      <c r="G138" s="2"/>
      <c r="H138" s="2"/>
      <c r="I138" s="2"/>
      <c r="J138" s="2"/>
      <c r="K138" s="2"/>
      <c r="L138" s="2"/>
      <c r="M138" s="2"/>
      <c r="N138" s="2"/>
      <c r="O138" s="2"/>
      <c r="P138" s="2"/>
      <c r="Q138" s="2"/>
      <c r="R138" s="2"/>
      <c r="S138" s="2"/>
      <c r="T138" s="2"/>
      <c r="Z138" s="209"/>
      <c r="AA138" s="209"/>
      <c r="AB138" s="209"/>
      <c r="AC138" s="209"/>
    </row>
    <row r="139" spans="1:29" ht="15.75" customHeight="1">
      <c r="A139" s="1"/>
      <c r="B139" s="2"/>
      <c r="C139" s="2"/>
      <c r="D139" s="2"/>
      <c r="E139" s="2"/>
      <c r="F139" s="2"/>
      <c r="G139" s="2"/>
      <c r="H139" s="2"/>
      <c r="I139" s="2"/>
      <c r="J139" s="2"/>
      <c r="K139" s="2"/>
      <c r="L139" s="2"/>
      <c r="M139" s="2"/>
      <c r="N139" s="2"/>
      <c r="O139" s="2"/>
      <c r="P139" s="2"/>
      <c r="Q139" s="2"/>
      <c r="R139" s="2"/>
      <c r="S139" s="2"/>
      <c r="T139" s="2"/>
      <c r="Z139" s="209"/>
      <c r="AA139" s="209"/>
      <c r="AB139" s="209"/>
      <c r="AC139" s="209"/>
    </row>
    <row r="140" spans="1:29" ht="15.75" customHeight="1">
      <c r="A140" s="1"/>
      <c r="B140" s="2"/>
      <c r="C140" s="2"/>
      <c r="D140" s="2"/>
      <c r="E140" s="2"/>
      <c r="F140" s="2"/>
      <c r="G140" s="2"/>
      <c r="H140" s="2"/>
      <c r="I140" s="2"/>
      <c r="J140" s="2"/>
      <c r="K140" s="2"/>
      <c r="L140" s="2"/>
      <c r="M140" s="2"/>
      <c r="N140" s="2"/>
      <c r="O140" s="2"/>
      <c r="P140" s="2"/>
      <c r="Q140" s="2"/>
      <c r="R140" s="2"/>
      <c r="S140" s="2"/>
      <c r="T140" s="2"/>
      <c r="Z140" s="209"/>
      <c r="AA140" s="209"/>
      <c r="AB140" s="209"/>
      <c r="AC140" s="209"/>
    </row>
    <row r="141" spans="1:29" ht="15.75" customHeight="1">
      <c r="A141" s="1"/>
      <c r="B141" s="2"/>
      <c r="C141" s="2"/>
      <c r="D141" s="2"/>
      <c r="E141" s="2"/>
      <c r="F141" s="2"/>
      <c r="G141" s="2"/>
      <c r="H141" s="2"/>
      <c r="I141" s="2"/>
      <c r="J141" s="2"/>
      <c r="K141" s="2"/>
      <c r="L141" s="2"/>
      <c r="M141" s="2"/>
      <c r="N141" s="2"/>
      <c r="O141" s="2"/>
      <c r="P141" s="2"/>
      <c r="Q141" s="2"/>
      <c r="R141" s="2"/>
      <c r="S141" s="2"/>
      <c r="T141" s="2"/>
      <c r="Z141" s="209"/>
      <c r="AA141" s="209"/>
      <c r="AB141" s="209"/>
      <c r="AC141" s="209"/>
    </row>
    <row r="142" spans="1:29" ht="15.75" customHeight="1">
      <c r="A142" s="1"/>
      <c r="B142" s="2"/>
      <c r="C142" s="2"/>
      <c r="D142" s="2"/>
      <c r="E142" s="2"/>
      <c r="F142" s="2"/>
      <c r="G142" s="2"/>
      <c r="H142" s="2"/>
      <c r="I142" s="2"/>
      <c r="J142" s="2"/>
      <c r="K142" s="2"/>
      <c r="L142" s="2"/>
      <c r="M142" s="2"/>
      <c r="N142" s="2"/>
      <c r="O142" s="2"/>
      <c r="P142" s="2"/>
      <c r="Q142" s="2"/>
      <c r="R142" s="2"/>
      <c r="S142" s="2"/>
      <c r="T142" s="2"/>
      <c r="Z142" s="209"/>
      <c r="AA142" s="209"/>
      <c r="AB142" s="209"/>
      <c r="AC142" s="209"/>
    </row>
    <row r="143" spans="1:29" ht="15.75" customHeight="1">
      <c r="A143" s="1"/>
      <c r="B143" s="2"/>
      <c r="C143" s="2"/>
      <c r="D143" s="2"/>
      <c r="E143" s="2"/>
      <c r="F143" s="2"/>
      <c r="G143" s="2"/>
      <c r="H143" s="2"/>
      <c r="I143" s="2"/>
      <c r="J143" s="2"/>
      <c r="K143" s="2"/>
      <c r="L143" s="2"/>
      <c r="M143" s="2"/>
      <c r="N143" s="2"/>
      <c r="O143" s="2"/>
      <c r="P143" s="2"/>
      <c r="Q143" s="2"/>
      <c r="R143" s="2"/>
      <c r="S143" s="2"/>
      <c r="T143" s="2"/>
      <c r="Z143" s="209"/>
      <c r="AA143" s="209"/>
      <c r="AB143" s="209"/>
      <c r="AC143" s="209"/>
    </row>
    <row r="144" spans="1:29" ht="15.75" customHeight="1">
      <c r="A144" s="1"/>
      <c r="B144" s="2"/>
      <c r="C144" s="2"/>
      <c r="D144" s="2"/>
      <c r="E144" s="2"/>
      <c r="F144" s="2"/>
      <c r="G144" s="2"/>
      <c r="H144" s="2"/>
      <c r="I144" s="2"/>
      <c r="J144" s="2"/>
      <c r="K144" s="2"/>
      <c r="L144" s="2"/>
      <c r="M144" s="2"/>
      <c r="N144" s="2"/>
      <c r="O144" s="2"/>
      <c r="P144" s="2"/>
      <c r="Q144" s="2"/>
      <c r="R144" s="2"/>
      <c r="S144" s="2"/>
      <c r="T144" s="2"/>
      <c r="Z144" s="209"/>
      <c r="AA144" s="209"/>
      <c r="AB144" s="209"/>
      <c r="AC144" s="209"/>
    </row>
    <row r="145" spans="1:29" ht="15.75" customHeight="1">
      <c r="A145" s="1"/>
      <c r="B145" s="2"/>
      <c r="C145" s="2"/>
      <c r="D145" s="2"/>
      <c r="E145" s="2"/>
      <c r="F145" s="2"/>
      <c r="G145" s="2"/>
      <c r="H145" s="2"/>
      <c r="I145" s="2"/>
      <c r="J145" s="2"/>
      <c r="K145" s="2"/>
      <c r="L145" s="2"/>
      <c r="M145" s="2"/>
      <c r="N145" s="2"/>
      <c r="O145" s="2"/>
      <c r="P145" s="2"/>
      <c r="Q145" s="2"/>
      <c r="R145" s="2"/>
      <c r="S145" s="2"/>
      <c r="T145" s="2"/>
      <c r="Z145" s="209"/>
      <c r="AA145" s="209"/>
      <c r="AB145" s="209"/>
      <c r="AC145" s="209"/>
    </row>
    <row r="146" spans="1:29" ht="15.75" customHeight="1">
      <c r="A146" s="1"/>
      <c r="B146" s="2"/>
      <c r="C146" s="2"/>
      <c r="D146" s="2"/>
      <c r="E146" s="2"/>
      <c r="F146" s="2"/>
      <c r="G146" s="2"/>
      <c r="H146" s="2"/>
      <c r="I146" s="2"/>
      <c r="J146" s="2"/>
      <c r="K146" s="2"/>
      <c r="L146" s="2"/>
      <c r="M146" s="2"/>
      <c r="N146" s="2"/>
      <c r="O146" s="2"/>
      <c r="P146" s="2"/>
      <c r="Q146" s="2"/>
      <c r="R146" s="2"/>
      <c r="S146" s="2"/>
      <c r="T146" s="2"/>
      <c r="Z146" s="209"/>
      <c r="AA146" s="209"/>
      <c r="AB146" s="209"/>
      <c r="AC146" s="209"/>
    </row>
    <row r="147" spans="1:29" ht="15.75" customHeight="1">
      <c r="A147" s="1"/>
      <c r="B147" s="2"/>
      <c r="C147" s="2"/>
      <c r="D147" s="2"/>
      <c r="E147" s="2"/>
      <c r="F147" s="2"/>
      <c r="G147" s="2"/>
      <c r="H147" s="2"/>
      <c r="I147" s="2"/>
      <c r="J147" s="2"/>
      <c r="K147" s="2"/>
      <c r="L147" s="2"/>
      <c r="M147" s="2"/>
      <c r="N147" s="2"/>
      <c r="O147" s="2"/>
      <c r="P147" s="2"/>
      <c r="Q147" s="2"/>
      <c r="R147" s="2"/>
      <c r="S147" s="2"/>
      <c r="T147" s="2"/>
      <c r="Z147" s="209"/>
      <c r="AA147" s="209"/>
      <c r="AB147" s="209"/>
      <c r="AC147" s="209"/>
    </row>
    <row r="148" spans="1:29" ht="15.75" customHeight="1">
      <c r="A148" s="1"/>
      <c r="B148" s="2"/>
      <c r="C148" s="2"/>
      <c r="D148" s="2"/>
      <c r="E148" s="2"/>
      <c r="F148" s="2"/>
      <c r="G148" s="2"/>
      <c r="H148" s="2"/>
      <c r="I148" s="2"/>
      <c r="J148" s="2"/>
      <c r="K148" s="2"/>
      <c r="L148" s="2"/>
      <c r="M148" s="2"/>
      <c r="N148" s="2"/>
      <c r="O148" s="2"/>
      <c r="P148" s="2"/>
      <c r="Q148" s="2"/>
      <c r="R148" s="2"/>
      <c r="S148" s="2"/>
      <c r="T148" s="2"/>
      <c r="Z148" s="209"/>
      <c r="AA148" s="209"/>
      <c r="AB148" s="209"/>
      <c r="AC148" s="209"/>
    </row>
    <row r="149" spans="1:29" ht="15.75" customHeight="1">
      <c r="A149" s="1"/>
      <c r="B149" s="2"/>
      <c r="C149" s="2"/>
      <c r="D149" s="2"/>
      <c r="E149" s="2"/>
      <c r="F149" s="2"/>
      <c r="G149" s="2"/>
      <c r="H149" s="2"/>
      <c r="I149" s="2"/>
      <c r="J149" s="2"/>
      <c r="K149" s="2"/>
      <c r="L149" s="2"/>
      <c r="M149" s="2"/>
      <c r="N149" s="2"/>
      <c r="O149" s="2"/>
      <c r="P149" s="2"/>
      <c r="Q149" s="2"/>
      <c r="R149" s="2"/>
      <c r="S149" s="2"/>
      <c r="T149" s="2"/>
      <c r="Z149" s="209"/>
      <c r="AA149" s="209"/>
      <c r="AB149" s="209"/>
      <c r="AC149" s="209"/>
    </row>
    <row r="150" spans="1:29" ht="15.75" customHeight="1">
      <c r="A150" s="1"/>
      <c r="B150" s="2"/>
      <c r="C150" s="2"/>
      <c r="D150" s="2"/>
      <c r="E150" s="2"/>
      <c r="F150" s="2"/>
      <c r="G150" s="2"/>
      <c r="H150" s="2"/>
      <c r="I150" s="2"/>
      <c r="J150" s="2"/>
      <c r="K150" s="2"/>
      <c r="L150" s="2"/>
      <c r="M150" s="2"/>
      <c r="N150" s="2"/>
      <c r="O150" s="2"/>
      <c r="P150" s="2"/>
      <c r="Q150" s="2"/>
      <c r="R150" s="2"/>
      <c r="S150" s="2"/>
      <c r="T150" s="2"/>
      <c r="Z150" s="209"/>
      <c r="AA150" s="209"/>
      <c r="AB150" s="209"/>
      <c r="AC150" s="209"/>
    </row>
    <row r="151" spans="1:29" ht="15.75" customHeight="1">
      <c r="A151" s="1"/>
      <c r="B151" s="2"/>
      <c r="C151" s="2"/>
      <c r="D151" s="2"/>
      <c r="E151" s="2"/>
      <c r="F151" s="2"/>
      <c r="G151" s="2"/>
      <c r="H151" s="2"/>
      <c r="I151" s="2"/>
      <c r="J151" s="2"/>
      <c r="K151" s="2"/>
      <c r="L151" s="2"/>
      <c r="M151" s="2"/>
      <c r="N151" s="2"/>
      <c r="O151" s="2"/>
      <c r="P151" s="2"/>
      <c r="Q151" s="2"/>
      <c r="R151" s="2"/>
      <c r="S151" s="2"/>
      <c r="T151" s="2"/>
      <c r="Z151" s="209"/>
      <c r="AA151" s="209"/>
      <c r="AB151" s="209"/>
      <c r="AC151" s="209"/>
    </row>
    <row r="152" spans="1:29" ht="15.75" customHeight="1">
      <c r="A152" s="1"/>
      <c r="B152" s="2"/>
      <c r="C152" s="2"/>
      <c r="D152" s="2"/>
      <c r="E152" s="2"/>
      <c r="F152" s="2"/>
      <c r="G152" s="2"/>
      <c r="H152" s="2"/>
      <c r="I152" s="2"/>
      <c r="J152" s="2"/>
      <c r="K152" s="2"/>
      <c r="L152" s="2"/>
      <c r="M152" s="2"/>
      <c r="N152" s="2"/>
      <c r="O152" s="2"/>
      <c r="P152" s="2"/>
      <c r="Q152" s="2"/>
      <c r="R152" s="2"/>
      <c r="S152" s="2"/>
      <c r="T152" s="2"/>
      <c r="Z152" s="209"/>
      <c r="AA152" s="209"/>
      <c r="AB152" s="209"/>
      <c r="AC152" s="209"/>
    </row>
    <row r="153" spans="1:29" ht="15.75" customHeight="1">
      <c r="A153" s="1"/>
      <c r="B153" s="2"/>
      <c r="C153" s="2"/>
      <c r="D153" s="2"/>
      <c r="E153" s="2"/>
      <c r="F153" s="2"/>
      <c r="G153" s="2"/>
      <c r="H153" s="2"/>
      <c r="I153" s="2"/>
      <c r="J153" s="2"/>
      <c r="K153" s="2"/>
      <c r="L153" s="2"/>
      <c r="M153" s="2"/>
      <c r="N153" s="2"/>
      <c r="O153" s="2"/>
      <c r="P153" s="2"/>
      <c r="Q153" s="2"/>
      <c r="R153" s="2"/>
      <c r="S153" s="2"/>
      <c r="T153" s="2"/>
      <c r="Z153" s="209"/>
      <c r="AA153" s="209"/>
      <c r="AB153" s="209"/>
      <c r="AC153" s="209"/>
    </row>
    <row r="154" spans="1:29" ht="15.75" customHeight="1">
      <c r="A154" s="1"/>
      <c r="B154" s="2"/>
      <c r="C154" s="2"/>
      <c r="D154" s="2"/>
      <c r="E154" s="2"/>
      <c r="F154" s="2"/>
      <c r="G154" s="2"/>
      <c r="H154" s="2"/>
      <c r="I154" s="2"/>
      <c r="J154" s="2"/>
      <c r="K154" s="2"/>
      <c r="L154" s="2"/>
      <c r="M154" s="2"/>
      <c r="N154" s="2"/>
      <c r="O154" s="2"/>
      <c r="P154" s="2"/>
      <c r="Q154" s="2"/>
      <c r="R154" s="2"/>
      <c r="S154" s="2"/>
      <c r="T154" s="2"/>
      <c r="Z154" s="209"/>
      <c r="AA154" s="209"/>
      <c r="AB154" s="209"/>
      <c r="AC154" s="209"/>
    </row>
    <row r="155" spans="1:29" ht="15.75" customHeight="1">
      <c r="A155" s="1"/>
      <c r="B155" s="2"/>
      <c r="C155" s="2"/>
      <c r="D155" s="2"/>
      <c r="E155" s="2"/>
      <c r="F155" s="2"/>
      <c r="G155" s="2"/>
      <c r="H155" s="2"/>
      <c r="I155" s="2"/>
      <c r="J155" s="2"/>
      <c r="K155" s="2"/>
      <c r="L155" s="2"/>
      <c r="M155" s="2"/>
      <c r="N155" s="2"/>
      <c r="O155" s="2"/>
      <c r="P155" s="2"/>
      <c r="Q155" s="2"/>
      <c r="R155" s="2"/>
      <c r="S155" s="2"/>
      <c r="T155" s="2"/>
      <c r="Z155" s="209"/>
      <c r="AA155" s="209"/>
      <c r="AB155" s="209"/>
      <c r="AC155" s="209"/>
    </row>
    <row r="156" spans="1:29" ht="15.75" customHeight="1">
      <c r="A156" s="1"/>
      <c r="B156" s="2"/>
      <c r="C156" s="2"/>
      <c r="D156" s="2"/>
      <c r="E156" s="2"/>
      <c r="F156" s="2"/>
      <c r="G156" s="2"/>
      <c r="H156" s="2"/>
      <c r="I156" s="2"/>
      <c r="J156" s="2"/>
      <c r="K156" s="2"/>
      <c r="L156" s="2"/>
      <c r="M156" s="2"/>
      <c r="N156" s="2"/>
      <c r="O156" s="2"/>
      <c r="P156" s="2"/>
      <c r="Q156" s="2"/>
      <c r="R156" s="2"/>
      <c r="S156" s="2"/>
      <c r="T156" s="2"/>
      <c r="Z156" s="209"/>
      <c r="AA156" s="209"/>
      <c r="AB156" s="209"/>
      <c r="AC156" s="209"/>
    </row>
    <row r="157" spans="1:29" ht="15.75" customHeight="1">
      <c r="A157" s="1"/>
      <c r="B157" s="2"/>
      <c r="C157" s="2"/>
      <c r="D157" s="2"/>
      <c r="E157" s="2"/>
      <c r="F157" s="2"/>
      <c r="G157" s="2"/>
      <c r="H157" s="2"/>
      <c r="I157" s="2"/>
      <c r="J157" s="2"/>
      <c r="K157" s="2"/>
      <c r="L157" s="2"/>
      <c r="M157" s="2"/>
      <c r="N157" s="2"/>
      <c r="O157" s="2"/>
      <c r="P157" s="2"/>
      <c r="Q157" s="2"/>
      <c r="R157" s="2"/>
      <c r="S157" s="2"/>
      <c r="T157" s="2"/>
      <c r="Z157" s="209"/>
      <c r="AA157" s="209"/>
      <c r="AB157" s="209"/>
      <c r="AC157" s="209"/>
    </row>
    <row r="158" spans="1:29" ht="15.75" customHeight="1">
      <c r="A158" s="1"/>
      <c r="B158" s="2"/>
      <c r="C158" s="2"/>
      <c r="D158" s="2"/>
      <c r="E158" s="2"/>
      <c r="F158" s="2"/>
      <c r="G158" s="2"/>
      <c r="H158" s="2"/>
      <c r="I158" s="2"/>
      <c r="J158" s="2"/>
      <c r="K158" s="2"/>
      <c r="L158" s="2"/>
      <c r="M158" s="2"/>
      <c r="N158" s="2"/>
      <c r="O158" s="2"/>
      <c r="P158" s="2"/>
      <c r="Q158" s="2"/>
      <c r="R158" s="2"/>
      <c r="S158" s="2"/>
      <c r="T158" s="2"/>
      <c r="Z158" s="209"/>
      <c r="AA158" s="209"/>
      <c r="AB158" s="209"/>
      <c r="AC158" s="209"/>
    </row>
    <row r="159" spans="1:29" ht="15.75" customHeight="1">
      <c r="A159" s="1"/>
      <c r="B159" s="2"/>
      <c r="C159" s="2"/>
      <c r="D159" s="2"/>
      <c r="E159" s="2"/>
      <c r="F159" s="2"/>
      <c r="G159" s="2"/>
      <c r="H159" s="2"/>
      <c r="I159" s="2"/>
      <c r="J159" s="2"/>
      <c r="K159" s="2"/>
      <c r="L159" s="2"/>
      <c r="M159" s="2"/>
      <c r="N159" s="2"/>
      <c r="O159" s="2"/>
      <c r="P159" s="2"/>
      <c r="Q159" s="2"/>
      <c r="R159" s="2"/>
      <c r="S159" s="2"/>
      <c r="T159" s="2"/>
      <c r="Z159" s="209"/>
      <c r="AA159" s="209"/>
      <c r="AB159" s="209"/>
      <c r="AC159" s="209"/>
    </row>
    <row r="160" spans="1:29" ht="15.75" customHeight="1">
      <c r="A160" s="1"/>
      <c r="B160" s="2"/>
      <c r="C160" s="2"/>
      <c r="D160" s="2"/>
      <c r="E160" s="2"/>
      <c r="F160" s="2"/>
      <c r="G160" s="2"/>
      <c r="H160" s="2"/>
      <c r="I160" s="2"/>
      <c r="J160" s="2"/>
      <c r="K160" s="2"/>
      <c r="L160" s="2"/>
      <c r="M160" s="2"/>
      <c r="N160" s="2"/>
      <c r="O160" s="2"/>
      <c r="P160" s="2"/>
      <c r="Q160" s="2"/>
      <c r="R160" s="2"/>
      <c r="S160" s="2"/>
      <c r="T160" s="2"/>
      <c r="Z160" s="209"/>
      <c r="AA160" s="209"/>
      <c r="AB160" s="209"/>
      <c r="AC160" s="209"/>
    </row>
    <row r="161" spans="1:29" ht="15.75" customHeight="1">
      <c r="A161" s="1"/>
      <c r="B161" s="2"/>
      <c r="C161" s="2"/>
      <c r="D161" s="2"/>
      <c r="E161" s="2"/>
      <c r="F161" s="2"/>
      <c r="G161" s="2"/>
      <c r="H161" s="2"/>
      <c r="I161" s="2"/>
      <c r="J161" s="2"/>
      <c r="K161" s="2"/>
      <c r="L161" s="2"/>
      <c r="M161" s="2"/>
      <c r="N161" s="2"/>
      <c r="O161" s="2"/>
      <c r="P161" s="2"/>
      <c r="Q161" s="2"/>
      <c r="R161" s="2"/>
      <c r="S161" s="2"/>
      <c r="T161" s="2"/>
      <c r="Z161" s="209"/>
      <c r="AA161" s="209"/>
      <c r="AB161" s="209"/>
      <c r="AC161" s="209"/>
    </row>
    <row r="162" spans="1:29" ht="15.75" customHeight="1">
      <c r="A162" s="1"/>
      <c r="B162" s="2"/>
      <c r="C162" s="2"/>
      <c r="D162" s="2"/>
      <c r="E162" s="2"/>
      <c r="F162" s="2"/>
      <c r="G162" s="2"/>
      <c r="H162" s="2"/>
      <c r="I162" s="2"/>
      <c r="J162" s="2"/>
      <c r="K162" s="2"/>
      <c r="L162" s="2"/>
      <c r="M162" s="2"/>
      <c r="N162" s="2"/>
      <c r="O162" s="2"/>
      <c r="P162" s="2"/>
      <c r="Q162" s="2"/>
      <c r="R162" s="2"/>
      <c r="S162" s="2"/>
      <c r="T162" s="2"/>
      <c r="Z162" s="209"/>
      <c r="AA162" s="209"/>
      <c r="AB162" s="209"/>
      <c r="AC162" s="209"/>
    </row>
    <row r="163" spans="1:29" ht="15.75" customHeight="1">
      <c r="A163" s="1"/>
      <c r="B163" s="2"/>
      <c r="C163" s="2"/>
      <c r="D163" s="2"/>
      <c r="E163" s="2"/>
      <c r="F163" s="2"/>
      <c r="G163" s="2"/>
      <c r="H163" s="2"/>
      <c r="I163" s="2"/>
      <c r="J163" s="2"/>
      <c r="K163" s="2"/>
      <c r="L163" s="2"/>
      <c r="M163" s="2"/>
      <c r="N163" s="2"/>
      <c r="O163" s="2"/>
      <c r="P163" s="2"/>
      <c r="Q163" s="2"/>
      <c r="R163" s="2"/>
      <c r="S163" s="2"/>
      <c r="T163" s="2"/>
      <c r="Z163" s="209"/>
      <c r="AA163" s="209"/>
      <c r="AB163" s="209"/>
      <c r="AC163" s="209"/>
    </row>
    <row r="164" spans="1:29" ht="15.75" customHeight="1">
      <c r="A164" s="1"/>
      <c r="B164" s="2"/>
      <c r="C164" s="2"/>
      <c r="D164" s="2"/>
      <c r="E164" s="2"/>
      <c r="F164" s="2"/>
      <c r="G164" s="2"/>
      <c r="H164" s="2"/>
      <c r="I164" s="2"/>
      <c r="J164" s="2"/>
      <c r="K164" s="2"/>
      <c r="L164" s="2"/>
      <c r="M164" s="2"/>
      <c r="N164" s="2"/>
      <c r="O164" s="2"/>
      <c r="P164" s="2"/>
      <c r="Q164" s="2"/>
      <c r="R164" s="2"/>
      <c r="S164" s="2"/>
      <c r="T164" s="2"/>
      <c r="Z164" s="209"/>
      <c r="AA164" s="209"/>
      <c r="AB164" s="209"/>
      <c r="AC164" s="209"/>
    </row>
    <row r="165" spans="1:29" ht="15.75" customHeight="1">
      <c r="A165" s="1"/>
      <c r="B165" s="2"/>
      <c r="C165" s="2"/>
      <c r="D165" s="2"/>
      <c r="E165" s="2"/>
      <c r="F165" s="2"/>
      <c r="G165" s="2"/>
      <c r="H165" s="2"/>
      <c r="I165" s="2"/>
      <c r="J165" s="2"/>
      <c r="K165" s="2"/>
      <c r="L165" s="2"/>
      <c r="M165" s="2"/>
      <c r="N165" s="2"/>
      <c r="O165" s="2"/>
      <c r="P165" s="2"/>
      <c r="Q165" s="2"/>
      <c r="R165" s="2"/>
      <c r="S165" s="2"/>
      <c r="T165" s="2"/>
      <c r="Z165" s="209"/>
      <c r="AA165" s="209"/>
      <c r="AB165" s="209"/>
      <c r="AC165" s="209"/>
    </row>
    <row r="166" spans="1:29" ht="15.75" customHeight="1">
      <c r="A166" s="1"/>
      <c r="B166" s="2"/>
      <c r="C166" s="2"/>
      <c r="D166" s="2"/>
      <c r="E166" s="2"/>
      <c r="F166" s="2"/>
      <c r="G166" s="2"/>
      <c r="H166" s="2"/>
      <c r="I166" s="2"/>
      <c r="J166" s="2"/>
      <c r="K166" s="2"/>
      <c r="L166" s="2"/>
      <c r="M166" s="2"/>
      <c r="N166" s="2"/>
      <c r="O166" s="2"/>
      <c r="P166" s="2"/>
      <c r="Q166" s="2"/>
      <c r="R166" s="2"/>
      <c r="S166" s="2"/>
      <c r="T166" s="2"/>
      <c r="Z166" s="209"/>
      <c r="AA166" s="209"/>
      <c r="AB166" s="209"/>
      <c r="AC166" s="209"/>
    </row>
    <row r="167" spans="1:29" ht="15.75" customHeight="1">
      <c r="A167" s="1"/>
      <c r="B167" s="2"/>
      <c r="C167" s="2"/>
      <c r="D167" s="2"/>
      <c r="E167" s="2"/>
      <c r="F167" s="2"/>
      <c r="G167" s="2"/>
      <c r="H167" s="2"/>
      <c r="I167" s="2"/>
      <c r="J167" s="2"/>
      <c r="K167" s="2"/>
      <c r="L167" s="2"/>
      <c r="M167" s="2"/>
      <c r="N167" s="2"/>
      <c r="O167" s="2"/>
      <c r="P167" s="2"/>
      <c r="Q167" s="2"/>
      <c r="R167" s="2"/>
      <c r="S167" s="2"/>
      <c r="T167" s="2"/>
      <c r="Z167" s="209"/>
      <c r="AA167" s="209"/>
      <c r="AB167" s="209"/>
      <c r="AC167" s="209"/>
    </row>
    <row r="168" spans="1:29" ht="15.75" customHeight="1">
      <c r="A168" s="1"/>
      <c r="B168" s="2"/>
      <c r="C168" s="2"/>
      <c r="D168" s="2"/>
      <c r="E168" s="2"/>
      <c r="F168" s="2"/>
      <c r="G168" s="2"/>
      <c r="H168" s="2"/>
      <c r="I168" s="2"/>
      <c r="J168" s="2"/>
      <c r="K168" s="2"/>
      <c r="L168" s="2"/>
      <c r="M168" s="2"/>
      <c r="N168" s="2"/>
      <c r="O168" s="2"/>
      <c r="P168" s="2"/>
      <c r="Q168" s="2"/>
      <c r="R168" s="2"/>
      <c r="S168" s="2"/>
      <c r="T168" s="2"/>
      <c r="Z168" s="209"/>
      <c r="AA168" s="209"/>
      <c r="AB168" s="209"/>
      <c r="AC168" s="209"/>
    </row>
    <row r="169" spans="1:29" ht="15.75" customHeight="1">
      <c r="A169" s="1"/>
      <c r="B169" s="2"/>
      <c r="C169" s="2"/>
      <c r="D169" s="2"/>
      <c r="E169" s="2"/>
      <c r="F169" s="2"/>
      <c r="G169" s="2"/>
      <c r="H169" s="2"/>
      <c r="I169" s="2"/>
      <c r="J169" s="2"/>
      <c r="K169" s="2"/>
      <c r="L169" s="2"/>
      <c r="M169" s="2"/>
      <c r="N169" s="2"/>
      <c r="O169" s="2"/>
      <c r="P169" s="2"/>
      <c r="Q169" s="2"/>
      <c r="R169" s="2"/>
      <c r="S169" s="2"/>
      <c r="T169" s="2"/>
      <c r="Z169" s="209"/>
      <c r="AA169" s="209"/>
      <c r="AB169" s="209"/>
      <c r="AC169" s="209"/>
    </row>
    <row r="170" spans="1:29" ht="15.75" customHeight="1">
      <c r="A170" s="1"/>
      <c r="B170" s="2"/>
      <c r="C170" s="2"/>
      <c r="D170" s="2"/>
      <c r="E170" s="2"/>
      <c r="F170" s="2"/>
      <c r="G170" s="2"/>
      <c r="H170" s="2"/>
      <c r="I170" s="2"/>
      <c r="J170" s="2"/>
      <c r="K170" s="2"/>
      <c r="L170" s="2"/>
      <c r="M170" s="2"/>
      <c r="N170" s="2"/>
      <c r="O170" s="2"/>
      <c r="P170" s="2"/>
      <c r="Q170" s="2"/>
      <c r="R170" s="2"/>
      <c r="S170" s="2"/>
      <c r="T170" s="2"/>
      <c r="Z170" s="209"/>
      <c r="AA170" s="209"/>
      <c r="AB170" s="209"/>
      <c r="AC170" s="209"/>
    </row>
    <row r="171" spans="1:29" ht="15.75" customHeight="1">
      <c r="A171" s="1"/>
      <c r="B171" s="2"/>
      <c r="C171" s="2"/>
      <c r="D171" s="2"/>
      <c r="E171" s="2"/>
      <c r="F171" s="2"/>
      <c r="G171" s="2"/>
      <c r="H171" s="2"/>
      <c r="I171" s="2"/>
      <c r="J171" s="2"/>
      <c r="K171" s="2"/>
      <c r="L171" s="2"/>
      <c r="M171" s="2"/>
      <c r="N171" s="2"/>
      <c r="O171" s="2"/>
      <c r="P171" s="2"/>
      <c r="Q171" s="2"/>
      <c r="R171" s="2"/>
      <c r="S171" s="2"/>
      <c r="T171" s="2"/>
      <c r="Z171" s="209"/>
      <c r="AA171" s="209"/>
      <c r="AB171" s="209"/>
      <c r="AC171" s="209"/>
    </row>
    <row r="172" spans="1:29" ht="15.75" customHeight="1">
      <c r="A172" s="1"/>
      <c r="B172" s="2"/>
      <c r="C172" s="2"/>
      <c r="D172" s="2"/>
      <c r="E172" s="2"/>
      <c r="F172" s="2"/>
      <c r="G172" s="2"/>
      <c r="H172" s="2"/>
      <c r="I172" s="2"/>
      <c r="J172" s="2"/>
      <c r="K172" s="2"/>
      <c r="L172" s="2"/>
      <c r="M172" s="2"/>
      <c r="N172" s="2"/>
      <c r="O172" s="2"/>
      <c r="P172" s="2"/>
      <c r="Q172" s="2"/>
      <c r="R172" s="2"/>
      <c r="S172" s="2"/>
      <c r="T172" s="2"/>
      <c r="Z172" s="209"/>
      <c r="AA172" s="209"/>
      <c r="AB172" s="209"/>
      <c r="AC172" s="209"/>
    </row>
    <row r="173" spans="1:29" ht="15.75" customHeight="1">
      <c r="A173" s="1"/>
      <c r="B173" s="2"/>
      <c r="C173" s="2"/>
      <c r="D173" s="2"/>
      <c r="E173" s="2"/>
      <c r="F173" s="2"/>
      <c r="G173" s="2"/>
      <c r="H173" s="2"/>
      <c r="I173" s="2"/>
      <c r="J173" s="2"/>
      <c r="K173" s="2"/>
      <c r="L173" s="2"/>
      <c r="M173" s="2"/>
      <c r="N173" s="2"/>
      <c r="O173" s="2"/>
      <c r="P173" s="2"/>
      <c r="Q173" s="2"/>
      <c r="R173" s="2"/>
      <c r="S173" s="2"/>
      <c r="T173" s="2"/>
      <c r="Z173" s="209"/>
      <c r="AA173" s="209"/>
      <c r="AB173" s="209"/>
      <c r="AC173" s="209"/>
    </row>
    <row r="174" spans="1:29" ht="15.75" customHeight="1">
      <c r="A174" s="1"/>
      <c r="B174" s="2"/>
      <c r="C174" s="2"/>
      <c r="D174" s="2"/>
      <c r="E174" s="2"/>
      <c r="F174" s="2"/>
      <c r="G174" s="2"/>
      <c r="H174" s="2"/>
      <c r="I174" s="2"/>
      <c r="J174" s="2"/>
      <c r="K174" s="2"/>
      <c r="L174" s="2"/>
      <c r="M174" s="2"/>
      <c r="N174" s="2"/>
      <c r="O174" s="2"/>
      <c r="P174" s="2"/>
      <c r="Q174" s="2"/>
      <c r="R174" s="2"/>
      <c r="S174" s="2"/>
      <c r="T174" s="2"/>
      <c r="Z174" s="209"/>
      <c r="AA174" s="209"/>
      <c r="AB174" s="209"/>
      <c r="AC174" s="209"/>
    </row>
    <row r="175" spans="1:29" ht="15.75" customHeight="1">
      <c r="A175" s="1"/>
      <c r="B175" s="2"/>
      <c r="C175" s="2"/>
      <c r="D175" s="2"/>
      <c r="E175" s="2"/>
      <c r="F175" s="2"/>
      <c r="G175" s="2"/>
      <c r="H175" s="2"/>
      <c r="I175" s="2"/>
      <c r="J175" s="2"/>
      <c r="K175" s="2"/>
      <c r="L175" s="2"/>
      <c r="M175" s="2"/>
      <c r="N175" s="2"/>
      <c r="O175" s="2"/>
      <c r="P175" s="2"/>
      <c r="Q175" s="2"/>
      <c r="R175" s="2"/>
      <c r="S175" s="2"/>
      <c r="T175" s="2"/>
      <c r="Z175" s="209"/>
      <c r="AA175" s="209"/>
      <c r="AB175" s="209"/>
      <c r="AC175" s="209"/>
    </row>
    <row r="176" spans="1:29" ht="15.75" customHeight="1">
      <c r="A176" s="1"/>
      <c r="B176" s="2"/>
      <c r="C176" s="2"/>
      <c r="D176" s="2"/>
      <c r="E176" s="2"/>
      <c r="F176" s="2"/>
      <c r="G176" s="2"/>
      <c r="H176" s="2"/>
      <c r="I176" s="2"/>
      <c r="J176" s="2"/>
      <c r="K176" s="2"/>
      <c r="L176" s="2"/>
      <c r="M176" s="2"/>
      <c r="N176" s="2"/>
      <c r="O176" s="2"/>
      <c r="P176" s="2"/>
      <c r="Q176" s="2"/>
      <c r="R176" s="2"/>
      <c r="S176" s="2"/>
      <c r="T176" s="2"/>
      <c r="Z176" s="209"/>
      <c r="AA176" s="209"/>
      <c r="AB176" s="209"/>
      <c r="AC176" s="209"/>
    </row>
    <row r="177" spans="1:29" ht="15.75" customHeight="1">
      <c r="A177" s="1"/>
      <c r="B177" s="2"/>
      <c r="C177" s="2"/>
      <c r="D177" s="2"/>
      <c r="E177" s="2"/>
      <c r="F177" s="2"/>
      <c r="G177" s="2"/>
      <c r="H177" s="2"/>
      <c r="I177" s="2"/>
      <c r="J177" s="2"/>
      <c r="K177" s="2"/>
      <c r="L177" s="2"/>
      <c r="M177" s="2"/>
      <c r="N177" s="2"/>
      <c r="O177" s="2"/>
      <c r="P177" s="2"/>
      <c r="Q177" s="2"/>
      <c r="R177" s="2"/>
      <c r="S177" s="2"/>
      <c r="T177" s="2"/>
      <c r="Z177" s="209"/>
      <c r="AA177" s="209"/>
      <c r="AB177" s="209"/>
      <c r="AC177" s="209"/>
    </row>
    <row r="178" spans="1:29" ht="15.75" customHeight="1">
      <c r="A178" s="1"/>
      <c r="B178" s="2"/>
      <c r="C178" s="2"/>
      <c r="D178" s="2"/>
      <c r="E178" s="2"/>
      <c r="F178" s="2"/>
      <c r="G178" s="2"/>
      <c r="H178" s="2"/>
      <c r="I178" s="2"/>
      <c r="J178" s="2"/>
      <c r="K178" s="2"/>
      <c r="L178" s="2"/>
      <c r="M178" s="2"/>
      <c r="N178" s="2"/>
      <c r="O178" s="2"/>
      <c r="P178" s="2"/>
      <c r="Q178" s="2"/>
      <c r="R178" s="2"/>
      <c r="S178" s="2"/>
      <c r="T178" s="2"/>
      <c r="Z178" s="209"/>
      <c r="AA178" s="209"/>
      <c r="AB178" s="209"/>
      <c r="AC178" s="209"/>
    </row>
    <row r="179" spans="1:29" ht="15.75" customHeight="1">
      <c r="A179" s="1"/>
      <c r="B179" s="2"/>
      <c r="C179" s="2"/>
      <c r="D179" s="2"/>
      <c r="E179" s="2"/>
      <c r="F179" s="2"/>
      <c r="G179" s="2"/>
      <c r="H179" s="2"/>
      <c r="I179" s="2"/>
      <c r="J179" s="2"/>
      <c r="K179" s="2"/>
      <c r="L179" s="2"/>
      <c r="M179" s="2"/>
      <c r="N179" s="2"/>
      <c r="O179" s="2"/>
      <c r="P179" s="2"/>
      <c r="Q179" s="2"/>
      <c r="R179" s="2"/>
      <c r="S179" s="2"/>
      <c r="T179" s="2"/>
      <c r="Z179" s="209"/>
      <c r="AA179" s="209"/>
      <c r="AB179" s="209"/>
      <c r="AC179" s="209"/>
    </row>
    <row r="180" spans="1:29" ht="15.75" customHeight="1">
      <c r="A180" s="1"/>
      <c r="B180" s="2"/>
      <c r="C180" s="2"/>
      <c r="D180" s="2"/>
      <c r="E180" s="2"/>
      <c r="F180" s="2"/>
      <c r="G180" s="2"/>
      <c r="H180" s="2"/>
      <c r="I180" s="2"/>
      <c r="J180" s="2"/>
      <c r="K180" s="2"/>
      <c r="L180" s="2"/>
      <c r="M180" s="2"/>
      <c r="N180" s="2"/>
      <c r="O180" s="2"/>
      <c r="P180" s="2"/>
      <c r="Q180" s="2"/>
      <c r="R180" s="2"/>
      <c r="S180" s="2"/>
      <c r="T180" s="2"/>
      <c r="Z180" s="209"/>
      <c r="AA180" s="209"/>
      <c r="AB180" s="209"/>
      <c r="AC180" s="209"/>
    </row>
    <row r="181" spans="1:29" ht="15.75" customHeight="1">
      <c r="A181" s="1"/>
      <c r="B181" s="2"/>
      <c r="C181" s="2"/>
      <c r="D181" s="2"/>
      <c r="E181" s="2"/>
      <c r="F181" s="2"/>
      <c r="G181" s="2"/>
      <c r="H181" s="2"/>
      <c r="I181" s="2"/>
      <c r="J181" s="2"/>
      <c r="K181" s="2"/>
      <c r="L181" s="2"/>
      <c r="M181" s="2"/>
      <c r="N181" s="2"/>
      <c r="O181" s="2"/>
      <c r="P181" s="2"/>
      <c r="Q181" s="2"/>
      <c r="R181" s="2"/>
      <c r="S181" s="2"/>
      <c r="T181" s="2"/>
    </row>
    <row r="182" spans="1:29" ht="15.75" customHeight="1">
      <c r="A182" s="1"/>
      <c r="B182" s="2"/>
      <c r="C182" s="2"/>
      <c r="D182" s="2"/>
      <c r="E182" s="2"/>
      <c r="F182" s="2"/>
      <c r="G182" s="2"/>
      <c r="H182" s="2"/>
      <c r="I182" s="2"/>
      <c r="J182" s="2"/>
      <c r="K182" s="2"/>
      <c r="L182" s="2"/>
      <c r="M182" s="2"/>
      <c r="N182" s="2"/>
      <c r="O182" s="2"/>
      <c r="P182" s="2"/>
      <c r="Q182" s="2"/>
      <c r="R182" s="2"/>
      <c r="S182" s="2"/>
      <c r="T182" s="2"/>
    </row>
    <row r="183" spans="1:29" ht="15.75" customHeight="1">
      <c r="A183" s="1"/>
      <c r="B183" s="2"/>
      <c r="C183" s="2"/>
      <c r="D183" s="2"/>
      <c r="E183" s="2"/>
      <c r="F183" s="2"/>
      <c r="G183" s="2"/>
      <c r="H183" s="2"/>
      <c r="I183" s="2"/>
      <c r="J183" s="2"/>
      <c r="K183" s="2"/>
      <c r="L183" s="2"/>
      <c r="M183" s="2"/>
      <c r="N183" s="2"/>
      <c r="O183" s="2"/>
      <c r="P183" s="2"/>
      <c r="Q183" s="2"/>
      <c r="R183" s="2"/>
      <c r="S183" s="2"/>
      <c r="T183" s="2"/>
    </row>
    <row r="184" spans="1:29" ht="15.75" customHeight="1">
      <c r="A184" s="1"/>
      <c r="B184" s="2"/>
      <c r="C184" s="2"/>
      <c r="D184" s="2"/>
      <c r="E184" s="2"/>
      <c r="F184" s="2"/>
      <c r="G184" s="2"/>
      <c r="H184" s="2"/>
      <c r="I184" s="2"/>
      <c r="J184" s="2"/>
      <c r="K184" s="2"/>
      <c r="L184" s="2"/>
      <c r="M184" s="2"/>
      <c r="N184" s="2"/>
      <c r="O184" s="2"/>
      <c r="P184" s="2"/>
      <c r="Q184" s="2"/>
      <c r="R184" s="2"/>
      <c r="S184" s="2"/>
      <c r="T184" s="2"/>
    </row>
    <row r="185" spans="1:29" ht="15.75" customHeight="1">
      <c r="A185" s="1"/>
      <c r="B185" s="2"/>
      <c r="C185" s="2"/>
      <c r="D185" s="2"/>
      <c r="E185" s="2"/>
      <c r="F185" s="2"/>
      <c r="G185" s="2"/>
      <c r="H185" s="2"/>
      <c r="I185" s="2"/>
      <c r="J185" s="2"/>
      <c r="K185" s="2"/>
      <c r="L185" s="2"/>
      <c r="M185" s="2"/>
      <c r="N185" s="2"/>
      <c r="O185" s="2"/>
      <c r="P185" s="2"/>
      <c r="Q185" s="2"/>
      <c r="R185" s="2"/>
      <c r="S185" s="2"/>
      <c r="T185" s="2"/>
    </row>
    <row r="186" spans="1:29" ht="15.75" customHeight="1">
      <c r="A186" s="1"/>
      <c r="B186" s="2"/>
      <c r="C186" s="2"/>
      <c r="D186" s="2"/>
      <c r="E186" s="2"/>
      <c r="F186" s="2"/>
      <c r="G186" s="2"/>
      <c r="H186" s="2"/>
      <c r="I186" s="2"/>
      <c r="J186" s="2"/>
      <c r="K186" s="2"/>
      <c r="L186" s="2"/>
      <c r="M186" s="2"/>
      <c r="N186" s="2"/>
      <c r="O186" s="2"/>
      <c r="P186" s="2"/>
      <c r="Q186" s="2"/>
      <c r="R186" s="2"/>
      <c r="S186" s="2"/>
      <c r="T186" s="2"/>
    </row>
    <row r="187" spans="1:29" ht="15.75" customHeight="1">
      <c r="A187" s="1"/>
      <c r="B187" s="2"/>
      <c r="C187" s="2"/>
      <c r="D187" s="2"/>
      <c r="E187" s="2"/>
      <c r="F187" s="2"/>
      <c r="G187" s="2"/>
      <c r="H187" s="2"/>
      <c r="I187" s="2"/>
      <c r="J187" s="2"/>
      <c r="K187" s="2"/>
      <c r="L187" s="2"/>
      <c r="M187" s="2"/>
      <c r="N187" s="2"/>
      <c r="O187" s="2"/>
      <c r="P187" s="2"/>
      <c r="Q187" s="2"/>
      <c r="R187" s="2"/>
      <c r="S187" s="2"/>
      <c r="T187" s="2"/>
    </row>
    <row r="188" spans="1:29" ht="15.75" customHeight="1">
      <c r="A188" s="1"/>
      <c r="B188" s="2"/>
      <c r="C188" s="2"/>
      <c r="D188" s="2"/>
      <c r="E188" s="2"/>
      <c r="F188" s="2"/>
      <c r="G188" s="2"/>
      <c r="H188" s="2"/>
      <c r="I188" s="2"/>
      <c r="J188" s="2"/>
      <c r="K188" s="2"/>
      <c r="L188" s="2"/>
      <c r="M188" s="2"/>
      <c r="N188" s="2"/>
      <c r="O188" s="2"/>
      <c r="P188" s="2"/>
      <c r="Q188" s="2"/>
      <c r="R188" s="2"/>
      <c r="S188" s="2"/>
      <c r="T188" s="2"/>
    </row>
    <row r="189" spans="1:29" ht="15.75" customHeight="1">
      <c r="A189" s="1"/>
      <c r="B189" s="2"/>
      <c r="C189" s="2"/>
      <c r="D189" s="2"/>
      <c r="E189" s="2"/>
      <c r="F189" s="2"/>
      <c r="G189" s="2"/>
      <c r="H189" s="2"/>
      <c r="I189" s="2"/>
      <c r="J189" s="2"/>
      <c r="K189" s="2"/>
      <c r="L189" s="2"/>
      <c r="M189" s="2"/>
      <c r="N189" s="2"/>
      <c r="O189" s="2"/>
      <c r="P189" s="2"/>
      <c r="Q189" s="2"/>
      <c r="R189" s="2"/>
      <c r="S189" s="2"/>
      <c r="T189" s="2"/>
    </row>
    <row r="190" spans="1:29" ht="15.75" customHeight="1">
      <c r="A190" s="1"/>
      <c r="B190" s="2"/>
      <c r="C190" s="2"/>
      <c r="D190" s="2"/>
      <c r="E190" s="2"/>
      <c r="F190" s="2"/>
      <c r="G190" s="2"/>
      <c r="H190" s="2"/>
      <c r="I190" s="2"/>
      <c r="J190" s="2"/>
      <c r="K190" s="2"/>
      <c r="L190" s="2"/>
      <c r="M190" s="2"/>
      <c r="N190" s="2"/>
      <c r="O190" s="2"/>
      <c r="P190" s="2"/>
      <c r="Q190" s="2"/>
      <c r="R190" s="2"/>
      <c r="S190" s="2"/>
      <c r="T190" s="2"/>
    </row>
    <row r="191" spans="1:29" ht="15.75" customHeight="1">
      <c r="A191" s="1"/>
      <c r="B191" s="2"/>
      <c r="C191" s="2"/>
      <c r="D191" s="2"/>
      <c r="E191" s="2"/>
      <c r="F191" s="2"/>
      <c r="G191" s="2"/>
      <c r="H191" s="2"/>
      <c r="I191" s="2"/>
      <c r="J191" s="2"/>
      <c r="K191" s="2"/>
      <c r="L191" s="2"/>
      <c r="M191" s="2"/>
      <c r="N191" s="2"/>
      <c r="O191" s="2"/>
      <c r="P191" s="2"/>
      <c r="Q191" s="2"/>
      <c r="R191" s="2"/>
      <c r="S191" s="2"/>
      <c r="T191" s="2"/>
    </row>
    <row r="192" spans="1:29" ht="15.75" customHeight="1">
      <c r="A192" s="1"/>
      <c r="B192" s="2"/>
      <c r="C192" s="2"/>
      <c r="D192" s="2"/>
      <c r="E192" s="2"/>
      <c r="F192" s="2"/>
      <c r="G192" s="2"/>
      <c r="H192" s="2"/>
      <c r="I192" s="2"/>
      <c r="J192" s="2"/>
      <c r="K192" s="2"/>
      <c r="L192" s="2"/>
      <c r="M192" s="2"/>
      <c r="N192" s="2"/>
      <c r="O192" s="2"/>
      <c r="P192" s="2"/>
      <c r="Q192" s="2"/>
      <c r="R192" s="2"/>
      <c r="S192" s="2"/>
      <c r="T192" s="2"/>
    </row>
    <row r="193" spans="1:20" ht="15.75" customHeight="1">
      <c r="A193" s="1"/>
      <c r="B193" s="2"/>
      <c r="C193" s="2"/>
      <c r="D193" s="2"/>
      <c r="E193" s="2"/>
      <c r="F193" s="2"/>
      <c r="G193" s="2"/>
      <c r="H193" s="2"/>
      <c r="I193" s="2"/>
      <c r="J193" s="2"/>
      <c r="K193" s="2"/>
      <c r="L193" s="2"/>
      <c r="M193" s="2"/>
      <c r="N193" s="2"/>
      <c r="O193" s="2"/>
      <c r="P193" s="2"/>
      <c r="Q193" s="2"/>
      <c r="R193" s="2"/>
      <c r="S193" s="2"/>
      <c r="T193" s="2"/>
    </row>
    <row r="194" spans="1:20" ht="15.75" customHeight="1">
      <c r="A194" s="1"/>
      <c r="B194" s="2"/>
      <c r="C194" s="2"/>
      <c r="D194" s="2"/>
      <c r="E194" s="2"/>
      <c r="F194" s="2"/>
      <c r="G194" s="2"/>
      <c r="H194" s="2"/>
      <c r="I194" s="2"/>
      <c r="J194" s="2"/>
      <c r="K194" s="2"/>
      <c r="L194" s="2"/>
      <c r="M194" s="2"/>
      <c r="N194" s="2"/>
      <c r="O194" s="2"/>
      <c r="P194" s="2"/>
      <c r="Q194" s="2"/>
      <c r="R194" s="2"/>
      <c r="S194" s="2"/>
      <c r="T194" s="2"/>
    </row>
    <row r="195" spans="1:20" ht="15.75" customHeight="1">
      <c r="A195" s="1"/>
      <c r="B195" s="2"/>
      <c r="C195" s="2"/>
      <c r="D195" s="2"/>
      <c r="E195" s="2"/>
      <c r="F195" s="2"/>
      <c r="G195" s="2"/>
      <c r="H195" s="2"/>
      <c r="I195" s="2"/>
      <c r="J195" s="2"/>
      <c r="K195" s="2"/>
      <c r="L195" s="2"/>
      <c r="M195" s="2"/>
      <c r="N195" s="2"/>
      <c r="O195" s="2"/>
      <c r="P195" s="2"/>
      <c r="Q195" s="2"/>
      <c r="R195" s="2"/>
      <c r="S195" s="2"/>
      <c r="T195" s="2"/>
    </row>
    <row r="196" spans="1:20" ht="15.75" customHeight="1">
      <c r="A196" s="1"/>
      <c r="B196" s="2"/>
      <c r="C196" s="2"/>
      <c r="D196" s="2"/>
      <c r="E196" s="2"/>
      <c r="F196" s="2"/>
      <c r="G196" s="2"/>
      <c r="H196" s="2"/>
      <c r="I196" s="2"/>
      <c r="J196" s="2"/>
      <c r="K196" s="2"/>
      <c r="L196" s="2"/>
      <c r="M196" s="2"/>
      <c r="N196" s="2"/>
      <c r="O196" s="2"/>
      <c r="P196" s="2"/>
      <c r="Q196" s="2"/>
      <c r="R196" s="2"/>
      <c r="S196" s="2"/>
      <c r="T196" s="2"/>
    </row>
    <row r="197" spans="1:20" ht="15.75" customHeight="1">
      <c r="A197" s="1"/>
      <c r="B197" s="2"/>
      <c r="C197" s="2"/>
      <c r="D197" s="2"/>
      <c r="E197" s="2"/>
      <c r="F197" s="2"/>
      <c r="G197" s="2"/>
      <c r="H197" s="2"/>
      <c r="I197" s="2"/>
      <c r="J197" s="2"/>
      <c r="K197" s="2"/>
      <c r="L197" s="2"/>
      <c r="M197" s="2"/>
      <c r="N197" s="2"/>
      <c r="O197" s="2"/>
      <c r="P197" s="2"/>
      <c r="Q197" s="2"/>
      <c r="R197" s="2"/>
      <c r="S197" s="2"/>
      <c r="T197" s="2"/>
    </row>
    <row r="198" spans="1:20" ht="15.75" customHeight="1">
      <c r="A198" s="1"/>
      <c r="B198" s="2"/>
      <c r="C198" s="2"/>
      <c r="D198" s="2"/>
      <c r="E198" s="2"/>
      <c r="F198" s="2"/>
      <c r="G198" s="2"/>
      <c r="H198" s="2"/>
      <c r="I198" s="2"/>
      <c r="J198" s="2"/>
      <c r="K198" s="2"/>
      <c r="L198" s="2"/>
      <c r="M198" s="2"/>
      <c r="N198" s="2"/>
      <c r="O198" s="2"/>
      <c r="P198" s="2"/>
      <c r="Q198" s="2"/>
      <c r="R198" s="2"/>
      <c r="S198" s="2"/>
      <c r="T198" s="2"/>
    </row>
    <row r="199" spans="1:20" ht="15.75" customHeight="1">
      <c r="A199" s="1"/>
      <c r="B199" s="2"/>
      <c r="C199" s="2"/>
      <c r="D199" s="2"/>
      <c r="E199" s="2"/>
      <c r="F199" s="2"/>
      <c r="G199" s="2"/>
      <c r="H199" s="2"/>
      <c r="I199" s="2"/>
      <c r="J199" s="2"/>
      <c r="K199" s="2"/>
      <c r="L199" s="2"/>
      <c r="M199" s="2"/>
      <c r="N199" s="2"/>
      <c r="O199" s="2"/>
      <c r="P199" s="2"/>
      <c r="Q199" s="2"/>
      <c r="R199" s="2"/>
      <c r="S199" s="2"/>
      <c r="T199" s="2"/>
    </row>
    <row r="200" spans="1:20" ht="15.75" customHeight="1">
      <c r="A200" s="1"/>
      <c r="B200" s="2"/>
      <c r="C200" s="2"/>
      <c r="D200" s="2"/>
      <c r="E200" s="2"/>
      <c r="F200" s="2"/>
      <c r="G200" s="2"/>
      <c r="H200" s="2"/>
      <c r="I200" s="2"/>
      <c r="J200" s="2"/>
      <c r="K200" s="2"/>
      <c r="L200" s="2"/>
      <c r="M200" s="2"/>
      <c r="N200" s="2"/>
      <c r="O200" s="2"/>
      <c r="P200" s="2"/>
      <c r="Q200" s="2"/>
      <c r="R200" s="2"/>
      <c r="S200" s="2"/>
      <c r="T200" s="2"/>
    </row>
    <row r="201" spans="1:20" ht="15.75" customHeight="1">
      <c r="A201" s="1"/>
      <c r="B201" s="2"/>
      <c r="C201" s="2"/>
      <c r="D201" s="2"/>
      <c r="E201" s="2"/>
      <c r="F201" s="2"/>
      <c r="G201" s="2"/>
      <c r="H201" s="2"/>
      <c r="I201" s="2"/>
      <c r="J201" s="2"/>
      <c r="K201" s="2"/>
      <c r="L201" s="2"/>
      <c r="M201" s="2"/>
      <c r="N201" s="2"/>
      <c r="O201" s="2"/>
      <c r="P201" s="2"/>
      <c r="Q201" s="2"/>
      <c r="R201" s="2"/>
      <c r="S201" s="2"/>
      <c r="T201" s="2"/>
    </row>
    <row r="202" spans="1:20" ht="15.75" customHeight="1">
      <c r="A202" s="1"/>
      <c r="B202" s="2"/>
      <c r="C202" s="2"/>
      <c r="D202" s="2"/>
      <c r="E202" s="2"/>
      <c r="F202" s="2"/>
      <c r="G202" s="2"/>
      <c r="H202" s="2"/>
      <c r="I202" s="2"/>
      <c r="J202" s="2"/>
      <c r="K202" s="2"/>
      <c r="L202" s="2"/>
      <c r="M202" s="2"/>
      <c r="N202" s="2"/>
      <c r="O202" s="2"/>
      <c r="P202" s="2"/>
      <c r="Q202" s="2"/>
      <c r="R202" s="2"/>
      <c r="S202" s="2"/>
      <c r="T202" s="2"/>
    </row>
    <row r="203" spans="1:20" ht="15.75" customHeight="1">
      <c r="A203" s="1"/>
      <c r="B203" s="2"/>
      <c r="C203" s="2"/>
      <c r="D203" s="2"/>
      <c r="E203" s="2"/>
      <c r="F203" s="2"/>
      <c r="G203" s="2"/>
      <c r="H203" s="2"/>
      <c r="I203" s="2"/>
      <c r="J203" s="2"/>
      <c r="K203" s="2"/>
      <c r="L203" s="2"/>
      <c r="M203" s="2"/>
      <c r="N203" s="2"/>
      <c r="O203" s="2"/>
      <c r="P203" s="2"/>
      <c r="Q203" s="2"/>
      <c r="R203" s="2"/>
      <c r="S203" s="2"/>
      <c r="T203" s="2"/>
    </row>
    <row r="204" spans="1:20" ht="15.75" customHeight="1">
      <c r="A204" s="1"/>
      <c r="B204" s="2"/>
      <c r="C204" s="2"/>
      <c r="D204" s="2"/>
      <c r="E204" s="2"/>
      <c r="F204" s="2"/>
      <c r="G204" s="2"/>
      <c r="H204" s="2"/>
      <c r="I204" s="2"/>
      <c r="J204" s="2"/>
      <c r="K204" s="2"/>
      <c r="L204" s="2"/>
      <c r="M204" s="2"/>
      <c r="N204" s="2"/>
      <c r="O204" s="2"/>
      <c r="P204" s="2"/>
      <c r="Q204" s="2"/>
      <c r="R204" s="2"/>
      <c r="S204" s="2"/>
      <c r="T204" s="2"/>
    </row>
    <row r="205" spans="1:20" ht="15.75" customHeight="1">
      <c r="A205" s="1"/>
      <c r="B205" s="2"/>
      <c r="C205" s="2"/>
      <c r="D205" s="2"/>
      <c r="E205" s="2"/>
      <c r="F205" s="2"/>
      <c r="G205" s="2"/>
      <c r="H205" s="2"/>
      <c r="I205" s="2"/>
      <c r="J205" s="2"/>
      <c r="K205" s="2"/>
      <c r="L205" s="2"/>
      <c r="M205" s="2"/>
      <c r="N205" s="2"/>
      <c r="O205" s="2"/>
      <c r="P205" s="2"/>
      <c r="Q205" s="2"/>
      <c r="R205" s="2"/>
      <c r="S205" s="2"/>
      <c r="T205" s="2"/>
    </row>
    <row r="206" spans="1:20" ht="15.75" customHeight="1">
      <c r="A206" s="1"/>
      <c r="B206" s="2"/>
      <c r="C206" s="2"/>
      <c r="D206" s="2"/>
      <c r="E206" s="2"/>
      <c r="F206" s="2"/>
      <c r="G206" s="2"/>
      <c r="H206" s="2"/>
      <c r="I206" s="2"/>
      <c r="J206" s="2"/>
      <c r="K206" s="2"/>
      <c r="L206" s="2"/>
      <c r="M206" s="2"/>
      <c r="N206" s="2"/>
      <c r="O206" s="2"/>
      <c r="P206" s="2"/>
      <c r="Q206" s="2"/>
      <c r="R206" s="2"/>
      <c r="S206" s="2"/>
      <c r="T206" s="2"/>
    </row>
    <row r="207" spans="1:20" ht="15.75" customHeight="1">
      <c r="A207" s="1"/>
      <c r="B207" s="2"/>
      <c r="C207" s="2"/>
      <c r="D207" s="2"/>
      <c r="E207" s="2"/>
      <c r="F207" s="2"/>
      <c r="G207" s="2"/>
      <c r="H207" s="2"/>
      <c r="I207" s="2"/>
      <c r="J207" s="2"/>
      <c r="K207" s="2"/>
      <c r="L207" s="2"/>
      <c r="M207" s="2"/>
      <c r="N207" s="2"/>
      <c r="O207" s="2"/>
      <c r="P207" s="2"/>
      <c r="Q207" s="2"/>
      <c r="R207" s="2"/>
      <c r="S207" s="2"/>
      <c r="T207" s="2"/>
    </row>
    <row r="208" spans="1:20" ht="15.75" customHeight="1">
      <c r="A208" s="1"/>
      <c r="B208" s="2"/>
      <c r="C208" s="2"/>
      <c r="D208" s="2"/>
      <c r="E208" s="2"/>
      <c r="F208" s="2"/>
      <c r="G208" s="2"/>
      <c r="H208" s="2"/>
      <c r="I208" s="2"/>
      <c r="J208" s="2"/>
      <c r="K208" s="2"/>
      <c r="L208" s="2"/>
      <c r="M208" s="2"/>
      <c r="N208" s="2"/>
      <c r="O208" s="2"/>
      <c r="P208" s="2"/>
      <c r="Q208" s="2"/>
      <c r="R208" s="2"/>
      <c r="S208" s="2"/>
      <c r="T208" s="2"/>
    </row>
    <row r="209" spans="1:20" ht="15.75" customHeight="1">
      <c r="A209" s="1"/>
      <c r="B209" s="2"/>
      <c r="C209" s="2"/>
      <c r="D209" s="2"/>
      <c r="E209" s="2"/>
      <c r="F209" s="2"/>
      <c r="G209" s="2"/>
      <c r="H209" s="2"/>
      <c r="I209" s="2"/>
      <c r="J209" s="2"/>
      <c r="K209" s="2"/>
      <c r="L209" s="2"/>
      <c r="M209" s="2"/>
      <c r="N209" s="2"/>
      <c r="O209" s="2"/>
      <c r="P209" s="2"/>
      <c r="Q209" s="2"/>
      <c r="R209" s="2"/>
      <c r="S209" s="2"/>
      <c r="T209" s="2"/>
    </row>
    <row r="210" spans="1:20" ht="15.75" customHeight="1">
      <c r="A210" s="1"/>
      <c r="B210" s="2"/>
      <c r="C210" s="2"/>
      <c r="D210" s="2"/>
      <c r="E210" s="2"/>
      <c r="F210" s="2"/>
      <c r="G210" s="2"/>
      <c r="H210" s="2"/>
      <c r="I210" s="2"/>
      <c r="J210" s="2"/>
      <c r="K210" s="2"/>
      <c r="L210" s="2"/>
      <c r="M210" s="2"/>
      <c r="N210" s="2"/>
      <c r="O210" s="2"/>
      <c r="P210" s="2"/>
      <c r="Q210" s="2"/>
      <c r="R210" s="2"/>
      <c r="S210" s="2"/>
      <c r="T210" s="2"/>
    </row>
    <row r="211" spans="1:20" ht="15.75" customHeight="1">
      <c r="A211" s="1"/>
      <c r="B211" s="2"/>
      <c r="C211" s="2"/>
      <c r="D211" s="2"/>
      <c r="E211" s="2"/>
      <c r="F211" s="2"/>
      <c r="G211" s="2"/>
      <c r="H211" s="2"/>
      <c r="I211" s="2"/>
      <c r="J211" s="2"/>
      <c r="K211" s="2"/>
      <c r="L211" s="2"/>
      <c r="M211" s="2"/>
      <c r="N211" s="2"/>
      <c r="O211" s="2"/>
      <c r="P211" s="2"/>
      <c r="Q211" s="2"/>
      <c r="R211" s="2"/>
      <c r="S211" s="2"/>
      <c r="T211" s="2"/>
    </row>
    <row r="212" spans="1:20" ht="15.75" customHeight="1">
      <c r="A212" s="1"/>
      <c r="B212" s="2"/>
      <c r="C212" s="2"/>
      <c r="D212" s="2"/>
      <c r="E212" s="2"/>
      <c r="F212" s="2"/>
      <c r="G212" s="2"/>
      <c r="H212" s="2"/>
      <c r="I212" s="2"/>
      <c r="J212" s="2"/>
      <c r="K212" s="2"/>
      <c r="L212" s="2"/>
      <c r="M212" s="2"/>
      <c r="N212" s="2"/>
      <c r="O212" s="2"/>
      <c r="P212" s="2"/>
      <c r="Q212" s="2"/>
      <c r="R212" s="2"/>
      <c r="S212" s="2"/>
      <c r="T212" s="2"/>
    </row>
    <row r="213" spans="1:20" ht="15.75" customHeight="1">
      <c r="A213" s="1"/>
      <c r="B213" s="2"/>
      <c r="C213" s="2"/>
      <c r="D213" s="2"/>
      <c r="E213" s="2"/>
      <c r="F213" s="2"/>
      <c r="G213" s="2"/>
      <c r="H213" s="2"/>
      <c r="I213" s="2"/>
      <c r="J213" s="2"/>
      <c r="K213" s="2"/>
      <c r="L213" s="2"/>
      <c r="M213" s="2"/>
      <c r="N213" s="2"/>
      <c r="O213" s="2"/>
      <c r="P213" s="2"/>
      <c r="Q213" s="2"/>
      <c r="R213" s="2"/>
      <c r="S213" s="2"/>
      <c r="T213" s="2"/>
    </row>
    <row r="214" spans="1:20" ht="15.75" customHeight="1">
      <c r="A214" s="1"/>
      <c r="B214" s="2"/>
      <c r="C214" s="2"/>
      <c r="D214" s="2"/>
      <c r="E214" s="2"/>
      <c r="F214" s="2"/>
      <c r="G214" s="2"/>
      <c r="H214" s="2"/>
      <c r="I214" s="2"/>
      <c r="J214" s="2"/>
      <c r="K214" s="2"/>
      <c r="L214" s="2"/>
      <c r="M214" s="2"/>
      <c r="N214" s="2"/>
      <c r="O214" s="2"/>
      <c r="P214" s="2"/>
      <c r="Q214" s="2"/>
      <c r="R214" s="2"/>
      <c r="S214" s="2"/>
      <c r="T214" s="2"/>
    </row>
    <row r="215" spans="1:20" ht="15.75" customHeight="1">
      <c r="A215" s="1"/>
      <c r="B215" s="2"/>
      <c r="C215" s="2"/>
      <c r="D215" s="2"/>
      <c r="E215" s="2"/>
      <c r="F215" s="2"/>
      <c r="G215" s="2"/>
      <c r="H215" s="2"/>
      <c r="I215" s="2"/>
      <c r="J215" s="2"/>
      <c r="K215" s="2"/>
      <c r="L215" s="2"/>
      <c r="M215" s="2"/>
      <c r="N215" s="2"/>
      <c r="O215" s="2"/>
      <c r="P215" s="2"/>
      <c r="Q215" s="2"/>
      <c r="R215" s="2"/>
      <c r="S215" s="2"/>
      <c r="T215" s="2"/>
    </row>
    <row r="216" spans="1:20" ht="15.75" customHeight="1">
      <c r="A216" s="1"/>
      <c r="B216" s="2"/>
      <c r="C216" s="2"/>
      <c r="D216" s="2"/>
      <c r="E216" s="2"/>
      <c r="F216" s="2"/>
      <c r="G216" s="2"/>
      <c r="H216" s="2"/>
      <c r="I216" s="2"/>
      <c r="J216" s="2"/>
      <c r="K216" s="2"/>
      <c r="L216" s="2"/>
      <c r="M216" s="2"/>
      <c r="N216" s="2"/>
      <c r="O216" s="2"/>
      <c r="P216" s="2"/>
      <c r="Q216" s="2"/>
      <c r="R216" s="2"/>
      <c r="S216" s="2"/>
      <c r="T216" s="2"/>
    </row>
    <row r="217" spans="1:20" ht="15.75" customHeight="1">
      <c r="A217" s="1"/>
      <c r="B217" s="2"/>
      <c r="C217" s="2"/>
      <c r="D217" s="2"/>
      <c r="E217" s="2"/>
      <c r="F217" s="2"/>
      <c r="G217" s="2"/>
      <c r="H217" s="2"/>
      <c r="I217" s="2"/>
      <c r="J217" s="2"/>
      <c r="K217" s="2"/>
      <c r="L217" s="2"/>
      <c r="M217" s="2"/>
      <c r="N217" s="2"/>
      <c r="O217" s="2"/>
      <c r="P217" s="2"/>
      <c r="Q217" s="2"/>
      <c r="R217" s="2"/>
      <c r="S217" s="2"/>
      <c r="T217" s="2"/>
    </row>
    <row r="218" spans="1:20" ht="15.75" customHeight="1">
      <c r="A218" s="1"/>
      <c r="B218" s="2"/>
      <c r="C218" s="2"/>
      <c r="D218" s="2"/>
      <c r="E218" s="2"/>
      <c r="F218" s="2"/>
      <c r="G218" s="2"/>
      <c r="H218" s="2"/>
      <c r="I218" s="2"/>
      <c r="J218" s="2"/>
      <c r="K218" s="2"/>
      <c r="L218" s="2"/>
      <c r="M218" s="2"/>
      <c r="N218" s="2"/>
      <c r="O218" s="2"/>
      <c r="P218" s="2"/>
      <c r="Q218" s="2"/>
      <c r="R218" s="2"/>
      <c r="S218" s="2"/>
      <c r="T218" s="2"/>
    </row>
    <row r="219" spans="1:20" ht="15.75" customHeight="1">
      <c r="A219" s="1"/>
      <c r="B219" s="2"/>
      <c r="C219" s="2"/>
      <c r="D219" s="2"/>
      <c r="E219" s="2"/>
      <c r="F219" s="2"/>
      <c r="G219" s="2"/>
      <c r="H219" s="2"/>
      <c r="I219" s="2"/>
      <c r="J219" s="2"/>
      <c r="K219" s="2"/>
      <c r="L219" s="2"/>
      <c r="M219" s="2"/>
      <c r="N219" s="2"/>
      <c r="O219" s="2"/>
      <c r="P219" s="2"/>
      <c r="Q219" s="2"/>
      <c r="R219" s="2"/>
      <c r="S219" s="2"/>
      <c r="T219" s="2"/>
    </row>
    <row r="220" spans="1:20" ht="15.75" customHeight="1">
      <c r="A220" s="1"/>
      <c r="B220" s="2"/>
      <c r="C220" s="2"/>
      <c r="D220" s="2"/>
      <c r="E220" s="2"/>
      <c r="F220" s="2"/>
      <c r="G220" s="2"/>
      <c r="H220" s="2"/>
      <c r="I220" s="2"/>
      <c r="J220" s="2"/>
      <c r="K220" s="2"/>
      <c r="L220" s="2"/>
      <c r="M220" s="2"/>
      <c r="N220" s="2"/>
      <c r="O220" s="2"/>
      <c r="P220" s="2"/>
      <c r="Q220" s="2"/>
      <c r="R220" s="2"/>
      <c r="S220" s="2"/>
      <c r="T220" s="2"/>
    </row>
    <row r="221" spans="1:20" ht="15.75" customHeight="1">
      <c r="A221" s="1"/>
      <c r="B221" s="2"/>
      <c r="C221" s="2"/>
      <c r="D221" s="2"/>
      <c r="E221" s="2"/>
      <c r="F221" s="2"/>
      <c r="G221" s="2"/>
      <c r="H221" s="2"/>
      <c r="I221" s="2"/>
      <c r="J221" s="2"/>
      <c r="K221" s="2"/>
      <c r="L221" s="2"/>
      <c r="M221" s="2"/>
      <c r="N221" s="2"/>
      <c r="O221" s="2"/>
      <c r="P221" s="2"/>
      <c r="Q221" s="2"/>
      <c r="R221" s="2"/>
      <c r="S221" s="2"/>
      <c r="T221" s="2"/>
    </row>
    <row r="222" spans="1:20" ht="15.75" customHeight="1">
      <c r="A222" s="1"/>
      <c r="B222" s="2"/>
      <c r="C222" s="2"/>
      <c r="D222" s="2"/>
      <c r="E222" s="2"/>
      <c r="F222" s="2"/>
      <c r="G222" s="2"/>
      <c r="H222" s="2"/>
      <c r="I222" s="2"/>
      <c r="J222" s="2"/>
      <c r="K222" s="2"/>
      <c r="L222" s="2"/>
      <c r="M222" s="2"/>
      <c r="N222" s="2"/>
      <c r="O222" s="2"/>
      <c r="P222" s="2"/>
      <c r="Q222" s="2"/>
      <c r="R222" s="2"/>
      <c r="S222" s="2"/>
      <c r="T222" s="2"/>
    </row>
    <row r="223" spans="1:20" ht="15.75" customHeight="1">
      <c r="A223" s="1"/>
      <c r="B223" s="2"/>
      <c r="C223" s="2"/>
      <c r="D223" s="2"/>
      <c r="E223" s="2"/>
      <c r="F223" s="2"/>
      <c r="G223" s="2"/>
      <c r="H223" s="2"/>
      <c r="I223" s="2"/>
      <c r="J223" s="2"/>
      <c r="K223" s="2"/>
      <c r="L223" s="2"/>
      <c r="M223" s="2"/>
      <c r="N223" s="2"/>
      <c r="O223" s="2"/>
      <c r="P223" s="2"/>
      <c r="Q223" s="2"/>
      <c r="R223" s="2"/>
      <c r="S223" s="2"/>
      <c r="T223" s="2"/>
    </row>
    <row r="224" spans="1:20" ht="15.75" customHeight="1">
      <c r="A224" s="1"/>
      <c r="B224" s="2"/>
      <c r="C224" s="2"/>
      <c r="D224" s="2"/>
      <c r="E224" s="2"/>
      <c r="F224" s="2"/>
      <c r="G224" s="2"/>
      <c r="H224" s="2"/>
      <c r="I224" s="2"/>
      <c r="J224" s="2"/>
      <c r="K224" s="2"/>
      <c r="L224" s="2"/>
      <c r="M224" s="2"/>
      <c r="N224" s="2"/>
      <c r="O224" s="2"/>
      <c r="P224" s="2"/>
      <c r="Q224" s="2"/>
      <c r="R224" s="2"/>
      <c r="S224" s="2"/>
      <c r="T224" s="2"/>
    </row>
    <row r="225" spans="1:20" ht="15.75" customHeight="1">
      <c r="A225" s="1"/>
      <c r="B225" s="2"/>
      <c r="C225" s="2"/>
      <c r="D225" s="2"/>
      <c r="E225" s="2"/>
      <c r="F225" s="2"/>
      <c r="G225" s="2"/>
      <c r="H225" s="2"/>
      <c r="I225" s="2"/>
      <c r="J225" s="2"/>
      <c r="K225" s="2"/>
      <c r="L225" s="2"/>
      <c r="M225" s="2"/>
      <c r="N225" s="2"/>
      <c r="O225" s="2"/>
      <c r="P225" s="2"/>
      <c r="Q225" s="2"/>
      <c r="R225" s="2"/>
      <c r="S225" s="2"/>
      <c r="T225" s="2"/>
    </row>
    <row r="226" spans="1:20" ht="15.75" customHeight="1">
      <c r="A226" s="1"/>
      <c r="B226" s="2"/>
      <c r="C226" s="2"/>
      <c r="D226" s="2"/>
      <c r="E226" s="2"/>
      <c r="F226" s="2"/>
      <c r="G226" s="2"/>
      <c r="H226" s="2"/>
      <c r="I226" s="2"/>
      <c r="J226" s="2"/>
      <c r="K226" s="2"/>
      <c r="L226" s="2"/>
      <c r="M226" s="2"/>
      <c r="N226" s="2"/>
      <c r="O226" s="2"/>
      <c r="P226" s="2"/>
      <c r="Q226" s="2"/>
      <c r="R226" s="2"/>
      <c r="S226" s="2"/>
      <c r="T226" s="2"/>
    </row>
    <row r="227" spans="1:20" ht="15.75" customHeight="1">
      <c r="A227" s="1"/>
      <c r="B227" s="2"/>
      <c r="C227" s="2"/>
      <c r="D227" s="2"/>
      <c r="E227" s="2"/>
      <c r="F227" s="2"/>
      <c r="G227" s="2"/>
      <c r="H227" s="2"/>
      <c r="I227" s="2"/>
      <c r="J227" s="2"/>
      <c r="K227" s="2"/>
      <c r="L227" s="2"/>
      <c r="M227" s="2"/>
      <c r="N227" s="2"/>
      <c r="O227" s="2"/>
      <c r="P227" s="2"/>
      <c r="Q227" s="2"/>
      <c r="R227" s="2"/>
      <c r="S227" s="2"/>
      <c r="T227" s="2"/>
    </row>
    <row r="228" spans="1:20" ht="15.75" customHeight="1">
      <c r="A228" s="1"/>
      <c r="B228" s="2"/>
      <c r="C228" s="2"/>
      <c r="D228" s="2"/>
      <c r="E228" s="2"/>
      <c r="F228" s="2"/>
      <c r="G228" s="2"/>
      <c r="H228" s="2"/>
      <c r="I228" s="2"/>
      <c r="J228" s="2"/>
      <c r="K228" s="2"/>
      <c r="L228" s="2"/>
      <c r="M228" s="2"/>
      <c r="N228" s="2"/>
      <c r="O228" s="2"/>
      <c r="P228" s="2"/>
      <c r="Q228" s="2"/>
      <c r="R228" s="2"/>
      <c r="S228" s="2"/>
      <c r="T228" s="2"/>
    </row>
    <row r="229" spans="1:20" ht="15.75" customHeight="1">
      <c r="A229" s="1"/>
      <c r="B229" s="2"/>
      <c r="C229" s="2"/>
      <c r="D229" s="2"/>
      <c r="E229" s="2"/>
      <c r="F229" s="2"/>
      <c r="G229" s="2"/>
      <c r="H229" s="2"/>
      <c r="I229" s="2"/>
      <c r="J229" s="2"/>
      <c r="K229" s="2"/>
      <c r="L229" s="2"/>
      <c r="M229" s="2"/>
      <c r="N229" s="2"/>
      <c r="O229" s="2"/>
      <c r="P229" s="2"/>
      <c r="Q229" s="2"/>
      <c r="R229" s="2"/>
      <c r="S229" s="2"/>
      <c r="T229" s="2"/>
    </row>
    <row r="230" spans="1:20" ht="15.75" customHeight="1">
      <c r="A230" s="1"/>
      <c r="B230" s="2"/>
      <c r="C230" s="2"/>
      <c r="D230" s="2"/>
      <c r="E230" s="2"/>
      <c r="F230" s="2"/>
      <c r="G230" s="2"/>
      <c r="H230" s="2"/>
      <c r="I230" s="2"/>
      <c r="J230" s="2"/>
      <c r="K230" s="2"/>
      <c r="L230" s="2"/>
      <c r="M230" s="2"/>
      <c r="N230" s="2"/>
      <c r="O230" s="2"/>
      <c r="P230" s="2"/>
      <c r="Q230" s="2"/>
      <c r="R230" s="2"/>
      <c r="S230" s="2"/>
      <c r="T230" s="2"/>
    </row>
    <row r="231" spans="1:20" ht="15.75" customHeight="1">
      <c r="A231" s="1"/>
      <c r="B231" s="2"/>
      <c r="C231" s="2"/>
      <c r="D231" s="2"/>
      <c r="E231" s="2"/>
      <c r="F231" s="2"/>
      <c r="G231" s="2"/>
      <c r="H231" s="2"/>
      <c r="I231" s="2"/>
      <c r="J231" s="2"/>
      <c r="K231" s="2"/>
      <c r="L231" s="2"/>
      <c r="M231" s="2"/>
      <c r="N231" s="2"/>
      <c r="O231" s="2"/>
      <c r="P231" s="2"/>
      <c r="Q231" s="2"/>
      <c r="R231" s="2"/>
      <c r="S231" s="2"/>
      <c r="T231" s="2"/>
    </row>
    <row r="232" spans="1:20" ht="15.75" customHeight="1">
      <c r="A232" s="1"/>
      <c r="B232" s="2"/>
      <c r="C232" s="2"/>
      <c r="D232" s="2"/>
      <c r="E232" s="2"/>
      <c r="F232" s="2"/>
      <c r="G232" s="2"/>
      <c r="H232" s="2"/>
      <c r="I232" s="2"/>
      <c r="J232" s="2"/>
      <c r="K232" s="2"/>
      <c r="L232" s="2"/>
      <c r="M232" s="2"/>
      <c r="N232" s="2"/>
      <c r="O232" s="2"/>
      <c r="P232" s="2"/>
      <c r="Q232" s="2"/>
      <c r="R232" s="2"/>
      <c r="S232" s="2"/>
      <c r="T232" s="2"/>
    </row>
    <row r="233" spans="1:20" ht="15.75" customHeight="1">
      <c r="A233" s="1"/>
      <c r="B233" s="2"/>
      <c r="C233" s="2"/>
      <c r="D233" s="2"/>
      <c r="E233" s="2"/>
      <c r="F233" s="2"/>
      <c r="G233" s="2"/>
      <c r="H233" s="2"/>
      <c r="I233" s="2"/>
      <c r="J233" s="2"/>
      <c r="K233" s="2"/>
      <c r="L233" s="2"/>
      <c r="M233" s="2"/>
      <c r="N233" s="2"/>
      <c r="O233" s="2"/>
      <c r="P233" s="2"/>
      <c r="Q233" s="2"/>
      <c r="R233" s="2"/>
      <c r="S233" s="2"/>
      <c r="T233" s="2"/>
    </row>
    <row r="234" spans="1:20" ht="15.75" customHeight="1">
      <c r="A234" s="1"/>
      <c r="B234" s="2"/>
      <c r="C234" s="2"/>
      <c r="D234" s="2"/>
      <c r="E234" s="2"/>
      <c r="F234" s="2"/>
      <c r="G234" s="2"/>
      <c r="H234" s="2"/>
      <c r="I234" s="2"/>
      <c r="J234" s="2"/>
      <c r="K234" s="2"/>
      <c r="L234" s="2"/>
      <c r="M234" s="2"/>
      <c r="N234" s="2"/>
      <c r="O234" s="2"/>
      <c r="P234" s="2"/>
      <c r="Q234" s="2"/>
      <c r="R234" s="2"/>
      <c r="S234" s="2"/>
      <c r="T234" s="2"/>
    </row>
    <row r="235" spans="1:20" ht="15.75" customHeight="1">
      <c r="A235" s="1"/>
      <c r="B235" s="2"/>
      <c r="C235" s="2"/>
      <c r="D235" s="2"/>
      <c r="E235" s="2"/>
      <c r="F235" s="2"/>
      <c r="G235" s="2"/>
      <c r="H235" s="2"/>
      <c r="I235" s="2"/>
      <c r="J235" s="2"/>
      <c r="K235" s="2"/>
      <c r="L235" s="2"/>
      <c r="M235" s="2"/>
      <c r="N235" s="2"/>
      <c r="O235" s="2"/>
      <c r="P235" s="2"/>
      <c r="Q235" s="2"/>
      <c r="R235" s="2"/>
      <c r="S235" s="2"/>
      <c r="T235" s="2"/>
    </row>
    <row r="236" spans="1:20" ht="15.75" customHeight="1">
      <c r="A236" s="1"/>
      <c r="B236" s="2"/>
      <c r="C236" s="2"/>
      <c r="D236" s="2"/>
      <c r="E236" s="2"/>
      <c r="F236" s="2"/>
      <c r="G236" s="2"/>
      <c r="H236" s="2"/>
      <c r="I236" s="2"/>
      <c r="J236" s="2"/>
      <c r="K236" s="2"/>
      <c r="L236" s="2"/>
      <c r="M236" s="2"/>
      <c r="N236" s="2"/>
      <c r="O236" s="2"/>
      <c r="P236" s="2"/>
      <c r="Q236" s="2"/>
      <c r="R236" s="2"/>
      <c r="S236" s="2"/>
      <c r="T236" s="2"/>
    </row>
    <row r="237" spans="1:20" ht="15.75" customHeight="1">
      <c r="A237" s="1"/>
      <c r="B237" s="2"/>
      <c r="C237" s="2"/>
      <c r="D237" s="2"/>
      <c r="E237" s="2"/>
      <c r="F237" s="2"/>
      <c r="G237" s="2"/>
      <c r="H237" s="2"/>
      <c r="I237" s="2"/>
      <c r="J237" s="2"/>
      <c r="K237" s="2"/>
      <c r="L237" s="2"/>
      <c r="M237" s="2"/>
      <c r="N237" s="2"/>
      <c r="O237" s="2"/>
      <c r="P237" s="2"/>
      <c r="Q237" s="2"/>
      <c r="R237" s="2"/>
      <c r="S237" s="2"/>
      <c r="T237" s="2"/>
    </row>
    <row r="238" spans="1:20" ht="15.75" customHeight="1">
      <c r="A238" s="1"/>
      <c r="B238" s="2"/>
      <c r="C238" s="2"/>
      <c r="D238" s="2"/>
      <c r="E238" s="2"/>
      <c r="F238" s="2"/>
      <c r="G238" s="2"/>
      <c r="H238" s="2"/>
      <c r="I238" s="2"/>
      <c r="J238" s="2"/>
      <c r="K238" s="2"/>
      <c r="L238" s="2"/>
      <c r="M238" s="2"/>
      <c r="N238" s="2"/>
      <c r="O238" s="2"/>
      <c r="P238" s="2"/>
      <c r="Q238" s="2"/>
      <c r="R238" s="2"/>
      <c r="S238" s="2"/>
      <c r="T238" s="2"/>
    </row>
    <row r="239" spans="1:20" ht="15.75" customHeight="1">
      <c r="A239" s="1"/>
      <c r="B239" s="2"/>
      <c r="C239" s="2"/>
      <c r="D239" s="2"/>
      <c r="E239" s="2"/>
      <c r="F239" s="2"/>
      <c r="G239" s="2"/>
      <c r="H239" s="2"/>
      <c r="I239" s="2"/>
      <c r="J239" s="2"/>
      <c r="K239" s="2"/>
      <c r="L239" s="2"/>
      <c r="M239" s="2"/>
      <c r="N239" s="2"/>
      <c r="O239" s="2"/>
      <c r="P239" s="2"/>
      <c r="Q239" s="2"/>
      <c r="R239" s="2"/>
      <c r="S239" s="2"/>
      <c r="T239" s="2"/>
    </row>
    <row r="240" spans="1:20" ht="15.75" customHeight="1">
      <c r="A240" s="1"/>
      <c r="B240" s="2"/>
      <c r="C240" s="2"/>
      <c r="D240" s="2"/>
      <c r="E240" s="2"/>
      <c r="F240" s="2"/>
      <c r="G240" s="2"/>
      <c r="H240" s="2"/>
      <c r="I240" s="2"/>
      <c r="J240" s="2"/>
      <c r="K240" s="2"/>
      <c r="L240" s="2"/>
      <c r="M240" s="2"/>
      <c r="N240" s="2"/>
      <c r="O240" s="2"/>
      <c r="P240" s="2"/>
      <c r="Q240" s="2"/>
      <c r="R240" s="2"/>
      <c r="S240" s="2"/>
      <c r="T240" s="2"/>
    </row>
    <row r="241" spans="1:20" ht="15.75" customHeight="1">
      <c r="A241" s="1"/>
      <c r="B241" s="2"/>
      <c r="C241" s="2"/>
      <c r="D241" s="2"/>
      <c r="E241" s="2"/>
      <c r="F241" s="2"/>
      <c r="G241" s="2"/>
      <c r="H241" s="2"/>
      <c r="I241" s="2"/>
      <c r="J241" s="2"/>
      <c r="K241" s="2"/>
      <c r="L241" s="2"/>
      <c r="M241" s="2"/>
      <c r="N241" s="2"/>
      <c r="O241" s="2"/>
      <c r="P241" s="2"/>
      <c r="Q241" s="2"/>
      <c r="R241" s="2"/>
      <c r="S241" s="2"/>
      <c r="T241" s="2"/>
    </row>
    <row r="242" spans="1:20" ht="15.75" customHeight="1">
      <c r="A242" s="1"/>
      <c r="B242" s="2"/>
      <c r="C242" s="2"/>
      <c r="D242" s="2"/>
      <c r="E242" s="2"/>
      <c r="F242" s="2"/>
      <c r="G242" s="2"/>
      <c r="H242" s="2"/>
      <c r="I242" s="2"/>
      <c r="J242" s="2"/>
      <c r="K242" s="2"/>
      <c r="L242" s="2"/>
      <c r="M242" s="2"/>
      <c r="N242" s="2"/>
      <c r="O242" s="2"/>
      <c r="P242" s="2"/>
      <c r="Q242" s="2"/>
      <c r="R242" s="2"/>
      <c r="S242" s="2"/>
      <c r="T242" s="2"/>
    </row>
    <row r="243" spans="1:20" ht="15.75" customHeight="1">
      <c r="A243" s="1"/>
      <c r="B243" s="2"/>
      <c r="C243" s="2"/>
      <c r="D243" s="2"/>
      <c r="E243" s="2"/>
      <c r="F243" s="2"/>
      <c r="G243" s="2"/>
      <c r="H243" s="2"/>
      <c r="I243" s="2"/>
      <c r="J243" s="2"/>
      <c r="K243" s="2"/>
      <c r="L243" s="2"/>
      <c r="M243" s="2"/>
      <c r="N243" s="2"/>
      <c r="O243" s="2"/>
      <c r="P243" s="2"/>
      <c r="Q243" s="2"/>
      <c r="R243" s="2"/>
      <c r="S243" s="2"/>
      <c r="T243" s="2"/>
    </row>
    <row r="244" spans="1:20" ht="15.75" customHeight="1">
      <c r="A244" s="1"/>
      <c r="B244" s="2"/>
      <c r="C244" s="2"/>
      <c r="D244" s="2"/>
      <c r="E244" s="2"/>
      <c r="F244" s="2"/>
      <c r="G244" s="2"/>
      <c r="H244" s="2"/>
      <c r="I244" s="2"/>
      <c r="J244" s="2"/>
      <c r="K244" s="2"/>
      <c r="L244" s="2"/>
      <c r="M244" s="2"/>
      <c r="N244" s="2"/>
      <c r="O244" s="2"/>
      <c r="P244" s="2"/>
      <c r="Q244" s="2"/>
      <c r="R244" s="2"/>
      <c r="S244" s="2"/>
      <c r="T244" s="2"/>
    </row>
    <row r="245" spans="1:20" ht="15.75" customHeight="1">
      <c r="A245" s="1"/>
      <c r="B245" s="2"/>
      <c r="C245" s="2"/>
      <c r="D245" s="2"/>
      <c r="E245" s="2"/>
      <c r="F245" s="2"/>
      <c r="G245" s="2"/>
      <c r="H245" s="2"/>
      <c r="I245" s="2"/>
      <c r="J245" s="2"/>
      <c r="K245" s="2"/>
      <c r="L245" s="2"/>
      <c r="M245" s="2"/>
      <c r="N245" s="2"/>
      <c r="O245" s="2"/>
      <c r="P245" s="2"/>
      <c r="Q245" s="2"/>
      <c r="R245" s="2"/>
      <c r="S245" s="2"/>
      <c r="T245" s="2"/>
    </row>
    <row r="246" spans="1:20" ht="15.75" customHeight="1">
      <c r="A246" s="1"/>
      <c r="B246" s="2"/>
      <c r="C246" s="2"/>
      <c r="D246" s="2"/>
      <c r="E246" s="2"/>
      <c r="F246" s="2"/>
      <c r="G246" s="2"/>
      <c r="H246" s="2"/>
      <c r="I246" s="2"/>
      <c r="J246" s="2"/>
      <c r="K246" s="2"/>
      <c r="L246" s="2"/>
      <c r="M246" s="2"/>
      <c r="N246" s="2"/>
      <c r="O246" s="2"/>
      <c r="P246" s="2"/>
      <c r="Q246" s="2"/>
      <c r="R246" s="2"/>
      <c r="S246" s="2"/>
      <c r="T246" s="2"/>
    </row>
    <row r="247" spans="1:20" ht="15.75" customHeight="1">
      <c r="A247" s="1"/>
      <c r="B247" s="2"/>
      <c r="C247" s="2"/>
      <c r="D247" s="2"/>
      <c r="E247" s="2"/>
      <c r="F247" s="2"/>
      <c r="G247" s="2"/>
      <c r="H247" s="2"/>
      <c r="I247" s="2"/>
      <c r="J247" s="2"/>
      <c r="K247" s="2"/>
      <c r="L247" s="2"/>
      <c r="M247" s="2"/>
      <c r="N247" s="2"/>
      <c r="O247" s="2"/>
      <c r="P247" s="2"/>
      <c r="Q247" s="2"/>
      <c r="R247" s="2"/>
      <c r="S247" s="2"/>
      <c r="T247" s="2"/>
    </row>
    <row r="248" spans="1:20" ht="15.75" customHeight="1">
      <c r="A248" s="1"/>
      <c r="B248" s="2"/>
      <c r="C248" s="2"/>
      <c r="D248" s="2"/>
      <c r="E248" s="2"/>
      <c r="F248" s="2"/>
      <c r="G248" s="2"/>
      <c r="H248" s="2"/>
      <c r="I248" s="2"/>
      <c r="J248" s="2"/>
      <c r="K248" s="2"/>
      <c r="L248" s="2"/>
      <c r="M248" s="2"/>
      <c r="N248" s="2"/>
      <c r="O248" s="2"/>
      <c r="P248" s="2"/>
      <c r="Q248" s="2"/>
      <c r="R248" s="2"/>
      <c r="S248" s="2"/>
      <c r="T248" s="2"/>
    </row>
    <row r="249" spans="1:20" ht="15.75" customHeight="1">
      <c r="A249" s="1"/>
      <c r="B249" s="2"/>
      <c r="C249" s="2"/>
      <c r="D249" s="2"/>
      <c r="E249" s="2"/>
      <c r="F249" s="2"/>
      <c r="G249" s="2"/>
      <c r="H249" s="2"/>
      <c r="I249" s="2"/>
      <c r="J249" s="2"/>
      <c r="K249" s="2"/>
      <c r="L249" s="2"/>
      <c r="M249" s="2"/>
      <c r="N249" s="2"/>
      <c r="O249" s="2"/>
      <c r="P249" s="2"/>
      <c r="Q249" s="2"/>
      <c r="R249" s="2"/>
      <c r="S249" s="2"/>
      <c r="T249" s="2"/>
    </row>
    <row r="250" spans="1:20" ht="15.75" customHeight="1">
      <c r="A250" s="1"/>
      <c r="B250" s="2"/>
      <c r="C250" s="2"/>
      <c r="D250" s="2"/>
      <c r="E250" s="2"/>
      <c r="F250" s="2"/>
      <c r="G250" s="2"/>
      <c r="H250" s="2"/>
      <c r="I250" s="2"/>
      <c r="J250" s="2"/>
      <c r="K250" s="2"/>
      <c r="L250" s="2"/>
      <c r="M250" s="2"/>
      <c r="N250" s="2"/>
      <c r="O250" s="2"/>
      <c r="P250" s="2"/>
      <c r="Q250" s="2"/>
      <c r="R250" s="2"/>
      <c r="S250" s="2"/>
      <c r="T250" s="2"/>
    </row>
    <row r="251" spans="1:20" ht="15.75" customHeight="1">
      <c r="A251" s="1"/>
      <c r="B251" s="2"/>
      <c r="C251" s="2"/>
      <c r="D251" s="2"/>
      <c r="E251" s="2"/>
      <c r="F251" s="2"/>
      <c r="G251" s="2"/>
      <c r="H251" s="2"/>
      <c r="I251" s="2"/>
      <c r="J251" s="2"/>
      <c r="K251" s="2"/>
      <c r="L251" s="2"/>
      <c r="M251" s="2"/>
      <c r="N251" s="2"/>
      <c r="O251" s="2"/>
      <c r="P251" s="2"/>
      <c r="Q251" s="2"/>
      <c r="R251" s="2"/>
      <c r="S251" s="2"/>
      <c r="T251" s="2"/>
    </row>
    <row r="252" spans="1:20" ht="15.75" customHeight="1">
      <c r="A252" s="1"/>
      <c r="B252" s="2"/>
      <c r="C252" s="2"/>
      <c r="D252" s="2"/>
      <c r="E252" s="2"/>
      <c r="F252" s="2"/>
      <c r="G252" s="2"/>
      <c r="H252" s="2"/>
      <c r="I252" s="2"/>
      <c r="J252" s="2"/>
      <c r="K252" s="2"/>
      <c r="L252" s="2"/>
      <c r="M252" s="2"/>
      <c r="N252" s="2"/>
      <c r="O252" s="2"/>
      <c r="P252" s="2"/>
      <c r="Q252" s="2"/>
      <c r="R252" s="2"/>
      <c r="S252" s="2"/>
      <c r="T252" s="2"/>
    </row>
    <row r="253" spans="1:20" ht="15.75" customHeight="1">
      <c r="A253" s="1"/>
      <c r="B253" s="2"/>
      <c r="C253" s="2"/>
      <c r="D253" s="2"/>
      <c r="E253" s="2"/>
      <c r="F253" s="2"/>
      <c r="G253" s="2"/>
      <c r="H253" s="2"/>
      <c r="I253" s="2"/>
      <c r="J253" s="2"/>
      <c r="K253" s="2"/>
      <c r="L253" s="2"/>
      <c r="M253" s="2"/>
      <c r="N253" s="2"/>
      <c r="O253" s="2"/>
      <c r="P253" s="2"/>
      <c r="Q253" s="2"/>
      <c r="R253" s="2"/>
      <c r="S253" s="2"/>
      <c r="T253" s="2"/>
    </row>
    <row r="254" spans="1:20" ht="15.75" customHeight="1">
      <c r="A254" s="1"/>
      <c r="B254" s="2"/>
      <c r="C254" s="2"/>
      <c r="D254" s="2"/>
      <c r="E254" s="2"/>
      <c r="F254" s="2"/>
      <c r="G254" s="2"/>
      <c r="H254" s="2"/>
      <c r="I254" s="2"/>
      <c r="J254" s="2"/>
      <c r="K254" s="2"/>
      <c r="L254" s="2"/>
      <c r="M254" s="2"/>
      <c r="N254" s="2"/>
      <c r="O254" s="2"/>
      <c r="P254" s="2"/>
      <c r="Q254" s="2"/>
      <c r="R254" s="2"/>
      <c r="S254" s="2"/>
      <c r="T254" s="2"/>
    </row>
    <row r="255" spans="1:20" ht="15.75" customHeight="1">
      <c r="A255" s="1"/>
      <c r="B255" s="2"/>
      <c r="C255" s="2"/>
      <c r="D255" s="2"/>
      <c r="E255" s="2"/>
      <c r="F255" s="2"/>
      <c r="G255" s="2"/>
      <c r="H255" s="2"/>
      <c r="I255" s="2"/>
      <c r="J255" s="2"/>
      <c r="K255" s="2"/>
      <c r="L255" s="2"/>
      <c r="M255" s="2"/>
      <c r="N255" s="2"/>
      <c r="O255" s="2"/>
      <c r="P255" s="2"/>
      <c r="Q255" s="2"/>
      <c r="R255" s="2"/>
      <c r="S255" s="2"/>
      <c r="T255" s="2"/>
    </row>
    <row r="256" spans="1:20" ht="15.75" customHeight="1">
      <c r="A256" s="1"/>
      <c r="B256" s="2"/>
      <c r="C256" s="2"/>
      <c r="D256" s="2"/>
      <c r="E256" s="2"/>
      <c r="F256" s="2"/>
      <c r="G256" s="2"/>
      <c r="H256" s="2"/>
      <c r="I256" s="2"/>
      <c r="J256" s="2"/>
      <c r="K256" s="2"/>
      <c r="L256" s="2"/>
      <c r="M256" s="2"/>
      <c r="N256" s="2"/>
      <c r="O256" s="2"/>
      <c r="P256" s="2"/>
      <c r="Q256" s="2"/>
      <c r="R256" s="2"/>
      <c r="S256" s="2"/>
      <c r="T256" s="2"/>
    </row>
    <row r="257" spans="1:20" ht="15.75" customHeight="1">
      <c r="A257" s="1"/>
      <c r="B257" s="2"/>
      <c r="C257" s="2"/>
      <c r="D257" s="2"/>
      <c r="E257" s="2"/>
      <c r="F257" s="2"/>
      <c r="G257" s="2"/>
      <c r="H257" s="2"/>
      <c r="I257" s="2"/>
      <c r="J257" s="2"/>
      <c r="K257" s="2"/>
      <c r="L257" s="2"/>
      <c r="M257" s="2"/>
      <c r="N257" s="2"/>
      <c r="O257" s="2"/>
      <c r="P257" s="2"/>
      <c r="Q257" s="2"/>
      <c r="R257" s="2"/>
      <c r="S257" s="2"/>
      <c r="T257" s="2"/>
    </row>
    <row r="258" spans="1:20" ht="15.75" customHeight="1">
      <c r="A258" s="1"/>
      <c r="B258" s="2"/>
      <c r="C258" s="2"/>
      <c r="D258" s="2"/>
      <c r="E258" s="2"/>
      <c r="F258" s="2"/>
      <c r="G258" s="2"/>
      <c r="H258" s="2"/>
      <c r="I258" s="2"/>
      <c r="J258" s="2"/>
      <c r="K258" s="2"/>
      <c r="L258" s="2"/>
      <c r="M258" s="2"/>
      <c r="N258" s="2"/>
      <c r="O258" s="2"/>
      <c r="P258" s="2"/>
      <c r="Q258" s="2"/>
      <c r="R258" s="2"/>
      <c r="S258" s="2"/>
      <c r="T258" s="2"/>
    </row>
    <row r="259" spans="1:20" ht="15.75" customHeight="1">
      <c r="A259" s="1"/>
      <c r="B259" s="2"/>
      <c r="C259" s="2"/>
      <c r="D259" s="2"/>
      <c r="E259" s="2"/>
      <c r="F259" s="2"/>
      <c r="G259" s="2"/>
      <c r="H259" s="2"/>
      <c r="I259" s="2"/>
      <c r="J259" s="2"/>
      <c r="K259" s="2"/>
      <c r="L259" s="2"/>
      <c r="M259" s="2"/>
      <c r="N259" s="2"/>
      <c r="O259" s="2"/>
      <c r="P259" s="2"/>
      <c r="Q259" s="2"/>
      <c r="R259" s="2"/>
      <c r="S259" s="2"/>
      <c r="T259" s="2"/>
    </row>
    <row r="260" spans="1:20" ht="15.75" customHeight="1">
      <c r="A260" s="1"/>
      <c r="B260" s="2"/>
      <c r="C260" s="2"/>
      <c r="D260" s="2"/>
      <c r="E260" s="2"/>
      <c r="F260" s="2"/>
      <c r="G260" s="2"/>
      <c r="H260" s="2"/>
      <c r="I260" s="2"/>
      <c r="J260" s="2"/>
      <c r="K260" s="2"/>
      <c r="L260" s="2"/>
      <c r="M260" s="2"/>
      <c r="N260" s="2"/>
      <c r="O260" s="2"/>
      <c r="P260" s="2"/>
      <c r="Q260" s="2"/>
      <c r="R260" s="2"/>
      <c r="S260" s="2"/>
      <c r="T260" s="2"/>
    </row>
    <row r="261" spans="1:20" ht="15.75" customHeight="1">
      <c r="A261" s="1"/>
      <c r="B261" s="2"/>
      <c r="C261" s="2"/>
      <c r="D261" s="2"/>
      <c r="E261" s="2"/>
      <c r="F261" s="2"/>
      <c r="G261" s="2"/>
      <c r="H261" s="2"/>
      <c r="I261" s="2"/>
      <c r="J261" s="2"/>
      <c r="K261" s="2"/>
      <c r="L261" s="2"/>
      <c r="M261" s="2"/>
      <c r="N261" s="2"/>
      <c r="O261" s="2"/>
      <c r="P261" s="2"/>
      <c r="Q261" s="2"/>
      <c r="R261" s="2"/>
      <c r="S261" s="2"/>
      <c r="T261" s="2"/>
    </row>
    <row r="262" spans="1:20" ht="15.75" customHeight="1">
      <c r="A262" s="1"/>
      <c r="B262" s="2"/>
      <c r="C262" s="2"/>
      <c r="D262" s="2"/>
      <c r="E262" s="2"/>
      <c r="F262" s="2"/>
      <c r="G262" s="2"/>
      <c r="H262" s="2"/>
      <c r="I262" s="2"/>
      <c r="J262" s="2"/>
      <c r="K262" s="2"/>
      <c r="L262" s="2"/>
      <c r="M262" s="2"/>
      <c r="N262" s="2"/>
      <c r="O262" s="2"/>
      <c r="P262" s="2"/>
      <c r="Q262" s="2"/>
      <c r="R262" s="2"/>
      <c r="S262" s="2"/>
      <c r="T262" s="2"/>
    </row>
    <row r="263" spans="1:20" ht="15.75" customHeight="1">
      <c r="A263" s="1"/>
      <c r="B263" s="2"/>
      <c r="C263" s="2"/>
      <c r="D263" s="2"/>
      <c r="E263" s="2"/>
      <c r="F263" s="2"/>
      <c r="G263" s="2"/>
      <c r="H263" s="2"/>
      <c r="I263" s="2"/>
      <c r="J263" s="2"/>
      <c r="K263" s="2"/>
      <c r="L263" s="2"/>
      <c r="M263" s="2"/>
      <c r="N263" s="2"/>
      <c r="O263" s="2"/>
      <c r="P263" s="2"/>
      <c r="Q263" s="2"/>
      <c r="R263" s="2"/>
      <c r="S263" s="2"/>
      <c r="T263" s="2"/>
    </row>
    <row r="264" spans="1:20" ht="15.75" customHeight="1">
      <c r="A264" s="1"/>
      <c r="B264" s="2"/>
      <c r="C264" s="2"/>
      <c r="D264" s="2"/>
      <c r="E264" s="2"/>
      <c r="F264" s="2"/>
      <c r="G264" s="2"/>
      <c r="H264" s="2"/>
      <c r="I264" s="2"/>
      <c r="J264" s="2"/>
      <c r="K264" s="2"/>
      <c r="L264" s="2"/>
      <c r="M264" s="2"/>
      <c r="N264" s="2"/>
      <c r="O264" s="2"/>
      <c r="P264" s="2"/>
      <c r="Q264" s="2"/>
      <c r="R264" s="2"/>
      <c r="S264" s="2"/>
      <c r="T264" s="2"/>
    </row>
    <row r="265" spans="1:20" ht="15.75" customHeight="1">
      <c r="A265" s="1"/>
      <c r="B265" s="2"/>
      <c r="C265" s="2"/>
      <c r="D265" s="2"/>
      <c r="E265" s="2"/>
      <c r="F265" s="2"/>
      <c r="G265" s="2"/>
      <c r="H265" s="2"/>
      <c r="I265" s="2"/>
      <c r="J265" s="2"/>
      <c r="K265" s="2"/>
      <c r="L265" s="2"/>
      <c r="M265" s="2"/>
      <c r="N265" s="2"/>
      <c r="O265" s="2"/>
      <c r="P265" s="2"/>
      <c r="Q265" s="2"/>
      <c r="R265" s="2"/>
      <c r="S265" s="2"/>
      <c r="T265" s="2"/>
    </row>
    <row r="266" spans="1:20" ht="15.75" customHeight="1">
      <c r="A266" s="1"/>
      <c r="B266" s="2"/>
      <c r="C266" s="2"/>
      <c r="D266" s="2"/>
      <c r="E266" s="2"/>
      <c r="F266" s="2"/>
      <c r="G266" s="2"/>
      <c r="H266" s="2"/>
      <c r="I266" s="2"/>
      <c r="J266" s="2"/>
      <c r="K266" s="2"/>
      <c r="L266" s="2"/>
      <c r="M266" s="2"/>
      <c r="N266" s="2"/>
      <c r="O266" s="2"/>
      <c r="P266" s="2"/>
      <c r="Q266" s="2"/>
      <c r="R266" s="2"/>
      <c r="S266" s="2"/>
      <c r="T266" s="2"/>
    </row>
    <row r="267" spans="1:20" ht="15.75" customHeight="1">
      <c r="A267" s="1"/>
      <c r="B267" s="2"/>
      <c r="C267" s="2"/>
      <c r="D267" s="2"/>
      <c r="E267" s="2"/>
      <c r="F267" s="2"/>
      <c r="G267" s="2"/>
      <c r="H267" s="2"/>
      <c r="I267" s="2"/>
      <c r="J267" s="2"/>
      <c r="K267" s="2"/>
      <c r="L267" s="2"/>
      <c r="M267" s="2"/>
      <c r="N267" s="2"/>
      <c r="O267" s="2"/>
      <c r="P267" s="2"/>
      <c r="Q267" s="2"/>
      <c r="R267" s="2"/>
      <c r="S267" s="2"/>
      <c r="T267" s="2"/>
    </row>
    <row r="268" spans="1:20" ht="15.75" customHeight="1">
      <c r="A268" s="1"/>
      <c r="B268" s="2"/>
      <c r="C268" s="2"/>
      <c r="D268" s="2"/>
      <c r="E268" s="2"/>
      <c r="F268" s="2"/>
      <c r="G268" s="2"/>
      <c r="H268" s="2"/>
      <c r="I268" s="2"/>
      <c r="J268" s="2"/>
      <c r="K268" s="2"/>
      <c r="L268" s="2"/>
      <c r="M268" s="2"/>
      <c r="N268" s="2"/>
      <c r="O268" s="2"/>
      <c r="P268" s="2"/>
      <c r="Q268" s="2"/>
      <c r="R268" s="2"/>
      <c r="S268" s="2"/>
      <c r="T268" s="2"/>
    </row>
    <row r="269" spans="1:20" ht="15.75" customHeight="1">
      <c r="A269" s="1"/>
      <c r="B269" s="2"/>
      <c r="C269" s="2"/>
      <c r="D269" s="2"/>
      <c r="E269" s="2"/>
      <c r="F269" s="2"/>
      <c r="G269" s="2"/>
      <c r="H269" s="2"/>
      <c r="I269" s="2"/>
      <c r="J269" s="2"/>
      <c r="K269" s="2"/>
      <c r="L269" s="2"/>
      <c r="M269" s="2"/>
      <c r="N269" s="2"/>
      <c r="O269" s="2"/>
      <c r="P269" s="2"/>
      <c r="Q269" s="2"/>
      <c r="R269" s="2"/>
      <c r="S269" s="2"/>
      <c r="T269" s="2"/>
    </row>
    <row r="270" spans="1:20" ht="15.75" customHeight="1">
      <c r="A270" s="1"/>
      <c r="B270" s="2"/>
      <c r="C270" s="2"/>
      <c r="D270" s="2"/>
      <c r="E270" s="2"/>
      <c r="F270" s="2"/>
      <c r="G270" s="2"/>
      <c r="H270" s="2"/>
      <c r="I270" s="2"/>
      <c r="J270" s="2"/>
      <c r="K270" s="2"/>
      <c r="L270" s="2"/>
      <c r="M270" s="2"/>
      <c r="N270" s="2"/>
      <c r="O270" s="2"/>
      <c r="P270" s="2"/>
      <c r="Q270" s="2"/>
      <c r="R270" s="2"/>
      <c r="S270" s="2"/>
      <c r="T270" s="2"/>
    </row>
    <row r="271" spans="1:20" ht="15.75" customHeight="1">
      <c r="A271" s="1"/>
      <c r="B271" s="2"/>
      <c r="C271" s="2"/>
      <c r="D271" s="2"/>
      <c r="E271" s="2"/>
      <c r="F271" s="2"/>
      <c r="G271" s="2"/>
      <c r="H271" s="2"/>
      <c r="I271" s="2"/>
      <c r="J271" s="2"/>
      <c r="K271" s="2"/>
      <c r="L271" s="2"/>
      <c r="M271" s="2"/>
      <c r="N271" s="2"/>
      <c r="O271" s="2"/>
      <c r="P271" s="2"/>
      <c r="Q271" s="2"/>
      <c r="R271" s="2"/>
      <c r="S271" s="2"/>
      <c r="T271" s="2"/>
    </row>
    <row r="272" spans="1:20" ht="15.75" customHeight="1">
      <c r="A272" s="1"/>
      <c r="B272" s="2"/>
      <c r="C272" s="2"/>
      <c r="D272" s="2"/>
      <c r="E272" s="2"/>
      <c r="F272" s="2"/>
      <c r="G272" s="2"/>
      <c r="H272" s="2"/>
      <c r="I272" s="2"/>
      <c r="J272" s="2"/>
      <c r="K272" s="2"/>
      <c r="L272" s="2"/>
      <c r="M272" s="2"/>
      <c r="N272" s="2"/>
      <c r="O272" s="2"/>
      <c r="P272" s="2"/>
      <c r="Q272" s="2"/>
      <c r="R272" s="2"/>
      <c r="S272" s="2"/>
      <c r="T272" s="2"/>
    </row>
    <row r="273" spans="1:20" ht="15.75" customHeight="1">
      <c r="A273" s="1"/>
      <c r="B273" s="2"/>
      <c r="C273" s="2"/>
      <c r="D273" s="2"/>
      <c r="E273" s="2"/>
      <c r="F273" s="2"/>
      <c r="G273" s="2"/>
      <c r="H273" s="2"/>
      <c r="I273" s="2"/>
      <c r="J273" s="2"/>
      <c r="K273" s="2"/>
      <c r="L273" s="2"/>
      <c r="M273" s="2"/>
      <c r="N273" s="2"/>
      <c r="O273" s="2"/>
      <c r="P273" s="2"/>
      <c r="Q273" s="2"/>
      <c r="R273" s="2"/>
      <c r="S273" s="2"/>
      <c r="T273" s="2"/>
    </row>
    <row r="274" spans="1:20" ht="15.75" customHeight="1">
      <c r="A274" s="1"/>
      <c r="B274" s="2"/>
      <c r="C274" s="2"/>
      <c r="D274" s="2"/>
      <c r="E274" s="2"/>
      <c r="F274" s="2"/>
      <c r="G274" s="2"/>
      <c r="H274" s="2"/>
      <c r="I274" s="2"/>
      <c r="J274" s="2"/>
      <c r="K274" s="2"/>
      <c r="L274" s="2"/>
      <c r="M274" s="2"/>
      <c r="N274" s="2"/>
      <c r="O274" s="2"/>
      <c r="P274" s="2"/>
      <c r="Q274" s="2"/>
      <c r="R274" s="2"/>
      <c r="S274" s="2"/>
      <c r="T274" s="2"/>
    </row>
    <row r="275" spans="1:20" ht="15.75" customHeight="1">
      <c r="A275" s="1"/>
      <c r="B275" s="2"/>
      <c r="C275" s="2"/>
      <c r="D275" s="2"/>
      <c r="E275" s="2"/>
      <c r="F275" s="2"/>
      <c r="G275" s="2"/>
      <c r="H275" s="2"/>
      <c r="I275" s="2"/>
      <c r="J275" s="2"/>
      <c r="K275" s="2"/>
      <c r="L275" s="2"/>
      <c r="M275" s="2"/>
      <c r="N275" s="2"/>
      <c r="O275" s="2"/>
      <c r="P275" s="2"/>
      <c r="Q275" s="2"/>
      <c r="R275" s="2"/>
      <c r="S275" s="2"/>
      <c r="T275" s="2"/>
    </row>
    <row r="276" spans="1:20" ht="15.75" customHeight="1">
      <c r="A276" s="1"/>
      <c r="B276" s="2"/>
      <c r="C276" s="2"/>
      <c r="D276" s="2"/>
      <c r="E276" s="2"/>
      <c r="F276" s="2"/>
      <c r="G276" s="2"/>
      <c r="H276" s="2"/>
      <c r="I276" s="2"/>
      <c r="J276" s="2"/>
      <c r="K276" s="2"/>
      <c r="L276" s="2"/>
      <c r="M276" s="2"/>
      <c r="N276" s="2"/>
      <c r="O276" s="2"/>
      <c r="P276" s="2"/>
      <c r="Q276" s="2"/>
      <c r="R276" s="2"/>
      <c r="S276" s="2"/>
      <c r="T276" s="2"/>
    </row>
    <row r="277" spans="1:20" ht="15.75" customHeight="1">
      <c r="A277" s="1"/>
      <c r="B277" s="2"/>
      <c r="C277" s="2"/>
      <c r="D277" s="2"/>
      <c r="E277" s="2"/>
      <c r="F277" s="2"/>
      <c r="G277" s="2"/>
      <c r="H277" s="2"/>
      <c r="I277" s="2"/>
      <c r="J277" s="2"/>
      <c r="K277" s="2"/>
      <c r="L277" s="2"/>
      <c r="M277" s="2"/>
      <c r="N277" s="2"/>
      <c r="O277" s="2"/>
      <c r="P277" s="2"/>
      <c r="Q277" s="2"/>
      <c r="R277" s="2"/>
      <c r="S277" s="2"/>
      <c r="T277" s="2"/>
    </row>
    <row r="278" spans="1:20" ht="15.75" customHeight="1">
      <c r="A278" s="1"/>
      <c r="B278" s="2"/>
      <c r="C278" s="2"/>
      <c r="D278" s="2"/>
      <c r="E278" s="2"/>
      <c r="F278" s="2"/>
      <c r="G278" s="2"/>
      <c r="H278" s="2"/>
      <c r="I278" s="2"/>
      <c r="J278" s="2"/>
      <c r="K278" s="2"/>
      <c r="L278" s="2"/>
      <c r="M278" s="2"/>
      <c r="N278" s="2"/>
      <c r="O278" s="2"/>
      <c r="P278" s="2"/>
      <c r="Q278" s="2"/>
      <c r="R278" s="2"/>
      <c r="S278" s="2"/>
      <c r="T278" s="2"/>
    </row>
    <row r="279" spans="1:20" ht="15.75" customHeight="1">
      <c r="A279" s="1"/>
      <c r="B279" s="2"/>
      <c r="C279" s="2"/>
      <c r="D279" s="2"/>
      <c r="E279" s="2"/>
      <c r="F279" s="2"/>
      <c r="G279" s="2"/>
      <c r="H279" s="2"/>
      <c r="I279" s="2"/>
      <c r="J279" s="2"/>
      <c r="K279" s="2"/>
      <c r="L279" s="2"/>
      <c r="M279" s="2"/>
      <c r="N279" s="2"/>
      <c r="O279" s="2"/>
      <c r="P279" s="2"/>
      <c r="Q279" s="2"/>
      <c r="R279" s="2"/>
      <c r="S279" s="2"/>
      <c r="T279" s="2"/>
    </row>
    <row r="280" spans="1:20" ht="15.75" customHeight="1">
      <c r="A280" s="1"/>
      <c r="B280" s="2"/>
      <c r="C280" s="2"/>
      <c r="D280" s="2"/>
      <c r="E280" s="2"/>
      <c r="F280" s="2"/>
      <c r="G280" s="2"/>
      <c r="H280" s="2"/>
      <c r="I280" s="2"/>
      <c r="J280" s="2"/>
      <c r="K280" s="2"/>
      <c r="L280" s="2"/>
      <c r="M280" s="2"/>
      <c r="N280" s="2"/>
      <c r="O280" s="2"/>
      <c r="P280" s="2"/>
      <c r="Q280" s="2"/>
      <c r="R280" s="2"/>
      <c r="S280" s="2"/>
      <c r="T280" s="2"/>
    </row>
    <row r="281" spans="1:20" ht="15.75" customHeight="1">
      <c r="A281" s="1"/>
      <c r="B281" s="2"/>
      <c r="C281" s="2"/>
      <c r="D281" s="2"/>
      <c r="E281" s="2"/>
      <c r="F281" s="2"/>
      <c r="G281" s="2"/>
      <c r="H281" s="2"/>
      <c r="I281" s="2"/>
      <c r="J281" s="2"/>
      <c r="K281" s="2"/>
      <c r="L281" s="2"/>
      <c r="M281" s="2"/>
      <c r="N281" s="2"/>
      <c r="O281" s="2"/>
      <c r="P281" s="2"/>
      <c r="Q281" s="2"/>
      <c r="R281" s="2"/>
      <c r="S281" s="2"/>
      <c r="T281" s="2"/>
    </row>
    <row r="282" spans="1:20" ht="15.75" customHeight="1">
      <c r="A282" s="1"/>
      <c r="B282" s="2"/>
      <c r="C282" s="2"/>
      <c r="D282" s="2"/>
      <c r="E282" s="2"/>
      <c r="F282" s="2"/>
      <c r="G282" s="2"/>
      <c r="H282" s="2"/>
      <c r="I282" s="2"/>
      <c r="J282" s="2"/>
      <c r="K282" s="2"/>
      <c r="L282" s="2"/>
      <c r="M282" s="2"/>
      <c r="N282" s="2"/>
      <c r="O282" s="2"/>
      <c r="P282" s="2"/>
      <c r="Q282" s="2"/>
      <c r="R282" s="2"/>
      <c r="S282" s="2"/>
      <c r="T282" s="2"/>
    </row>
    <row r="283" spans="1:20" ht="15.75" customHeight="1">
      <c r="A283" s="1"/>
      <c r="B283" s="2"/>
      <c r="C283" s="2"/>
      <c r="D283" s="2"/>
      <c r="E283" s="2"/>
      <c r="F283" s="2"/>
      <c r="G283" s="2"/>
      <c r="H283" s="2"/>
      <c r="I283" s="2"/>
      <c r="J283" s="2"/>
      <c r="K283" s="2"/>
      <c r="L283" s="2"/>
      <c r="M283" s="2"/>
      <c r="N283" s="2"/>
      <c r="O283" s="2"/>
      <c r="P283" s="2"/>
      <c r="Q283" s="2"/>
      <c r="R283" s="2"/>
      <c r="S283" s="2"/>
      <c r="T283" s="2"/>
    </row>
    <row r="284" spans="1:20" ht="15.75" customHeight="1">
      <c r="A284" s="1"/>
      <c r="B284" s="2"/>
      <c r="C284" s="2"/>
      <c r="D284" s="2"/>
      <c r="E284" s="2"/>
      <c r="F284" s="2"/>
      <c r="G284" s="2"/>
      <c r="H284" s="2"/>
      <c r="I284" s="2"/>
      <c r="J284" s="2"/>
      <c r="K284" s="2"/>
      <c r="L284" s="2"/>
      <c r="M284" s="2"/>
      <c r="N284" s="2"/>
      <c r="O284" s="2"/>
      <c r="P284" s="2"/>
      <c r="Q284" s="2"/>
      <c r="R284" s="2"/>
      <c r="S284" s="2"/>
      <c r="T284" s="2"/>
    </row>
    <row r="285" spans="1:20" ht="15.75" customHeight="1">
      <c r="A285" s="1"/>
      <c r="B285" s="2"/>
      <c r="C285" s="2"/>
      <c r="D285" s="2"/>
      <c r="E285" s="2"/>
      <c r="F285" s="2"/>
      <c r="G285" s="2"/>
      <c r="H285" s="2"/>
      <c r="I285" s="2"/>
      <c r="J285" s="2"/>
      <c r="K285" s="2"/>
      <c r="L285" s="2"/>
      <c r="M285" s="2"/>
      <c r="N285" s="2"/>
      <c r="O285" s="2"/>
      <c r="P285" s="2"/>
      <c r="Q285" s="2"/>
      <c r="R285" s="2"/>
      <c r="S285" s="2"/>
      <c r="T285" s="2"/>
    </row>
    <row r="286" spans="1:20" ht="15.75" customHeight="1">
      <c r="A286" s="1"/>
      <c r="B286" s="2"/>
      <c r="C286" s="2"/>
      <c r="D286" s="2"/>
      <c r="E286" s="2"/>
      <c r="F286" s="2"/>
      <c r="G286" s="2"/>
      <c r="H286" s="2"/>
      <c r="I286" s="2"/>
      <c r="J286" s="2"/>
      <c r="K286" s="2"/>
      <c r="L286" s="2"/>
      <c r="M286" s="2"/>
      <c r="N286" s="2"/>
      <c r="O286" s="2"/>
      <c r="P286" s="2"/>
      <c r="Q286" s="2"/>
      <c r="R286" s="2"/>
      <c r="S286" s="2"/>
      <c r="T286" s="2"/>
    </row>
    <row r="287" spans="1:20" ht="15.75" customHeight="1">
      <c r="A287" s="1"/>
      <c r="B287" s="2"/>
      <c r="C287" s="2"/>
      <c r="D287" s="2"/>
      <c r="E287" s="2"/>
      <c r="F287" s="2"/>
      <c r="G287" s="2"/>
      <c r="H287" s="2"/>
      <c r="I287" s="2"/>
      <c r="J287" s="2"/>
      <c r="K287" s="2"/>
      <c r="L287" s="2"/>
      <c r="M287" s="2"/>
      <c r="N287" s="2"/>
      <c r="O287" s="2"/>
      <c r="P287" s="2"/>
      <c r="Q287" s="2"/>
      <c r="R287" s="2"/>
      <c r="S287" s="2"/>
      <c r="T287" s="2"/>
    </row>
    <row r="288" spans="1:20" ht="15.75" customHeight="1">
      <c r="A288" s="1"/>
      <c r="B288" s="2"/>
      <c r="C288" s="2"/>
      <c r="D288" s="2"/>
      <c r="E288" s="2"/>
      <c r="F288" s="2"/>
      <c r="G288" s="2"/>
      <c r="H288" s="2"/>
      <c r="I288" s="2"/>
      <c r="J288" s="2"/>
      <c r="K288" s="2"/>
      <c r="L288" s="2"/>
      <c r="M288" s="2"/>
      <c r="N288" s="2"/>
      <c r="O288" s="2"/>
      <c r="P288" s="2"/>
      <c r="Q288" s="2"/>
      <c r="R288" s="2"/>
      <c r="S288" s="2"/>
      <c r="T288" s="2"/>
    </row>
    <row r="289" spans="1:20" ht="15.75" customHeight="1">
      <c r="A289" s="1"/>
      <c r="B289" s="2"/>
      <c r="C289" s="2"/>
      <c r="D289" s="2"/>
      <c r="E289" s="2"/>
      <c r="F289" s="2"/>
      <c r="G289" s="2"/>
      <c r="H289" s="2"/>
      <c r="I289" s="2"/>
      <c r="J289" s="2"/>
      <c r="K289" s="2"/>
      <c r="L289" s="2"/>
      <c r="M289" s="2"/>
      <c r="N289" s="2"/>
      <c r="O289" s="2"/>
      <c r="P289" s="2"/>
      <c r="Q289" s="2"/>
      <c r="R289" s="2"/>
      <c r="S289" s="2"/>
      <c r="T289" s="2"/>
    </row>
    <row r="290" spans="1:20" ht="15.75" customHeight="1">
      <c r="A290" s="1"/>
      <c r="B290" s="2"/>
      <c r="C290" s="2"/>
      <c r="D290" s="2"/>
      <c r="E290" s="2"/>
      <c r="F290" s="2"/>
      <c r="G290" s="2"/>
      <c r="H290" s="2"/>
      <c r="I290" s="2"/>
      <c r="J290" s="2"/>
      <c r="K290" s="2"/>
      <c r="L290" s="2"/>
      <c r="M290" s="2"/>
      <c r="N290" s="2"/>
      <c r="O290" s="2"/>
      <c r="P290" s="2"/>
      <c r="Q290" s="2"/>
      <c r="R290" s="2"/>
      <c r="S290" s="2"/>
      <c r="T290" s="2"/>
    </row>
    <row r="291" spans="1:20" ht="15.75" customHeight="1">
      <c r="A291" s="1"/>
      <c r="B291" s="2"/>
      <c r="C291" s="2"/>
      <c r="D291" s="2"/>
      <c r="E291" s="2"/>
      <c r="F291" s="2"/>
      <c r="G291" s="2"/>
      <c r="H291" s="2"/>
      <c r="I291" s="2"/>
      <c r="J291" s="2"/>
      <c r="K291" s="2"/>
      <c r="L291" s="2"/>
      <c r="M291" s="2"/>
      <c r="N291" s="2"/>
      <c r="O291" s="2"/>
      <c r="P291" s="2"/>
      <c r="Q291" s="2"/>
      <c r="R291" s="2"/>
      <c r="S291" s="2"/>
      <c r="T291" s="2"/>
    </row>
    <row r="292" spans="1:20" ht="15.75" customHeight="1">
      <c r="A292" s="1"/>
      <c r="B292" s="2"/>
      <c r="C292" s="2"/>
      <c r="D292" s="2"/>
      <c r="E292" s="2"/>
      <c r="F292" s="2"/>
      <c r="G292" s="2"/>
      <c r="H292" s="2"/>
      <c r="I292" s="2"/>
      <c r="J292" s="2"/>
      <c r="K292" s="2"/>
      <c r="L292" s="2"/>
      <c r="M292" s="2"/>
      <c r="N292" s="2"/>
      <c r="O292" s="2"/>
      <c r="P292" s="2"/>
      <c r="Q292" s="2"/>
      <c r="R292" s="2"/>
      <c r="S292" s="2"/>
      <c r="T292" s="2"/>
    </row>
    <row r="293" spans="1:20" ht="15.75" customHeight="1">
      <c r="A293" s="1"/>
      <c r="B293" s="2"/>
      <c r="C293" s="2"/>
      <c r="D293" s="2"/>
      <c r="E293" s="2"/>
      <c r="F293" s="2"/>
      <c r="G293" s="2"/>
      <c r="H293" s="2"/>
      <c r="I293" s="2"/>
      <c r="J293" s="2"/>
      <c r="K293" s="2"/>
      <c r="L293" s="2"/>
      <c r="M293" s="2"/>
      <c r="N293" s="2"/>
      <c r="O293" s="2"/>
      <c r="P293" s="2"/>
      <c r="Q293" s="2"/>
      <c r="R293" s="2"/>
      <c r="S293" s="2"/>
      <c r="T293" s="2"/>
    </row>
    <row r="294" spans="1:20" ht="15.75" customHeight="1">
      <c r="A294" s="1"/>
      <c r="B294" s="2"/>
      <c r="C294" s="2"/>
      <c r="D294" s="2"/>
      <c r="E294" s="2"/>
      <c r="F294" s="2"/>
      <c r="G294" s="2"/>
      <c r="H294" s="2"/>
      <c r="I294" s="2"/>
      <c r="J294" s="2"/>
      <c r="K294" s="2"/>
      <c r="L294" s="2"/>
      <c r="M294" s="2"/>
      <c r="N294" s="2"/>
      <c r="O294" s="2"/>
      <c r="P294" s="2"/>
      <c r="Q294" s="2"/>
      <c r="R294" s="2"/>
      <c r="S294" s="2"/>
      <c r="T294" s="2"/>
    </row>
    <row r="295" spans="1:20" ht="15.75" customHeight="1">
      <c r="A295" s="1"/>
      <c r="B295" s="2"/>
      <c r="C295" s="2"/>
      <c r="D295" s="2"/>
      <c r="E295" s="2"/>
      <c r="F295" s="2"/>
      <c r="G295" s="2"/>
      <c r="H295" s="2"/>
      <c r="I295" s="2"/>
      <c r="J295" s="2"/>
      <c r="K295" s="2"/>
      <c r="L295" s="2"/>
      <c r="M295" s="2"/>
      <c r="N295" s="2"/>
      <c r="O295" s="2"/>
      <c r="P295" s="2"/>
      <c r="Q295" s="2"/>
      <c r="R295" s="2"/>
      <c r="S295" s="2"/>
      <c r="T295" s="2"/>
    </row>
    <row r="296" spans="1:20" ht="15.75" customHeight="1">
      <c r="A296" s="1"/>
      <c r="B296" s="2"/>
      <c r="C296" s="2"/>
      <c r="D296" s="2"/>
      <c r="E296" s="2"/>
      <c r="F296" s="2"/>
      <c r="G296" s="2"/>
      <c r="H296" s="2"/>
      <c r="I296" s="2"/>
      <c r="J296" s="2"/>
      <c r="K296" s="2"/>
      <c r="L296" s="2"/>
      <c r="M296" s="2"/>
      <c r="N296" s="2"/>
      <c r="O296" s="2"/>
      <c r="P296" s="2"/>
      <c r="Q296" s="2"/>
      <c r="R296" s="2"/>
      <c r="S296" s="2"/>
      <c r="T296" s="2"/>
    </row>
    <row r="297" spans="1:20" ht="15.75" customHeight="1">
      <c r="A297" s="1"/>
      <c r="B297" s="2"/>
      <c r="C297" s="2"/>
      <c r="D297" s="2"/>
      <c r="E297" s="2"/>
      <c r="F297" s="2"/>
      <c r="G297" s="2"/>
      <c r="H297" s="2"/>
      <c r="I297" s="2"/>
      <c r="J297" s="2"/>
      <c r="K297" s="2"/>
      <c r="L297" s="2"/>
      <c r="M297" s="2"/>
      <c r="N297" s="2"/>
      <c r="O297" s="2"/>
      <c r="P297" s="2"/>
      <c r="Q297" s="2"/>
      <c r="R297" s="2"/>
      <c r="S297" s="2"/>
      <c r="T297" s="2"/>
    </row>
    <row r="298" spans="1:20" ht="15.75" customHeight="1">
      <c r="A298" s="1"/>
      <c r="B298" s="2"/>
      <c r="C298" s="2"/>
      <c r="D298" s="2"/>
      <c r="E298" s="2"/>
      <c r="F298" s="2"/>
      <c r="G298" s="2"/>
      <c r="H298" s="2"/>
      <c r="I298" s="2"/>
      <c r="J298" s="2"/>
      <c r="K298" s="2"/>
      <c r="L298" s="2"/>
      <c r="M298" s="2"/>
      <c r="N298" s="2"/>
      <c r="O298" s="2"/>
      <c r="P298" s="2"/>
      <c r="Q298" s="2"/>
      <c r="R298" s="2"/>
      <c r="S298" s="2"/>
      <c r="T298" s="2"/>
    </row>
    <row r="299" spans="1:20" ht="15.75" customHeight="1">
      <c r="A299" s="1"/>
      <c r="B299" s="2"/>
      <c r="C299" s="2"/>
      <c r="D299" s="2"/>
      <c r="E299" s="2"/>
      <c r="F299" s="2"/>
      <c r="G299" s="2"/>
      <c r="H299" s="2"/>
      <c r="I299" s="2"/>
      <c r="J299" s="2"/>
      <c r="K299" s="2"/>
      <c r="L299" s="2"/>
      <c r="M299" s="2"/>
      <c r="N299" s="2"/>
      <c r="O299" s="2"/>
      <c r="P299" s="2"/>
      <c r="Q299" s="2"/>
      <c r="R299" s="2"/>
      <c r="S299" s="2"/>
      <c r="T299" s="2"/>
    </row>
    <row r="300" spans="1:20" ht="15.75" customHeight="1">
      <c r="A300" s="1"/>
      <c r="B300" s="2"/>
      <c r="C300" s="2"/>
      <c r="D300" s="2"/>
      <c r="E300" s="2"/>
      <c r="F300" s="2"/>
      <c r="G300" s="2"/>
      <c r="H300" s="2"/>
      <c r="I300" s="2"/>
      <c r="J300" s="2"/>
      <c r="K300" s="2"/>
      <c r="L300" s="2"/>
      <c r="M300" s="2"/>
      <c r="N300" s="2"/>
      <c r="O300" s="2"/>
      <c r="P300" s="2"/>
      <c r="Q300" s="2"/>
      <c r="R300" s="2"/>
      <c r="S300" s="2"/>
      <c r="T300" s="2"/>
    </row>
    <row r="301" spans="1:20" ht="15.75" customHeight="1">
      <c r="A301" s="1"/>
      <c r="B301" s="2"/>
      <c r="C301" s="2"/>
      <c r="D301" s="2"/>
      <c r="E301" s="2"/>
      <c r="F301" s="2"/>
      <c r="G301" s="2"/>
      <c r="H301" s="2"/>
      <c r="I301" s="2"/>
      <c r="J301" s="2"/>
      <c r="K301" s="2"/>
      <c r="L301" s="2"/>
      <c r="M301" s="2"/>
      <c r="N301" s="2"/>
      <c r="O301" s="2"/>
      <c r="P301" s="2"/>
      <c r="Q301" s="2"/>
      <c r="R301" s="2"/>
      <c r="S301" s="2"/>
      <c r="T301" s="2"/>
    </row>
    <row r="302" spans="1:20" ht="15.75" customHeight="1">
      <c r="A302" s="1"/>
      <c r="B302" s="2"/>
      <c r="C302" s="2"/>
      <c r="D302" s="2"/>
      <c r="E302" s="2"/>
      <c r="F302" s="2"/>
      <c r="G302" s="2"/>
      <c r="H302" s="2"/>
      <c r="I302" s="2"/>
      <c r="J302" s="2"/>
      <c r="K302" s="2"/>
      <c r="L302" s="2"/>
      <c r="M302" s="2"/>
      <c r="N302" s="2"/>
      <c r="O302" s="2"/>
      <c r="P302" s="2"/>
      <c r="Q302" s="2"/>
      <c r="R302" s="2"/>
      <c r="S302" s="2"/>
      <c r="T302" s="2"/>
    </row>
    <row r="303" spans="1:20" ht="15.75" customHeight="1">
      <c r="A303" s="1"/>
      <c r="B303" s="2"/>
      <c r="C303" s="2"/>
      <c r="D303" s="2"/>
      <c r="E303" s="2"/>
      <c r="F303" s="2"/>
      <c r="G303" s="2"/>
      <c r="H303" s="2"/>
      <c r="I303" s="2"/>
      <c r="J303" s="2"/>
      <c r="K303" s="2"/>
      <c r="L303" s="2"/>
      <c r="M303" s="2"/>
      <c r="N303" s="2"/>
      <c r="O303" s="2"/>
      <c r="P303" s="2"/>
      <c r="Q303" s="2"/>
      <c r="R303" s="2"/>
      <c r="S303" s="2"/>
      <c r="T303" s="2"/>
    </row>
    <row r="304" spans="1:20" ht="15.75" customHeight="1">
      <c r="A304" s="1"/>
      <c r="B304" s="2"/>
      <c r="C304" s="2"/>
      <c r="D304" s="2"/>
      <c r="E304" s="2"/>
      <c r="F304" s="2"/>
      <c r="G304" s="2"/>
      <c r="H304" s="2"/>
      <c r="I304" s="2"/>
      <c r="J304" s="2"/>
      <c r="K304" s="2"/>
      <c r="L304" s="2"/>
      <c r="M304" s="2"/>
      <c r="N304" s="2"/>
      <c r="O304" s="2"/>
      <c r="P304" s="2"/>
      <c r="Q304" s="2"/>
      <c r="R304" s="2"/>
      <c r="S304" s="2"/>
      <c r="T304" s="2"/>
    </row>
    <row r="305" spans="1:20" ht="15.75" customHeight="1">
      <c r="A305" s="1"/>
      <c r="B305" s="2"/>
      <c r="C305" s="2"/>
      <c r="D305" s="2"/>
      <c r="E305" s="2"/>
      <c r="F305" s="2"/>
      <c r="G305" s="2"/>
      <c r="H305" s="2"/>
      <c r="I305" s="2"/>
      <c r="J305" s="2"/>
      <c r="K305" s="2"/>
      <c r="L305" s="2"/>
      <c r="M305" s="2"/>
      <c r="N305" s="2"/>
      <c r="O305" s="2"/>
      <c r="P305" s="2"/>
      <c r="Q305" s="2"/>
      <c r="R305" s="2"/>
      <c r="S305" s="2"/>
      <c r="T305" s="2"/>
    </row>
    <row r="306" spans="1:20" ht="15.75" customHeight="1">
      <c r="A306" s="1"/>
      <c r="B306" s="2"/>
      <c r="C306" s="2"/>
      <c r="D306" s="2"/>
      <c r="E306" s="2"/>
      <c r="F306" s="2"/>
      <c r="G306" s="2"/>
      <c r="H306" s="2"/>
      <c r="I306" s="2"/>
      <c r="J306" s="2"/>
      <c r="K306" s="2"/>
      <c r="L306" s="2"/>
      <c r="M306" s="2"/>
      <c r="N306" s="2"/>
      <c r="O306" s="2"/>
      <c r="P306" s="2"/>
      <c r="Q306" s="2"/>
      <c r="R306" s="2"/>
      <c r="S306" s="2"/>
      <c r="T306" s="2"/>
    </row>
    <row r="307" spans="1:20" ht="15.75" customHeight="1">
      <c r="A307" s="1"/>
      <c r="B307" s="2"/>
      <c r="C307" s="2"/>
      <c r="D307" s="2"/>
      <c r="E307" s="2"/>
      <c r="F307" s="2"/>
      <c r="G307" s="2"/>
      <c r="H307" s="2"/>
      <c r="I307" s="2"/>
      <c r="J307" s="2"/>
      <c r="K307" s="2"/>
      <c r="L307" s="2"/>
      <c r="M307" s="2"/>
      <c r="N307" s="2"/>
      <c r="O307" s="2"/>
      <c r="P307" s="2"/>
      <c r="Q307" s="2"/>
      <c r="R307" s="2"/>
      <c r="S307" s="2"/>
      <c r="T307" s="2"/>
    </row>
    <row r="308" spans="1:20" ht="15.75" customHeight="1">
      <c r="A308" s="1"/>
      <c r="B308" s="2"/>
      <c r="C308" s="2"/>
      <c r="D308" s="2"/>
      <c r="E308" s="2"/>
      <c r="F308" s="2"/>
      <c r="G308" s="2"/>
      <c r="H308" s="2"/>
      <c r="I308" s="2"/>
      <c r="J308" s="2"/>
      <c r="K308" s="2"/>
      <c r="L308" s="2"/>
      <c r="M308" s="2"/>
      <c r="N308" s="2"/>
      <c r="O308" s="2"/>
      <c r="P308" s="2"/>
      <c r="Q308" s="2"/>
      <c r="R308" s="2"/>
      <c r="S308" s="2"/>
      <c r="T308" s="2"/>
    </row>
    <row r="309" spans="1:20" ht="15.75" customHeight="1">
      <c r="A309" s="1"/>
      <c r="B309" s="2"/>
      <c r="C309" s="2"/>
      <c r="D309" s="2"/>
      <c r="E309" s="2"/>
      <c r="F309" s="2"/>
      <c r="G309" s="2"/>
      <c r="H309" s="2"/>
      <c r="I309" s="2"/>
      <c r="J309" s="2"/>
      <c r="K309" s="2"/>
      <c r="L309" s="2"/>
      <c r="M309" s="2"/>
      <c r="N309" s="2"/>
      <c r="O309" s="2"/>
      <c r="P309" s="2"/>
      <c r="Q309" s="2"/>
      <c r="R309" s="2"/>
      <c r="S309" s="2"/>
      <c r="T309" s="2"/>
    </row>
    <row r="310" spans="1:20" ht="15.75" customHeight="1">
      <c r="A310" s="1"/>
      <c r="B310" s="2"/>
      <c r="C310" s="2"/>
      <c r="D310" s="2"/>
      <c r="E310" s="2"/>
      <c r="F310" s="2"/>
      <c r="G310" s="2"/>
      <c r="H310" s="2"/>
      <c r="I310" s="2"/>
      <c r="J310" s="2"/>
      <c r="K310" s="2"/>
      <c r="L310" s="2"/>
      <c r="M310" s="2"/>
      <c r="N310" s="2"/>
      <c r="O310" s="2"/>
      <c r="P310" s="2"/>
      <c r="Q310" s="2"/>
      <c r="R310" s="2"/>
      <c r="S310" s="2"/>
      <c r="T310" s="2"/>
    </row>
    <row r="311" spans="1:20" ht="15.75" customHeight="1">
      <c r="A311" s="1"/>
      <c r="B311" s="2"/>
      <c r="C311" s="2"/>
      <c r="D311" s="2"/>
      <c r="E311" s="2"/>
      <c r="F311" s="2"/>
      <c r="G311" s="2"/>
      <c r="H311" s="2"/>
      <c r="I311" s="2"/>
      <c r="J311" s="2"/>
      <c r="K311" s="2"/>
      <c r="L311" s="2"/>
      <c r="M311" s="2"/>
      <c r="N311" s="2"/>
      <c r="O311" s="2"/>
      <c r="P311" s="2"/>
      <c r="Q311" s="2"/>
      <c r="R311" s="2"/>
      <c r="S311" s="2"/>
      <c r="T311" s="2"/>
    </row>
    <row r="312" spans="1:20" ht="15.75" customHeight="1">
      <c r="A312" s="1"/>
      <c r="B312" s="2"/>
      <c r="C312" s="2"/>
      <c r="D312" s="2"/>
      <c r="E312" s="2"/>
      <c r="F312" s="2"/>
      <c r="G312" s="2"/>
      <c r="H312" s="2"/>
      <c r="I312" s="2"/>
      <c r="J312" s="2"/>
      <c r="K312" s="2"/>
      <c r="L312" s="2"/>
      <c r="M312" s="2"/>
      <c r="N312" s="2"/>
      <c r="O312" s="2"/>
      <c r="P312" s="2"/>
      <c r="Q312" s="2"/>
      <c r="R312" s="2"/>
      <c r="S312" s="2"/>
      <c r="T312" s="2"/>
    </row>
    <row r="313" spans="1:20" ht="15.75" customHeight="1">
      <c r="A313" s="1"/>
      <c r="B313" s="2"/>
      <c r="C313" s="2"/>
      <c r="D313" s="2"/>
      <c r="E313" s="2"/>
      <c r="F313" s="2"/>
      <c r="G313" s="2"/>
      <c r="H313" s="2"/>
      <c r="I313" s="2"/>
      <c r="J313" s="2"/>
      <c r="K313" s="2"/>
      <c r="L313" s="2"/>
      <c r="M313" s="2"/>
      <c r="N313" s="2"/>
      <c r="O313" s="2"/>
      <c r="P313" s="2"/>
      <c r="Q313" s="2"/>
      <c r="R313" s="2"/>
      <c r="S313" s="2"/>
      <c r="T313" s="2"/>
    </row>
    <row r="314" spans="1:20" ht="15.75" customHeight="1">
      <c r="A314" s="1"/>
      <c r="B314" s="2"/>
      <c r="C314" s="2"/>
      <c r="D314" s="2"/>
      <c r="E314" s="2"/>
      <c r="F314" s="2"/>
      <c r="G314" s="2"/>
      <c r="H314" s="2"/>
      <c r="I314" s="2"/>
      <c r="J314" s="2"/>
      <c r="K314" s="2"/>
      <c r="L314" s="2"/>
      <c r="M314" s="2"/>
      <c r="N314" s="2"/>
      <c r="O314" s="2"/>
      <c r="P314" s="2"/>
      <c r="Q314" s="2"/>
      <c r="R314" s="2"/>
      <c r="S314" s="2"/>
      <c r="T314" s="2"/>
    </row>
    <row r="315" spans="1:20" ht="15.75" customHeight="1">
      <c r="A315" s="1"/>
      <c r="B315" s="2"/>
      <c r="C315" s="2"/>
      <c r="D315" s="2"/>
      <c r="E315" s="2"/>
      <c r="F315" s="2"/>
      <c r="G315" s="2"/>
      <c r="H315" s="2"/>
      <c r="I315" s="2"/>
      <c r="J315" s="2"/>
      <c r="K315" s="2"/>
      <c r="L315" s="2"/>
      <c r="M315" s="2"/>
      <c r="N315" s="2"/>
      <c r="O315" s="2"/>
      <c r="P315" s="2"/>
      <c r="Q315" s="2"/>
      <c r="R315" s="2"/>
      <c r="S315" s="2"/>
      <c r="T315" s="2"/>
    </row>
    <row r="316" spans="1:20" ht="15.75" customHeight="1">
      <c r="A316" s="1"/>
      <c r="B316" s="2"/>
      <c r="C316" s="2"/>
      <c r="D316" s="2"/>
      <c r="E316" s="2"/>
      <c r="F316" s="2"/>
      <c r="G316" s="2"/>
      <c r="H316" s="2"/>
      <c r="I316" s="2"/>
      <c r="J316" s="2"/>
      <c r="K316" s="2"/>
      <c r="L316" s="2"/>
      <c r="M316" s="2"/>
      <c r="N316" s="2"/>
      <c r="O316" s="2"/>
      <c r="P316" s="2"/>
      <c r="Q316" s="2"/>
      <c r="R316" s="2"/>
      <c r="S316" s="2"/>
      <c r="T316" s="2"/>
    </row>
    <row r="317" spans="1:20" ht="15.75" customHeight="1">
      <c r="A317" s="1"/>
      <c r="B317" s="2"/>
      <c r="C317" s="2"/>
      <c r="D317" s="2"/>
      <c r="E317" s="2"/>
      <c r="F317" s="2"/>
      <c r="G317" s="2"/>
      <c r="H317" s="2"/>
      <c r="I317" s="2"/>
      <c r="J317" s="2"/>
      <c r="K317" s="2"/>
      <c r="L317" s="2"/>
      <c r="M317" s="2"/>
      <c r="N317" s="2"/>
      <c r="O317" s="2"/>
      <c r="P317" s="2"/>
      <c r="Q317" s="2"/>
      <c r="R317" s="2"/>
      <c r="S317" s="2"/>
      <c r="T317" s="2"/>
    </row>
    <row r="318" spans="1:20" ht="15.75" customHeight="1">
      <c r="A318" s="1"/>
      <c r="B318" s="2"/>
      <c r="C318" s="2"/>
      <c r="D318" s="2"/>
      <c r="E318" s="2"/>
      <c r="F318" s="2"/>
      <c r="G318" s="2"/>
      <c r="H318" s="2"/>
      <c r="I318" s="2"/>
      <c r="J318" s="2"/>
      <c r="K318" s="2"/>
      <c r="L318" s="2"/>
      <c r="M318" s="2"/>
      <c r="N318" s="2"/>
      <c r="O318" s="2"/>
      <c r="P318" s="2"/>
      <c r="Q318" s="2"/>
      <c r="R318" s="2"/>
      <c r="S318" s="2"/>
      <c r="T318" s="2"/>
    </row>
    <row r="319" spans="1:20" ht="15.75" customHeight="1">
      <c r="A319" s="1"/>
      <c r="B319" s="2"/>
      <c r="C319" s="2"/>
      <c r="D319" s="2"/>
      <c r="E319" s="2"/>
      <c r="F319" s="2"/>
      <c r="G319" s="2"/>
      <c r="H319" s="2"/>
      <c r="I319" s="2"/>
      <c r="J319" s="2"/>
      <c r="K319" s="2"/>
      <c r="L319" s="2"/>
      <c r="M319" s="2"/>
      <c r="N319" s="2"/>
      <c r="O319" s="2"/>
      <c r="P319" s="2"/>
      <c r="Q319" s="2"/>
      <c r="R319" s="2"/>
      <c r="S319" s="2"/>
      <c r="T319" s="2"/>
    </row>
    <row r="320" spans="1:20" ht="15.75" customHeight="1">
      <c r="A320" s="1"/>
      <c r="B320" s="2"/>
      <c r="C320" s="2"/>
      <c r="D320" s="2"/>
      <c r="E320" s="2"/>
      <c r="F320" s="2"/>
      <c r="G320" s="2"/>
      <c r="H320" s="2"/>
      <c r="I320" s="2"/>
      <c r="J320" s="2"/>
      <c r="K320" s="2"/>
      <c r="L320" s="2"/>
      <c r="M320" s="2"/>
      <c r="N320" s="2"/>
      <c r="O320" s="2"/>
      <c r="P320" s="2"/>
      <c r="Q320" s="2"/>
      <c r="R320" s="2"/>
      <c r="S320" s="2"/>
      <c r="T320" s="2"/>
    </row>
    <row r="321" spans="1:20" ht="15.75" customHeight="1">
      <c r="A321" s="1"/>
      <c r="B321" s="2"/>
      <c r="C321" s="2"/>
      <c r="D321" s="2"/>
      <c r="E321" s="2"/>
      <c r="F321" s="2"/>
      <c r="G321" s="2"/>
      <c r="H321" s="2"/>
      <c r="I321" s="2"/>
      <c r="J321" s="2"/>
      <c r="K321" s="2"/>
      <c r="L321" s="2"/>
      <c r="M321" s="2"/>
      <c r="N321" s="2"/>
      <c r="O321" s="2"/>
      <c r="P321" s="2"/>
      <c r="Q321" s="2"/>
      <c r="R321" s="2"/>
      <c r="S321" s="2"/>
      <c r="T321" s="2"/>
    </row>
    <row r="322" spans="1:20" ht="15.75" customHeight="1">
      <c r="A322" s="1"/>
      <c r="B322" s="2"/>
      <c r="C322" s="2"/>
      <c r="D322" s="2"/>
      <c r="E322" s="2"/>
      <c r="F322" s="2"/>
      <c r="G322" s="2"/>
      <c r="H322" s="2"/>
      <c r="I322" s="2"/>
      <c r="J322" s="2"/>
      <c r="K322" s="2"/>
      <c r="L322" s="2"/>
      <c r="M322" s="2"/>
      <c r="N322" s="2"/>
      <c r="O322" s="2"/>
      <c r="P322" s="2"/>
      <c r="Q322" s="2"/>
      <c r="R322" s="2"/>
      <c r="S322" s="2"/>
      <c r="T322" s="2"/>
    </row>
    <row r="323" spans="1:20" ht="15.75" customHeight="1">
      <c r="A323" s="1"/>
      <c r="B323" s="2"/>
      <c r="C323" s="2"/>
      <c r="D323" s="2"/>
      <c r="E323" s="2"/>
      <c r="F323" s="2"/>
      <c r="G323" s="2"/>
      <c r="H323" s="2"/>
      <c r="I323" s="2"/>
      <c r="J323" s="2"/>
      <c r="K323" s="2"/>
      <c r="L323" s="2"/>
      <c r="M323" s="2"/>
      <c r="N323" s="2"/>
      <c r="O323" s="2"/>
      <c r="P323" s="2"/>
      <c r="Q323" s="2"/>
      <c r="R323" s="2"/>
      <c r="S323" s="2"/>
      <c r="T323" s="2"/>
    </row>
    <row r="324" spans="1:20" ht="15.75" customHeight="1">
      <c r="A324" s="1"/>
      <c r="B324" s="2"/>
      <c r="C324" s="2"/>
      <c r="D324" s="2"/>
      <c r="E324" s="2"/>
      <c r="F324" s="2"/>
      <c r="G324" s="2"/>
      <c r="H324" s="2"/>
      <c r="I324" s="2"/>
      <c r="J324" s="2"/>
      <c r="K324" s="2"/>
      <c r="L324" s="2"/>
      <c r="M324" s="2"/>
      <c r="N324" s="2"/>
      <c r="O324" s="2"/>
      <c r="P324" s="2"/>
      <c r="Q324" s="2"/>
      <c r="R324" s="2"/>
      <c r="S324" s="2"/>
      <c r="T324" s="2"/>
    </row>
    <row r="325" spans="1:20" ht="15.75" customHeight="1">
      <c r="A325" s="1"/>
      <c r="B325" s="2"/>
      <c r="C325" s="2"/>
      <c r="D325" s="2"/>
      <c r="E325" s="2"/>
      <c r="F325" s="2"/>
      <c r="G325" s="2"/>
      <c r="H325" s="2"/>
      <c r="I325" s="2"/>
      <c r="J325" s="2"/>
      <c r="K325" s="2"/>
      <c r="L325" s="2"/>
      <c r="M325" s="2"/>
      <c r="N325" s="2"/>
      <c r="O325" s="2"/>
      <c r="P325" s="2"/>
      <c r="Q325" s="2"/>
      <c r="R325" s="2"/>
      <c r="S325" s="2"/>
      <c r="T325" s="2"/>
    </row>
    <row r="326" spans="1:20" ht="15.75" customHeight="1">
      <c r="A326" s="1"/>
      <c r="B326" s="2"/>
      <c r="C326" s="2"/>
      <c r="D326" s="2"/>
      <c r="E326" s="2"/>
      <c r="F326" s="2"/>
      <c r="G326" s="2"/>
      <c r="H326" s="2"/>
      <c r="I326" s="2"/>
      <c r="J326" s="2"/>
      <c r="K326" s="2"/>
      <c r="L326" s="2"/>
      <c r="M326" s="2"/>
      <c r="N326" s="2"/>
      <c r="O326" s="2"/>
      <c r="P326" s="2"/>
      <c r="Q326" s="2"/>
      <c r="R326" s="2"/>
      <c r="S326" s="2"/>
      <c r="T326" s="2"/>
    </row>
    <row r="327" spans="1:20" ht="15.75" customHeight="1">
      <c r="A327" s="1"/>
      <c r="B327" s="2"/>
      <c r="C327" s="2"/>
      <c r="D327" s="2"/>
      <c r="E327" s="2"/>
      <c r="F327" s="2"/>
      <c r="G327" s="2"/>
      <c r="H327" s="2"/>
      <c r="I327" s="2"/>
      <c r="J327" s="2"/>
      <c r="K327" s="2"/>
      <c r="L327" s="2"/>
      <c r="M327" s="2"/>
      <c r="N327" s="2"/>
      <c r="O327" s="2"/>
      <c r="P327" s="2"/>
      <c r="Q327" s="2"/>
      <c r="R327" s="2"/>
      <c r="S327" s="2"/>
      <c r="T327" s="2"/>
    </row>
    <row r="328" spans="1:20" ht="15.75" customHeight="1">
      <c r="A328" s="1"/>
      <c r="B328" s="2"/>
      <c r="C328" s="2"/>
      <c r="D328" s="2"/>
      <c r="E328" s="2"/>
      <c r="F328" s="2"/>
      <c r="G328" s="2"/>
      <c r="H328" s="2"/>
      <c r="I328" s="2"/>
      <c r="J328" s="2"/>
      <c r="K328" s="2"/>
      <c r="L328" s="2"/>
      <c r="M328" s="2"/>
      <c r="N328" s="2"/>
      <c r="O328" s="2"/>
      <c r="P328" s="2"/>
      <c r="Q328" s="2"/>
      <c r="R328" s="2"/>
      <c r="S328" s="2"/>
      <c r="T328" s="2"/>
    </row>
    <row r="329" spans="1:20" ht="15.75" customHeight="1">
      <c r="A329" s="1"/>
      <c r="B329" s="2"/>
      <c r="C329" s="2"/>
      <c r="D329" s="2"/>
      <c r="E329" s="2"/>
      <c r="F329" s="2"/>
      <c r="G329" s="2"/>
      <c r="H329" s="2"/>
      <c r="I329" s="2"/>
      <c r="J329" s="2"/>
      <c r="K329" s="2"/>
      <c r="L329" s="2"/>
      <c r="M329" s="2"/>
      <c r="N329" s="2"/>
      <c r="O329" s="2"/>
      <c r="P329" s="2"/>
      <c r="Q329" s="2"/>
      <c r="R329" s="2"/>
      <c r="S329" s="2"/>
      <c r="T329" s="2"/>
    </row>
    <row r="330" spans="1:20" ht="15.75" customHeight="1">
      <c r="A330" s="1"/>
      <c r="B330" s="2"/>
      <c r="C330" s="2"/>
      <c r="D330" s="2"/>
      <c r="E330" s="2"/>
      <c r="F330" s="2"/>
      <c r="G330" s="2"/>
      <c r="H330" s="2"/>
      <c r="I330" s="2"/>
      <c r="J330" s="2"/>
      <c r="K330" s="2"/>
      <c r="L330" s="2"/>
      <c r="M330" s="2"/>
      <c r="N330" s="2"/>
      <c r="O330" s="2"/>
      <c r="P330" s="2"/>
      <c r="Q330" s="2"/>
      <c r="R330" s="2"/>
      <c r="S330" s="2"/>
      <c r="T330" s="2"/>
    </row>
    <row r="331" spans="1:20" ht="15.75" customHeight="1">
      <c r="A331" s="1"/>
      <c r="B331" s="2"/>
      <c r="C331" s="2"/>
      <c r="D331" s="2"/>
      <c r="E331" s="2"/>
      <c r="F331" s="2"/>
      <c r="G331" s="2"/>
      <c r="H331" s="2"/>
      <c r="I331" s="2"/>
      <c r="J331" s="2"/>
      <c r="K331" s="2"/>
      <c r="L331" s="2"/>
      <c r="M331" s="2"/>
      <c r="N331" s="2"/>
      <c r="O331" s="2"/>
      <c r="P331" s="2"/>
      <c r="Q331" s="2"/>
      <c r="R331" s="2"/>
      <c r="S331" s="2"/>
      <c r="T331" s="2"/>
    </row>
    <row r="332" spans="1:20" ht="15.75" customHeight="1">
      <c r="A332" s="1"/>
      <c r="B332" s="2"/>
      <c r="C332" s="2"/>
      <c r="D332" s="2"/>
      <c r="E332" s="2"/>
      <c r="F332" s="2"/>
      <c r="G332" s="2"/>
      <c r="H332" s="2"/>
      <c r="I332" s="2"/>
      <c r="J332" s="2"/>
      <c r="K332" s="2"/>
      <c r="L332" s="2"/>
      <c r="M332" s="2"/>
      <c r="N332" s="2"/>
      <c r="O332" s="2"/>
      <c r="P332" s="2"/>
      <c r="Q332" s="2"/>
      <c r="R332" s="2"/>
      <c r="S332" s="2"/>
      <c r="T332" s="2"/>
    </row>
    <row r="333" spans="1:20" ht="15.75" customHeight="1">
      <c r="A333" s="1"/>
      <c r="B333" s="2"/>
      <c r="C333" s="2"/>
      <c r="D333" s="2"/>
      <c r="E333" s="2"/>
      <c r="F333" s="2"/>
      <c r="G333" s="2"/>
      <c r="H333" s="2"/>
      <c r="I333" s="2"/>
      <c r="J333" s="2"/>
      <c r="K333" s="2"/>
      <c r="L333" s="2"/>
      <c r="M333" s="2"/>
      <c r="N333" s="2"/>
      <c r="O333" s="2"/>
      <c r="P333" s="2"/>
      <c r="Q333" s="2"/>
      <c r="R333" s="2"/>
      <c r="S333" s="2"/>
      <c r="T333" s="2"/>
    </row>
    <row r="334" spans="1:20" ht="15.75" customHeight="1">
      <c r="A334" s="1"/>
      <c r="B334" s="2"/>
      <c r="C334" s="2"/>
      <c r="D334" s="2"/>
      <c r="E334" s="2"/>
      <c r="F334" s="2"/>
      <c r="G334" s="2"/>
      <c r="H334" s="2"/>
      <c r="I334" s="2"/>
      <c r="J334" s="2"/>
      <c r="K334" s="2"/>
      <c r="L334" s="2"/>
      <c r="M334" s="2"/>
      <c r="N334" s="2"/>
      <c r="O334" s="2"/>
      <c r="P334" s="2"/>
      <c r="Q334" s="2"/>
      <c r="R334" s="2"/>
      <c r="S334" s="2"/>
      <c r="T334" s="2"/>
    </row>
    <row r="335" spans="1:20" ht="15.75" customHeight="1">
      <c r="A335" s="1"/>
      <c r="B335" s="2"/>
      <c r="C335" s="2"/>
      <c r="D335" s="2"/>
      <c r="E335" s="2"/>
      <c r="F335" s="2"/>
      <c r="G335" s="2"/>
      <c r="H335" s="2"/>
      <c r="I335" s="2"/>
      <c r="J335" s="2"/>
      <c r="K335" s="2"/>
      <c r="L335" s="2"/>
      <c r="M335" s="2"/>
      <c r="N335" s="2"/>
      <c r="O335" s="2"/>
      <c r="P335" s="2"/>
      <c r="Q335" s="2"/>
      <c r="R335" s="2"/>
      <c r="S335" s="2"/>
      <c r="T335" s="2"/>
    </row>
    <row r="336" spans="1:20" ht="15.75" customHeight="1">
      <c r="A336" s="1"/>
      <c r="B336" s="2"/>
      <c r="C336" s="2"/>
      <c r="D336" s="2"/>
      <c r="E336" s="2"/>
      <c r="F336" s="2"/>
      <c r="G336" s="2"/>
      <c r="H336" s="2"/>
      <c r="I336" s="2"/>
      <c r="J336" s="2"/>
      <c r="K336" s="2"/>
      <c r="L336" s="2"/>
      <c r="M336" s="2"/>
      <c r="N336" s="2"/>
      <c r="O336" s="2"/>
      <c r="P336" s="2"/>
      <c r="Q336" s="2"/>
      <c r="R336" s="2"/>
      <c r="S336" s="2"/>
      <c r="T336" s="2"/>
    </row>
    <row r="337" spans="1:20" ht="15.75" customHeight="1">
      <c r="A337" s="1"/>
      <c r="B337" s="2"/>
      <c r="C337" s="2"/>
      <c r="D337" s="2"/>
      <c r="E337" s="2"/>
      <c r="F337" s="2"/>
      <c r="G337" s="2"/>
      <c r="H337" s="2"/>
      <c r="I337" s="2"/>
      <c r="J337" s="2"/>
      <c r="K337" s="2"/>
      <c r="L337" s="2"/>
      <c r="M337" s="2"/>
      <c r="N337" s="2"/>
      <c r="O337" s="2"/>
      <c r="P337" s="2"/>
      <c r="Q337" s="2"/>
      <c r="R337" s="2"/>
      <c r="S337" s="2"/>
      <c r="T337" s="2"/>
    </row>
    <row r="338" spans="1:20" ht="15.75" customHeight="1">
      <c r="A338" s="1"/>
      <c r="B338" s="2"/>
      <c r="C338" s="2"/>
      <c r="D338" s="2"/>
      <c r="E338" s="2"/>
      <c r="F338" s="2"/>
      <c r="G338" s="2"/>
      <c r="H338" s="2"/>
      <c r="I338" s="2"/>
      <c r="J338" s="2"/>
      <c r="K338" s="2"/>
      <c r="L338" s="2"/>
      <c r="M338" s="2"/>
      <c r="N338" s="2"/>
      <c r="O338" s="2"/>
      <c r="P338" s="2"/>
      <c r="Q338" s="2"/>
      <c r="R338" s="2"/>
      <c r="S338" s="2"/>
      <c r="T338" s="2"/>
    </row>
    <row r="339" spans="1:20" ht="15.75" customHeight="1">
      <c r="A339" s="1"/>
      <c r="B339" s="2"/>
      <c r="C339" s="2"/>
      <c r="D339" s="2"/>
      <c r="E339" s="2"/>
      <c r="F339" s="2"/>
      <c r="G339" s="2"/>
      <c r="H339" s="2"/>
      <c r="I339" s="2"/>
      <c r="J339" s="2"/>
      <c r="K339" s="2"/>
      <c r="L339" s="2"/>
      <c r="M339" s="2"/>
      <c r="N339" s="2"/>
      <c r="O339" s="2"/>
      <c r="P339" s="2"/>
      <c r="Q339" s="2"/>
      <c r="R339" s="2"/>
      <c r="S339" s="2"/>
      <c r="T339" s="2"/>
    </row>
    <row r="340" spans="1:20" ht="15.75" customHeight="1">
      <c r="A340" s="1"/>
      <c r="B340" s="2"/>
      <c r="C340" s="2"/>
      <c r="D340" s="2"/>
      <c r="E340" s="2"/>
      <c r="F340" s="2"/>
      <c r="G340" s="2"/>
      <c r="H340" s="2"/>
      <c r="I340" s="2"/>
      <c r="J340" s="2"/>
      <c r="K340" s="2"/>
      <c r="L340" s="2"/>
      <c r="M340" s="2"/>
      <c r="N340" s="2"/>
      <c r="O340" s="2"/>
      <c r="P340" s="2"/>
      <c r="Q340" s="2"/>
      <c r="R340" s="2"/>
      <c r="S340" s="2"/>
      <c r="T340" s="2"/>
    </row>
    <row r="341" spans="1:20" ht="15.75" customHeight="1">
      <c r="A341" s="1"/>
      <c r="B341" s="2"/>
      <c r="C341" s="2"/>
      <c r="D341" s="2"/>
      <c r="E341" s="2"/>
      <c r="F341" s="2"/>
      <c r="G341" s="2"/>
      <c r="H341" s="2"/>
      <c r="I341" s="2"/>
      <c r="J341" s="2"/>
      <c r="K341" s="2"/>
      <c r="L341" s="2"/>
      <c r="M341" s="2"/>
      <c r="N341" s="2"/>
      <c r="O341" s="2"/>
      <c r="P341" s="2"/>
      <c r="Q341" s="2"/>
      <c r="R341" s="2"/>
      <c r="S341" s="2"/>
      <c r="T341" s="2"/>
    </row>
    <row r="342" spans="1:20" ht="15.75" customHeight="1">
      <c r="A342" s="1"/>
      <c r="B342" s="2"/>
      <c r="C342" s="2"/>
      <c r="D342" s="2"/>
      <c r="E342" s="2"/>
      <c r="F342" s="2"/>
      <c r="G342" s="2"/>
      <c r="H342" s="2"/>
      <c r="I342" s="2"/>
      <c r="J342" s="2"/>
      <c r="K342" s="2"/>
      <c r="L342" s="2"/>
      <c r="M342" s="2"/>
      <c r="N342" s="2"/>
      <c r="O342" s="2"/>
      <c r="P342" s="2"/>
      <c r="Q342" s="2"/>
      <c r="R342" s="2"/>
      <c r="S342" s="2"/>
      <c r="T342" s="2"/>
    </row>
    <row r="343" spans="1:20" ht="15.75" customHeight="1">
      <c r="A343" s="1"/>
      <c r="B343" s="2"/>
      <c r="C343" s="2"/>
      <c r="D343" s="2"/>
      <c r="E343" s="2"/>
      <c r="F343" s="2"/>
      <c r="G343" s="2"/>
      <c r="H343" s="2"/>
      <c r="I343" s="2"/>
      <c r="J343" s="2"/>
      <c r="K343" s="2"/>
      <c r="L343" s="2"/>
      <c r="M343" s="2"/>
      <c r="N343" s="2"/>
      <c r="O343" s="2"/>
      <c r="P343" s="2"/>
      <c r="Q343" s="2"/>
      <c r="R343" s="2"/>
      <c r="S343" s="2"/>
      <c r="T343" s="2"/>
    </row>
    <row r="344" spans="1:20" ht="15.75" customHeight="1">
      <c r="A344" s="1"/>
      <c r="B344" s="2"/>
      <c r="C344" s="2"/>
      <c r="D344" s="2"/>
      <c r="E344" s="2"/>
      <c r="F344" s="2"/>
      <c r="G344" s="2"/>
      <c r="H344" s="2"/>
      <c r="I344" s="2"/>
      <c r="J344" s="2"/>
      <c r="K344" s="2"/>
      <c r="L344" s="2"/>
      <c r="M344" s="2"/>
      <c r="N344" s="2"/>
      <c r="O344" s="2"/>
      <c r="P344" s="2"/>
      <c r="Q344" s="2"/>
      <c r="R344" s="2"/>
      <c r="S344" s="2"/>
      <c r="T344" s="2"/>
    </row>
    <row r="345" spans="1:20" ht="15.75" customHeight="1">
      <c r="A345" s="1"/>
      <c r="B345" s="2"/>
      <c r="C345" s="2"/>
      <c r="D345" s="2"/>
      <c r="E345" s="2"/>
      <c r="F345" s="2"/>
      <c r="G345" s="2"/>
      <c r="H345" s="2"/>
      <c r="I345" s="2"/>
      <c r="J345" s="2"/>
      <c r="K345" s="2"/>
      <c r="L345" s="2"/>
      <c r="M345" s="2"/>
      <c r="N345" s="2"/>
      <c r="O345" s="2"/>
      <c r="P345" s="2"/>
      <c r="Q345" s="2"/>
      <c r="R345" s="2"/>
      <c r="S345" s="2"/>
      <c r="T345" s="2"/>
    </row>
    <row r="346" spans="1:20" ht="15.75" customHeight="1">
      <c r="A346" s="1"/>
      <c r="B346" s="2"/>
      <c r="C346" s="2"/>
      <c r="D346" s="2"/>
      <c r="E346" s="2"/>
      <c r="F346" s="2"/>
      <c r="G346" s="2"/>
      <c r="H346" s="2"/>
      <c r="I346" s="2"/>
      <c r="J346" s="2"/>
      <c r="K346" s="2"/>
      <c r="L346" s="2"/>
      <c r="M346" s="2"/>
      <c r="N346" s="2"/>
      <c r="O346" s="2"/>
      <c r="P346" s="2"/>
      <c r="Q346" s="2"/>
      <c r="R346" s="2"/>
      <c r="S346" s="2"/>
      <c r="T346" s="2"/>
    </row>
    <row r="347" spans="1:20" ht="15.75" customHeight="1">
      <c r="A347" s="1"/>
      <c r="B347" s="2"/>
      <c r="C347" s="2"/>
      <c r="D347" s="2"/>
      <c r="E347" s="2"/>
      <c r="F347" s="2"/>
      <c r="G347" s="2"/>
      <c r="H347" s="2"/>
      <c r="I347" s="2"/>
      <c r="J347" s="2"/>
      <c r="K347" s="2"/>
      <c r="L347" s="2"/>
      <c r="M347" s="2"/>
      <c r="N347" s="2"/>
      <c r="O347" s="2"/>
      <c r="P347" s="2"/>
      <c r="Q347" s="2"/>
      <c r="R347" s="2"/>
      <c r="S347" s="2"/>
      <c r="T347" s="2"/>
    </row>
    <row r="348" spans="1:20" ht="15.75" customHeight="1">
      <c r="A348" s="1"/>
      <c r="B348" s="2"/>
      <c r="C348" s="2"/>
      <c r="D348" s="2"/>
      <c r="E348" s="2"/>
      <c r="F348" s="2"/>
      <c r="G348" s="2"/>
      <c r="H348" s="2"/>
      <c r="I348" s="2"/>
      <c r="J348" s="2"/>
      <c r="K348" s="2"/>
      <c r="L348" s="2"/>
      <c r="M348" s="2"/>
      <c r="N348" s="2"/>
      <c r="O348" s="2"/>
      <c r="P348" s="2"/>
      <c r="Q348" s="2"/>
      <c r="R348" s="2"/>
      <c r="S348" s="2"/>
      <c r="T348" s="2"/>
    </row>
    <row r="349" spans="1:20" ht="15.75" customHeight="1">
      <c r="A349" s="1"/>
      <c r="B349" s="2"/>
      <c r="C349" s="2"/>
      <c r="D349" s="2"/>
      <c r="E349" s="2"/>
      <c r="F349" s="2"/>
      <c r="G349" s="2"/>
      <c r="H349" s="2"/>
      <c r="I349" s="2"/>
      <c r="J349" s="2"/>
      <c r="K349" s="2"/>
      <c r="L349" s="2"/>
      <c r="M349" s="2"/>
      <c r="N349" s="2"/>
      <c r="O349" s="2"/>
      <c r="P349" s="2"/>
      <c r="Q349" s="2"/>
      <c r="R349" s="2"/>
      <c r="S349" s="2"/>
      <c r="T349" s="2"/>
    </row>
    <row r="350" spans="1:20" ht="15.75" customHeight="1">
      <c r="A350" s="1"/>
      <c r="B350" s="2"/>
      <c r="C350" s="2"/>
      <c r="D350" s="2"/>
      <c r="E350" s="2"/>
      <c r="F350" s="2"/>
      <c r="G350" s="2"/>
      <c r="H350" s="2"/>
      <c r="I350" s="2"/>
      <c r="J350" s="2"/>
      <c r="K350" s="2"/>
      <c r="L350" s="2"/>
      <c r="M350" s="2"/>
      <c r="N350" s="2"/>
      <c r="O350" s="2"/>
      <c r="P350" s="2"/>
      <c r="Q350" s="2"/>
      <c r="R350" s="2"/>
      <c r="S350" s="2"/>
      <c r="T350" s="2"/>
    </row>
    <row r="351" spans="1:20" ht="15.75" customHeight="1">
      <c r="A351" s="1"/>
      <c r="B351" s="2"/>
      <c r="C351" s="2"/>
      <c r="D351" s="2"/>
      <c r="E351" s="2"/>
      <c r="F351" s="2"/>
      <c r="G351" s="2"/>
      <c r="H351" s="2"/>
      <c r="I351" s="2"/>
      <c r="J351" s="2"/>
      <c r="K351" s="2"/>
      <c r="L351" s="2"/>
      <c r="M351" s="2"/>
      <c r="N351" s="2"/>
      <c r="O351" s="2"/>
      <c r="P351" s="2"/>
      <c r="Q351" s="2"/>
      <c r="R351" s="2"/>
      <c r="S351" s="2"/>
      <c r="T351" s="2"/>
    </row>
    <row r="352" spans="1:20" ht="15.75" customHeight="1">
      <c r="A352" s="1"/>
      <c r="B352" s="2"/>
      <c r="C352" s="2"/>
      <c r="D352" s="2"/>
      <c r="E352" s="2"/>
      <c r="F352" s="2"/>
      <c r="G352" s="2"/>
      <c r="H352" s="2"/>
      <c r="I352" s="2"/>
      <c r="J352" s="2"/>
      <c r="K352" s="2"/>
      <c r="L352" s="2"/>
      <c r="M352" s="2"/>
      <c r="N352" s="2"/>
      <c r="O352" s="2"/>
      <c r="P352" s="2"/>
      <c r="Q352" s="2"/>
      <c r="R352" s="2"/>
      <c r="S352" s="2"/>
      <c r="T352" s="2"/>
    </row>
    <row r="353" spans="1:20" ht="15.75" customHeight="1">
      <c r="A353" s="1"/>
      <c r="B353" s="2"/>
      <c r="C353" s="2"/>
      <c r="D353" s="2"/>
      <c r="E353" s="2"/>
      <c r="F353" s="2"/>
      <c r="G353" s="2"/>
      <c r="H353" s="2"/>
      <c r="I353" s="2"/>
      <c r="J353" s="2"/>
      <c r="K353" s="2"/>
      <c r="L353" s="2"/>
      <c r="M353" s="2"/>
      <c r="N353" s="2"/>
      <c r="O353" s="2"/>
      <c r="P353" s="2"/>
      <c r="Q353" s="2"/>
      <c r="R353" s="2"/>
      <c r="S353" s="2"/>
      <c r="T353" s="2"/>
    </row>
    <row r="354" spans="1:20" ht="15.75" customHeight="1">
      <c r="A354" s="1"/>
      <c r="B354" s="2"/>
      <c r="C354" s="2"/>
      <c r="D354" s="2"/>
      <c r="E354" s="2"/>
      <c r="F354" s="2"/>
      <c r="G354" s="2"/>
      <c r="H354" s="2"/>
      <c r="I354" s="2"/>
      <c r="J354" s="2"/>
      <c r="K354" s="2"/>
      <c r="L354" s="2"/>
      <c r="M354" s="2"/>
      <c r="N354" s="2"/>
      <c r="O354" s="2"/>
      <c r="P354" s="2"/>
      <c r="Q354" s="2"/>
      <c r="R354" s="2"/>
      <c r="S354" s="2"/>
      <c r="T354" s="2"/>
    </row>
    <row r="355" spans="1:20" ht="15.75" customHeight="1">
      <c r="A355" s="1"/>
      <c r="B355" s="2"/>
      <c r="C355" s="2"/>
      <c r="D355" s="2"/>
      <c r="E355" s="2"/>
      <c r="F355" s="2"/>
      <c r="G355" s="2"/>
      <c r="H355" s="2"/>
      <c r="I355" s="2"/>
      <c r="J355" s="2"/>
      <c r="K355" s="2"/>
      <c r="L355" s="2"/>
      <c r="M355" s="2"/>
      <c r="N355" s="2"/>
      <c r="O355" s="2"/>
      <c r="P355" s="2"/>
      <c r="Q355" s="2"/>
      <c r="R355" s="2"/>
      <c r="S355" s="2"/>
      <c r="T355" s="2"/>
    </row>
    <row r="356" spans="1:20" ht="15.75" customHeight="1">
      <c r="A356" s="1"/>
      <c r="B356" s="2"/>
      <c r="C356" s="2"/>
      <c r="D356" s="2"/>
      <c r="E356" s="2"/>
      <c r="F356" s="2"/>
      <c r="G356" s="2"/>
      <c r="H356" s="2"/>
      <c r="I356" s="2"/>
      <c r="J356" s="2"/>
      <c r="K356" s="2"/>
      <c r="L356" s="2"/>
      <c r="M356" s="2"/>
      <c r="N356" s="2"/>
      <c r="O356" s="2"/>
      <c r="P356" s="2"/>
      <c r="Q356" s="2"/>
      <c r="R356" s="2"/>
      <c r="S356" s="2"/>
      <c r="T356" s="2"/>
    </row>
    <row r="357" spans="1:20" ht="15.75" customHeight="1">
      <c r="A357" s="1"/>
      <c r="B357" s="2"/>
      <c r="C357" s="2"/>
      <c r="D357" s="2"/>
      <c r="E357" s="2"/>
      <c r="F357" s="2"/>
      <c r="G357" s="2"/>
      <c r="H357" s="2"/>
      <c r="I357" s="2"/>
      <c r="J357" s="2"/>
      <c r="K357" s="2"/>
      <c r="L357" s="2"/>
      <c r="M357" s="2"/>
      <c r="N357" s="2"/>
      <c r="O357" s="2"/>
      <c r="P357" s="2"/>
      <c r="Q357" s="2"/>
      <c r="R357" s="2"/>
      <c r="S357" s="2"/>
      <c r="T357" s="2"/>
    </row>
    <row r="358" spans="1:20" ht="15.75" customHeight="1">
      <c r="A358" s="1"/>
      <c r="B358" s="2"/>
      <c r="C358" s="2"/>
      <c r="D358" s="2"/>
      <c r="E358" s="2"/>
      <c r="F358" s="2"/>
      <c r="G358" s="2"/>
      <c r="H358" s="2"/>
      <c r="I358" s="2"/>
      <c r="J358" s="2"/>
      <c r="K358" s="2"/>
      <c r="L358" s="2"/>
      <c r="M358" s="2"/>
      <c r="N358" s="2"/>
      <c r="O358" s="2"/>
      <c r="P358" s="2"/>
      <c r="Q358" s="2"/>
      <c r="R358" s="2"/>
      <c r="S358" s="2"/>
      <c r="T358" s="2"/>
    </row>
    <row r="359" spans="1:20" ht="15.75" customHeight="1">
      <c r="A359" s="1"/>
      <c r="B359" s="2"/>
      <c r="C359" s="2"/>
      <c r="D359" s="2"/>
      <c r="E359" s="2"/>
      <c r="F359" s="2"/>
      <c r="G359" s="2"/>
      <c r="H359" s="2"/>
      <c r="I359" s="2"/>
      <c r="J359" s="2"/>
      <c r="K359" s="2"/>
      <c r="L359" s="2"/>
      <c r="M359" s="2"/>
      <c r="N359" s="2"/>
      <c r="O359" s="2"/>
      <c r="P359" s="2"/>
      <c r="Q359" s="2"/>
      <c r="R359" s="2"/>
      <c r="S359" s="2"/>
      <c r="T359" s="2"/>
    </row>
    <row r="360" spans="1:20" ht="15.75" customHeight="1">
      <c r="A360" s="1"/>
      <c r="B360" s="2"/>
      <c r="C360" s="2"/>
      <c r="D360" s="2"/>
      <c r="E360" s="2"/>
      <c r="F360" s="2"/>
      <c r="G360" s="2"/>
      <c r="H360" s="2"/>
      <c r="I360" s="2"/>
      <c r="J360" s="2"/>
      <c r="K360" s="2"/>
      <c r="L360" s="2"/>
      <c r="M360" s="2"/>
      <c r="N360" s="2"/>
      <c r="O360" s="2"/>
      <c r="P360" s="2"/>
      <c r="Q360" s="2"/>
      <c r="R360" s="2"/>
      <c r="S360" s="2"/>
      <c r="T360" s="2"/>
    </row>
    <row r="361" spans="1:20" ht="15.75" customHeight="1">
      <c r="A361" s="1"/>
      <c r="B361" s="2"/>
      <c r="C361" s="2"/>
      <c r="D361" s="2"/>
      <c r="E361" s="2"/>
      <c r="F361" s="2"/>
      <c r="G361" s="2"/>
      <c r="H361" s="2"/>
      <c r="I361" s="2"/>
      <c r="J361" s="2"/>
      <c r="K361" s="2"/>
      <c r="L361" s="2"/>
      <c r="M361" s="2"/>
      <c r="N361" s="2"/>
      <c r="O361" s="2"/>
      <c r="P361" s="2"/>
      <c r="Q361" s="2"/>
      <c r="R361" s="2"/>
      <c r="S361" s="2"/>
      <c r="T361" s="2"/>
    </row>
    <row r="362" spans="1:20" ht="15.75" customHeight="1">
      <c r="A362" s="1"/>
      <c r="B362" s="2"/>
      <c r="C362" s="2"/>
      <c r="D362" s="2"/>
      <c r="E362" s="2"/>
      <c r="F362" s="2"/>
      <c r="G362" s="2"/>
      <c r="H362" s="2"/>
      <c r="I362" s="2"/>
      <c r="J362" s="2"/>
      <c r="K362" s="2"/>
      <c r="L362" s="2"/>
      <c r="M362" s="2"/>
      <c r="N362" s="2"/>
      <c r="O362" s="2"/>
      <c r="P362" s="2"/>
      <c r="Q362" s="2"/>
      <c r="R362" s="2"/>
      <c r="S362" s="2"/>
      <c r="T362" s="2"/>
    </row>
    <row r="363" spans="1:20" ht="15.75" customHeight="1">
      <c r="A363" s="1"/>
      <c r="B363" s="2"/>
      <c r="C363" s="2"/>
      <c r="D363" s="2"/>
      <c r="E363" s="2"/>
      <c r="F363" s="2"/>
      <c r="G363" s="2"/>
      <c r="H363" s="2"/>
      <c r="I363" s="2"/>
      <c r="J363" s="2"/>
      <c r="K363" s="2"/>
      <c r="L363" s="2"/>
      <c r="M363" s="2"/>
      <c r="N363" s="2"/>
      <c r="O363" s="2"/>
      <c r="P363" s="2"/>
      <c r="Q363" s="2"/>
      <c r="R363" s="2"/>
      <c r="S363" s="2"/>
      <c r="T363" s="2"/>
    </row>
    <row r="364" spans="1:20" ht="15.75" customHeight="1">
      <c r="A364" s="1"/>
      <c r="B364" s="2"/>
      <c r="C364" s="2"/>
      <c r="D364" s="2"/>
      <c r="E364" s="2"/>
      <c r="F364" s="2"/>
      <c r="G364" s="2"/>
      <c r="H364" s="2"/>
      <c r="I364" s="2"/>
      <c r="J364" s="2"/>
      <c r="K364" s="2"/>
      <c r="L364" s="2"/>
      <c r="M364" s="2"/>
      <c r="N364" s="2"/>
      <c r="O364" s="2"/>
      <c r="P364" s="2"/>
      <c r="Q364" s="2"/>
      <c r="R364" s="2"/>
      <c r="S364" s="2"/>
      <c r="T364" s="2"/>
    </row>
    <row r="365" spans="1:20" ht="15.75" customHeight="1">
      <c r="A365" s="1"/>
      <c r="B365" s="2"/>
      <c r="C365" s="2"/>
      <c r="D365" s="2"/>
      <c r="E365" s="2"/>
      <c r="F365" s="2"/>
      <c r="G365" s="2"/>
      <c r="H365" s="2"/>
      <c r="I365" s="2"/>
      <c r="J365" s="2"/>
      <c r="K365" s="2"/>
      <c r="L365" s="2"/>
      <c r="M365" s="2"/>
      <c r="N365" s="2"/>
      <c r="O365" s="2"/>
      <c r="P365" s="2"/>
      <c r="Q365" s="2"/>
      <c r="R365" s="2"/>
      <c r="S365" s="2"/>
      <c r="T365" s="2"/>
    </row>
    <row r="366" spans="1:20" ht="15.75" customHeight="1">
      <c r="A366" s="1"/>
      <c r="B366" s="2"/>
      <c r="C366" s="2"/>
      <c r="D366" s="2"/>
      <c r="E366" s="2"/>
      <c r="F366" s="2"/>
      <c r="G366" s="2"/>
      <c r="H366" s="2"/>
      <c r="I366" s="2"/>
      <c r="J366" s="2"/>
      <c r="K366" s="2"/>
      <c r="L366" s="2"/>
      <c r="M366" s="2"/>
      <c r="N366" s="2"/>
      <c r="O366" s="2"/>
      <c r="P366" s="2"/>
      <c r="Q366" s="2"/>
      <c r="R366" s="2"/>
      <c r="S366" s="2"/>
      <c r="T366" s="2"/>
    </row>
    <row r="367" spans="1:20" ht="15.75" customHeight="1">
      <c r="A367" s="1"/>
      <c r="B367" s="2"/>
      <c r="C367" s="2"/>
      <c r="D367" s="2"/>
      <c r="E367" s="2"/>
      <c r="F367" s="2"/>
      <c r="G367" s="2"/>
      <c r="H367" s="2"/>
      <c r="I367" s="2"/>
      <c r="J367" s="2"/>
      <c r="K367" s="2"/>
      <c r="L367" s="2"/>
      <c r="M367" s="2"/>
      <c r="N367" s="2"/>
      <c r="O367" s="2"/>
      <c r="P367" s="2"/>
      <c r="Q367" s="2"/>
      <c r="R367" s="2"/>
      <c r="S367" s="2"/>
      <c r="T367" s="2"/>
    </row>
    <row r="368" spans="1:20" ht="15.75" customHeight="1">
      <c r="A368" s="1"/>
      <c r="B368" s="2"/>
      <c r="C368" s="2"/>
      <c r="D368" s="2"/>
      <c r="E368" s="2"/>
      <c r="F368" s="2"/>
      <c r="G368" s="2"/>
      <c r="H368" s="2"/>
      <c r="I368" s="2"/>
      <c r="J368" s="2"/>
      <c r="K368" s="2"/>
      <c r="L368" s="2"/>
      <c r="M368" s="2"/>
      <c r="N368" s="2"/>
      <c r="O368" s="2"/>
      <c r="P368" s="2"/>
      <c r="Q368" s="2"/>
      <c r="R368" s="2"/>
      <c r="S368" s="2"/>
      <c r="T368" s="2"/>
    </row>
    <row r="369" spans="1:20" ht="15.75" customHeight="1">
      <c r="A369" s="1"/>
      <c r="B369" s="2"/>
      <c r="C369" s="2"/>
      <c r="D369" s="2"/>
      <c r="E369" s="2"/>
      <c r="F369" s="2"/>
      <c r="G369" s="2"/>
      <c r="H369" s="2"/>
      <c r="I369" s="2"/>
      <c r="J369" s="2"/>
      <c r="K369" s="2"/>
      <c r="L369" s="2"/>
      <c r="M369" s="2"/>
      <c r="N369" s="2"/>
      <c r="O369" s="2"/>
      <c r="P369" s="2"/>
      <c r="Q369" s="2"/>
      <c r="R369" s="2"/>
      <c r="S369" s="2"/>
      <c r="T369" s="2"/>
    </row>
    <row r="370" spans="1:20" ht="15.75" customHeight="1">
      <c r="A370" s="1"/>
      <c r="B370" s="2"/>
      <c r="C370" s="2"/>
      <c r="D370" s="2"/>
      <c r="E370" s="2"/>
      <c r="F370" s="2"/>
      <c r="G370" s="2"/>
      <c r="H370" s="2"/>
      <c r="I370" s="2"/>
      <c r="J370" s="2"/>
      <c r="K370" s="2"/>
      <c r="L370" s="2"/>
      <c r="M370" s="2"/>
      <c r="N370" s="2"/>
      <c r="O370" s="2"/>
      <c r="P370" s="2"/>
      <c r="Q370" s="2"/>
      <c r="R370" s="2"/>
      <c r="S370" s="2"/>
      <c r="T370" s="2"/>
    </row>
    <row r="371" spans="1:20" ht="15.75" customHeight="1">
      <c r="A371" s="1"/>
      <c r="B371" s="2"/>
      <c r="C371" s="2"/>
      <c r="D371" s="2"/>
      <c r="E371" s="2"/>
      <c r="F371" s="2"/>
      <c r="G371" s="2"/>
      <c r="H371" s="2"/>
      <c r="I371" s="2"/>
      <c r="J371" s="2"/>
      <c r="K371" s="2"/>
      <c r="L371" s="2"/>
      <c r="M371" s="2"/>
      <c r="N371" s="2"/>
      <c r="O371" s="2"/>
      <c r="P371" s="2"/>
      <c r="Q371" s="2"/>
      <c r="R371" s="2"/>
      <c r="S371" s="2"/>
      <c r="T371" s="2"/>
    </row>
    <row r="372" spans="1:20" ht="15.75" customHeight="1">
      <c r="A372" s="1"/>
      <c r="B372" s="2"/>
      <c r="C372" s="2"/>
      <c r="D372" s="2"/>
      <c r="E372" s="2"/>
      <c r="F372" s="2"/>
      <c r="G372" s="2"/>
      <c r="H372" s="2"/>
      <c r="I372" s="2"/>
      <c r="J372" s="2"/>
      <c r="K372" s="2"/>
      <c r="L372" s="2"/>
      <c r="M372" s="2"/>
      <c r="N372" s="2"/>
      <c r="O372" s="2"/>
      <c r="P372" s="2"/>
      <c r="Q372" s="2"/>
      <c r="R372" s="2"/>
      <c r="S372" s="2"/>
      <c r="T372" s="2"/>
    </row>
    <row r="373" spans="1:20" ht="15.75" customHeight="1">
      <c r="A373" s="1"/>
      <c r="B373" s="2"/>
      <c r="C373" s="2"/>
      <c r="D373" s="2"/>
      <c r="E373" s="2"/>
      <c r="F373" s="2"/>
      <c r="G373" s="2"/>
      <c r="H373" s="2"/>
      <c r="I373" s="2"/>
      <c r="J373" s="2"/>
      <c r="K373" s="2"/>
      <c r="L373" s="2"/>
      <c r="M373" s="2"/>
      <c r="N373" s="2"/>
      <c r="O373" s="2"/>
      <c r="P373" s="2"/>
      <c r="Q373" s="2"/>
      <c r="R373" s="2"/>
      <c r="S373" s="2"/>
      <c r="T373" s="2"/>
    </row>
    <row r="374" spans="1:20" ht="15.75" customHeight="1">
      <c r="A374" s="1"/>
      <c r="B374" s="2"/>
      <c r="C374" s="2"/>
      <c r="D374" s="2"/>
      <c r="E374" s="2"/>
      <c r="F374" s="2"/>
      <c r="G374" s="2"/>
      <c r="H374" s="2"/>
      <c r="I374" s="2"/>
      <c r="J374" s="2"/>
      <c r="K374" s="2"/>
      <c r="L374" s="2"/>
      <c r="M374" s="2"/>
      <c r="N374" s="2"/>
      <c r="O374" s="2"/>
      <c r="P374" s="2"/>
      <c r="Q374" s="2"/>
      <c r="R374" s="2"/>
      <c r="S374" s="2"/>
      <c r="T374" s="2"/>
    </row>
    <row r="375" spans="1:20" ht="15.75" customHeight="1">
      <c r="A375" s="1"/>
      <c r="B375" s="2"/>
      <c r="C375" s="2"/>
      <c r="D375" s="2"/>
      <c r="E375" s="2"/>
      <c r="F375" s="2"/>
      <c r="G375" s="2"/>
      <c r="H375" s="2"/>
      <c r="I375" s="2"/>
      <c r="J375" s="2"/>
      <c r="K375" s="2"/>
      <c r="L375" s="2"/>
      <c r="M375" s="2"/>
      <c r="N375" s="2"/>
      <c r="O375" s="2"/>
      <c r="P375" s="2"/>
      <c r="Q375" s="2"/>
      <c r="R375" s="2"/>
      <c r="S375" s="2"/>
      <c r="T375" s="2"/>
    </row>
    <row r="376" spans="1:20" ht="15.75" customHeight="1">
      <c r="A376" s="1"/>
      <c r="B376" s="2"/>
      <c r="C376" s="2"/>
      <c r="D376" s="2"/>
      <c r="E376" s="2"/>
      <c r="F376" s="2"/>
      <c r="G376" s="2"/>
      <c r="H376" s="2"/>
      <c r="I376" s="2"/>
      <c r="J376" s="2"/>
      <c r="K376" s="2"/>
      <c r="L376" s="2"/>
      <c r="M376" s="2"/>
      <c r="N376" s="2"/>
      <c r="O376" s="2"/>
      <c r="P376" s="2"/>
      <c r="Q376" s="2"/>
      <c r="R376" s="2"/>
      <c r="S376" s="2"/>
      <c r="T376" s="2"/>
    </row>
    <row r="377" spans="1:20" ht="15.75" customHeight="1">
      <c r="A377" s="1"/>
      <c r="B377" s="2"/>
      <c r="C377" s="2"/>
      <c r="D377" s="2"/>
      <c r="E377" s="2"/>
      <c r="F377" s="2"/>
      <c r="G377" s="2"/>
      <c r="H377" s="2"/>
      <c r="I377" s="2"/>
      <c r="J377" s="2"/>
      <c r="K377" s="2"/>
      <c r="L377" s="2"/>
      <c r="M377" s="2"/>
      <c r="N377" s="2"/>
      <c r="O377" s="2"/>
      <c r="P377" s="2"/>
      <c r="Q377" s="2"/>
      <c r="R377" s="2"/>
      <c r="S377" s="2"/>
      <c r="T377" s="2"/>
    </row>
    <row r="378" spans="1:20" ht="15.75" customHeight="1">
      <c r="A378" s="1"/>
      <c r="B378" s="2"/>
      <c r="C378" s="2"/>
      <c r="D378" s="2"/>
      <c r="E378" s="2"/>
      <c r="F378" s="2"/>
      <c r="G378" s="2"/>
      <c r="H378" s="2"/>
      <c r="I378" s="2"/>
      <c r="J378" s="2"/>
      <c r="K378" s="2"/>
      <c r="L378" s="2"/>
      <c r="M378" s="2"/>
      <c r="N378" s="2"/>
      <c r="O378" s="2"/>
      <c r="P378" s="2"/>
      <c r="Q378" s="2"/>
      <c r="R378" s="2"/>
      <c r="S378" s="2"/>
      <c r="T378" s="2"/>
    </row>
    <row r="379" spans="1:20" ht="15.75" customHeight="1">
      <c r="A379" s="1"/>
      <c r="B379" s="2"/>
      <c r="C379" s="2"/>
      <c r="D379" s="2"/>
      <c r="E379" s="2"/>
      <c r="F379" s="2"/>
      <c r="G379" s="2"/>
      <c r="H379" s="2"/>
      <c r="I379" s="2"/>
      <c r="J379" s="2"/>
      <c r="K379" s="2"/>
      <c r="L379" s="2"/>
      <c r="M379" s="2"/>
      <c r="N379" s="2"/>
      <c r="O379" s="2"/>
      <c r="P379" s="2"/>
      <c r="Q379" s="2"/>
      <c r="R379" s="2"/>
      <c r="S379" s="2"/>
      <c r="T379" s="2"/>
    </row>
    <row r="380" spans="1:20" ht="15.75" customHeight="1">
      <c r="A380" s="1"/>
      <c r="B380" s="2"/>
      <c r="C380" s="2"/>
      <c r="D380" s="2"/>
      <c r="E380" s="2"/>
      <c r="F380" s="2"/>
      <c r="G380" s="2"/>
      <c r="H380" s="2"/>
      <c r="I380" s="2"/>
      <c r="J380" s="2"/>
      <c r="K380" s="2"/>
      <c r="L380" s="2"/>
      <c r="M380" s="2"/>
      <c r="N380" s="2"/>
      <c r="O380" s="2"/>
      <c r="P380" s="2"/>
      <c r="Q380" s="2"/>
      <c r="R380" s="2"/>
      <c r="S380" s="2"/>
      <c r="T380" s="2"/>
    </row>
    <row r="381" spans="1:20" ht="15.75" customHeight="1">
      <c r="A381" s="1"/>
      <c r="B381" s="2"/>
      <c r="C381" s="2"/>
      <c r="D381" s="2"/>
      <c r="E381" s="2"/>
      <c r="F381" s="2"/>
      <c r="G381" s="2"/>
      <c r="H381" s="2"/>
      <c r="I381" s="2"/>
      <c r="J381" s="2"/>
      <c r="K381" s="2"/>
      <c r="L381" s="2"/>
      <c r="M381" s="2"/>
      <c r="N381" s="2"/>
      <c r="O381" s="2"/>
      <c r="P381" s="2"/>
      <c r="Q381" s="2"/>
      <c r="R381" s="2"/>
      <c r="S381" s="2"/>
      <c r="T381" s="2"/>
    </row>
    <row r="382" spans="1:20" ht="15.75" customHeight="1">
      <c r="A382" s="1"/>
      <c r="B382" s="2"/>
      <c r="C382" s="2"/>
      <c r="D382" s="2"/>
      <c r="E382" s="2"/>
      <c r="F382" s="2"/>
      <c r="G382" s="2"/>
      <c r="H382" s="2"/>
      <c r="I382" s="2"/>
      <c r="J382" s="2"/>
      <c r="K382" s="2"/>
      <c r="L382" s="2"/>
      <c r="M382" s="2"/>
      <c r="N382" s="2"/>
      <c r="O382" s="2"/>
      <c r="P382" s="2"/>
      <c r="Q382" s="2"/>
      <c r="R382" s="2"/>
      <c r="S382" s="2"/>
      <c r="T382" s="2"/>
    </row>
    <row r="383" spans="1:20" ht="15.75" customHeight="1">
      <c r="A383" s="1"/>
      <c r="B383" s="2"/>
      <c r="C383" s="2"/>
      <c r="D383" s="2"/>
      <c r="E383" s="2"/>
      <c r="F383" s="2"/>
      <c r="G383" s="2"/>
      <c r="H383" s="2"/>
      <c r="I383" s="2"/>
      <c r="J383" s="2"/>
      <c r="K383" s="2"/>
      <c r="L383" s="2"/>
      <c r="M383" s="2"/>
      <c r="N383" s="2"/>
      <c r="O383" s="2"/>
      <c r="P383" s="2"/>
      <c r="Q383" s="2"/>
      <c r="R383" s="2"/>
      <c r="S383" s="2"/>
      <c r="T383" s="2"/>
    </row>
    <row r="384" spans="1:20" ht="15.75" customHeight="1">
      <c r="A384" s="1"/>
      <c r="B384" s="2"/>
      <c r="C384" s="2"/>
      <c r="D384" s="2"/>
      <c r="E384" s="2"/>
      <c r="F384" s="2"/>
      <c r="G384" s="2"/>
      <c r="H384" s="2"/>
      <c r="I384" s="2"/>
      <c r="J384" s="2"/>
      <c r="K384" s="2"/>
      <c r="L384" s="2"/>
      <c r="M384" s="2"/>
      <c r="N384" s="2"/>
      <c r="O384" s="2"/>
      <c r="P384" s="2"/>
      <c r="Q384" s="2"/>
      <c r="R384" s="2"/>
      <c r="S384" s="2"/>
      <c r="T384" s="2"/>
    </row>
    <row r="385" spans="1:20" ht="15.75" customHeight="1">
      <c r="A385" s="1"/>
      <c r="B385" s="2"/>
      <c r="C385" s="2"/>
      <c r="D385" s="2"/>
      <c r="E385" s="2"/>
      <c r="F385" s="2"/>
      <c r="G385" s="2"/>
      <c r="H385" s="2"/>
      <c r="I385" s="2"/>
      <c r="J385" s="2"/>
      <c r="K385" s="2"/>
      <c r="L385" s="2"/>
      <c r="M385" s="2"/>
      <c r="N385" s="2"/>
      <c r="O385" s="2"/>
      <c r="P385" s="2"/>
      <c r="Q385" s="2"/>
      <c r="R385" s="2"/>
      <c r="S385" s="2"/>
      <c r="T385" s="2"/>
    </row>
    <row r="386" spans="1:20" ht="15.75" customHeight="1">
      <c r="A386" s="1"/>
      <c r="B386" s="2"/>
      <c r="C386" s="2"/>
      <c r="D386" s="2"/>
      <c r="E386" s="2"/>
      <c r="F386" s="2"/>
      <c r="G386" s="2"/>
      <c r="H386" s="2"/>
      <c r="I386" s="2"/>
      <c r="J386" s="2"/>
      <c r="K386" s="2"/>
      <c r="L386" s="2"/>
      <c r="M386" s="2"/>
      <c r="N386" s="2"/>
      <c r="O386" s="2"/>
      <c r="P386" s="2"/>
      <c r="Q386" s="2"/>
      <c r="R386" s="2"/>
      <c r="S386" s="2"/>
      <c r="T386" s="2"/>
    </row>
    <row r="387" spans="1:20" ht="15.75" customHeight="1">
      <c r="A387" s="1"/>
      <c r="B387" s="2"/>
      <c r="C387" s="2"/>
      <c r="D387" s="2"/>
      <c r="E387" s="2"/>
      <c r="F387" s="2"/>
      <c r="G387" s="2"/>
      <c r="H387" s="2"/>
      <c r="I387" s="2"/>
      <c r="J387" s="2"/>
      <c r="K387" s="2"/>
      <c r="L387" s="2"/>
      <c r="M387" s="2"/>
      <c r="N387" s="2"/>
      <c r="O387" s="2"/>
      <c r="P387" s="2"/>
      <c r="Q387" s="2"/>
      <c r="R387" s="2"/>
      <c r="S387" s="2"/>
      <c r="T387" s="2"/>
    </row>
    <row r="388" spans="1:20" ht="15.75" customHeight="1">
      <c r="A388" s="1"/>
      <c r="B388" s="2"/>
      <c r="C388" s="2"/>
      <c r="D388" s="2"/>
      <c r="E388" s="2"/>
      <c r="F388" s="2"/>
      <c r="G388" s="2"/>
      <c r="H388" s="2"/>
      <c r="I388" s="2"/>
      <c r="J388" s="2"/>
      <c r="K388" s="2"/>
      <c r="L388" s="2"/>
      <c r="M388" s="2"/>
      <c r="N388" s="2"/>
      <c r="O388" s="2"/>
      <c r="P388" s="2"/>
      <c r="Q388" s="2"/>
      <c r="R388" s="2"/>
      <c r="S388" s="2"/>
      <c r="T388" s="2"/>
    </row>
    <row r="389" spans="1:20" ht="15.75" customHeight="1">
      <c r="A389" s="1"/>
      <c r="B389" s="2"/>
      <c r="C389" s="2"/>
      <c r="D389" s="2"/>
      <c r="E389" s="2"/>
      <c r="F389" s="2"/>
      <c r="G389" s="2"/>
      <c r="H389" s="2"/>
      <c r="I389" s="2"/>
      <c r="J389" s="2"/>
      <c r="K389" s="2"/>
      <c r="L389" s="2"/>
      <c r="M389" s="2"/>
      <c r="N389" s="2"/>
      <c r="O389" s="2"/>
      <c r="P389" s="2"/>
      <c r="Q389" s="2"/>
      <c r="R389" s="2"/>
      <c r="S389" s="2"/>
      <c r="T389" s="2"/>
    </row>
    <row r="390" spans="1:20" ht="15.75" customHeight="1">
      <c r="A390" s="1"/>
      <c r="B390" s="2"/>
      <c r="C390" s="2"/>
      <c r="D390" s="2"/>
      <c r="E390" s="2"/>
      <c r="F390" s="2"/>
      <c r="G390" s="2"/>
      <c r="H390" s="2"/>
      <c r="I390" s="2"/>
      <c r="J390" s="2"/>
      <c r="K390" s="2"/>
      <c r="L390" s="2"/>
      <c r="M390" s="2"/>
      <c r="N390" s="2"/>
      <c r="O390" s="2"/>
      <c r="P390" s="2"/>
      <c r="Q390" s="2"/>
      <c r="R390" s="2"/>
      <c r="S390" s="2"/>
      <c r="T390" s="2"/>
    </row>
    <row r="391" spans="1:20" ht="15.75" customHeight="1">
      <c r="A391" s="1"/>
      <c r="B391" s="2"/>
      <c r="C391" s="2"/>
      <c r="D391" s="2"/>
      <c r="E391" s="2"/>
      <c r="F391" s="2"/>
      <c r="G391" s="2"/>
      <c r="H391" s="2"/>
      <c r="I391" s="2"/>
      <c r="J391" s="2"/>
      <c r="K391" s="2"/>
      <c r="L391" s="2"/>
      <c r="M391" s="2"/>
      <c r="N391" s="2"/>
      <c r="O391" s="2"/>
      <c r="P391" s="2"/>
      <c r="Q391" s="2"/>
      <c r="R391" s="2"/>
      <c r="S391" s="2"/>
      <c r="T391" s="2"/>
    </row>
    <row r="392" spans="1:20" ht="15.75" customHeight="1">
      <c r="A392" s="1"/>
      <c r="B392" s="2"/>
      <c r="C392" s="2"/>
      <c r="D392" s="2"/>
      <c r="E392" s="2"/>
      <c r="F392" s="2"/>
      <c r="G392" s="2"/>
      <c r="H392" s="2"/>
      <c r="I392" s="2"/>
      <c r="J392" s="2"/>
      <c r="K392" s="2"/>
      <c r="L392" s="2"/>
      <c r="M392" s="2"/>
      <c r="N392" s="2"/>
      <c r="O392" s="2"/>
      <c r="P392" s="2"/>
      <c r="Q392" s="2"/>
      <c r="R392" s="2"/>
      <c r="S392" s="2"/>
      <c r="T392" s="2"/>
    </row>
    <row r="393" spans="1:20" ht="15.75" customHeight="1">
      <c r="A393" s="1"/>
      <c r="B393" s="2"/>
      <c r="C393" s="2"/>
      <c r="D393" s="2"/>
      <c r="E393" s="2"/>
      <c r="F393" s="2"/>
      <c r="G393" s="2"/>
      <c r="H393" s="2"/>
      <c r="I393" s="2"/>
      <c r="J393" s="2"/>
      <c r="K393" s="2"/>
      <c r="L393" s="2"/>
      <c r="M393" s="2"/>
      <c r="N393" s="2"/>
      <c r="O393" s="2"/>
      <c r="P393" s="2"/>
      <c r="Q393" s="2"/>
      <c r="R393" s="2"/>
      <c r="S393" s="2"/>
      <c r="T393" s="2"/>
    </row>
    <row r="394" spans="1:20" ht="15.75" customHeight="1">
      <c r="A394" s="1"/>
      <c r="B394" s="2"/>
      <c r="C394" s="2"/>
      <c r="D394" s="2"/>
      <c r="E394" s="2"/>
      <c r="F394" s="2"/>
      <c r="G394" s="2"/>
      <c r="H394" s="2"/>
      <c r="I394" s="2"/>
      <c r="J394" s="2"/>
      <c r="K394" s="2"/>
      <c r="L394" s="2"/>
      <c r="M394" s="2"/>
      <c r="N394" s="2"/>
      <c r="O394" s="2"/>
      <c r="P394" s="2"/>
      <c r="Q394" s="2"/>
      <c r="R394" s="2"/>
      <c r="S394" s="2"/>
      <c r="T394" s="2"/>
    </row>
    <row r="395" spans="1:20" ht="15.75" customHeight="1">
      <c r="A395" s="1"/>
      <c r="B395" s="2"/>
      <c r="C395" s="2"/>
      <c r="D395" s="2"/>
      <c r="E395" s="2"/>
      <c r="F395" s="2"/>
      <c r="G395" s="2"/>
      <c r="H395" s="2"/>
      <c r="I395" s="2"/>
      <c r="J395" s="2"/>
      <c r="K395" s="2"/>
      <c r="L395" s="2"/>
      <c r="M395" s="2"/>
      <c r="N395" s="2"/>
      <c r="O395" s="2"/>
      <c r="P395" s="2"/>
      <c r="Q395" s="2"/>
      <c r="R395" s="2"/>
      <c r="S395" s="2"/>
      <c r="T395" s="2"/>
    </row>
    <row r="396" spans="1:20" ht="15.75" customHeight="1">
      <c r="A396" s="1"/>
      <c r="B396" s="2"/>
      <c r="C396" s="2"/>
      <c r="D396" s="2"/>
      <c r="E396" s="2"/>
      <c r="F396" s="2"/>
      <c r="G396" s="2"/>
      <c r="H396" s="2"/>
      <c r="I396" s="2"/>
      <c r="J396" s="2"/>
      <c r="K396" s="2"/>
      <c r="L396" s="2"/>
      <c r="M396" s="2"/>
      <c r="N396" s="2"/>
      <c r="O396" s="2"/>
      <c r="P396" s="2"/>
      <c r="Q396" s="2"/>
      <c r="R396" s="2"/>
      <c r="S396" s="2"/>
      <c r="T396" s="2"/>
    </row>
    <row r="397" spans="1:20" ht="15.75" customHeight="1">
      <c r="A397" s="1"/>
      <c r="B397" s="2"/>
      <c r="C397" s="2"/>
      <c r="D397" s="2"/>
      <c r="E397" s="2"/>
      <c r="F397" s="2"/>
      <c r="G397" s="2"/>
      <c r="H397" s="2"/>
      <c r="I397" s="2"/>
      <c r="J397" s="2"/>
      <c r="K397" s="2"/>
      <c r="L397" s="2"/>
      <c r="M397" s="2"/>
      <c r="N397" s="2"/>
      <c r="O397" s="2"/>
      <c r="P397" s="2"/>
      <c r="Q397" s="2"/>
      <c r="R397" s="2"/>
      <c r="S397" s="2"/>
      <c r="T397" s="2"/>
    </row>
    <row r="398" spans="1:20" ht="15.75" customHeight="1">
      <c r="A398" s="1"/>
      <c r="B398" s="2"/>
      <c r="C398" s="2"/>
      <c r="D398" s="2"/>
      <c r="E398" s="2"/>
      <c r="F398" s="2"/>
      <c r="G398" s="2"/>
      <c r="H398" s="2"/>
      <c r="I398" s="2"/>
      <c r="J398" s="2"/>
      <c r="K398" s="2"/>
      <c r="L398" s="2"/>
      <c r="M398" s="2"/>
      <c r="N398" s="2"/>
      <c r="O398" s="2"/>
      <c r="P398" s="2"/>
      <c r="Q398" s="2"/>
      <c r="R398" s="2"/>
      <c r="S398" s="2"/>
      <c r="T398" s="2"/>
    </row>
    <row r="399" spans="1:20" ht="15.75" customHeight="1">
      <c r="A399" s="1"/>
      <c r="B399" s="2"/>
      <c r="C399" s="2"/>
      <c r="D399" s="2"/>
      <c r="E399" s="2"/>
      <c r="F399" s="2"/>
      <c r="G399" s="2"/>
      <c r="H399" s="2"/>
      <c r="I399" s="2"/>
      <c r="J399" s="2"/>
      <c r="K399" s="2"/>
      <c r="L399" s="2"/>
      <c r="M399" s="2"/>
      <c r="N399" s="2"/>
      <c r="O399" s="2"/>
      <c r="P399" s="2"/>
      <c r="Q399" s="2"/>
      <c r="R399" s="2"/>
      <c r="S399" s="2"/>
      <c r="T399" s="2"/>
    </row>
    <row r="400" spans="1:20" ht="15.75" customHeight="1">
      <c r="A400" s="1"/>
      <c r="B400" s="2"/>
      <c r="C400" s="2"/>
      <c r="D400" s="2"/>
      <c r="E400" s="2"/>
      <c r="F400" s="2"/>
      <c r="G400" s="2"/>
      <c r="H400" s="2"/>
      <c r="I400" s="2"/>
      <c r="J400" s="2"/>
      <c r="K400" s="2"/>
      <c r="L400" s="2"/>
      <c r="M400" s="2"/>
      <c r="N400" s="2"/>
      <c r="O400" s="2"/>
      <c r="P400" s="2"/>
      <c r="Q400" s="2"/>
      <c r="R400" s="2"/>
      <c r="S400" s="2"/>
      <c r="T400" s="2"/>
    </row>
    <row r="401" spans="1:20" ht="15.75" customHeight="1">
      <c r="A401" s="1"/>
      <c r="B401" s="2"/>
      <c r="C401" s="2"/>
      <c r="D401" s="2"/>
      <c r="E401" s="2"/>
      <c r="F401" s="2"/>
      <c r="G401" s="2"/>
      <c r="H401" s="2"/>
      <c r="I401" s="2"/>
      <c r="J401" s="2"/>
      <c r="K401" s="2"/>
      <c r="L401" s="2"/>
      <c r="M401" s="2"/>
      <c r="N401" s="2"/>
      <c r="O401" s="2"/>
      <c r="P401" s="2"/>
      <c r="Q401" s="2"/>
      <c r="R401" s="2"/>
      <c r="S401" s="2"/>
      <c r="T401" s="2"/>
    </row>
    <row r="402" spans="1:20" ht="15.75" customHeight="1">
      <c r="A402" s="1"/>
      <c r="B402" s="2"/>
      <c r="C402" s="2"/>
      <c r="D402" s="2"/>
      <c r="E402" s="2"/>
      <c r="F402" s="2"/>
      <c r="G402" s="2"/>
      <c r="H402" s="2"/>
      <c r="I402" s="2"/>
      <c r="J402" s="2"/>
      <c r="K402" s="2"/>
      <c r="L402" s="2"/>
      <c r="M402" s="2"/>
      <c r="N402" s="2"/>
      <c r="O402" s="2"/>
      <c r="P402" s="2"/>
      <c r="Q402" s="2"/>
      <c r="R402" s="2"/>
      <c r="S402" s="2"/>
      <c r="T402" s="2"/>
    </row>
    <row r="403" spans="1:20" ht="15.75" customHeight="1">
      <c r="A403" s="1"/>
      <c r="B403" s="2"/>
      <c r="C403" s="2"/>
      <c r="D403" s="2"/>
      <c r="E403" s="2"/>
      <c r="F403" s="2"/>
      <c r="G403" s="2"/>
      <c r="H403" s="2"/>
      <c r="I403" s="2"/>
      <c r="J403" s="2"/>
      <c r="K403" s="2"/>
      <c r="L403" s="2"/>
      <c r="M403" s="2"/>
      <c r="N403" s="2"/>
      <c r="O403" s="2"/>
      <c r="P403" s="2"/>
      <c r="Q403" s="2"/>
      <c r="R403" s="2"/>
      <c r="S403" s="2"/>
      <c r="T403" s="2"/>
    </row>
    <row r="404" spans="1:20" ht="15.75" customHeight="1">
      <c r="A404" s="1"/>
      <c r="B404" s="2"/>
      <c r="C404" s="2"/>
      <c r="D404" s="2"/>
      <c r="E404" s="2"/>
      <c r="F404" s="2"/>
      <c r="G404" s="2"/>
      <c r="H404" s="2"/>
      <c r="I404" s="2"/>
      <c r="J404" s="2"/>
      <c r="K404" s="2"/>
      <c r="L404" s="2"/>
      <c r="M404" s="2"/>
      <c r="N404" s="2"/>
      <c r="O404" s="2"/>
      <c r="P404" s="2"/>
      <c r="Q404" s="2"/>
      <c r="R404" s="2"/>
      <c r="S404" s="2"/>
      <c r="T404" s="2"/>
    </row>
    <row r="405" spans="1:20" ht="15.75" customHeight="1">
      <c r="A405" s="1"/>
      <c r="B405" s="2"/>
      <c r="C405" s="2"/>
      <c r="D405" s="2"/>
      <c r="E405" s="2"/>
      <c r="F405" s="2"/>
      <c r="G405" s="2"/>
      <c r="H405" s="2"/>
      <c r="I405" s="2"/>
      <c r="J405" s="2"/>
      <c r="K405" s="2"/>
      <c r="L405" s="2"/>
      <c r="M405" s="2"/>
      <c r="N405" s="2"/>
      <c r="O405" s="2"/>
      <c r="P405" s="2"/>
      <c r="Q405" s="2"/>
      <c r="R405" s="2"/>
      <c r="S405" s="2"/>
      <c r="T405" s="2"/>
    </row>
    <row r="406" spans="1:20" ht="15.75" customHeight="1">
      <c r="A406" s="1"/>
      <c r="B406" s="2"/>
      <c r="C406" s="2"/>
      <c r="D406" s="2"/>
      <c r="E406" s="2"/>
      <c r="F406" s="2"/>
      <c r="G406" s="2"/>
      <c r="H406" s="2"/>
      <c r="I406" s="2"/>
      <c r="J406" s="2"/>
      <c r="K406" s="2"/>
      <c r="L406" s="2"/>
      <c r="M406" s="2"/>
      <c r="N406" s="2"/>
      <c r="O406" s="2"/>
      <c r="P406" s="2"/>
      <c r="Q406" s="2"/>
      <c r="R406" s="2"/>
      <c r="S406" s="2"/>
      <c r="T406" s="2"/>
    </row>
    <row r="407" spans="1:20" ht="15.75" customHeight="1">
      <c r="A407" s="1"/>
      <c r="B407" s="2"/>
      <c r="C407" s="2"/>
      <c r="D407" s="2"/>
      <c r="E407" s="2"/>
      <c r="F407" s="2"/>
      <c r="G407" s="2"/>
      <c r="H407" s="2"/>
      <c r="I407" s="2"/>
      <c r="J407" s="2"/>
      <c r="K407" s="2"/>
      <c r="L407" s="2"/>
      <c r="M407" s="2"/>
      <c r="N407" s="2"/>
      <c r="O407" s="2"/>
      <c r="P407" s="2"/>
      <c r="Q407" s="2"/>
      <c r="R407" s="2"/>
      <c r="S407" s="2"/>
      <c r="T407" s="2"/>
    </row>
    <row r="408" spans="1:20" ht="15.75" customHeight="1">
      <c r="A408" s="1"/>
      <c r="B408" s="2"/>
      <c r="C408" s="2"/>
      <c r="D408" s="2"/>
      <c r="E408" s="2"/>
      <c r="F408" s="2"/>
      <c r="G408" s="2"/>
      <c r="H408" s="2"/>
      <c r="I408" s="2"/>
      <c r="J408" s="2"/>
      <c r="K408" s="2"/>
      <c r="L408" s="2"/>
      <c r="M408" s="2"/>
      <c r="N408" s="2"/>
      <c r="O408" s="2"/>
      <c r="P408" s="2"/>
      <c r="Q408" s="2"/>
      <c r="R408" s="2"/>
      <c r="S408" s="2"/>
      <c r="T408" s="2"/>
    </row>
    <row r="409" spans="1:20" ht="15.75" customHeight="1">
      <c r="A409" s="1"/>
      <c r="B409" s="2"/>
      <c r="C409" s="2"/>
      <c r="D409" s="2"/>
      <c r="E409" s="2"/>
      <c r="F409" s="2"/>
      <c r="G409" s="2"/>
      <c r="H409" s="2"/>
      <c r="I409" s="2"/>
      <c r="J409" s="2"/>
      <c r="K409" s="2"/>
      <c r="L409" s="2"/>
      <c r="M409" s="2"/>
      <c r="N409" s="2"/>
      <c r="O409" s="2"/>
      <c r="P409" s="2"/>
      <c r="Q409" s="2"/>
      <c r="R409" s="2"/>
      <c r="S409" s="2"/>
      <c r="T409" s="2"/>
    </row>
    <row r="410" spans="1:20" ht="15.75" customHeight="1">
      <c r="A410" s="1"/>
      <c r="B410" s="2"/>
      <c r="C410" s="2"/>
      <c r="D410" s="2"/>
      <c r="E410" s="2"/>
      <c r="F410" s="2"/>
      <c r="G410" s="2"/>
      <c r="H410" s="2"/>
      <c r="I410" s="2"/>
      <c r="J410" s="2"/>
      <c r="K410" s="2"/>
      <c r="L410" s="2"/>
      <c r="M410" s="2"/>
      <c r="N410" s="2"/>
      <c r="O410" s="2"/>
      <c r="P410" s="2"/>
      <c r="Q410" s="2"/>
      <c r="R410" s="2"/>
      <c r="S410" s="2"/>
      <c r="T410" s="2"/>
    </row>
    <row r="411" spans="1:20" ht="15.75" customHeight="1">
      <c r="A411" s="1"/>
      <c r="B411" s="2"/>
      <c r="C411" s="2"/>
      <c r="D411" s="2"/>
      <c r="E411" s="2"/>
      <c r="F411" s="2"/>
      <c r="G411" s="2"/>
      <c r="H411" s="2"/>
      <c r="I411" s="2"/>
      <c r="J411" s="2"/>
      <c r="K411" s="2"/>
      <c r="L411" s="2"/>
      <c r="M411" s="2"/>
      <c r="N411" s="2"/>
      <c r="O411" s="2"/>
      <c r="P411" s="2"/>
      <c r="Q411" s="2"/>
      <c r="R411" s="2"/>
      <c r="S411" s="2"/>
      <c r="T411" s="2"/>
    </row>
    <row r="412" spans="1:20" ht="15.75" customHeight="1">
      <c r="A412" s="1"/>
      <c r="B412" s="2"/>
      <c r="C412" s="2"/>
      <c r="D412" s="2"/>
      <c r="E412" s="2"/>
      <c r="F412" s="2"/>
      <c r="G412" s="2"/>
      <c r="H412" s="2"/>
      <c r="I412" s="2"/>
      <c r="J412" s="2"/>
      <c r="K412" s="2"/>
      <c r="L412" s="2"/>
      <c r="M412" s="2"/>
      <c r="N412" s="2"/>
      <c r="O412" s="2"/>
      <c r="P412" s="2"/>
      <c r="Q412" s="2"/>
      <c r="R412" s="2"/>
      <c r="S412" s="2"/>
      <c r="T412" s="2"/>
    </row>
    <row r="413" spans="1:20" ht="15.75" customHeight="1">
      <c r="A413" s="1"/>
      <c r="B413" s="2"/>
      <c r="C413" s="2"/>
      <c r="D413" s="2"/>
      <c r="E413" s="2"/>
      <c r="F413" s="2"/>
      <c r="G413" s="2"/>
      <c r="H413" s="2"/>
      <c r="I413" s="2"/>
      <c r="J413" s="2"/>
      <c r="K413" s="2"/>
      <c r="L413" s="2"/>
      <c r="M413" s="2"/>
      <c r="N413" s="2"/>
      <c r="O413" s="2"/>
      <c r="P413" s="2"/>
      <c r="Q413" s="2"/>
      <c r="R413" s="2"/>
      <c r="S413" s="2"/>
      <c r="T413" s="2"/>
    </row>
    <row r="414" spans="1:20" ht="15.75" customHeight="1">
      <c r="A414" s="1"/>
      <c r="B414" s="2"/>
      <c r="C414" s="2"/>
      <c r="D414" s="2"/>
      <c r="E414" s="2"/>
      <c r="F414" s="2"/>
      <c r="G414" s="2"/>
      <c r="H414" s="2"/>
      <c r="I414" s="2"/>
      <c r="J414" s="2"/>
      <c r="K414" s="2"/>
      <c r="L414" s="2"/>
      <c r="M414" s="2"/>
      <c r="N414" s="2"/>
      <c r="O414" s="2"/>
      <c r="P414" s="2"/>
      <c r="Q414" s="2"/>
      <c r="R414" s="2"/>
      <c r="S414" s="2"/>
      <c r="T414" s="2"/>
    </row>
    <row r="415" spans="1:20" ht="15.75" customHeight="1">
      <c r="A415" s="1"/>
      <c r="B415" s="2"/>
      <c r="C415" s="2"/>
      <c r="D415" s="2"/>
      <c r="E415" s="2"/>
      <c r="F415" s="2"/>
      <c r="G415" s="2"/>
      <c r="H415" s="2"/>
      <c r="I415" s="2"/>
      <c r="J415" s="2"/>
      <c r="K415" s="2"/>
      <c r="L415" s="2"/>
      <c r="M415" s="2"/>
      <c r="N415" s="2"/>
      <c r="O415" s="2"/>
      <c r="P415" s="2"/>
      <c r="Q415" s="2"/>
      <c r="R415" s="2"/>
      <c r="S415" s="2"/>
      <c r="T415" s="2"/>
    </row>
    <row r="416" spans="1:20" ht="15.75" customHeight="1">
      <c r="A416" s="1"/>
      <c r="B416" s="2"/>
      <c r="C416" s="2"/>
      <c r="D416" s="2"/>
      <c r="E416" s="2"/>
      <c r="F416" s="2"/>
      <c r="G416" s="2"/>
      <c r="H416" s="2"/>
      <c r="I416" s="2"/>
      <c r="J416" s="2"/>
      <c r="K416" s="2"/>
      <c r="L416" s="2"/>
      <c r="M416" s="2"/>
      <c r="N416" s="2"/>
      <c r="O416" s="2"/>
      <c r="P416" s="2"/>
      <c r="Q416" s="2"/>
      <c r="R416" s="2"/>
      <c r="S416" s="2"/>
      <c r="T416" s="2"/>
    </row>
    <row r="417" spans="1:20" ht="15.75" customHeight="1">
      <c r="A417" s="1"/>
      <c r="B417" s="2"/>
      <c r="C417" s="2"/>
      <c r="D417" s="2"/>
      <c r="E417" s="2"/>
      <c r="F417" s="2"/>
      <c r="G417" s="2"/>
      <c r="H417" s="2"/>
      <c r="I417" s="2"/>
      <c r="J417" s="2"/>
      <c r="K417" s="2"/>
      <c r="L417" s="2"/>
      <c r="M417" s="2"/>
      <c r="N417" s="2"/>
      <c r="O417" s="2"/>
      <c r="P417" s="2"/>
      <c r="Q417" s="2"/>
      <c r="R417" s="2"/>
      <c r="S417" s="2"/>
      <c r="T417" s="2"/>
    </row>
    <row r="418" spans="1:20" ht="15.75" customHeight="1">
      <c r="A418" s="1"/>
      <c r="B418" s="2"/>
      <c r="C418" s="2"/>
      <c r="D418" s="2"/>
      <c r="E418" s="2"/>
      <c r="F418" s="2"/>
      <c r="G418" s="2"/>
      <c r="H418" s="2"/>
      <c r="I418" s="2"/>
      <c r="J418" s="2"/>
      <c r="K418" s="2"/>
      <c r="L418" s="2"/>
      <c r="M418" s="2"/>
      <c r="N418" s="2"/>
      <c r="O418" s="2"/>
      <c r="P418" s="2"/>
      <c r="Q418" s="2"/>
      <c r="R418" s="2"/>
      <c r="S418" s="2"/>
      <c r="T418" s="2"/>
    </row>
    <row r="419" spans="1:20" ht="15.75" customHeight="1">
      <c r="A419" s="1"/>
      <c r="B419" s="2"/>
      <c r="C419" s="2"/>
      <c r="D419" s="2"/>
      <c r="E419" s="2"/>
      <c r="F419" s="2"/>
      <c r="G419" s="2"/>
      <c r="H419" s="2"/>
      <c r="I419" s="2"/>
      <c r="J419" s="2"/>
      <c r="K419" s="2"/>
      <c r="L419" s="2"/>
      <c r="M419" s="2"/>
      <c r="N419" s="2"/>
      <c r="O419" s="2"/>
      <c r="P419" s="2"/>
      <c r="Q419" s="2"/>
      <c r="R419" s="2"/>
      <c r="S419" s="2"/>
      <c r="T419" s="2"/>
    </row>
    <row r="420" spans="1:20" ht="15.75" customHeight="1">
      <c r="A420" s="1"/>
      <c r="B420" s="2"/>
      <c r="C420" s="2"/>
      <c r="D420" s="2"/>
      <c r="E420" s="2"/>
      <c r="F420" s="2"/>
      <c r="G420" s="2"/>
      <c r="H420" s="2"/>
      <c r="I420" s="2"/>
      <c r="J420" s="2"/>
      <c r="K420" s="2"/>
      <c r="L420" s="2"/>
      <c r="M420" s="2"/>
      <c r="N420" s="2"/>
      <c r="O420" s="2"/>
      <c r="P420" s="2"/>
      <c r="Q420" s="2"/>
      <c r="R420" s="2"/>
      <c r="S420" s="2"/>
      <c r="T420" s="2"/>
    </row>
    <row r="421" spans="1:20" ht="15.75" customHeight="1">
      <c r="A421" s="1"/>
      <c r="B421" s="2"/>
      <c r="C421" s="2"/>
      <c r="D421" s="2"/>
      <c r="E421" s="2"/>
      <c r="F421" s="2"/>
      <c r="G421" s="2"/>
      <c r="H421" s="2"/>
      <c r="I421" s="2"/>
      <c r="J421" s="2"/>
      <c r="K421" s="2"/>
      <c r="L421" s="2"/>
      <c r="M421" s="2"/>
      <c r="N421" s="2"/>
      <c r="O421" s="2"/>
      <c r="P421" s="2"/>
      <c r="Q421" s="2"/>
      <c r="R421" s="2"/>
      <c r="S421" s="2"/>
      <c r="T421" s="2"/>
    </row>
    <row r="422" spans="1:20" ht="15.75" customHeight="1">
      <c r="A422" s="1"/>
      <c r="B422" s="2"/>
      <c r="C422" s="2"/>
      <c r="D422" s="2"/>
      <c r="E422" s="2"/>
      <c r="F422" s="2"/>
      <c r="G422" s="2"/>
      <c r="H422" s="2"/>
      <c r="I422" s="2"/>
      <c r="J422" s="2"/>
      <c r="K422" s="2"/>
      <c r="L422" s="2"/>
      <c r="M422" s="2"/>
      <c r="N422" s="2"/>
      <c r="O422" s="2"/>
      <c r="P422" s="2"/>
      <c r="Q422" s="2"/>
      <c r="R422" s="2"/>
      <c r="S422" s="2"/>
      <c r="T422" s="2"/>
    </row>
    <row r="423" spans="1:20" ht="15.75" customHeight="1">
      <c r="A423" s="1"/>
      <c r="B423" s="2"/>
      <c r="C423" s="2"/>
      <c r="D423" s="2"/>
      <c r="E423" s="2"/>
      <c r="F423" s="2"/>
      <c r="G423" s="2"/>
      <c r="H423" s="2"/>
      <c r="I423" s="2"/>
      <c r="J423" s="2"/>
      <c r="K423" s="2"/>
      <c r="L423" s="2"/>
      <c r="M423" s="2"/>
      <c r="N423" s="2"/>
      <c r="O423" s="2"/>
      <c r="P423" s="2"/>
      <c r="Q423" s="2"/>
      <c r="R423" s="2"/>
      <c r="S423" s="2"/>
      <c r="T423" s="2"/>
    </row>
    <row r="424" spans="1:20" ht="15.75" customHeight="1">
      <c r="A424" s="1"/>
      <c r="B424" s="2"/>
      <c r="C424" s="2"/>
      <c r="D424" s="2"/>
      <c r="E424" s="2"/>
      <c r="F424" s="2"/>
      <c r="G424" s="2"/>
      <c r="H424" s="2"/>
      <c r="I424" s="2"/>
      <c r="J424" s="2"/>
      <c r="K424" s="2"/>
      <c r="L424" s="2"/>
      <c r="M424" s="2"/>
      <c r="N424" s="2"/>
      <c r="O424" s="2"/>
      <c r="P424" s="2"/>
      <c r="Q424" s="2"/>
      <c r="R424" s="2"/>
      <c r="S424" s="2"/>
      <c r="T424" s="2"/>
    </row>
    <row r="425" spans="1:20" ht="15.75" customHeight="1">
      <c r="A425" s="1"/>
      <c r="B425" s="2"/>
      <c r="C425" s="2"/>
      <c r="D425" s="2"/>
      <c r="E425" s="2"/>
      <c r="F425" s="2"/>
      <c r="G425" s="2"/>
      <c r="H425" s="2"/>
      <c r="I425" s="2"/>
      <c r="J425" s="2"/>
      <c r="K425" s="2"/>
      <c r="L425" s="2"/>
      <c r="M425" s="2"/>
      <c r="N425" s="2"/>
      <c r="O425" s="2"/>
      <c r="P425" s="2"/>
      <c r="Q425" s="2"/>
      <c r="R425" s="2"/>
      <c r="S425" s="2"/>
      <c r="T425" s="2"/>
    </row>
    <row r="426" spans="1:20" ht="15.75" customHeight="1">
      <c r="A426" s="1"/>
      <c r="B426" s="2"/>
      <c r="C426" s="2"/>
      <c r="D426" s="2"/>
      <c r="E426" s="2"/>
      <c r="F426" s="2"/>
      <c r="G426" s="2"/>
      <c r="H426" s="2"/>
      <c r="I426" s="2"/>
      <c r="J426" s="2"/>
      <c r="K426" s="2"/>
      <c r="L426" s="2"/>
      <c r="M426" s="2"/>
      <c r="N426" s="2"/>
      <c r="O426" s="2"/>
      <c r="P426" s="2"/>
      <c r="Q426" s="2"/>
      <c r="R426" s="2"/>
      <c r="S426" s="2"/>
      <c r="T426" s="2"/>
    </row>
    <row r="427" spans="1:20" ht="15.75" customHeight="1">
      <c r="A427" s="1"/>
      <c r="B427" s="2"/>
      <c r="C427" s="2"/>
      <c r="D427" s="2"/>
      <c r="E427" s="2"/>
      <c r="F427" s="2"/>
      <c r="G427" s="2"/>
      <c r="H427" s="2"/>
      <c r="I427" s="2"/>
      <c r="J427" s="2"/>
      <c r="K427" s="2"/>
      <c r="L427" s="2"/>
      <c r="M427" s="2"/>
      <c r="N427" s="2"/>
      <c r="O427" s="2"/>
      <c r="P427" s="2"/>
      <c r="Q427" s="2"/>
      <c r="R427" s="2"/>
      <c r="S427" s="2"/>
      <c r="T427" s="2"/>
    </row>
    <row r="428" spans="1:20" ht="15.75" customHeight="1">
      <c r="A428" s="1"/>
      <c r="B428" s="2"/>
      <c r="C428" s="2"/>
      <c r="D428" s="2"/>
      <c r="E428" s="2"/>
      <c r="F428" s="2"/>
      <c r="G428" s="2"/>
      <c r="H428" s="2"/>
      <c r="I428" s="2"/>
      <c r="J428" s="2"/>
      <c r="K428" s="2"/>
      <c r="L428" s="2"/>
      <c r="M428" s="2"/>
      <c r="N428" s="2"/>
      <c r="O428" s="2"/>
      <c r="P428" s="2"/>
      <c r="Q428" s="2"/>
      <c r="R428" s="2"/>
      <c r="S428" s="2"/>
      <c r="T428" s="2"/>
    </row>
    <row r="429" spans="1:20" ht="15.75" customHeight="1">
      <c r="A429" s="1"/>
      <c r="B429" s="2"/>
      <c r="C429" s="2"/>
      <c r="D429" s="2"/>
      <c r="E429" s="2"/>
      <c r="F429" s="2"/>
      <c r="G429" s="2"/>
      <c r="H429" s="2"/>
      <c r="I429" s="2"/>
      <c r="J429" s="2"/>
      <c r="K429" s="2"/>
      <c r="L429" s="2"/>
      <c r="M429" s="2"/>
      <c r="N429" s="2"/>
      <c r="O429" s="2"/>
      <c r="P429" s="2"/>
      <c r="Q429" s="2"/>
      <c r="R429" s="2"/>
      <c r="S429" s="2"/>
      <c r="T429" s="2"/>
    </row>
    <row r="430" spans="1:20" ht="15.75" customHeight="1">
      <c r="A430" s="1"/>
      <c r="B430" s="2"/>
      <c r="C430" s="2"/>
      <c r="D430" s="2"/>
      <c r="E430" s="2"/>
      <c r="F430" s="2"/>
      <c r="G430" s="2"/>
      <c r="H430" s="2"/>
      <c r="I430" s="2"/>
      <c r="J430" s="2"/>
      <c r="K430" s="2"/>
      <c r="L430" s="2"/>
      <c r="M430" s="2"/>
      <c r="N430" s="2"/>
      <c r="O430" s="2"/>
      <c r="P430" s="2"/>
      <c r="Q430" s="2"/>
      <c r="R430" s="2"/>
      <c r="S430" s="2"/>
      <c r="T430" s="2"/>
    </row>
    <row r="431" spans="1:20" ht="15.75" customHeight="1">
      <c r="A431" s="1"/>
      <c r="B431" s="2"/>
      <c r="C431" s="2"/>
      <c r="D431" s="2"/>
      <c r="E431" s="2"/>
      <c r="F431" s="2"/>
      <c r="G431" s="2"/>
      <c r="H431" s="2"/>
      <c r="I431" s="2"/>
      <c r="J431" s="2"/>
      <c r="K431" s="2"/>
      <c r="L431" s="2"/>
      <c r="M431" s="2"/>
      <c r="N431" s="2"/>
      <c r="O431" s="2"/>
      <c r="P431" s="2"/>
      <c r="Q431" s="2"/>
      <c r="R431" s="2"/>
      <c r="S431" s="2"/>
      <c r="T431" s="2"/>
    </row>
    <row r="432" spans="1:20" ht="15.75" customHeight="1">
      <c r="A432" s="1"/>
      <c r="B432" s="2"/>
      <c r="C432" s="2"/>
      <c r="D432" s="2"/>
      <c r="E432" s="2"/>
      <c r="F432" s="2"/>
      <c r="G432" s="2"/>
      <c r="H432" s="2"/>
      <c r="I432" s="2"/>
      <c r="J432" s="2"/>
      <c r="K432" s="2"/>
      <c r="L432" s="2"/>
      <c r="M432" s="2"/>
      <c r="N432" s="2"/>
      <c r="O432" s="2"/>
      <c r="P432" s="2"/>
      <c r="Q432" s="2"/>
      <c r="R432" s="2"/>
      <c r="S432" s="2"/>
      <c r="T432" s="2"/>
    </row>
    <row r="433" spans="1:20" ht="15.75" customHeight="1">
      <c r="A433" s="1"/>
      <c r="B433" s="2"/>
      <c r="C433" s="2"/>
      <c r="D433" s="2"/>
      <c r="E433" s="2"/>
      <c r="F433" s="2"/>
      <c r="G433" s="2"/>
      <c r="H433" s="2"/>
      <c r="I433" s="2"/>
      <c r="J433" s="2"/>
      <c r="K433" s="2"/>
      <c r="L433" s="2"/>
      <c r="M433" s="2"/>
      <c r="N433" s="2"/>
      <c r="O433" s="2"/>
      <c r="P433" s="2"/>
      <c r="Q433" s="2"/>
      <c r="R433" s="2"/>
      <c r="S433" s="2"/>
      <c r="T433" s="2"/>
    </row>
    <row r="434" spans="1:20" ht="15.75" customHeight="1">
      <c r="A434" s="1"/>
      <c r="B434" s="2"/>
      <c r="C434" s="2"/>
      <c r="D434" s="2"/>
      <c r="E434" s="2"/>
      <c r="F434" s="2"/>
      <c r="G434" s="2"/>
      <c r="H434" s="2"/>
      <c r="I434" s="2"/>
      <c r="J434" s="2"/>
      <c r="K434" s="2"/>
      <c r="L434" s="2"/>
      <c r="M434" s="2"/>
      <c r="N434" s="2"/>
      <c r="O434" s="2"/>
      <c r="P434" s="2"/>
      <c r="Q434" s="2"/>
      <c r="R434" s="2"/>
      <c r="S434" s="2"/>
      <c r="T434" s="2"/>
    </row>
    <row r="435" spans="1:20" ht="15.75" customHeight="1">
      <c r="A435" s="1"/>
      <c r="B435" s="2"/>
      <c r="C435" s="2"/>
      <c r="D435" s="2"/>
      <c r="E435" s="2"/>
      <c r="F435" s="2"/>
      <c r="G435" s="2"/>
      <c r="H435" s="2"/>
      <c r="I435" s="2"/>
      <c r="J435" s="2"/>
      <c r="K435" s="2"/>
      <c r="L435" s="2"/>
      <c r="M435" s="2"/>
      <c r="N435" s="2"/>
      <c r="O435" s="2"/>
      <c r="P435" s="2"/>
      <c r="Q435" s="2"/>
      <c r="R435" s="2"/>
      <c r="S435" s="2"/>
      <c r="T435" s="2"/>
    </row>
    <row r="436" spans="1:20" ht="15.75" customHeight="1">
      <c r="A436" s="1"/>
      <c r="B436" s="2"/>
      <c r="C436" s="2"/>
      <c r="D436" s="2"/>
      <c r="E436" s="2"/>
      <c r="F436" s="2"/>
      <c r="G436" s="2"/>
      <c r="H436" s="2"/>
      <c r="I436" s="2"/>
      <c r="J436" s="2"/>
      <c r="K436" s="2"/>
      <c r="L436" s="2"/>
      <c r="M436" s="2"/>
      <c r="N436" s="2"/>
      <c r="O436" s="2"/>
      <c r="P436" s="2"/>
      <c r="Q436" s="2"/>
      <c r="R436" s="2"/>
      <c r="S436" s="2"/>
      <c r="T436" s="2"/>
    </row>
    <row r="437" spans="1:20" ht="15.75" customHeight="1">
      <c r="A437" s="1"/>
      <c r="B437" s="2"/>
      <c r="C437" s="2"/>
      <c r="D437" s="2"/>
      <c r="E437" s="2"/>
      <c r="F437" s="2"/>
      <c r="G437" s="2"/>
      <c r="H437" s="2"/>
      <c r="I437" s="2"/>
      <c r="J437" s="2"/>
      <c r="K437" s="2"/>
      <c r="L437" s="2"/>
      <c r="M437" s="2"/>
      <c r="N437" s="2"/>
      <c r="O437" s="2"/>
      <c r="P437" s="2"/>
      <c r="Q437" s="2"/>
      <c r="R437" s="2"/>
      <c r="S437" s="2"/>
      <c r="T437" s="2"/>
    </row>
    <row r="438" spans="1:20" ht="15.75" customHeight="1">
      <c r="A438" s="1"/>
      <c r="B438" s="2"/>
      <c r="C438" s="2"/>
      <c r="D438" s="2"/>
      <c r="E438" s="2"/>
      <c r="F438" s="2"/>
      <c r="G438" s="2"/>
      <c r="H438" s="2"/>
      <c r="I438" s="2"/>
      <c r="J438" s="2"/>
      <c r="K438" s="2"/>
      <c r="L438" s="2"/>
      <c r="M438" s="2"/>
      <c r="N438" s="2"/>
      <c r="O438" s="2"/>
      <c r="P438" s="2"/>
      <c r="Q438" s="2"/>
      <c r="R438" s="2"/>
      <c r="S438" s="2"/>
      <c r="T438" s="2"/>
    </row>
    <row r="439" spans="1:20" ht="15.75" customHeight="1">
      <c r="A439" s="1"/>
      <c r="B439" s="2"/>
      <c r="C439" s="2"/>
      <c r="D439" s="2"/>
      <c r="E439" s="2"/>
      <c r="F439" s="2"/>
      <c r="G439" s="2"/>
      <c r="H439" s="2"/>
      <c r="I439" s="2"/>
      <c r="J439" s="2"/>
      <c r="K439" s="2"/>
      <c r="L439" s="2"/>
      <c r="M439" s="2"/>
      <c r="N439" s="2"/>
      <c r="O439" s="2"/>
      <c r="P439" s="2"/>
      <c r="Q439" s="2"/>
      <c r="R439" s="2"/>
      <c r="S439" s="2"/>
      <c r="T439" s="2"/>
    </row>
    <row r="440" spans="1:20" ht="15.75" customHeight="1">
      <c r="A440" s="1"/>
      <c r="B440" s="2"/>
      <c r="C440" s="2"/>
      <c r="D440" s="2"/>
      <c r="E440" s="2"/>
      <c r="F440" s="2"/>
      <c r="G440" s="2"/>
      <c r="H440" s="2"/>
      <c r="I440" s="2"/>
      <c r="J440" s="2"/>
      <c r="K440" s="2"/>
      <c r="L440" s="2"/>
      <c r="M440" s="2"/>
      <c r="N440" s="2"/>
      <c r="O440" s="2"/>
      <c r="P440" s="2"/>
      <c r="Q440" s="2"/>
      <c r="R440" s="2"/>
      <c r="S440" s="2"/>
      <c r="T440" s="2"/>
    </row>
    <row r="441" spans="1:20" ht="15.75" customHeight="1">
      <c r="A441" s="1"/>
      <c r="B441" s="2"/>
      <c r="C441" s="2"/>
      <c r="D441" s="2"/>
      <c r="E441" s="2"/>
      <c r="F441" s="2"/>
      <c r="G441" s="2"/>
      <c r="H441" s="2"/>
      <c r="I441" s="2"/>
      <c r="J441" s="2"/>
      <c r="K441" s="2"/>
      <c r="L441" s="2"/>
      <c r="M441" s="2"/>
      <c r="N441" s="2"/>
      <c r="O441" s="2"/>
      <c r="P441" s="2"/>
      <c r="Q441" s="2"/>
      <c r="R441" s="2"/>
      <c r="S441" s="2"/>
      <c r="T441" s="2"/>
    </row>
    <row r="442" spans="1:20" ht="15.75" customHeight="1">
      <c r="A442" s="1"/>
      <c r="B442" s="2"/>
      <c r="C442" s="2"/>
      <c r="D442" s="2"/>
      <c r="E442" s="2"/>
      <c r="F442" s="2"/>
      <c r="G442" s="2"/>
      <c r="H442" s="2"/>
      <c r="I442" s="2"/>
      <c r="J442" s="2"/>
      <c r="K442" s="2"/>
      <c r="L442" s="2"/>
      <c r="M442" s="2"/>
      <c r="N442" s="2"/>
      <c r="O442" s="2"/>
      <c r="P442" s="2"/>
      <c r="Q442" s="2"/>
      <c r="R442" s="2"/>
      <c r="S442" s="2"/>
      <c r="T442" s="2"/>
    </row>
    <row r="443" spans="1:20" ht="15.75" customHeight="1">
      <c r="A443" s="1"/>
      <c r="B443" s="2"/>
      <c r="C443" s="2"/>
      <c r="D443" s="2"/>
      <c r="E443" s="2"/>
      <c r="F443" s="2"/>
      <c r="G443" s="2"/>
      <c r="H443" s="2"/>
      <c r="I443" s="2"/>
      <c r="J443" s="2"/>
      <c r="K443" s="2"/>
      <c r="L443" s="2"/>
      <c r="M443" s="2"/>
      <c r="N443" s="2"/>
      <c r="O443" s="2"/>
      <c r="P443" s="2"/>
      <c r="Q443" s="2"/>
      <c r="R443" s="2"/>
      <c r="S443" s="2"/>
      <c r="T443" s="2"/>
    </row>
    <row r="444" spans="1:20" ht="15.75" customHeight="1">
      <c r="A444" s="1"/>
      <c r="B444" s="2"/>
      <c r="C444" s="2"/>
      <c r="D444" s="2"/>
      <c r="E444" s="2"/>
      <c r="F444" s="2"/>
      <c r="G444" s="2"/>
      <c r="H444" s="2"/>
      <c r="I444" s="2"/>
      <c r="J444" s="2"/>
      <c r="K444" s="2"/>
      <c r="L444" s="2"/>
      <c r="M444" s="2"/>
      <c r="N444" s="2"/>
      <c r="O444" s="2"/>
      <c r="P444" s="2"/>
      <c r="Q444" s="2"/>
      <c r="R444" s="2"/>
      <c r="S444" s="2"/>
      <c r="T444" s="2"/>
    </row>
    <row r="445" spans="1:20" ht="15.75" customHeight="1">
      <c r="A445" s="1"/>
      <c r="B445" s="2"/>
      <c r="C445" s="2"/>
      <c r="D445" s="2"/>
      <c r="E445" s="2"/>
      <c r="F445" s="2"/>
      <c r="G445" s="2"/>
      <c r="H445" s="2"/>
      <c r="I445" s="2"/>
      <c r="J445" s="2"/>
      <c r="K445" s="2"/>
      <c r="L445" s="2"/>
      <c r="M445" s="2"/>
      <c r="N445" s="2"/>
      <c r="O445" s="2"/>
      <c r="P445" s="2"/>
      <c r="Q445" s="2"/>
      <c r="R445" s="2"/>
      <c r="S445" s="2"/>
      <c r="T445" s="2"/>
    </row>
    <row r="446" spans="1:20" ht="15.75" customHeight="1">
      <c r="A446" s="1"/>
      <c r="B446" s="2"/>
      <c r="C446" s="2"/>
      <c r="D446" s="2"/>
      <c r="E446" s="2"/>
      <c r="F446" s="2"/>
      <c r="G446" s="2"/>
      <c r="H446" s="2"/>
      <c r="I446" s="2"/>
      <c r="J446" s="2"/>
      <c r="K446" s="2"/>
      <c r="L446" s="2"/>
      <c r="M446" s="2"/>
      <c r="N446" s="2"/>
      <c r="O446" s="2"/>
      <c r="P446" s="2"/>
      <c r="Q446" s="2"/>
      <c r="R446" s="2"/>
      <c r="S446" s="2"/>
      <c r="T446" s="2"/>
    </row>
    <row r="447" spans="1:20" ht="15.75" customHeight="1">
      <c r="A447" s="1"/>
      <c r="B447" s="2"/>
      <c r="C447" s="2"/>
      <c r="D447" s="2"/>
      <c r="E447" s="2"/>
      <c r="F447" s="2"/>
      <c r="G447" s="2"/>
      <c r="H447" s="2"/>
      <c r="I447" s="2"/>
      <c r="J447" s="2"/>
      <c r="K447" s="2"/>
      <c r="L447" s="2"/>
      <c r="M447" s="2"/>
      <c r="N447" s="2"/>
      <c r="O447" s="2"/>
      <c r="P447" s="2"/>
      <c r="Q447" s="2"/>
      <c r="R447" s="2"/>
      <c r="S447" s="2"/>
      <c r="T447" s="2"/>
    </row>
    <row r="448" spans="1:20" ht="15.75" customHeight="1">
      <c r="A448" s="1"/>
      <c r="B448" s="2"/>
      <c r="C448" s="2"/>
      <c r="D448" s="2"/>
      <c r="E448" s="2"/>
      <c r="F448" s="2"/>
      <c r="G448" s="2"/>
      <c r="H448" s="2"/>
      <c r="I448" s="2"/>
      <c r="J448" s="2"/>
      <c r="K448" s="2"/>
      <c r="L448" s="2"/>
      <c r="M448" s="2"/>
      <c r="N448" s="2"/>
      <c r="O448" s="2"/>
      <c r="P448" s="2"/>
      <c r="Q448" s="2"/>
      <c r="R448" s="2"/>
      <c r="S448" s="2"/>
      <c r="T448" s="2"/>
    </row>
    <row r="449" spans="1:20" ht="15.75" customHeight="1">
      <c r="A449" s="1"/>
      <c r="B449" s="2"/>
      <c r="C449" s="2"/>
      <c r="D449" s="2"/>
      <c r="E449" s="2"/>
      <c r="F449" s="2"/>
      <c r="G449" s="2"/>
      <c r="H449" s="2"/>
      <c r="I449" s="2"/>
      <c r="J449" s="2"/>
      <c r="K449" s="2"/>
      <c r="L449" s="2"/>
      <c r="M449" s="2"/>
      <c r="N449" s="2"/>
      <c r="O449" s="2"/>
      <c r="P449" s="2"/>
      <c r="Q449" s="2"/>
      <c r="R449" s="2"/>
      <c r="S449" s="2"/>
      <c r="T449" s="2"/>
    </row>
    <row r="450" spans="1:20" ht="15.75" customHeight="1">
      <c r="A450" s="1"/>
      <c r="B450" s="2"/>
      <c r="C450" s="2"/>
      <c r="D450" s="2"/>
      <c r="E450" s="2"/>
      <c r="F450" s="2"/>
      <c r="G450" s="2"/>
      <c r="H450" s="2"/>
      <c r="I450" s="2"/>
      <c r="J450" s="2"/>
      <c r="K450" s="2"/>
      <c r="L450" s="2"/>
      <c r="M450" s="2"/>
      <c r="N450" s="2"/>
      <c r="O450" s="2"/>
      <c r="P450" s="2"/>
      <c r="Q450" s="2"/>
      <c r="R450" s="2"/>
      <c r="S450" s="2"/>
      <c r="T450" s="2"/>
    </row>
    <row r="451" spans="1:20" ht="15.75" customHeight="1">
      <c r="A451" s="1"/>
      <c r="B451" s="2"/>
      <c r="C451" s="2"/>
      <c r="D451" s="2"/>
      <c r="E451" s="2"/>
      <c r="F451" s="2"/>
      <c r="G451" s="2"/>
      <c r="H451" s="2"/>
      <c r="I451" s="2"/>
      <c r="J451" s="2"/>
      <c r="K451" s="2"/>
      <c r="L451" s="2"/>
      <c r="M451" s="2"/>
      <c r="N451" s="2"/>
      <c r="O451" s="2"/>
      <c r="P451" s="2"/>
      <c r="Q451" s="2"/>
      <c r="R451" s="2"/>
      <c r="S451" s="2"/>
      <c r="T451" s="2"/>
    </row>
    <row r="452" spans="1:20" ht="15.75" customHeight="1">
      <c r="A452" s="1"/>
      <c r="B452" s="2"/>
      <c r="C452" s="2"/>
      <c r="D452" s="2"/>
      <c r="E452" s="2"/>
      <c r="F452" s="2"/>
      <c r="G452" s="2"/>
      <c r="H452" s="2"/>
      <c r="I452" s="2"/>
      <c r="J452" s="2"/>
      <c r="K452" s="2"/>
      <c r="L452" s="2"/>
      <c r="M452" s="2"/>
      <c r="N452" s="2"/>
      <c r="O452" s="2"/>
      <c r="P452" s="2"/>
      <c r="Q452" s="2"/>
      <c r="R452" s="2"/>
      <c r="S452" s="2"/>
      <c r="T452" s="2"/>
    </row>
    <row r="453" spans="1:20" ht="15.75" customHeight="1">
      <c r="A453" s="1"/>
      <c r="B453" s="2"/>
      <c r="C453" s="2"/>
      <c r="D453" s="2"/>
      <c r="E453" s="2"/>
      <c r="F453" s="2"/>
      <c r="G453" s="2"/>
      <c r="H453" s="2"/>
      <c r="I453" s="2"/>
      <c r="J453" s="2"/>
      <c r="K453" s="2"/>
      <c r="L453" s="2"/>
      <c r="M453" s="2"/>
      <c r="N453" s="2"/>
      <c r="O453" s="2"/>
      <c r="P453" s="2"/>
      <c r="Q453" s="2"/>
      <c r="R453" s="2"/>
      <c r="S453" s="2"/>
      <c r="T453" s="2"/>
    </row>
    <row r="454" spans="1:20" ht="15.75" customHeight="1">
      <c r="A454" s="1"/>
      <c r="B454" s="2"/>
      <c r="C454" s="2"/>
      <c r="D454" s="2"/>
      <c r="E454" s="2"/>
      <c r="F454" s="2"/>
      <c r="G454" s="2"/>
      <c r="H454" s="2"/>
      <c r="I454" s="2"/>
      <c r="J454" s="2"/>
      <c r="K454" s="2"/>
      <c r="L454" s="2"/>
      <c r="M454" s="2"/>
      <c r="N454" s="2"/>
      <c r="O454" s="2"/>
      <c r="P454" s="2"/>
      <c r="Q454" s="2"/>
      <c r="R454" s="2"/>
      <c r="S454" s="2"/>
      <c r="T454" s="2"/>
    </row>
    <row r="455" spans="1:20" ht="15.75" customHeight="1">
      <c r="A455" s="1"/>
      <c r="B455" s="2"/>
      <c r="C455" s="2"/>
      <c r="D455" s="2"/>
      <c r="E455" s="2"/>
      <c r="F455" s="2"/>
      <c r="G455" s="2"/>
      <c r="H455" s="2"/>
      <c r="I455" s="2"/>
      <c r="J455" s="2"/>
      <c r="K455" s="2"/>
      <c r="L455" s="2"/>
      <c r="M455" s="2"/>
      <c r="N455" s="2"/>
      <c r="O455" s="2"/>
      <c r="P455" s="2"/>
      <c r="Q455" s="2"/>
      <c r="R455" s="2"/>
      <c r="S455" s="2"/>
      <c r="T455" s="2"/>
    </row>
    <row r="456" spans="1:20" ht="15.75" customHeight="1">
      <c r="A456" s="1"/>
      <c r="B456" s="2"/>
      <c r="C456" s="2"/>
      <c r="D456" s="2"/>
      <c r="E456" s="2"/>
      <c r="F456" s="2"/>
      <c r="G456" s="2"/>
      <c r="H456" s="2"/>
      <c r="I456" s="2"/>
      <c r="J456" s="2"/>
      <c r="K456" s="2"/>
      <c r="L456" s="2"/>
      <c r="M456" s="2"/>
      <c r="N456" s="2"/>
      <c r="O456" s="2"/>
      <c r="P456" s="2"/>
      <c r="Q456" s="2"/>
      <c r="R456" s="2"/>
      <c r="S456" s="2"/>
      <c r="T456" s="2"/>
    </row>
    <row r="457" spans="1:20" ht="15.75" customHeight="1">
      <c r="A457" s="1"/>
      <c r="B457" s="2"/>
      <c r="C457" s="2"/>
      <c r="D457" s="2"/>
      <c r="E457" s="2"/>
      <c r="F457" s="2"/>
      <c r="G457" s="2"/>
      <c r="H457" s="2"/>
      <c r="I457" s="2"/>
      <c r="J457" s="2"/>
      <c r="K457" s="2"/>
      <c r="L457" s="2"/>
      <c r="M457" s="2"/>
      <c r="N457" s="2"/>
      <c r="O457" s="2"/>
      <c r="P457" s="2"/>
      <c r="Q457" s="2"/>
      <c r="R457" s="2"/>
      <c r="S457" s="2"/>
      <c r="T457" s="2"/>
    </row>
    <row r="458" spans="1:20" ht="15.75" customHeight="1">
      <c r="A458" s="1"/>
      <c r="B458" s="2"/>
      <c r="C458" s="2"/>
      <c r="D458" s="2"/>
      <c r="E458" s="2"/>
      <c r="F458" s="2"/>
      <c r="G458" s="2"/>
      <c r="H458" s="2"/>
      <c r="I458" s="2"/>
      <c r="J458" s="2"/>
      <c r="K458" s="2"/>
      <c r="L458" s="2"/>
      <c r="M458" s="2"/>
      <c r="N458" s="2"/>
      <c r="O458" s="2"/>
      <c r="P458" s="2"/>
      <c r="Q458" s="2"/>
      <c r="R458" s="2"/>
      <c r="S458" s="2"/>
      <c r="T458" s="2"/>
    </row>
    <row r="459" spans="1:20" ht="15.75" customHeight="1">
      <c r="A459" s="1"/>
      <c r="B459" s="2"/>
      <c r="C459" s="2"/>
      <c r="D459" s="2"/>
      <c r="E459" s="2"/>
      <c r="F459" s="2"/>
      <c r="G459" s="2"/>
      <c r="H459" s="2"/>
      <c r="I459" s="2"/>
      <c r="J459" s="2"/>
      <c r="K459" s="2"/>
      <c r="L459" s="2"/>
      <c r="M459" s="2"/>
      <c r="N459" s="2"/>
      <c r="O459" s="2"/>
      <c r="P459" s="2"/>
      <c r="Q459" s="2"/>
      <c r="R459" s="2"/>
      <c r="S459" s="2"/>
      <c r="T459" s="2"/>
    </row>
    <row r="460" spans="1:20" ht="15.75" customHeight="1">
      <c r="A460" s="1"/>
      <c r="B460" s="2"/>
      <c r="C460" s="2"/>
      <c r="D460" s="2"/>
      <c r="E460" s="2"/>
      <c r="F460" s="2"/>
      <c r="G460" s="2"/>
      <c r="H460" s="2"/>
      <c r="I460" s="2"/>
      <c r="J460" s="2"/>
      <c r="K460" s="2"/>
      <c r="L460" s="2"/>
      <c r="M460" s="2"/>
      <c r="N460" s="2"/>
      <c r="O460" s="2"/>
      <c r="P460" s="2"/>
      <c r="Q460" s="2"/>
      <c r="R460" s="2"/>
      <c r="S460" s="2"/>
      <c r="T460" s="2"/>
    </row>
    <row r="461" spans="1:20" ht="15.75" customHeight="1">
      <c r="A461" s="1"/>
      <c r="B461" s="2"/>
      <c r="C461" s="2"/>
      <c r="D461" s="2"/>
      <c r="E461" s="2"/>
      <c r="F461" s="2"/>
      <c r="G461" s="2"/>
      <c r="H461" s="2"/>
      <c r="I461" s="2"/>
      <c r="J461" s="2"/>
      <c r="K461" s="2"/>
      <c r="L461" s="2"/>
      <c r="M461" s="2"/>
      <c r="N461" s="2"/>
      <c r="O461" s="2"/>
      <c r="P461" s="2"/>
      <c r="Q461" s="2"/>
      <c r="R461" s="2"/>
      <c r="S461" s="2"/>
      <c r="T461" s="2"/>
    </row>
    <row r="462" spans="1:20" ht="15.75" customHeight="1">
      <c r="A462" s="1"/>
      <c r="B462" s="2"/>
      <c r="C462" s="2"/>
      <c r="D462" s="2"/>
      <c r="E462" s="2"/>
      <c r="F462" s="2"/>
      <c r="G462" s="2"/>
      <c r="H462" s="2"/>
      <c r="I462" s="2"/>
      <c r="J462" s="2"/>
      <c r="K462" s="2"/>
      <c r="L462" s="2"/>
      <c r="M462" s="2"/>
      <c r="N462" s="2"/>
      <c r="O462" s="2"/>
      <c r="P462" s="2"/>
      <c r="Q462" s="2"/>
      <c r="R462" s="2"/>
      <c r="S462" s="2"/>
      <c r="T462" s="2"/>
    </row>
    <row r="463" spans="1:20" ht="15.75" customHeight="1">
      <c r="A463" s="1"/>
      <c r="B463" s="2"/>
      <c r="C463" s="2"/>
      <c r="D463" s="2"/>
      <c r="E463" s="2"/>
      <c r="F463" s="2"/>
      <c r="G463" s="2"/>
      <c r="H463" s="2"/>
      <c r="I463" s="2"/>
      <c r="J463" s="2"/>
      <c r="K463" s="2"/>
      <c r="L463" s="2"/>
      <c r="M463" s="2"/>
      <c r="N463" s="2"/>
      <c r="O463" s="2"/>
      <c r="P463" s="2"/>
      <c r="Q463" s="2"/>
      <c r="R463" s="2"/>
      <c r="S463" s="2"/>
      <c r="T463" s="2"/>
    </row>
    <row r="464" spans="1:20" ht="15.75" customHeight="1">
      <c r="A464" s="1"/>
      <c r="B464" s="2"/>
      <c r="C464" s="2"/>
      <c r="D464" s="2"/>
      <c r="E464" s="2"/>
      <c r="F464" s="2"/>
      <c r="G464" s="2"/>
      <c r="H464" s="2"/>
      <c r="I464" s="2"/>
      <c r="J464" s="2"/>
      <c r="K464" s="2"/>
      <c r="L464" s="2"/>
      <c r="M464" s="2"/>
      <c r="N464" s="2"/>
      <c r="O464" s="2"/>
      <c r="P464" s="2"/>
      <c r="Q464" s="2"/>
      <c r="R464" s="2"/>
      <c r="S464" s="2"/>
      <c r="T464" s="2"/>
    </row>
    <row r="465" spans="1:20" ht="15.75" customHeight="1">
      <c r="A465" s="1"/>
      <c r="B465" s="2"/>
      <c r="C465" s="2"/>
      <c r="D465" s="2"/>
      <c r="E465" s="2"/>
      <c r="F465" s="2"/>
      <c r="G465" s="2"/>
      <c r="H465" s="2"/>
      <c r="I465" s="2"/>
      <c r="J465" s="2"/>
      <c r="K465" s="2"/>
      <c r="L465" s="2"/>
      <c r="M465" s="2"/>
      <c r="N465" s="2"/>
      <c r="O465" s="2"/>
      <c r="P465" s="2"/>
      <c r="Q465" s="2"/>
      <c r="R465" s="2"/>
      <c r="S465" s="2"/>
      <c r="T465" s="2"/>
    </row>
    <row r="466" spans="1:20" ht="15.75" customHeight="1">
      <c r="A466" s="1"/>
      <c r="B466" s="2"/>
      <c r="C466" s="2"/>
      <c r="D466" s="2"/>
      <c r="E466" s="2"/>
      <c r="F466" s="2"/>
      <c r="G466" s="2"/>
      <c r="H466" s="2"/>
      <c r="I466" s="2"/>
      <c r="J466" s="2"/>
      <c r="K466" s="2"/>
      <c r="L466" s="2"/>
      <c r="M466" s="2"/>
      <c r="N466" s="2"/>
      <c r="O466" s="2"/>
      <c r="P466" s="2"/>
      <c r="Q466" s="2"/>
      <c r="R466" s="2"/>
      <c r="S466" s="2"/>
      <c r="T466" s="2"/>
    </row>
    <row r="467" spans="1:20" ht="15.75" customHeight="1">
      <c r="A467" s="1"/>
      <c r="B467" s="2"/>
      <c r="C467" s="2"/>
      <c r="D467" s="2"/>
      <c r="E467" s="2"/>
      <c r="F467" s="2"/>
      <c r="G467" s="2"/>
      <c r="H467" s="2"/>
      <c r="I467" s="2"/>
      <c r="J467" s="2"/>
      <c r="K467" s="2"/>
      <c r="L467" s="2"/>
      <c r="M467" s="2"/>
      <c r="N467" s="2"/>
      <c r="O467" s="2"/>
      <c r="P467" s="2"/>
      <c r="Q467" s="2"/>
      <c r="R467" s="2"/>
      <c r="S467" s="2"/>
      <c r="T467" s="2"/>
    </row>
    <row r="468" spans="1:20" ht="15.75" customHeight="1">
      <c r="A468" s="1"/>
      <c r="B468" s="2"/>
      <c r="C468" s="2"/>
      <c r="D468" s="2"/>
      <c r="E468" s="2"/>
      <c r="F468" s="2"/>
      <c r="G468" s="2"/>
      <c r="H468" s="2"/>
      <c r="I468" s="2"/>
      <c r="J468" s="2"/>
      <c r="K468" s="2"/>
      <c r="L468" s="2"/>
      <c r="M468" s="2"/>
      <c r="N468" s="2"/>
      <c r="O468" s="2"/>
      <c r="P468" s="2"/>
      <c r="Q468" s="2"/>
      <c r="R468" s="2"/>
      <c r="S468" s="2"/>
      <c r="T468" s="2"/>
    </row>
    <row r="469" spans="1:20" ht="15.75" customHeight="1">
      <c r="A469" s="1"/>
      <c r="B469" s="2"/>
      <c r="C469" s="2"/>
      <c r="D469" s="2"/>
      <c r="E469" s="2"/>
      <c r="F469" s="2"/>
      <c r="G469" s="2"/>
      <c r="H469" s="2"/>
      <c r="I469" s="2"/>
      <c r="J469" s="2"/>
      <c r="K469" s="2"/>
      <c r="L469" s="2"/>
      <c r="M469" s="2"/>
      <c r="N469" s="2"/>
      <c r="O469" s="2"/>
      <c r="P469" s="2"/>
      <c r="Q469" s="2"/>
      <c r="R469" s="2"/>
      <c r="S469" s="2"/>
      <c r="T469" s="2"/>
    </row>
    <row r="470" spans="1:20" ht="15.75" customHeight="1">
      <c r="A470" s="1"/>
      <c r="B470" s="2"/>
      <c r="C470" s="2"/>
      <c r="D470" s="2"/>
      <c r="E470" s="2"/>
      <c r="F470" s="2"/>
      <c r="G470" s="2"/>
      <c r="H470" s="2"/>
      <c r="I470" s="2"/>
      <c r="J470" s="2"/>
      <c r="K470" s="2"/>
      <c r="L470" s="2"/>
      <c r="M470" s="2"/>
      <c r="N470" s="2"/>
      <c r="O470" s="2"/>
      <c r="P470" s="2"/>
      <c r="Q470" s="2"/>
      <c r="R470" s="2"/>
      <c r="S470" s="2"/>
      <c r="T470" s="2"/>
    </row>
    <row r="471" spans="1:20" ht="15.75" customHeight="1">
      <c r="A471" s="1"/>
      <c r="B471" s="2"/>
      <c r="C471" s="2"/>
      <c r="D471" s="2"/>
      <c r="E471" s="2"/>
      <c r="F471" s="2"/>
      <c r="G471" s="2"/>
      <c r="H471" s="2"/>
      <c r="I471" s="2"/>
      <c r="J471" s="2"/>
      <c r="K471" s="2"/>
      <c r="L471" s="2"/>
      <c r="M471" s="2"/>
      <c r="N471" s="2"/>
      <c r="O471" s="2"/>
      <c r="P471" s="2"/>
      <c r="Q471" s="2"/>
      <c r="R471" s="2"/>
      <c r="S471" s="2"/>
      <c r="T471" s="2"/>
    </row>
    <row r="472" spans="1:20" ht="15.75" customHeight="1">
      <c r="A472" s="1"/>
      <c r="B472" s="2"/>
      <c r="C472" s="2"/>
      <c r="D472" s="2"/>
      <c r="E472" s="2"/>
      <c r="F472" s="2"/>
      <c r="G472" s="2"/>
      <c r="H472" s="2"/>
      <c r="I472" s="2"/>
      <c r="J472" s="2"/>
      <c r="K472" s="2"/>
      <c r="L472" s="2"/>
      <c r="M472" s="2"/>
      <c r="N472" s="2"/>
      <c r="O472" s="2"/>
      <c r="P472" s="2"/>
      <c r="Q472" s="2"/>
      <c r="R472" s="2"/>
      <c r="S472" s="2"/>
      <c r="T472" s="2"/>
    </row>
    <row r="473" spans="1:20" ht="15.75" customHeight="1">
      <c r="A473" s="1"/>
      <c r="B473" s="2"/>
      <c r="C473" s="2"/>
      <c r="D473" s="2"/>
      <c r="E473" s="2"/>
      <c r="F473" s="2"/>
      <c r="G473" s="2"/>
      <c r="H473" s="2"/>
      <c r="I473" s="2"/>
      <c r="J473" s="2"/>
      <c r="K473" s="2"/>
      <c r="L473" s="2"/>
      <c r="M473" s="2"/>
      <c r="N473" s="2"/>
      <c r="O473" s="2"/>
      <c r="P473" s="2"/>
      <c r="Q473" s="2"/>
      <c r="R473" s="2"/>
      <c r="S473" s="2"/>
      <c r="T473" s="2"/>
    </row>
    <row r="474" spans="1:20" ht="15.75" customHeight="1">
      <c r="A474" s="1"/>
      <c r="B474" s="2"/>
      <c r="C474" s="2"/>
      <c r="D474" s="2"/>
      <c r="E474" s="2"/>
      <c r="F474" s="2"/>
      <c r="G474" s="2"/>
      <c r="H474" s="2"/>
      <c r="I474" s="2"/>
      <c r="J474" s="2"/>
      <c r="K474" s="2"/>
      <c r="L474" s="2"/>
      <c r="M474" s="2"/>
      <c r="N474" s="2"/>
      <c r="O474" s="2"/>
      <c r="P474" s="2"/>
      <c r="Q474" s="2"/>
      <c r="R474" s="2"/>
      <c r="S474" s="2"/>
      <c r="T474" s="2"/>
    </row>
    <row r="475" spans="1:20" ht="15.75" customHeight="1">
      <c r="A475" s="1"/>
      <c r="B475" s="2"/>
      <c r="C475" s="2"/>
      <c r="D475" s="2"/>
      <c r="E475" s="2"/>
      <c r="F475" s="2"/>
      <c r="G475" s="2"/>
      <c r="H475" s="2"/>
      <c r="I475" s="2"/>
      <c r="J475" s="2"/>
      <c r="K475" s="2"/>
      <c r="L475" s="2"/>
      <c r="M475" s="2"/>
      <c r="N475" s="2"/>
      <c r="O475" s="2"/>
      <c r="P475" s="2"/>
      <c r="Q475" s="2"/>
      <c r="R475" s="2"/>
      <c r="S475" s="2"/>
      <c r="T475" s="2"/>
    </row>
    <row r="476" spans="1:20" ht="15.75" customHeight="1">
      <c r="A476" s="1"/>
      <c r="B476" s="2"/>
      <c r="C476" s="2"/>
      <c r="D476" s="2"/>
      <c r="E476" s="2"/>
      <c r="F476" s="2"/>
      <c r="G476" s="2"/>
      <c r="H476" s="2"/>
      <c r="I476" s="2"/>
      <c r="J476" s="2"/>
      <c r="K476" s="2"/>
      <c r="L476" s="2"/>
      <c r="M476" s="2"/>
      <c r="N476" s="2"/>
      <c r="O476" s="2"/>
      <c r="P476" s="2"/>
      <c r="Q476" s="2"/>
      <c r="R476" s="2"/>
      <c r="S476" s="2"/>
      <c r="T476" s="2"/>
    </row>
    <row r="477" spans="1:20" ht="15.75" customHeight="1">
      <c r="A477" s="1"/>
      <c r="B477" s="2"/>
      <c r="C477" s="2"/>
      <c r="D477" s="2"/>
      <c r="E477" s="2"/>
      <c r="F477" s="2"/>
      <c r="G477" s="2"/>
      <c r="H477" s="2"/>
      <c r="I477" s="2"/>
      <c r="J477" s="2"/>
      <c r="K477" s="2"/>
      <c r="L477" s="2"/>
      <c r="M477" s="2"/>
      <c r="N477" s="2"/>
      <c r="O477" s="2"/>
      <c r="P477" s="2"/>
      <c r="Q477" s="2"/>
      <c r="R477" s="2"/>
      <c r="S477" s="2"/>
      <c r="T477" s="2"/>
    </row>
    <row r="478" spans="1:20" ht="15.75" customHeight="1">
      <c r="A478" s="1"/>
      <c r="B478" s="2"/>
      <c r="C478" s="2"/>
      <c r="D478" s="2"/>
      <c r="E478" s="2"/>
      <c r="F478" s="2"/>
      <c r="G478" s="2"/>
      <c r="H478" s="2"/>
      <c r="I478" s="2"/>
      <c r="J478" s="2"/>
      <c r="K478" s="2"/>
      <c r="L478" s="2"/>
      <c r="M478" s="2"/>
      <c r="N478" s="2"/>
      <c r="O478" s="2"/>
      <c r="P478" s="2"/>
      <c r="Q478" s="2"/>
      <c r="R478" s="2"/>
      <c r="S478" s="2"/>
      <c r="T478" s="2"/>
    </row>
    <row r="479" spans="1:20" ht="15.75" customHeight="1">
      <c r="A479" s="1"/>
      <c r="B479" s="2"/>
      <c r="C479" s="2"/>
      <c r="D479" s="2"/>
      <c r="E479" s="2"/>
      <c r="F479" s="2"/>
      <c r="G479" s="2"/>
      <c r="H479" s="2"/>
      <c r="I479" s="2"/>
      <c r="J479" s="2"/>
      <c r="K479" s="2"/>
      <c r="L479" s="2"/>
      <c r="M479" s="2"/>
      <c r="N479" s="2"/>
      <c r="O479" s="2"/>
      <c r="P479" s="2"/>
      <c r="Q479" s="2"/>
      <c r="R479" s="2"/>
      <c r="S479" s="2"/>
      <c r="T479" s="2"/>
    </row>
    <row r="480" spans="1:20" ht="15.75" customHeight="1">
      <c r="A480" s="1"/>
      <c r="B480" s="2"/>
      <c r="C480" s="2"/>
      <c r="D480" s="2"/>
      <c r="E480" s="2"/>
      <c r="F480" s="2"/>
      <c r="G480" s="2"/>
      <c r="H480" s="2"/>
      <c r="I480" s="2"/>
      <c r="J480" s="2"/>
      <c r="K480" s="2"/>
      <c r="L480" s="2"/>
      <c r="M480" s="2"/>
      <c r="N480" s="2"/>
      <c r="O480" s="2"/>
      <c r="P480" s="2"/>
      <c r="Q480" s="2"/>
      <c r="R480" s="2"/>
      <c r="S480" s="2"/>
      <c r="T480" s="2"/>
    </row>
    <row r="481" spans="1:20" ht="15.75" customHeight="1">
      <c r="A481" s="1"/>
      <c r="B481" s="2"/>
      <c r="C481" s="2"/>
      <c r="D481" s="2"/>
      <c r="E481" s="2"/>
      <c r="F481" s="2"/>
      <c r="G481" s="2"/>
      <c r="H481" s="2"/>
      <c r="I481" s="2"/>
      <c r="J481" s="2"/>
      <c r="K481" s="2"/>
      <c r="L481" s="2"/>
      <c r="M481" s="2"/>
      <c r="N481" s="2"/>
      <c r="O481" s="2"/>
      <c r="P481" s="2"/>
      <c r="Q481" s="2"/>
      <c r="R481" s="2"/>
      <c r="S481" s="2"/>
      <c r="T481" s="2"/>
    </row>
    <row r="482" spans="1:20" ht="15.75" customHeight="1">
      <c r="A482" s="1"/>
      <c r="B482" s="2"/>
      <c r="C482" s="2"/>
      <c r="D482" s="2"/>
      <c r="E482" s="2"/>
      <c r="F482" s="2"/>
      <c r="G482" s="2"/>
      <c r="H482" s="2"/>
      <c r="I482" s="2"/>
      <c r="J482" s="2"/>
      <c r="K482" s="2"/>
      <c r="L482" s="2"/>
      <c r="M482" s="2"/>
      <c r="N482" s="2"/>
      <c r="O482" s="2"/>
      <c r="P482" s="2"/>
      <c r="Q482" s="2"/>
      <c r="R482" s="2"/>
      <c r="S482" s="2"/>
      <c r="T482" s="2"/>
    </row>
    <row r="483" spans="1:20" ht="15.75" customHeight="1">
      <c r="A483" s="1"/>
      <c r="B483" s="2"/>
      <c r="C483" s="2"/>
      <c r="D483" s="2"/>
      <c r="E483" s="2"/>
      <c r="F483" s="2"/>
      <c r="G483" s="2"/>
      <c r="H483" s="2"/>
      <c r="I483" s="2"/>
      <c r="J483" s="2"/>
      <c r="K483" s="2"/>
      <c r="L483" s="2"/>
      <c r="M483" s="2"/>
      <c r="N483" s="2"/>
      <c r="O483" s="2"/>
      <c r="P483" s="2"/>
      <c r="Q483" s="2"/>
      <c r="R483" s="2"/>
      <c r="S483" s="2"/>
      <c r="T483" s="2"/>
    </row>
    <row r="484" spans="1:20" ht="15.75" customHeight="1">
      <c r="A484" s="1"/>
      <c r="B484" s="2"/>
      <c r="C484" s="2"/>
      <c r="D484" s="2"/>
      <c r="E484" s="2"/>
      <c r="F484" s="2"/>
      <c r="G484" s="2"/>
      <c r="H484" s="2"/>
      <c r="I484" s="2"/>
      <c r="J484" s="2"/>
      <c r="K484" s="2"/>
      <c r="L484" s="2"/>
      <c r="M484" s="2"/>
      <c r="N484" s="2"/>
      <c r="O484" s="2"/>
      <c r="P484" s="2"/>
      <c r="Q484" s="2"/>
      <c r="R484" s="2"/>
      <c r="S484" s="2"/>
      <c r="T484" s="2"/>
    </row>
    <row r="485" spans="1:20" ht="15.75" customHeight="1">
      <c r="A485" s="1"/>
      <c r="B485" s="2"/>
      <c r="C485" s="2"/>
      <c r="D485" s="2"/>
      <c r="E485" s="2"/>
      <c r="F485" s="2"/>
      <c r="G485" s="2"/>
      <c r="H485" s="2"/>
      <c r="I485" s="2"/>
      <c r="J485" s="2"/>
      <c r="K485" s="2"/>
      <c r="L485" s="2"/>
      <c r="M485" s="2"/>
      <c r="N485" s="2"/>
      <c r="O485" s="2"/>
      <c r="P485" s="2"/>
      <c r="Q485" s="2"/>
      <c r="R485" s="2"/>
      <c r="S485" s="2"/>
      <c r="T485" s="2"/>
    </row>
    <row r="486" spans="1:20" ht="15.75" customHeight="1">
      <c r="A486" s="1"/>
      <c r="B486" s="2"/>
      <c r="C486" s="2"/>
      <c r="D486" s="2"/>
      <c r="E486" s="2"/>
      <c r="F486" s="2"/>
      <c r="G486" s="2"/>
      <c r="H486" s="2"/>
      <c r="I486" s="2"/>
      <c r="J486" s="2"/>
      <c r="K486" s="2"/>
      <c r="L486" s="2"/>
      <c r="M486" s="2"/>
      <c r="N486" s="2"/>
      <c r="O486" s="2"/>
      <c r="P486" s="2"/>
      <c r="Q486" s="2"/>
      <c r="R486" s="2"/>
      <c r="S486" s="2"/>
      <c r="T486" s="2"/>
    </row>
    <row r="487" spans="1:20" ht="15.75" customHeight="1">
      <c r="A487" s="1"/>
      <c r="B487" s="2"/>
      <c r="C487" s="2"/>
      <c r="D487" s="2"/>
      <c r="E487" s="2"/>
      <c r="F487" s="2"/>
      <c r="G487" s="2"/>
      <c r="H487" s="2"/>
      <c r="I487" s="2"/>
      <c r="J487" s="2"/>
      <c r="K487" s="2"/>
      <c r="L487" s="2"/>
      <c r="M487" s="2"/>
      <c r="N487" s="2"/>
      <c r="O487" s="2"/>
      <c r="P487" s="2"/>
      <c r="Q487" s="2"/>
      <c r="R487" s="2"/>
      <c r="S487" s="2"/>
      <c r="T487" s="2"/>
    </row>
    <row r="488" spans="1:20" ht="15.75" customHeight="1">
      <c r="A488" s="1"/>
      <c r="B488" s="2"/>
      <c r="C488" s="2"/>
      <c r="D488" s="2"/>
      <c r="E488" s="2"/>
      <c r="F488" s="2"/>
      <c r="G488" s="2"/>
      <c r="H488" s="2"/>
      <c r="I488" s="2"/>
      <c r="J488" s="2"/>
      <c r="K488" s="2"/>
      <c r="L488" s="2"/>
      <c r="M488" s="2"/>
      <c r="N488" s="2"/>
      <c r="O488" s="2"/>
      <c r="P488" s="2"/>
      <c r="Q488" s="2"/>
      <c r="R488" s="2"/>
      <c r="S488" s="2"/>
      <c r="T488" s="2"/>
    </row>
    <row r="489" spans="1:20" ht="15.75" customHeight="1">
      <c r="A489" s="1"/>
      <c r="B489" s="2"/>
      <c r="C489" s="2"/>
      <c r="D489" s="2"/>
      <c r="E489" s="2"/>
      <c r="F489" s="2"/>
      <c r="G489" s="2"/>
      <c r="H489" s="2"/>
      <c r="I489" s="2"/>
      <c r="J489" s="2"/>
      <c r="K489" s="2"/>
      <c r="L489" s="2"/>
      <c r="M489" s="2"/>
      <c r="N489" s="2"/>
      <c r="O489" s="2"/>
      <c r="P489" s="2"/>
      <c r="Q489" s="2"/>
      <c r="R489" s="2"/>
      <c r="S489" s="2"/>
      <c r="T489" s="2"/>
    </row>
    <row r="490" spans="1:20" ht="15.75" customHeight="1">
      <c r="A490" s="1"/>
      <c r="B490" s="2"/>
      <c r="C490" s="2"/>
      <c r="D490" s="2"/>
      <c r="E490" s="2"/>
      <c r="F490" s="2"/>
      <c r="G490" s="2"/>
      <c r="H490" s="2"/>
      <c r="I490" s="2"/>
      <c r="J490" s="2"/>
      <c r="K490" s="2"/>
      <c r="L490" s="2"/>
      <c r="M490" s="2"/>
      <c r="N490" s="2"/>
      <c r="O490" s="2"/>
      <c r="P490" s="2"/>
      <c r="Q490" s="2"/>
      <c r="R490" s="2"/>
      <c r="S490" s="2"/>
      <c r="T490" s="2"/>
    </row>
    <row r="491" spans="1:20" ht="15.75" customHeight="1">
      <c r="A491" s="1"/>
      <c r="B491" s="2"/>
      <c r="C491" s="2"/>
      <c r="D491" s="2"/>
      <c r="E491" s="2"/>
      <c r="F491" s="2"/>
      <c r="G491" s="2"/>
      <c r="H491" s="2"/>
      <c r="I491" s="2"/>
      <c r="J491" s="2"/>
      <c r="K491" s="2"/>
      <c r="L491" s="2"/>
      <c r="M491" s="2"/>
      <c r="N491" s="2"/>
      <c r="O491" s="2"/>
      <c r="P491" s="2"/>
      <c r="Q491" s="2"/>
      <c r="R491" s="2"/>
      <c r="S491" s="2"/>
      <c r="T491" s="2"/>
    </row>
    <row r="492" spans="1:20" ht="15.75" customHeight="1">
      <c r="A492" s="1"/>
      <c r="B492" s="2"/>
      <c r="C492" s="2"/>
      <c r="D492" s="2"/>
      <c r="E492" s="2"/>
      <c r="F492" s="2"/>
      <c r="G492" s="2"/>
      <c r="H492" s="2"/>
      <c r="I492" s="2"/>
      <c r="J492" s="2"/>
      <c r="K492" s="2"/>
      <c r="L492" s="2"/>
      <c r="M492" s="2"/>
      <c r="N492" s="2"/>
      <c r="O492" s="2"/>
      <c r="P492" s="2"/>
      <c r="Q492" s="2"/>
      <c r="R492" s="2"/>
      <c r="S492" s="2"/>
      <c r="T492" s="2"/>
    </row>
    <row r="493" spans="1:20" ht="15.75" customHeight="1">
      <c r="A493" s="1"/>
      <c r="B493" s="2"/>
      <c r="C493" s="2"/>
      <c r="D493" s="2"/>
      <c r="E493" s="2"/>
      <c r="F493" s="2"/>
      <c r="G493" s="2"/>
      <c r="H493" s="2"/>
      <c r="I493" s="2"/>
      <c r="J493" s="2"/>
      <c r="K493" s="2"/>
      <c r="L493" s="2"/>
      <c r="M493" s="2"/>
      <c r="N493" s="2"/>
      <c r="O493" s="2"/>
      <c r="P493" s="2"/>
      <c r="Q493" s="2"/>
      <c r="R493" s="2"/>
      <c r="S493" s="2"/>
      <c r="T493" s="2"/>
    </row>
    <row r="494" spans="1:20" ht="15.75" customHeight="1">
      <c r="A494" s="1"/>
      <c r="B494" s="2"/>
      <c r="C494" s="2"/>
      <c r="D494" s="2"/>
      <c r="E494" s="2"/>
      <c r="F494" s="2"/>
      <c r="G494" s="2"/>
      <c r="H494" s="2"/>
      <c r="I494" s="2"/>
      <c r="J494" s="2"/>
      <c r="K494" s="2"/>
      <c r="L494" s="2"/>
      <c r="M494" s="2"/>
      <c r="N494" s="2"/>
      <c r="O494" s="2"/>
      <c r="P494" s="2"/>
      <c r="Q494" s="2"/>
      <c r="R494" s="2"/>
      <c r="S494" s="2"/>
      <c r="T494" s="2"/>
    </row>
    <row r="495" spans="1:20" ht="15.75" customHeight="1">
      <c r="A495" s="1"/>
      <c r="B495" s="2"/>
      <c r="C495" s="2"/>
      <c r="D495" s="2"/>
      <c r="E495" s="2"/>
      <c r="F495" s="2"/>
      <c r="G495" s="2"/>
      <c r="H495" s="2"/>
      <c r="I495" s="2"/>
      <c r="J495" s="2"/>
      <c r="K495" s="2"/>
      <c r="L495" s="2"/>
      <c r="M495" s="2"/>
      <c r="N495" s="2"/>
      <c r="O495" s="2"/>
      <c r="P495" s="2"/>
      <c r="Q495" s="2"/>
      <c r="R495" s="2"/>
      <c r="S495" s="2"/>
      <c r="T495" s="2"/>
    </row>
    <row r="496" spans="1:20" ht="15.75" customHeight="1">
      <c r="A496" s="1"/>
      <c r="B496" s="2"/>
      <c r="C496" s="2"/>
      <c r="D496" s="2"/>
      <c r="E496" s="2"/>
      <c r="F496" s="2"/>
      <c r="G496" s="2"/>
      <c r="H496" s="2"/>
      <c r="I496" s="2"/>
      <c r="J496" s="2"/>
      <c r="K496" s="2"/>
      <c r="L496" s="2"/>
      <c r="M496" s="2"/>
      <c r="N496" s="2"/>
      <c r="O496" s="2"/>
      <c r="P496" s="2"/>
      <c r="Q496" s="2"/>
      <c r="R496" s="2"/>
      <c r="S496" s="2"/>
      <c r="T496" s="2"/>
    </row>
    <row r="497" spans="1:20" ht="15.75" customHeight="1">
      <c r="A497" s="1"/>
      <c r="B497" s="2"/>
      <c r="C497" s="2"/>
      <c r="D497" s="2"/>
      <c r="E497" s="2"/>
      <c r="F497" s="2"/>
      <c r="G497" s="2"/>
      <c r="H497" s="2"/>
      <c r="I497" s="2"/>
      <c r="J497" s="2"/>
      <c r="K497" s="2"/>
      <c r="L497" s="2"/>
      <c r="M497" s="2"/>
      <c r="N497" s="2"/>
      <c r="O497" s="2"/>
      <c r="P497" s="2"/>
      <c r="Q497" s="2"/>
      <c r="R497" s="2"/>
      <c r="S497" s="2"/>
      <c r="T497" s="2"/>
    </row>
    <row r="498" spans="1:20" ht="15.75" customHeight="1">
      <c r="A498" s="1"/>
      <c r="B498" s="2"/>
      <c r="C498" s="2"/>
      <c r="D498" s="2"/>
      <c r="E498" s="2"/>
      <c r="F498" s="2"/>
      <c r="G498" s="2"/>
      <c r="H498" s="2"/>
      <c r="I498" s="2"/>
      <c r="J498" s="2"/>
      <c r="K498" s="2"/>
      <c r="L498" s="2"/>
      <c r="M498" s="2"/>
      <c r="N498" s="2"/>
      <c r="O498" s="2"/>
      <c r="P498" s="2"/>
      <c r="Q498" s="2"/>
      <c r="R498" s="2"/>
      <c r="S498" s="2"/>
      <c r="T498" s="2"/>
    </row>
    <row r="499" spans="1:20" ht="15.75" customHeight="1">
      <c r="A499" s="1"/>
      <c r="B499" s="2"/>
      <c r="C499" s="2"/>
      <c r="D499" s="2"/>
      <c r="E499" s="2"/>
      <c r="F499" s="2"/>
      <c r="G499" s="2"/>
      <c r="H499" s="2"/>
      <c r="I499" s="2"/>
      <c r="J499" s="2"/>
      <c r="K499" s="2"/>
      <c r="L499" s="2"/>
      <c r="M499" s="2"/>
      <c r="N499" s="2"/>
      <c r="O499" s="2"/>
      <c r="P499" s="2"/>
      <c r="Q499" s="2"/>
      <c r="R499" s="2"/>
      <c r="S499" s="2"/>
      <c r="T499" s="2"/>
    </row>
    <row r="500" spans="1:20" ht="15.75" customHeight="1">
      <c r="A500" s="1"/>
      <c r="B500" s="2"/>
      <c r="C500" s="2"/>
      <c r="D500" s="2"/>
      <c r="E500" s="2"/>
      <c r="F500" s="2"/>
      <c r="G500" s="2"/>
      <c r="H500" s="2"/>
      <c r="I500" s="2"/>
      <c r="J500" s="2"/>
      <c r="K500" s="2"/>
      <c r="L500" s="2"/>
      <c r="M500" s="2"/>
      <c r="N500" s="2"/>
      <c r="O500" s="2"/>
      <c r="P500" s="2"/>
      <c r="Q500" s="2"/>
      <c r="R500" s="2"/>
      <c r="S500" s="2"/>
      <c r="T500" s="2"/>
    </row>
    <row r="501" spans="1:20" ht="15.75" customHeight="1">
      <c r="A501" s="1"/>
      <c r="B501" s="2"/>
      <c r="C501" s="2"/>
      <c r="D501" s="2"/>
      <c r="E501" s="2"/>
      <c r="F501" s="2"/>
      <c r="G501" s="2"/>
      <c r="H501" s="2"/>
      <c r="I501" s="2"/>
      <c r="J501" s="2"/>
      <c r="K501" s="2"/>
      <c r="L501" s="2"/>
      <c r="M501" s="2"/>
      <c r="N501" s="2"/>
      <c r="O501" s="2"/>
      <c r="P501" s="2"/>
      <c r="Q501" s="2"/>
      <c r="R501" s="2"/>
      <c r="S501" s="2"/>
      <c r="T501" s="2"/>
    </row>
    <row r="502" spans="1:20" ht="15.75" customHeight="1">
      <c r="A502" s="1"/>
      <c r="B502" s="2"/>
      <c r="C502" s="2"/>
      <c r="D502" s="2"/>
      <c r="E502" s="2"/>
      <c r="F502" s="2"/>
      <c r="G502" s="2"/>
      <c r="H502" s="2"/>
      <c r="I502" s="2"/>
      <c r="J502" s="2"/>
      <c r="K502" s="2"/>
      <c r="L502" s="2"/>
      <c r="M502" s="2"/>
      <c r="N502" s="2"/>
      <c r="O502" s="2"/>
      <c r="P502" s="2"/>
      <c r="Q502" s="2"/>
      <c r="R502" s="2"/>
      <c r="S502" s="2"/>
      <c r="T502" s="2"/>
    </row>
    <row r="503" spans="1:20" ht="15.75" customHeight="1">
      <c r="A503" s="1"/>
      <c r="B503" s="2"/>
      <c r="C503" s="2"/>
      <c r="D503" s="2"/>
      <c r="E503" s="2"/>
      <c r="F503" s="2"/>
      <c r="G503" s="2"/>
      <c r="H503" s="2"/>
      <c r="I503" s="2"/>
      <c r="J503" s="2"/>
      <c r="K503" s="2"/>
      <c r="L503" s="2"/>
      <c r="M503" s="2"/>
      <c r="N503" s="2"/>
      <c r="O503" s="2"/>
      <c r="P503" s="2"/>
      <c r="Q503" s="2"/>
      <c r="R503" s="2"/>
      <c r="S503" s="2"/>
      <c r="T503" s="2"/>
    </row>
    <row r="504" spans="1:20" ht="15.75" customHeight="1">
      <c r="A504" s="1"/>
      <c r="B504" s="2"/>
      <c r="C504" s="2"/>
      <c r="D504" s="2"/>
      <c r="E504" s="2"/>
      <c r="F504" s="2"/>
      <c r="G504" s="2"/>
      <c r="H504" s="2"/>
      <c r="I504" s="2"/>
      <c r="J504" s="2"/>
      <c r="K504" s="2"/>
      <c r="L504" s="2"/>
      <c r="M504" s="2"/>
      <c r="N504" s="2"/>
      <c r="O504" s="2"/>
      <c r="P504" s="2"/>
      <c r="Q504" s="2"/>
      <c r="R504" s="2"/>
      <c r="S504" s="2"/>
      <c r="T504" s="2"/>
    </row>
    <row r="505" spans="1:20" ht="15.75" customHeight="1">
      <c r="A505" s="1"/>
      <c r="B505" s="2"/>
      <c r="C505" s="2"/>
      <c r="D505" s="2"/>
      <c r="E505" s="2"/>
      <c r="F505" s="2"/>
      <c r="G505" s="2"/>
      <c r="H505" s="2"/>
      <c r="I505" s="2"/>
      <c r="J505" s="2"/>
      <c r="K505" s="2"/>
      <c r="L505" s="2"/>
      <c r="M505" s="2"/>
      <c r="N505" s="2"/>
      <c r="O505" s="2"/>
      <c r="P505" s="2"/>
      <c r="Q505" s="2"/>
      <c r="R505" s="2"/>
      <c r="S505" s="2"/>
      <c r="T505" s="2"/>
    </row>
    <row r="506" spans="1:20" ht="15.75" customHeight="1">
      <c r="A506" s="1"/>
      <c r="B506" s="2"/>
      <c r="C506" s="2"/>
      <c r="D506" s="2"/>
      <c r="E506" s="2"/>
      <c r="F506" s="2"/>
      <c r="G506" s="2"/>
      <c r="H506" s="2"/>
      <c r="I506" s="2"/>
      <c r="J506" s="2"/>
      <c r="K506" s="2"/>
      <c r="L506" s="2"/>
      <c r="M506" s="2"/>
      <c r="N506" s="2"/>
      <c r="O506" s="2"/>
      <c r="P506" s="2"/>
      <c r="Q506" s="2"/>
      <c r="R506" s="2"/>
      <c r="S506" s="2"/>
      <c r="T506" s="2"/>
    </row>
    <row r="507" spans="1:20" ht="15.75" customHeight="1">
      <c r="A507" s="1"/>
      <c r="B507" s="2"/>
      <c r="C507" s="2"/>
      <c r="D507" s="2"/>
      <c r="E507" s="2"/>
      <c r="F507" s="2"/>
      <c r="G507" s="2"/>
      <c r="H507" s="2"/>
      <c r="I507" s="2"/>
      <c r="J507" s="2"/>
      <c r="K507" s="2"/>
      <c r="L507" s="2"/>
      <c r="M507" s="2"/>
      <c r="N507" s="2"/>
      <c r="O507" s="2"/>
      <c r="P507" s="2"/>
      <c r="Q507" s="2"/>
      <c r="R507" s="2"/>
      <c r="S507" s="2"/>
      <c r="T507" s="2"/>
    </row>
    <row r="508" spans="1:20" ht="15.75" customHeight="1">
      <c r="A508" s="1"/>
      <c r="B508" s="2"/>
      <c r="C508" s="2"/>
      <c r="D508" s="2"/>
      <c r="E508" s="2"/>
      <c r="F508" s="2"/>
      <c r="G508" s="2"/>
      <c r="H508" s="2"/>
      <c r="I508" s="2"/>
      <c r="J508" s="2"/>
      <c r="K508" s="2"/>
      <c r="L508" s="2"/>
      <c r="M508" s="2"/>
      <c r="N508" s="2"/>
      <c r="O508" s="2"/>
      <c r="P508" s="2"/>
      <c r="Q508" s="2"/>
      <c r="R508" s="2"/>
      <c r="S508" s="2"/>
      <c r="T508" s="2"/>
    </row>
    <row r="509" spans="1:20" ht="15.75" customHeight="1">
      <c r="A509" s="1"/>
      <c r="B509" s="2"/>
      <c r="C509" s="2"/>
      <c r="D509" s="2"/>
      <c r="E509" s="2"/>
      <c r="F509" s="2"/>
      <c r="G509" s="2"/>
      <c r="H509" s="2"/>
      <c r="I509" s="2"/>
      <c r="J509" s="2"/>
      <c r="K509" s="2"/>
      <c r="L509" s="2"/>
      <c r="M509" s="2"/>
      <c r="N509" s="2"/>
      <c r="O509" s="2"/>
      <c r="P509" s="2"/>
      <c r="Q509" s="2"/>
      <c r="R509" s="2"/>
      <c r="S509" s="2"/>
      <c r="T509" s="2"/>
    </row>
    <row r="510" spans="1:20" ht="15.75" customHeight="1">
      <c r="A510" s="1"/>
      <c r="B510" s="2"/>
      <c r="C510" s="2"/>
      <c r="D510" s="2"/>
      <c r="E510" s="2"/>
      <c r="F510" s="2"/>
      <c r="G510" s="2"/>
      <c r="H510" s="2"/>
      <c r="I510" s="2"/>
      <c r="J510" s="2"/>
      <c r="K510" s="2"/>
      <c r="L510" s="2"/>
      <c r="M510" s="2"/>
      <c r="N510" s="2"/>
      <c r="O510" s="2"/>
      <c r="P510" s="2"/>
      <c r="Q510" s="2"/>
      <c r="R510" s="2"/>
      <c r="S510" s="2"/>
      <c r="T510" s="2"/>
    </row>
    <row r="511" spans="1:20" ht="15.75" customHeight="1">
      <c r="A511" s="1"/>
      <c r="B511" s="2"/>
      <c r="C511" s="2"/>
      <c r="D511" s="2"/>
      <c r="E511" s="2"/>
      <c r="F511" s="2"/>
      <c r="G511" s="2"/>
      <c r="H511" s="2"/>
      <c r="I511" s="2"/>
      <c r="J511" s="2"/>
      <c r="K511" s="2"/>
      <c r="L511" s="2"/>
      <c r="M511" s="2"/>
      <c r="N511" s="2"/>
      <c r="O511" s="2"/>
      <c r="P511" s="2"/>
      <c r="Q511" s="2"/>
      <c r="R511" s="2"/>
      <c r="S511" s="2"/>
      <c r="T511" s="2"/>
    </row>
    <row r="512" spans="1:20" ht="15.75" customHeight="1">
      <c r="A512" s="1"/>
      <c r="B512" s="2"/>
      <c r="C512" s="2"/>
      <c r="D512" s="2"/>
      <c r="E512" s="2"/>
      <c r="F512" s="2"/>
      <c r="G512" s="2"/>
      <c r="H512" s="2"/>
      <c r="I512" s="2"/>
      <c r="J512" s="2"/>
      <c r="K512" s="2"/>
      <c r="L512" s="2"/>
      <c r="M512" s="2"/>
      <c r="N512" s="2"/>
      <c r="O512" s="2"/>
      <c r="P512" s="2"/>
      <c r="Q512" s="2"/>
      <c r="R512" s="2"/>
      <c r="S512" s="2"/>
      <c r="T512" s="2"/>
    </row>
    <row r="513" spans="1:20" ht="15.75" customHeight="1">
      <c r="A513" s="1"/>
      <c r="B513" s="2"/>
      <c r="C513" s="2"/>
      <c r="D513" s="2"/>
      <c r="E513" s="2"/>
      <c r="F513" s="2"/>
      <c r="G513" s="2"/>
      <c r="H513" s="2"/>
      <c r="I513" s="2"/>
      <c r="J513" s="2"/>
      <c r="K513" s="2"/>
      <c r="L513" s="2"/>
      <c r="M513" s="2"/>
      <c r="N513" s="2"/>
      <c r="O513" s="2"/>
      <c r="P513" s="2"/>
      <c r="Q513" s="2"/>
      <c r="R513" s="2"/>
      <c r="S513" s="2"/>
      <c r="T513" s="2"/>
    </row>
    <row r="514" spans="1:20" ht="15.75" customHeight="1">
      <c r="A514" s="1"/>
      <c r="B514" s="2"/>
      <c r="C514" s="2"/>
      <c r="D514" s="2"/>
      <c r="E514" s="2"/>
      <c r="F514" s="2"/>
      <c r="G514" s="2"/>
      <c r="H514" s="2"/>
      <c r="I514" s="2"/>
      <c r="J514" s="2"/>
      <c r="K514" s="2"/>
      <c r="L514" s="2"/>
      <c r="M514" s="2"/>
      <c r="N514" s="2"/>
      <c r="O514" s="2"/>
      <c r="P514" s="2"/>
      <c r="Q514" s="2"/>
      <c r="R514" s="2"/>
      <c r="S514" s="2"/>
      <c r="T514" s="2"/>
    </row>
    <row r="515" spans="1:20" ht="15.75" customHeight="1">
      <c r="A515" s="1"/>
      <c r="B515" s="2"/>
      <c r="C515" s="2"/>
      <c r="D515" s="2"/>
      <c r="E515" s="2"/>
      <c r="F515" s="2"/>
      <c r="G515" s="2"/>
      <c r="H515" s="2"/>
      <c r="I515" s="2"/>
      <c r="J515" s="2"/>
      <c r="K515" s="2"/>
      <c r="L515" s="2"/>
      <c r="M515" s="2"/>
      <c r="N515" s="2"/>
      <c r="O515" s="2"/>
      <c r="P515" s="2"/>
      <c r="Q515" s="2"/>
      <c r="R515" s="2"/>
      <c r="S515" s="2"/>
      <c r="T515" s="2"/>
    </row>
    <row r="516" spans="1:20" ht="15.75" customHeight="1">
      <c r="A516" s="1"/>
      <c r="B516" s="2"/>
      <c r="C516" s="2"/>
      <c r="D516" s="2"/>
      <c r="E516" s="2"/>
      <c r="F516" s="2"/>
      <c r="G516" s="2"/>
      <c r="H516" s="2"/>
      <c r="I516" s="2"/>
      <c r="J516" s="2"/>
      <c r="K516" s="2"/>
      <c r="L516" s="2"/>
      <c r="M516" s="2"/>
      <c r="N516" s="2"/>
      <c r="O516" s="2"/>
      <c r="P516" s="2"/>
      <c r="Q516" s="2"/>
      <c r="R516" s="2"/>
      <c r="S516" s="2"/>
      <c r="T516" s="2"/>
    </row>
    <row r="517" spans="1:20" ht="15.75" customHeight="1">
      <c r="A517" s="1"/>
      <c r="B517" s="2"/>
      <c r="C517" s="2"/>
      <c r="D517" s="2"/>
      <c r="E517" s="2"/>
      <c r="F517" s="2"/>
      <c r="G517" s="2"/>
      <c r="H517" s="2"/>
      <c r="I517" s="2"/>
      <c r="J517" s="2"/>
      <c r="K517" s="2"/>
      <c r="L517" s="2"/>
      <c r="M517" s="2"/>
      <c r="N517" s="2"/>
      <c r="O517" s="2"/>
      <c r="P517" s="2"/>
      <c r="Q517" s="2"/>
      <c r="R517" s="2"/>
      <c r="S517" s="2"/>
      <c r="T517" s="2"/>
    </row>
    <row r="518" spans="1:20" ht="15.75" customHeight="1">
      <c r="A518" s="1"/>
      <c r="B518" s="2"/>
      <c r="C518" s="2"/>
      <c r="D518" s="2"/>
      <c r="E518" s="2"/>
      <c r="F518" s="2"/>
      <c r="G518" s="2"/>
      <c r="H518" s="2"/>
      <c r="I518" s="2"/>
      <c r="J518" s="2"/>
      <c r="K518" s="2"/>
      <c r="L518" s="2"/>
      <c r="M518" s="2"/>
      <c r="N518" s="2"/>
      <c r="O518" s="2"/>
      <c r="P518" s="2"/>
      <c r="Q518" s="2"/>
      <c r="R518" s="2"/>
      <c r="S518" s="2"/>
      <c r="T518" s="2"/>
    </row>
    <row r="519" spans="1:20" ht="15.75" customHeight="1">
      <c r="A519" s="1"/>
      <c r="B519" s="2"/>
      <c r="C519" s="2"/>
      <c r="D519" s="2"/>
      <c r="E519" s="2"/>
      <c r="F519" s="2"/>
      <c r="G519" s="2"/>
      <c r="H519" s="2"/>
      <c r="I519" s="2"/>
      <c r="J519" s="2"/>
      <c r="K519" s="2"/>
      <c r="L519" s="2"/>
      <c r="M519" s="2"/>
      <c r="N519" s="2"/>
      <c r="O519" s="2"/>
      <c r="P519" s="2"/>
      <c r="Q519" s="2"/>
      <c r="R519" s="2"/>
      <c r="S519" s="2"/>
      <c r="T519" s="2"/>
    </row>
    <row r="520" spans="1:20" ht="15.75" customHeight="1">
      <c r="A520" s="1"/>
      <c r="B520" s="2"/>
      <c r="C520" s="2"/>
      <c r="D520" s="2"/>
      <c r="E520" s="2"/>
      <c r="F520" s="2"/>
      <c r="G520" s="2"/>
      <c r="H520" s="2"/>
      <c r="I520" s="2"/>
      <c r="J520" s="2"/>
      <c r="K520" s="2"/>
      <c r="L520" s="2"/>
      <c r="M520" s="2"/>
      <c r="N520" s="2"/>
      <c r="O520" s="2"/>
      <c r="P520" s="2"/>
      <c r="Q520" s="2"/>
      <c r="R520" s="2"/>
      <c r="S520" s="2"/>
      <c r="T520" s="2"/>
    </row>
    <row r="521" spans="1:20" ht="15.75" customHeight="1">
      <c r="A521" s="1"/>
      <c r="B521" s="2"/>
      <c r="C521" s="2"/>
      <c r="D521" s="2"/>
      <c r="E521" s="2"/>
      <c r="F521" s="2"/>
      <c r="G521" s="2"/>
      <c r="H521" s="2"/>
      <c r="I521" s="2"/>
      <c r="J521" s="2"/>
      <c r="K521" s="2"/>
      <c r="L521" s="2"/>
      <c r="M521" s="2"/>
      <c r="N521" s="2"/>
      <c r="O521" s="2"/>
      <c r="P521" s="2"/>
      <c r="Q521" s="2"/>
      <c r="R521" s="2"/>
      <c r="S521" s="2"/>
      <c r="T521" s="2"/>
    </row>
    <row r="522" spans="1:20" ht="15.75" customHeight="1">
      <c r="A522" s="1"/>
      <c r="B522" s="2"/>
      <c r="C522" s="2"/>
      <c r="D522" s="2"/>
      <c r="E522" s="2"/>
      <c r="F522" s="2"/>
      <c r="G522" s="2"/>
      <c r="H522" s="2"/>
      <c r="I522" s="2"/>
      <c r="J522" s="2"/>
      <c r="K522" s="2"/>
      <c r="L522" s="2"/>
      <c r="M522" s="2"/>
      <c r="N522" s="2"/>
      <c r="O522" s="2"/>
      <c r="P522" s="2"/>
      <c r="Q522" s="2"/>
      <c r="R522" s="2"/>
      <c r="S522" s="2"/>
      <c r="T522" s="2"/>
    </row>
    <row r="523" spans="1:20" ht="15.75" customHeight="1">
      <c r="A523" s="1"/>
      <c r="B523" s="2"/>
      <c r="C523" s="2"/>
      <c r="D523" s="2"/>
      <c r="E523" s="2"/>
      <c r="F523" s="2"/>
      <c r="G523" s="2"/>
      <c r="H523" s="2"/>
      <c r="I523" s="2"/>
      <c r="J523" s="2"/>
      <c r="K523" s="2"/>
      <c r="L523" s="2"/>
      <c r="M523" s="2"/>
      <c r="N523" s="2"/>
      <c r="O523" s="2"/>
      <c r="P523" s="2"/>
      <c r="Q523" s="2"/>
      <c r="R523" s="2"/>
      <c r="S523" s="2"/>
      <c r="T523" s="2"/>
    </row>
    <row r="524" spans="1:20" ht="15.75" customHeight="1">
      <c r="A524" s="1"/>
      <c r="B524" s="2"/>
      <c r="C524" s="2"/>
      <c r="D524" s="2"/>
      <c r="E524" s="2"/>
      <c r="F524" s="2"/>
      <c r="G524" s="2"/>
      <c r="H524" s="2"/>
      <c r="I524" s="2"/>
      <c r="J524" s="2"/>
      <c r="K524" s="2"/>
      <c r="L524" s="2"/>
      <c r="M524" s="2"/>
      <c r="N524" s="2"/>
      <c r="O524" s="2"/>
      <c r="P524" s="2"/>
      <c r="Q524" s="2"/>
      <c r="R524" s="2"/>
      <c r="S524" s="2"/>
      <c r="T524" s="2"/>
    </row>
    <row r="525" spans="1:20" ht="15.75" customHeight="1">
      <c r="A525" s="1"/>
      <c r="B525" s="2"/>
      <c r="C525" s="2"/>
      <c r="D525" s="2"/>
      <c r="E525" s="2"/>
      <c r="F525" s="2"/>
      <c r="G525" s="2"/>
      <c r="H525" s="2"/>
      <c r="I525" s="2"/>
      <c r="J525" s="2"/>
      <c r="K525" s="2"/>
      <c r="L525" s="2"/>
      <c r="M525" s="2"/>
      <c r="N525" s="2"/>
      <c r="O525" s="2"/>
      <c r="P525" s="2"/>
      <c r="Q525" s="2"/>
      <c r="R525" s="2"/>
      <c r="S525" s="2"/>
      <c r="T525" s="2"/>
    </row>
    <row r="526" spans="1:20" ht="15.75" customHeight="1">
      <c r="A526" s="1"/>
      <c r="B526" s="2"/>
      <c r="C526" s="2"/>
      <c r="D526" s="2"/>
      <c r="E526" s="2"/>
      <c r="F526" s="2"/>
      <c r="G526" s="2"/>
      <c r="H526" s="2"/>
      <c r="I526" s="2"/>
      <c r="J526" s="2"/>
      <c r="K526" s="2"/>
      <c r="L526" s="2"/>
      <c r="M526" s="2"/>
      <c r="N526" s="2"/>
      <c r="O526" s="2"/>
      <c r="P526" s="2"/>
      <c r="Q526" s="2"/>
      <c r="R526" s="2"/>
      <c r="S526" s="2"/>
      <c r="T526" s="2"/>
    </row>
    <row r="527" spans="1:20" ht="15.75" customHeight="1">
      <c r="A527" s="1"/>
      <c r="B527" s="2"/>
      <c r="C527" s="2"/>
      <c r="D527" s="2"/>
      <c r="E527" s="2"/>
      <c r="F527" s="2"/>
      <c r="G527" s="2"/>
      <c r="H527" s="2"/>
      <c r="I527" s="2"/>
      <c r="J527" s="2"/>
      <c r="K527" s="2"/>
      <c r="L527" s="2"/>
      <c r="M527" s="2"/>
      <c r="N527" s="2"/>
      <c r="O527" s="2"/>
      <c r="P527" s="2"/>
      <c r="Q527" s="2"/>
      <c r="R527" s="2"/>
      <c r="S527" s="2"/>
      <c r="T527" s="2"/>
    </row>
    <row r="528" spans="1:20" ht="15.75" customHeight="1">
      <c r="A528" s="1"/>
      <c r="B528" s="2"/>
      <c r="C528" s="2"/>
      <c r="D528" s="2"/>
      <c r="E528" s="2"/>
      <c r="F528" s="2"/>
      <c r="G528" s="2"/>
      <c r="H528" s="2"/>
      <c r="I528" s="2"/>
      <c r="J528" s="2"/>
      <c r="K528" s="2"/>
      <c r="L528" s="2"/>
      <c r="M528" s="2"/>
      <c r="N528" s="2"/>
      <c r="O528" s="2"/>
      <c r="P528" s="2"/>
      <c r="Q528" s="2"/>
      <c r="R528" s="2"/>
      <c r="S528" s="2"/>
      <c r="T528" s="2"/>
    </row>
    <row r="529" spans="1:20" ht="15.75" customHeight="1">
      <c r="A529" s="1"/>
      <c r="B529" s="2"/>
      <c r="C529" s="2"/>
      <c r="D529" s="2"/>
      <c r="E529" s="2"/>
      <c r="F529" s="2"/>
      <c r="G529" s="2"/>
      <c r="H529" s="2"/>
      <c r="I529" s="2"/>
      <c r="J529" s="2"/>
      <c r="K529" s="2"/>
      <c r="L529" s="2"/>
      <c r="M529" s="2"/>
      <c r="N529" s="2"/>
      <c r="O529" s="2"/>
      <c r="P529" s="2"/>
      <c r="Q529" s="2"/>
      <c r="R529" s="2"/>
      <c r="S529" s="2"/>
      <c r="T529" s="2"/>
    </row>
    <row r="530" spans="1:20" ht="15.75" customHeight="1">
      <c r="A530" s="1"/>
      <c r="B530" s="2"/>
      <c r="C530" s="2"/>
      <c r="D530" s="2"/>
      <c r="E530" s="2"/>
      <c r="F530" s="2"/>
      <c r="G530" s="2"/>
      <c r="H530" s="2"/>
      <c r="I530" s="2"/>
      <c r="J530" s="2"/>
      <c r="K530" s="2"/>
      <c r="L530" s="2"/>
      <c r="M530" s="2"/>
      <c r="N530" s="2"/>
      <c r="O530" s="2"/>
      <c r="P530" s="2"/>
      <c r="Q530" s="2"/>
      <c r="R530" s="2"/>
      <c r="S530" s="2"/>
      <c r="T530" s="2"/>
    </row>
    <row r="531" spans="1:20" ht="15.75" customHeight="1">
      <c r="A531" s="1"/>
      <c r="B531" s="2"/>
      <c r="C531" s="2"/>
      <c r="D531" s="2"/>
      <c r="E531" s="2"/>
      <c r="F531" s="2"/>
      <c r="G531" s="2"/>
      <c r="H531" s="2"/>
      <c r="I531" s="2"/>
      <c r="J531" s="2"/>
      <c r="K531" s="2"/>
      <c r="L531" s="2"/>
      <c r="M531" s="2"/>
      <c r="N531" s="2"/>
      <c r="O531" s="2"/>
      <c r="P531" s="2"/>
      <c r="Q531" s="2"/>
      <c r="R531" s="2"/>
      <c r="S531" s="2"/>
      <c r="T531" s="2"/>
    </row>
    <row r="532" spans="1:20" ht="15.75" customHeight="1">
      <c r="A532" s="1"/>
      <c r="B532" s="2"/>
      <c r="C532" s="2"/>
      <c r="D532" s="2"/>
      <c r="E532" s="2"/>
      <c r="F532" s="2"/>
      <c r="G532" s="2"/>
      <c r="H532" s="2"/>
      <c r="I532" s="2"/>
      <c r="J532" s="2"/>
      <c r="K532" s="2"/>
      <c r="L532" s="2"/>
      <c r="M532" s="2"/>
      <c r="N532" s="2"/>
      <c r="O532" s="2"/>
      <c r="P532" s="2"/>
      <c r="Q532" s="2"/>
      <c r="R532" s="2"/>
      <c r="S532" s="2"/>
      <c r="T532" s="2"/>
    </row>
    <row r="533" spans="1:20" ht="15.75" customHeight="1">
      <c r="A533" s="1"/>
      <c r="B533" s="2"/>
      <c r="C533" s="2"/>
      <c r="D533" s="2"/>
      <c r="E533" s="2"/>
      <c r="F533" s="2"/>
      <c r="G533" s="2"/>
      <c r="H533" s="2"/>
      <c r="I533" s="2"/>
      <c r="J533" s="2"/>
      <c r="K533" s="2"/>
      <c r="L533" s="2"/>
      <c r="M533" s="2"/>
      <c r="N533" s="2"/>
      <c r="O533" s="2"/>
      <c r="P533" s="2"/>
      <c r="Q533" s="2"/>
      <c r="R533" s="2"/>
      <c r="S533" s="2"/>
      <c r="T533" s="2"/>
    </row>
    <row r="534" spans="1:20" ht="15.75" customHeight="1">
      <c r="A534" s="1"/>
      <c r="B534" s="2"/>
      <c r="C534" s="2"/>
      <c r="D534" s="2"/>
      <c r="E534" s="2"/>
      <c r="F534" s="2"/>
      <c r="G534" s="2"/>
      <c r="H534" s="2"/>
      <c r="I534" s="2"/>
      <c r="J534" s="2"/>
      <c r="K534" s="2"/>
      <c r="L534" s="2"/>
      <c r="M534" s="2"/>
      <c r="N534" s="2"/>
      <c r="O534" s="2"/>
      <c r="P534" s="2"/>
      <c r="Q534" s="2"/>
      <c r="R534" s="2"/>
      <c r="S534" s="2"/>
      <c r="T534" s="2"/>
    </row>
    <row r="535" spans="1:20" ht="15.75" customHeight="1">
      <c r="A535" s="1"/>
      <c r="B535" s="2"/>
      <c r="C535" s="2"/>
      <c r="D535" s="2"/>
      <c r="E535" s="2"/>
      <c r="F535" s="2"/>
      <c r="G535" s="2"/>
      <c r="H535" s="2"/>
      <c r="I535" s="2"/>
      <c r="J535" s="2"/>
      <c r="K535" s="2"/>
      <c r="L535" s="2"/>
      <c r="M535" s="2"/>
      <c r="N535" s="2"/>
      <c r="O535" s="2"/>
      <c r="P535" s="2"/>
      <c r="Q535" s="2"/>
      <c r="R535" s="2"/>
      <c r="S535" s="2"/>
      <c r="T535" s="2"/>
    </row>
    <row r="536" spans="1:20" ht="15.75" customHeight="1">
      <c r="A536" s="1"/>
      <c r="B536" s="2"/>
      <c r="C536" s="2"/>
      <c r="D536" s="2"/>
      <c r="E536" s="2"/>
      <c r="F536" s="2"/>
      <c r="G536" s="2"/>
      <c r="H536" s="2"/>
      <c r="I536" s="2"/>
      <c r="J536" s="2"/>
      <c r="K536" s="2"/>
      <c r="L536" s="2"/>
      <c r="M536" s="2"/>
      <c r="N536" s="2"/>
      <c r="O536" s="2"/>
      <c r="P536" s="2"/>
      <c r="Q536" s="2"/>
      <c r="R536" s="2"/>
      <c r="S536" s="2"/>
      <c r="T536" s="2"/>
    </row>
    <row r="537" spans="1:20" ht="15.75" customHeight="1">
      <c r="A537" s="1"/>
      <c r="B537" s="2"/>
      <c r="C537" s="2"/>
      <c r="D537" s="2"/>
      <c r="E537" s="2"/>
      <c r="F537" s="2"/>
      <c r="G537" s="2"/>
      <c r="H537" s="2"/>
      <c r="I537" s="2"/>
      <c r="J537" s="2"/>
      <c r="K537" s="2"/>
      <c r="L537" s="2"/>
      <c r="M537" s="2"/>
      <c r="N537" s="2"/>
      <c r="O537" s="2"/>
      <c r="P537" s="2"/>
      <c r="Q537" s="2"/>
      <c r="R537" s="2"/>
      <c r="S537" s="2"/>
      <c r="T537" s="2"/>
    </row>
    <row r="538" spans="1:20" ht="15.75" customHeight="1">
      <c r="A538" s="1"/>
      <c r="B538" s="2"/>
      <c r="C538" s="2"/>
      <c r="D538" s="2"/>
      <c r="E538" s="2"/>
      <c r="F538" s="2"/>
      <c r="G538" s="2"/>
      <c r="H538" s="2"/>
      <c r="I538" s="2"/>
      <c r="J538" s="2"/>
      <c r="K538" s="2"/>
      <c r="L538" s="2"/>
      <c r="M538" s="2"/>
      <c r="N538" s="2"/>
      <c r="O538" s="2"/>
      <c r="P538" s="2"/>
      <c r="Q538" s="2"/>
      <c r="R538" s="2"/>
      <c r="S538" s="2"/>
      <c r="T538" s="2"/>
    </row>
    <row r="539" spans="1:20" ht="15.75" customHeight="1">
      <c r="A539" s="1"/>
      <c r="B539" s="2"/>
      <c r="C539" s="2"/>
      <c r="D539" s="2"/>
      <c r="E539" s="2"/>
      <c r="F539" s="2"/>
      <c r="G539" s="2"/>
      <c r="H539" s="2"/>
      <c r="I539" s="2"/>
      <c r="J539" s="2"/>
      <c r="K539" s="2"/>
      <c r="L539" s="2"/>
      <c r="M539" s="2"/>
      <c r="N539" s="2"/>
      <c r="O539" s="2"/>
      <c r="P539" s="2"/>
      <c r="Q539" s="2"/>
      <c r="R539" s="2"/>
      <c r="S539" s="2"/>
      <c r="T539" s="2"/>
    </row>
    <row r="540" spans="1:20" ht="15.75" customHeight="1">
      <c r="A540" s="1"/>
      <c r="B540" s="2"/>
      <c r="C540" s="2"/>
      <c r="D540" s="2"/>
      <c r="E540" s="2"/>
      <c r="F540" s="2"/>
      <c r="G540" s="2"/>
      <c r="H540" s="2"/>
      <c r="I540" s="2"/>
      <c r="J540" s="2"/>
      <c r="K540" s="2"/>
      <c r="L540" s="2"/>
      <c r="M540" s="2"/>
      <c r="N540" s="2"/>
      <c r="O540" s="2"/>
      <c r="P540" s="2"/>
      <c r="Q540" s="2"/>
      <c r="R540" s="2"/>
      <c r="S540" s="2"/>
      <c r="T540" s="2"/>
    </row>
    <row r="541" spans="1:20" ht="15.75" customHeight="1">
      <c r="A541" s="1"/>
      <c r="B541" s="2"/>
      <c r="C541" s="2"/>
      <c r="D541" s="2"/>
      <c r="E541" s="2"/>
      <c r="F541" s="2"/>
      <c r="G541" s="2"/>
      <c r="H541" s="2"/>
      <c r="I541" s="2"/>
      <c r="J541" s="2"/>
      <c r="K541" s="2"/>
      <c r="L541" s="2"/>
      <c r="M541" s="2"/>
      <c r="N541" s="2"/>
      <c r="O541" s="2"/>
      <c r="P541" s="2"/>
      <c r="Q541" s="2"/>
      <c r="R541" s="2"/>
      <c r="S541" s="2"/>
      <c r="T541" s="2"/>
    </row>
    <row r="542" spans="1:20" ht="15.75" customHeight="1">
      <c r="A542" s="1"/>
      <c r="B542" s="2"/>
      <c r="C542" s="2"/>
      <c r="D542" s="2"/>
      <c r="E542" s="2"/>
      <c r="F542" s="2"/>
      <c r="G542" s="2"/>
      <c r="H542" s="2"/>
      <c r="I542" s="2"/>
      <c r="J542" s="2"/>
      <c r="K542" s="2"/>
      <c r="L542" s="2"/>
      <c r="M542" s="2"/>
      <c r="N542" s="2"/>
      <c r="O542" s="2"/>
      <c r="P542" s="2"/>
      <c r="Q542" s="2"/>
      <c r="R542" s="2"/>
      <c r="S542" s="2"/>
      <c r="T542" s="2"/>
    </row>
    <row r="543" spans="1:20" ht="15.75" customHeight="1">
      <c r="A543" s="1"/>
      <c r="B543" s="2"/>
      <c r="C543" s="2"/>
      <c r="D543" s="2"/>
      <c r="E543" s="2"/>
      <c r="F543" s="2"/>
      <c r="G543" s="2"/>
      <c r="H543" s="2"/>
      <c r="I543" s="2"/>
      <c r="J543" s="2"/>
      <c r="K543" s="2"/>
      <c r="L543" s="2"/>
      <c r="M543" s="2"/>
      <c r="N543" s="2"/>
      <c r="O543" s="2"/>
      <c r="P543" s="2"/>
      <c r="Q543" s="2"/>
      <c r="R543" s="2"/>
      <c r="S543" s="2"/>
      <c r="T543" s="2"/>
    </row>
    <row r="544" spans="1:20" ht="15.75" customHeight="1">
      <c r="A544" s="1"/>
      <c r="B544" s="2"/>
      <c r="C544" s="2"/>
      <c r="D544" s="2"/>
      <c r="E544" s="2"/>
      <c r="F544" s="2"/>
      <c r="G544" s="2"/>
      <c r="H544" s="2"/>
      <c r="I544" s="2"/>
      <c r="J544" s="2"/>
      <c r="K544" s="2"/>
      <c r="L544" s="2"/>
      <c r="M544" s="2"/>
      <c r="N544" s="2"/>
      <c r="O544" s="2"/>
      <c r="P544" s="2"/>
      <c r="Q544" s="2"/>
      <c r="R544" s="2"/>
      <c r="S544" s="2"/>
      <c r="T544" s="2"/>
    </row>
    <row r="545" spans="1:20" ht="15.75" customHeight="1">
      <c r="A545" s="1"/>
      <c r="B545" s="2"/>
      <c r="C545" s="2"/>
      <c r="D545" s="2"/>
      <c r="E545" s="2"/>
      <c r="F545" s="2"/>
      <c r="G545" s="2"/>
      <c r="H545" s="2"/>
      <c r="I545" s="2"/>
      <c r="J545" s="2"/>
      <c r="K545" s="2"/>
      <c r="L545" s="2"/>
      <c r="M545" s="2"/>
      <c r="N545" s="2"/>
      <c r="O545" s="2"/>
      <c r="P545" s="2"/>
      <c r="Q545" s="2"/>
      <c r="R545" s="2"/>
      <c r="S545" s="2"/>
      <c r="T545" s="2"/>
    </row>
    <row r="546" spans="1:20" ht="15.75" customHeight="1">
      <c r="A546" s="1"/>
      <c r="B546" s="2"/>
      <c r="C546" s="2"/>
      <c r="D546" s="2"/>
      <c r="E546" s="2"/>
      <c r="F546" s="2"/>
      <c r="G546" s="2"/>
      <c r="H546" s="2"/>
      <c r="I546" s="2"/>
      <c r="J546" s="2"/>
      <c r="K546" s="2"/>
      <c r="L546" s="2"/>
      <c r="M546" s="2"/>
      <c r="N546" s="2"/>
      <c r="O546" s="2"/>
      <c r="P546" s="2"/>
      <c r="Q546" s="2"/>
      <c r="R546" s="2"/>
      <c r="S546" s="2"/>
      <c r="T546" s="2"/>
    </row>
    <row r="547" spans="1:20" ht="15.75" customHeight="1">
      <c r="A547" s="1"/>
      <c r="B547" s="2"/>
      <c r="C547" s="2"/>
      <c r="D547" s="2"/>
      <c r="E547" s="2"/>
      <c r="F547" s="2"/>
      <c r="G547" s="2"/>
      <c r="H547" s="2"/>
      <c r="I547" s="2"/>
      <c r="J547" s="2"/>
      <c r="K547" s="2"/>
      <c r="L547" s="2"/>
      <c r="M547" s="2"/>
      <c r="N547" s="2"/>
      <c r="O547" s="2"/>
      <c r="P547" s="2"/>
      <c r="Q547" s="2"/>
      <c r="R547" s="2"/>
      <c r="S547" s="2"/>
      <c r="T547" s="2"/>
    </row>
    <row r="548" spans="1:20" ht="15.75" customHeight="1">
      <c r="A548" s="1"/>
      <c r="B548" s="2"/>
      <c r="C548" s="2"/>
      <c r="D548" s="2"/>
      <c r="E548" s="2"/>
      <c r="F548" s="2"/>
      <c r="G548" s="2"/>
      <c r="H548" s="2"/>
      <c r="I548" s="2"/>
      <c r="J548" s="2"/>
      <c r="K548" s="2"/>
      <c r="L548" s="2"/>
      <c r="M548" s="2"/>
      <c r="N548" s="2"/>
      <c r="O548" s="2"/>
      <c r="P548" s="2"/>
      <c r="Q548" s="2"/>
      <c r="R548" s="2"/>
      <c r="S548" s="2"/>
      <c r="T548" s="2"/>
    </row>
    <row r="549" spans="1:20" ht="15.75" customHeight="1">
      <c r="A549" s="1"/>
      <c r="B549" s="2"/>
      <c r="C549" s="2"/>
      <c r="D549" s="2"/>
      <c r="E549" s="2"/>
      <c r="F549" s="2"/>
      <c r="G549" s="2"/>
      <c r="H549" s="2"/>
      <c r="I549" s="2"/>
      <c r="J549" s="2"/>
      <c r="K549" s="2"/>
      <c r="L549" s="2"/>
      <c r="M549" s="2"/>
      <c r="N549" s="2"/>
      <c r="O549" s="2"/>
      <c r="P549" s="2"/>
      <c r="Q549" s="2"/>
      <c r="R549" s="2"/>
      <c r="S549" s="2"/>
      <c r="T549" s="2"/>
    </row>
    <row r="550" spans="1:20" ht="15.75" customHeight="1">
      <c r="A550" s="1"/>
      <c r="B550" s="2"/>
      <c r="C550" s="2"/>
      <c r="D550" s="2"/>
      <c r="E550" s="2"/>
      <c r="F550" s="2"/>
      <c r="G550" s="2"/>
      <c r="H550" s="2"/>
      <c r="I550" s="2"/>
      <c r="J550" s="2"/>
      <c r="K550" s="2"/>
      <c r="L550" s="2"/>
      <c r="M550" s="2"/>
      <c r="N550" s="2"/>
      <c r="O550" s="2"/>
      <c r="P550" s="2"/>
      <c r="Q550" s="2"/>
      <c r="R550" s="2"/>
      <c r="S550" s="2"/>
      <c r="T550" s="2"/>
    </row>
    <row r="551" spans="1:20" ht="15.75" customHeight="1">
      <c r="A551" s="1"/>
      <c r="B551" s="2"/>
      <c r="C551" s="2"/>
      <c r="D551" s="2"/>
      <c r="E551" s="2"/>
      <c r="F551" s="2"/>
      <c r="G551" s="2"/>
      <c r="H551" s="2"/>
      <c r="I551" s="2"/>
      <c r="J551" s="2"/>
      <c r="K551" s="2"/>
      <c r="L551" s="2"/>
      <c r="M551" s="2"/>
      <c r="N551" s="2"/>
      <c r="O551" s="2"/>
      <c r="P551" s="2"/>
      <c r="Q551" s="2"/>
      <c r="R551" s="2"/>
      <c r="S551" s="2"/>
      <c r="T551" s="2"/>
    </row>
    <row r="552" spans="1:20" ht="15.75" customHeight="1">
      <c r="A552" s="1"/>
      <c r="B552" s="2"/>
      <c r="C552" s="2"/>
      <c r="D552" s="2"/>
      <c r="E552" s="2"/>
      <c r="F552" s="2"/>
      <c r="G552" s="2"/>
      <c r="H552" s="2"/>
      <c r="I552" s="2"/>
      <c r="J552" s="2"/>
      <c r="K552" s="2"/>
      <c r="L552" s="2"/>
      <c r="M552" s="2"/>
      <c r="N552" s="2"/>
      <c r="O552" s="2"/>
      <c r="P552" s="2"/>
      <c r="Q552" s="2"/>
      <c r="R552" s="2"/>
      <c r="S552" s="2"/>
      <c r="T552" s="2"/>
    </row>
    <row r="553" spans="1:20" ht="15.75" customHeight="1">
      <c r="A553" s="1"/>
      <c r="B553" s="2"/>
      <c r="C553" s="2"/>
      <c r="D553" s="2"/>
      <c r="E553" s="2"/>
      <c r="F553" s="2"/>
      <c r="G553" s="2"/>
      <c r="H553" s="2"/>
      <c r="I553" s="2"/>
      <c r="J553" s="2"/>
      <c r="K553" s="2"/>
      <c r="L553" s="2"/>
      <c r="M553" s="2"/>
      <c r="N553" s="2"/>
      <c r="O553" s="2"/>
      <c r="P553" s="2"/>
      <c r="Q553" s="2"/>
      <c r="R553" s="2"/>
      <c r="S553" s="2"/>
      <c r="T553" s="2"/>
    </row>
    <row r="554" spans="1:20" ht="15.75" customHeight="1">
      <c r="A554" s="1"/>
      <c r="B554" s="2"/>
      <c r="C554" s="2"/>
      <c r="D554" s="2"/>
      <c r="E554" s="2"/>
      <c r="F554" s="2"/>
      <c r="G554" s="2"/>
      <c r="H554" s="2"/>
      <c r="I554" s="2"/>
      <c r="J554" s="2"/>
      <c r="K554" s="2"/>
      <c r="L554" s="2"/>
      <c r="M554" s="2"/>
      <c r="N554" s="2"/>
      <c r="O554" s="2"/>
      <c r="P554" s="2"/>
      <c r="Q554" s="2"/>
      <c r="R554" s="2"/>
      <c r="S554" s="2"/>
      <c r="T554" s="2"/>
    </row>
    <row r="555" spans="1:20" ht="15.75" customHeight="1">
      <c r="A555" s="1"/>
      <c r="B555" s="2"/>
      <c r="C555" s="2"/>
      <c r="D555" s="2"/>
      <c r="E555" s="2"/>
      <c r="F555" s="2"/>
      <c r="G555" s="2"/>
      <c r="H555" s="2"/>
      <c r="I555" s="2"/>
      <c r="J555" s="2"/>
      <c r="K555" s="2"/>
      <c r="L555" s="2"/>
      <c r="M555" s="2"/>
      <c r="N555" s="2"/>
      <c r="O555" s="2"/>
      <c r="P555" s="2"/>
      <c r="Q555" s="2"/>
      <c r="R555" s="2"/>
      <c r="S555" s="2"/>
      <c r="T555" s="2"/>
    </row>
    <row r="556" spans="1:20" ht="15.75" customHeight="1">
      <c r="A556" s="1"/>
      <c r="B556" s="2"/>
      <c r="C556" s="2"/>
      <c r="D556" s="2"/>
      <c r="E556" s="2"/>
      <c r="F556" s="2"/>
      <c r="G556" s="2"/>
      <c r="H556" s="2"/>
      <c r="I556" s="2"/>
      <c r="J556" s="2"/>
      <c r="K556" s="2"/>
      <c r="L556" s="2"/>
      <c r="M556" s="2"/>
      <c r="N556" s="2"/>
      <c r="O556" s="2"/>
      <c r="P556" s="2"/>
      <c r="Q556" s="2"/>
      <c r="R556" s="2"/>
      <c r="S556" s="2"/>
      <c r="T556" s="2"/>
    </row>
    <row r="557" spans="1:20" ht="15.75" customHeight="1">
      <c r="A557" s="1"/>
      <c r="B557" s="2"/>
      <c r="C557" s="2"/>
      <c r="D557" s="2"/>
      <c r="E557" s="2"/>
      <c r="F557" s="2"/>
      <c r="G557" s="2"/>
      <c r="H557" s="2"/>
      <c r="I557" s="2"/>
      <c r="J557" s="2"/>
      <c r="K557" s="2"/>
      <c r="L557" s="2"/>
      <c r="M557" s="2"/>
      <c r="N557" s="2"/>
      <c r="O557" s="2"/>
      <c r="P557" s="2"/>
      <c r="Q557" s="2"/>
      <c r="R557" s="2"/>
      <c r="S557" s="2"/>
      <c r="T557" s="2"/>
    </row>
    <row r="558" spans="1:20" ht="15.75" customHeight="1">
      <c r="A558" s="1"/>
      <c r="B558" s="2"/>
      <c r="C558" s="2"/>
      <c r="D558" s="2"/>
      <c r="E558" s="2"/>
      <c r="F558" s="2"/>
      <c r="G558" s="2"/>
      <c r="H558" s="2"/>
      <c r="I558" s="2"/>
      <c r="J558" s="2"/>
      <c r="K558" s="2"/>
      <c r="L558" s="2"/>
      <c r="M558" s="2"/>
      <c r="N558" s="2"/>
      <c r="O558" s="2"/>
      <c r="P558" s="2"/>
      <c r="Q558" s="2"/>
      <c r="R558" s="2"/>
      <c r="S558" s="2"/>
      <c r="T558" s="2"/>
    </row>
    <row r="559" spans="1:20" ht="15.75" customHeight="1">
      <c r="A559" s="1"/>
      <c r="B559" s="2"/>
      <c r="C559" s="2"/>
      <c r="D559" s="2"/>
      <c r="E559" s="2"/>
      <c r="F559" s="2"/>
      <c r="G559" s="2"/>
      <c r="H559" s="2"/>
      <c r="I559" s="2"/>
      <c r="J559" s="2"/>
      <c r="K559" s="2"/>
      <c r="L559" s="2"/>
      <c r="M559" s="2"/>
      <c r="N559" s="2"/>
      <c r="O559" s="2"/>
      <c r="P559" s="2"/>
      <c r="Q559" s="2"/>
      <c r="R559" s="2"/>
      <c r="S559" s="2"/>
      <c r="T559" s="2"/>
    </row>
    <row r="560" spans="1:20" ht="15.75" customHeight="1">
      <c r="A560" s="1"/>
      <c r="B560" s="2"/>
      <c r="C560" s="2"/>
      <c r="D560" s="2"/>
      <c r="E560" s="2"/>
      <c r="F560" s="2"/>
      <c r="G560" s="2"/>
      <c r="H560" s="2"/>
      <c r="I560" s="2"/>
      <c r="J560" s="2"/>
      <c r="K560" s="2"/>
      <c r="L560" s="2"/>
      <c r="M560" s="2"/>
      <c r="N560" s="2"/>
      <c r="O560" s="2"/>
      <c r="P560" s="2"/>
      <c r="Q560" s="2"/>
      <c r="R560" s="2"/>
      <c r="S560" s="2"/>
      <c r="T560" s="2"/>
    </row>
    <row r="561" spans="1:20" ht="15.75" customHeight="1">
      <c r="A561" s="1"/>
      <c r="B561" s="2"/>
      <c r="C561" s="2"/>
      <c r="D561" s="2"/>
      <c r="E561" s="2"/>
      <c r="F561" s="2"/>
      <c r="G561" s="2"/>
      <c r="H561" s="2"/>
      <c r="I561" s="2"/>
      <c r="J561" s="2"/>
      <c r="K561" s="2"/>
      <c r="L561" s="2"/>
      <c r="M561" s="2"/>
      <c r="N561" s="2"/>
      <c r="O561" s="2"/>
      <c r="P561" s="2"/>
      <c r="Q561" s="2"/>
      <c r="R561" s="2"/>
      <c r="S561" s="2"/>
      <c r="T561" s="2"/>
    </row>
    <row r="562" spans="1:20" ht="15.75" customHeight="1">
      <c r="A562" s="1"/>
      <c r="B562" s="2"/>
      <c r="C562" s="2"/>
      <c r="D562" s="2"/>
      <c r="E562" s="2"/>
      <c r="F562" s="2"/>
      <c r="G562" s="2"/>
      <c r="H562" s="2"/>
      <c r="I562" s="2"/>
      <c r="J562" s="2"/>
      <c r="K562" s="2"/>
      <c r="L562" s="2"/>
      <c r="M562" s="2"/>
      <c r="N562" s="2"/>
      <c r="O562" s="2"/>
      <c r="P562" s="2"/>
      <c r="Q562" s="2"/>
      <c r="R562" s="2"/>
      <c r="S562" s="2"/>
      <c r="T562" s="2"/>
    </row>
    <row r="563" spans="1:20" ht="15.75" customHeight="1">
      <c r="A563" s="1"/>
      <c r="B563" s="2"/>
      <c r="C563" s="2"/>
      <c r="D563" s="2"/>
      <c r="E563" s="2"/>
      <c r="F563" s="2"/>
      <c r="G563" s="2"/>
      <c r="H563" s="2"/>
      <c r="I563" s="2"/>
      <c r="J563" s="2"/>
      <c r="K563" s="2"/>
      <c r="L563" s="2"/>
      <c r="M563" s="2"/>
      <c r="N563" s="2"/>
      <c r="O563" s="2"/>
      <c r="P563" s="2"/>
      <c r="Q563" s="2"/>
      <c r="R563" s="2"/>
      <c r="S563" s="2"/>
      <c r="T563" s="2"/>
    </row>
    <row r="564" spans="1:20" ht="15.75" customHeight="1">
      <c r="A564" s="1"/>
      <c r="B564" s="2"/>
      <c r="C564" s="2"/>
      <c r="D564" s="2"/>
      <c r="E564" s="2"/>
      <c r="F564" s="2"/>
      <c r="G564" s="2"/>
      <c r="H564" s="2"/>
      <c r="I564" s="2"/>
      <c r="J564" s="2"/>
      <c r="K564" s="2"/>
      <c r="L564" s="2"/>
      <c r="M564" s="2"/>
      <c r="N564" s="2"/>
      <c r="O564" s="2"/>
      <c r="P564" s="2"/>
      <c r="Q564" s="2"/>
      <c r="R564" s="2"/>
      <c r="S564" s="2"/>
      <c r="T564" s="2"/>
    </row>
    <row r="565" spans="1:20" ht="15.75" customHeight="1">
      <c r="A565" s="1"/>
      <c r="B565" s="2"/>
      <c r="C565" s="2"/>
      <c r="D565" s="2"/>
      <c r="E565" s="2"/>
      <c r="F565" s="2"/>
      <c r="G565" s="2"/>
      <c r="H565" s="2"/>
      <c r="I565" s="2"/>
      <c r="J565" s="2"/>
      <c r="K565" s="2"/>
      <c r="L565" s="2"/>
      <c r="M565" s="2"/>
      <c r="N565" s="2"/>
      <c r="O565" s="2"/>
      <c r="P565" s="2"/>
      <c r="Q565" s="2"/>
      <c r="R565" s="2"/>
      <c r="S565" s="2"/>
      <c r="T565" s="2"/>
    </row>
    <row r="566" spans="1:20" ht="15.75" customHeight="1">
      <c r="A566" s="1"/>
      <c r="B566" s="2"/>
      <c r="C566" s="2"/>
      <c r="D566" s="2"/>
      <c r="E566" s="2"/>
      <c r="F566" s="2"/>
      <c r="G566" s="2"/>
      <c r="H566" s="2"/>
      <c r="I566" s="2"/>
      <c r="J566" s="2"/>
      <c r="K566" s="2"/>
      <c r="L566" s="2"/>
      <c r="M566" s="2"/>
      <c r="N566" s="2"/>
      <c r="O566" s="2"/>
      <c r="P566" s="2"/>
      <c r="Q566" s="2"/>
      <c r="R566" s="2"/>
      <c r="S566" s="2"/>
      <c r="T566" s="2"/>
    </row>
    <row r="567" spans="1:20" ht="15.75" customHeight="1">
      <c r="A567" s="1"/>
      <c r="B567" s="2"/>
      <c r="C567" s="2"/>
      <c r="D567" s="2"/>
      <c r="E567" s="2"/>
      <c r="F567" s="2"/>
      <c r="G567" s="2"/>
      <c r="H567" s="2"/>
      <c r="I567" s="2"/>
      <c r="J567" s="2"/>
      <c r="K567" s="2"/>
      <c r="L567" s="2"/>
      <c r="M567" s="2"/>
      <c r="N567" s="2"/>
      <c r="O567" s="2"/>
      <c r="P567" s="2"/>
      <c r="Q567" s="2"/>
      <c r="R567" s="2"/>
      <c r="S567" s="2"/>
      <c r="T567" s="2"/>
    </row>
    <row r="568" spans="1:20" ht="15.75" customHeight="1">
      <c r="A568" s="1"/>
      <c r="B568" s="2"/>
      <c r="C568" s="2"/>
      <c r="D568" s="2"/>
      <c r="E568" s="2"/>
      <c r="F568" s="2"/>
      <c r="G568" s="2"/>
      <c r="H568" s="2"/>
      <c r="I568" s="2"/>
      <c r="J568" s="2"/>
      <c r="K568" s="2"/>
      <c r="L568" s="2"/>
      <c r="M568" s="2"/>
      <c r="N568" s="2"/>
      <c r="O568" s="2"/>
      <c r="P568" s="2"/>
      <c r="Q568" s="2"/>
      <c r="R568" s="2"/>
      <c r="S568" s="2"/>
      <c r="T568" s="2"/>
    </row>
    <row r="569" spans="1:20" ht="15.75" customHeight="1">
      <c r="A569" s="1"/>
      <c r="B569" s="2"/>
      <c r="C569" s="2"/>
      <c r="D569" s="2"/>
      <c r="E569" s="2"/>
      <c r="F569" s="2"/>
      <c r="G569" s="2"/>
      <c r="H569" s="2"/>
      <c r="I569" s="2"/>
      <c r="J569" s="2"/>
      <c r="K569" s="2"/>
      <c r="L569" s="2"/>
      <c r="M569" s="2"/>
      <c r="N569" s="2"/>
      <c r="O569" s="2"/>
      <c r="P569" s="2"/>
      <c r="Q569" s="2"/>
      <c r="R569" s="2"/>
      <c r="S569" s="2"/>
      <c r="T569" s="2"/>
    </row>
    <row r="570" spans="1:20" ht="15.75" customHeight="1">
      <c r="A570" s="1"/>
      <c r="B570" s="2"/>
      <c r="C570" s="2"/>
      <c r="D570" s="2"/>
      <c r="E570" s="2"/>
      <c r="F570" s="2"/>
      <c r="G570" s="2"/>
      <c r="H570" s="2"/>
      <c r="I570" s="2"/>
      <c r="J570" s="2"/>
      <c r="K570" s="2"/>
      <c r="L570" s="2"/>
      <c r="M570" s="2"/>
      <c r="N570" s="2"/>
      <c r="O570" s="2"/>
      <c r="P570" s="2"/>
      <c r="Q570" s="2"/>
      <c r="R570" s="2"/>
      <c r="S570" s="2"/>
      <c r="T570" s="2"/>
    </row>
    <row r="571" spans="1:20" ht="15.75" customHeight="1">
      <c r="A571" s="1"/>
      <c r="B571" s="2"/>
      <c r="C571" s="2"/>
      <c r="D571" s="2"/>
      <c r="E571" s="2"/>
      <c r="F571" s="2"/>
      <c r="G571" s="2"/>
      <c r="H571" s="2"/>
      <c r="I571" s="2"/>
      <c r="J571" s="2"/>
      <c r="K571" s="2"/>
      <c r="L571" s="2"/>
      <c r="M571" s="2"/>
      <c r="N571" s="2"/>
      <c r="O571" s="2"/>
      <c r="P571" s="2"/>
      <c r="Q571" s="2"/>
      <c r="R571" s="2"/>
      <c r="S571" s="2"/>
      <c r="T571" s="2"/>
    </row>
    <row r="572" spans="1:20" ht="15.75" customHeight="1">
      <c r="A572" s="1"/>
      <c r="B572" s="2"/>
      <c r="C572" s="2"/>
      <c r="D572" s="2"/>
      <c r="E572" s="2"/>
      <c r="F572" s="2"/>
      <c r="G572" s="2"/>
      <c r="H572" s="2"/>
      <c r="I572" s="2"/>
      <c r="J572" s="2"/>
      <c r="K572" s="2"/>
      <c r="L572" s="2"/>
      <c r="M572" s="2"/>
      <c r="N572" s="2"/>
      <c r="O572" s="2"/>
      <c r="P572" s="2"/>
      <c r="Q572" s="2"/>
      <c r="R572" s="2"/>
      <c r="S572" s="2"/>
      <c r="T572" s="2"/>
    </row>
    <row r="573" spans="1:20" ht="15.75" customHeight="1">
      <c r="A573" s="1"/>
      <c r="B573" s="2"/>
      <c r="C573" s="2"/>
      <c r="D573" s="2"/>
      <c r="E573" s="2"/>
      <c r="F573" s="2"/>
      <c r="G573" s="2"/>
      <c r="H573" s="2"/>
      <c r="I573" s="2"/>
      <c r="J573" s="2"/>
      <c r="K573" s="2"/>
      <c r="L573" s="2"/>
      <c r="M573" s="2"/>
      <c r="N573" s="2"/>
      <c r="O573" s="2"/>
      <c r="P573" s="2"/>
      <c r="Q573" s="2"/>
      <c r="R573" s="2"/>
      <c r="S573" s="2"/>
      <c r="T573" s="2"/>
    </row>
    <row r="574" spans="1:20" ht="15.75" customHeight="1">
      <c r="A574" s="1"/>
      <c r="B574" s="2"/>
      <c r="C574" s="2"/>
      <c r="D574" s="2"/>
      <c r="E574" s="2"/>
      <c r="F574" s="2"/>
      <c r="G574" s="2"/>
      <c r="H574" s="2"/>
      <c r="I574" s="2"/>
      <c r="J574" s="2"/>
      <c r="K574" s="2"/>
      <c r="L574" s="2"/>
      <c r="M574" s="2"/>
      <c r="N574" s="2"/>
      <c r="O574" s="2"/>
      <c r="P574" s="2"/>
      <c r="Q574" s="2"/>
      <c r="R574" s="2"/>
      <c r="S574" s="2"/>
      <c r="T574" s="2"/>
    </row>
    <row r="575" spans="1:20" ht="15.75" customHeight="1">
      <c r="A575" s="1"/>
      <c r="B575" s="2"/>
      <c r="C575" s="2"/>
      <c r="D575" s="2"/>
      <c r="E575" s="2"/>
      <c r="F575" s="2"/>
      <c r="G575" s="2"/>
      <c r="H575" s="2"/>
      <c r="I575" s="2"/>
      <c r="J575" s="2"/>
      <c r="K575" s="2"/>
      <c r="L575" s="2"/>
      <c r="M575" s="2"/>
      <c r="N575" s="2"/>
      <c r="O575" s="2"/>
      <c r="P575" s="2"/>
      <c r="Q575" s="2"/>
      <c r="R575" s="2"/>
      <c r="S575" s="2"/>
      <c r="T575" s="2"/>
    </row>
    <row r="576" spans="1:20" ht="15.75" customHeight="1">
      <c r="A576" s="1"/>
      <c r="B576" s="2"/>
      <c r="C576" s="2"/>
      <c r="D576" s="2"/>
      <c r="E576" s="2"/>
      <c r="F576" s="2"/>
      <c r="G576" s="2"/>
      <c r="H576" s="2"/>
      <c r="I576" s="2"/>
      <c r="J576" s="2"/>
      <c r="K576" s="2"/>
      <c r="L576" s="2"/>
      <c r="M576" s="2"/>
      <c r="N576" s="2"/>
      <c r="O576" s="2"/>
      <c r="P576" s="2"/>
      <c r="Q576" s="2"/>
      <c r="R576" s="2"/>
      <c r="S576" s="2"/>
      <c r="T576" s="2"/>
    </row>
    <row r="577" spans="1:20" ht="15.75" customHeight="1">
      <c r="A577" s="1"/>
      <c r="B577" s="2"/>
      <c r="C577" s="2"/>
      <c r="D577" s="2"/>
      <c r="E577" s="2"/>
      <c r="F577" s="2"/>
      <c r="G577" s="2"/>
      <c r="H577" s="2"/>
      <c r="I577" s="2"/>
      <c r="J577" s="2"/>
      <c r="K577" s="2"/>
      <c r="L577" s="2"/>
      <c r="M577" s="2"/>
      <c r="N577" s="2"/>
      <c r="O577" s="2"/>
      <c r="P577" s="2"/>
      <c r="Q577" s="2"/>
      <c r="R577" s="2"/>
      <c r="S577" s="2"/>
      <c r="T577" s="2"/>
    </row>
    <row r="578" spans="1:20" ht="15.75" customHeight="1">
      <c r="A578" s="1"/>
      <c r="B578" s="2"/>
      <c r="C578" s="2"/>
      <c r="D578" s="2"/>
      <c r="E578" s="2"/>
      <c r="F578" s="2"/>
      <c r="G578" s="2"/>
      <c r="H578" s="2"/>
      <c r="I578" s="2"/>
      <c r="J578" s="2"/>
      <c r="K578" s="2"/>
      <c r="L578" s="2"/>
      <c r="M578" s="2"/>
      <c r="N578" s="2"/>
      <c r="O578" s="2"/>
      <c r="P578" s="2"/>
      <c r="Q578" s="2"/>
      <c r="R578" s="2"/>
      <c r="S578" s="2"/>
      <c r="T578" s="2"/>
    </row>
    <row r="579" spans="1:20" ht="15.75" customHeight="1">
      <c r="A579" s="1"/>
      <c r="B579" s="2"/>
      <c r="C579" s="2"/>
      <c r="D579" s="2"/>
      <c r="E579" s="2"/>
      <c r="F579" s="2"/>
      <c r="G579" s="2"/>
      <c r="H579" s="2"/>
      <c r="I579" s="2"/>
      <c r="J579" s="2"/>
      <c r="K579" s="2"/>
      <c r="L579" s="2"/>
      <c r="M579" s="2"/>
      <c r="N579" s="2"/>
      <c r="O579" s="2"/>
      <c r="P579" s="2"/>
      <c r="Q579" s="2"/>
      <c r="R579" s="2"/>
      <c r="S579" s="2"/>
      <c r="T579" s="2"/>
    </row>
    <row r="580" spans="1:20" ht="15.75" customHeight="1">
      <c r="A580" s="1"/>
      <c r="B580" s="2"/>
      <c r="C580" s="2"/>
      <c r="D580" s="2"/>
      <c r="E580" s="2"/>
      <c r="F580" s="2"/>
      <c r="G580" s="2"/>
      <c r="H580" s="2"/>
      <c r="I580" s="2"/>
      <c r="J580" s="2"/>
      <c r="K580" s="2"/>
      <c r="L580" s="2"/>
      <c r="M580" s="2"/>
      <c r="N580" s="2"/>
      <c r="O580" s="2"/>
      <c r="P580" s="2"/>
      <c r="Q580" s="2"/>
      <c r="R580" s="2"/>
      <c r="S580" s="2"/>
      <c r="T580" s="2"/>
    </row>
    <row r="581" spans="1:20" ht="15.75" customHeight="1">
      <c r="A581" s="1"/>
      <c r="B581" s="2"/>
      <c r="C581" s="2"/>
      <c r="D581" s="2"/>
      <c r="E581" s="2"/>
      <c r="F581" s="2"/>
      <c r="G581" s="2"/>
      <c r="H581" s="2"/>
      <c r="I581" s="2"/>
      <c r="J581" s="2"/>
      <c r="K581" s="2"/>
      <c r="L581" s="2"/>
      <c r="M581" s="2"/>
      <c r="N581" s="2"/>
      <c r="O581" s="2"/>
      <c r="P581" s="2"/>
      <c r="Q581" s="2"/>
      <c r="R581" s="2"/>
      <c r="S581" s="2"/>
      <c r="T581" s="2"/>
    </row>
    <row r="582" spans="1:20" ht="15.75" customHeight="1">
      <c r="A582" s="1"/>
      <c r="B582" s="2"/>
      <c r="C582" s="2"/>
      <c r="D582" s="2"/>
      <c r="E582" s="2"/>
      <c r="F582" s="2"/>
      <c r="G582" s="2"/>
      <c r="H582" s="2"/>
      <c r="I582" s="2"/>
      <c r="J582" s="2"/>
      <c r="K582" s="2"/>
      <c r="L582" s="2"/>
      <c r="M582" s="2"/>
      <c r="N582" s="2"/>
      <c r="O582" s="2"/>
      <c r="P582" s="2"/>
      <c r="Q582" s="2"/>
      <c r="R582" s="2"/>
      <c r="S582" s="2"/>
      <c r="T582" s="2"/>
    </row>
    <row r="583" spans="1:20" ht="15.75" customHeight="1">
      <c r="A583" s="1"/>
      <c r="B583" s="2"/>
      <c r="C583" s="2"/>
      <c r="D583" s="2"/>
      <c r="E583" s="2"/>
      <c r="F583" s="2"/>
      <c r="G583" s="2"/>
      <c r="H583" s="2"/>
      <c r="I583" s="2"/>
      <c r="J583" s="2"/>
      <c r="K583" s="2"/>
      <c r="L583" s="2"/>
      <c r="M583" s="2"/>
      <c r="N583" s="2"/>
      <c r="O583" s="2"/>
      <c r="P583" s="2"/>
      <c r="Q583" s="2"/>
      <c r="R583" s="2"/>
      <c r="S583" s="2"/>
      <c r="T583" s="2"/>
    </row>
    <row r="584" spans="1:20" ht="15.75" customHeight="1">
      <c r="A584" s="1"/>
      <c r="B584" s="2"/>
      <c r="C584" s="2"/>
      <c r="D584" s="2"/>
      <c r="E584" s="2"/>
      <c r="F584" s="2"/>
      <c r="G584" s="2"/>
      <c r="H584" s="2"/>
      <c r="I584" s="2"/>
      <c r="J584" s="2"/>
      <c r="K584" s="2"/>
      <c r="L584" s="2"/>
      <c r="M584" s="2"/>
      <c r="N584" s="2"/>
      <c r="O584" s="2"/>
      <c r="P584" s="2"/>
      <c r="Q584" s="2"/>
      <c r="R584" s="2"/>
      <c r="S584" s="2"/>
      <c r="T584" s="2"/>
    </row>
    <row r="585" spans="1:20" ht="15.75" customHeight="1">
      <c r="A585" s="1"/>
      <c r="B585" s="2"/>
      <c r="C585" s="2"/>
      <c r="D585" s="2"/>
      <c r="E585" s="2"/>
      <c r="F585" s="2"/>
      <c r="G585" s="2"/>
      <c r="H585" s="2"/>
      <c r="I585" s="2"/>
      <c r="J585" s="2"/>
      <c r="K585" s="2"/>
      <c r="L585" s="2"/>
      <c r="M585" s="2"/>
      <c r="N585" s="2"/>
      <c r="O585" s="2"/>
      <c r="P585" s="2"/>
      <c r="Q585" s="2"/>
      <c r="R585" s="2"/>
      <c r="S585" s="2"/>
      <c r="T585" s="2"/>
    </row>
    <row r="586" spans="1:20" ht="15.75" customHeight="1">
      <c r="A586" s="1"/>
      <c r="B586" s="2"/>
      <c r="C586" s="2"/>
      <c r="D586" s="2"/>
      <c r="E586" s="2"/>
      <c r="F586" s="2"/>
      <c r="G586" s="2"/>
      <c r="H586" s="2"/>
      <c r="I586" s="2"/>
      <c r="J586" s="2"/>
      <c r="K586" s="2"/>
      <c r="L586" s="2"/>
      <c r="M586" s="2"/>
      <c r="N586" s="2"/>
      <c r="O586" s="2"/>
      <c r="P586" s="2"/>
      <c r="Q586" s="2"/>
      <c r="R586" s="2"/>
      <c r="S586" s="2"/>
      <c r="T586" s="2"/>
    </row>
    <row r="587" spans="1:20" ht="15.75" customHeight="1">
      <c r="A587" s="1"/>
      <c r="B587" s="2"/>
      <c r="C587" s="2"/>
      <c r="D587" s="2"/>
      <c r="E587" s="2"/>
      <c r="F587" s="2"/>
      <c r="G587" s="2"/>
      <c r="H587" s="2"/>
      <c r="I587" s="2"/>
      <c r="J587" s="2"/>
      <c r="K587" s="2"/>
      <c r="L587" s="2"/>
      <c r="M587" s="2"/>
      <c r="N587" s="2"/>
      <c r="O587" s="2"/>
      <c r="P587" s="2"/>
      <c r="Q587" s="2"/>
      <c r="R587" s="2"/>
      <c r="S587" s="2"/>
      <c r="T587" s="2"/>
    </row>
    <row r="588" spans="1:20" ht="15.75" customHeight="1">
      <c r="A588" s="1"/>
      <c r="B588" s="2"/>
      <c r="C588" s="2"/>
      <c r="D588" s="2"/>
      <c r="E588" s="2"/>
      <c r="F588" s="2"/>
      <c r="G588" s="2"/>
      <c r="H588" s="2"/>
      <c r="I588" s="2"/>
      <c r="J588" s="2"/>
      <c r="K588" s="2"/>
      <c r="L588" s="2"/>
      <c r="M588" s="2"/>
      <c r="N588" s="2"/>
      <c r="O588" s="2"/>
      <c r="P588" s="2"/>
      <c r="Q588" s="2"/>
      <c r="R588" s="2"/>
      <c r="S588" s="2"/>
      <c r="T588" s="2"/>
    </row>
    <row r="589" spans="1:20" ht="15.75" customHeight="1">
      <c r="A589" s="1"/>
      <c r="B589" s="2"/>
      <c r="C589" s="2"/>
      <c r="D589" s="2"/>
      <c r="E589" s="2"/>
      <c r="F589" s="2"/>
      <c r="G589" s="2"/>
      <c r="H589" s="2"/>
      <c r="I589" s="2"/>
      <c r="J589" s="2"/>
      <c r="K589" s="2"/>
      <c r="L589" s="2"/>
      <c r="M589" s="2"/>
      <c r="N589" s="2"/>
      <c r="O589" s="2"/>
      <c r="P589" s="2"/>
      <c r="Q589" s="2"/>
      <c r="R589" s="2"/>
      <c r="S589" s="2"/>
      <c r="T589" s="2"/>
    </row>
    <row r="590" spans="1:20" ht="15.75" customHeight="1">
      <c r="A590" s="1"/>
      <c r="B590" s="2"/>
      <c r="C590" s="2"/>
      <c r="D590" s="2"/>
      <c r="E590" s="2"/>
      <c r="F590" s="2"/>
      <c r="G590" s="2"/>
      <c r="H590" s="2"/>
      <c r="I590" s="2"/>
      <c r="J590" s="2"/>
      <c r="K590" s="2"/>
      <c r="L590" s="2"/>
      <c r="M590" s="2"/>
      <c r="N590" s="2"/>
      <c r="O590" s="2"/>
      <c r="P590" s="2"/>
      <c r="Q590" s="2"/>
      <c r="R590" s="2"/>
      <c r="S590" s="2"/>
      <c r="T590" s="2"/>
    </row>
    <row r="591" spans="1:20" ht="15.75" customHeight="1">
      <c r="A591" s="1"/>
      <c r="B591" s="2"/>
      <c r="C591" s="2"/>
      <c r="D591" s="2"/>
      <c r="E591" s="2"/>
      <c r="F591" s="2"/>
      <c r="G591" s="2"/>
      <c r="H591" s="2"/>
      <c r="I591" s="2"/>
      <c r="J591" s="2"/>
      <c r="K591" s="2"/>
      <c r="L591" s="2"/>
      <c r="M591" s="2"/>
      <c r="N591" s="2"/>
      <c r="O591" s="2"/>
      <c r="P591" s="2"/>
      <c r="Q591" s="2"/>
      <c r="R591" s="2"/>
      <c r="S591" s="2"/>
      <c r="T591" s="2"/>
    </row>
    <row r="592" spans="1:20" ht="15.75" customHeight="1">
      <c r="A592" s="1"/>
      <c r="B592" s="2"/>
      <c r="C592" s="2"/>
      <c r="D592" s="2"/>
      <c r="E592" s="2"/>
      <c r="F592" s="2"/>
      <c r="G592" s="2"/>
      <c r="H592" s="2"/>
      <c r="I592" s="2"/>
      <c r="J592" s="2"/>
      <c r="K592" s="2"/>
      <c r="L592" s="2"/>
      <c r="M592" s="2"/>
      <c r="N592" s="2"/>
      <c r="O592" s="2"/>
      <c r="P592" s="2"/>
      <c r="Q592" s="2"/>
      <c r="R592" s="2"/>
      <c r="S592" s="2"/>
      <c r="T592" s="2"/>
    </row>
    <row r="593" spans="1:20" ht="15.75" customHeight="1">
      <c r="A593" s="1"/>
      <c r="B593" s="2"/>
      <c r="C593" s="2"/>
      <c r="D593" s="2"/>
      <c r="E593" s="2"/>
      <c r="F593" s="2"/>
      <c r="G593" s="2"/>
      <c r="H593" s="2"/>
      <c r="I593" s="2"/>
      <c r="J593" s="2"/>
      <c r="K593" s="2"/>
      <c r="L593" s="2"/>
      <c r="M593" s="2"/>
      <c r="N593" s="2"/>
      <c r="O593" s="2"/>
      <c r="P593" s="2"/>
      <c r="Q593" s="2"/>
      <c r="R593" s="2"/>
      <c r="S593" s="2"/>
      <c r="T593" s="2"/>
    </row>
    <row r="594" spans="1:20" ht="15.75" customHeight="1">
      <c r="A594" s="1"/>
      <c r="B594" s="2"/>
      <c r="C594" s="2"/>
      <c r="D594" s="2"/>
      <c r="E594" s="2"/>
      <c r="F594" s="2"/>
      <c r="G594" s="2"/>
      <c r="H594" s="2"/>
      <c r="I594" s="2"/>
      <c r="J594" s="2"/>
      <c r="K594" s="2"/>
      <c r="L594" s="2"/>
      <c r="M594" s="2"/>
      <c r="N594" s="2"/>
      <c r="O594" s="2"/>
      <c r="P594" s="2"/>
      <c r="Q594" s="2"/>
      <c r="R594" s="2"/>
      <c r="S594" s="2"/>
      <c r="T594" s="2"/>
    </row>
    <row r="595" spans="1:20" ht="15.75" customHeight="1">
      <c r="A595" s="1"/>
      <c r="B595" s="2"/>
      <c r="C595" s="2"/>
      <c r="D595" s="2"/>
      <c r="E595" s="2"/>
      <c r="F595" s="2"/>
      <c r="G595" s="2"/>
      <c r="H595" s="2"/>
      <c r="I595" s="2"/>
      <c r="J595" s="2"/>
      <c r="K595" s="2"/>
      <c r="L595" s="2"/>
      <c r="M595" s="2"/>
      <c r="N595" s="2"/>
      <c r="O595" s="2"/>
      <c r="P595" s="2"/>
      <c r="Q595" s="2"/>
      <c r="R595" s="2"/>
      <c r="S595" s="2"/>
      <c r="T595" s="2"/>
    </row>
    <row r="596" spans="1:20" ht="15.75" customHeight="1">
      <c r="A596" s="1"/>
      <c r="B596" s="2"/>
      <c r="C596" s="2"/>
      <c r="D596" s="2"/>
      <c r="E596" s="2"/>
      <c r="F596" s="2"/>
      <c r="G596" s="2"/>
      <c r="H596" s="2"/>
      <c r="I596" s="2"/>
      <c r="J596" s="2"/>
      <c r="K596" s="2"/>
      <c r="L596" s="2"/>
      <c r="M596" s="2"/>
      <c r="N596" s="2"/>
      <c r="O596" s="2"/>
      <c r="P596" s="2"/>
      <c r="Q596" s="2"/>
      <c r="R596" s="2"/>
      <c r="S596" s="2"/>
      <c r="T596" s="2"/>
    </row>
    <row r="597" spans="1:20" ht="15.75" customHeight="1">
      <c r="A597" s="1"/>
      <c r="B597" s="2"/>
      <c r="C597" s="2"/>
      <c r="D597" s="2"/>
      <c r="E597" s="2"/>
      <c r="F597" s="2"/>
      <c r="G597" s="2"/>
      <c r="H597" s="2"/>
      <c r="I597" s="2"/>
      <c r="J597" s="2"/>
      <c r="K597" s="2"/>
      <c r="L597" s="2"/>
      <c r="M597" s="2"/>
      <c r="N597" s="2"/>
      <c r="O597" s="2"/>
      <c r="P597" s="2"/>
      <c r="Q597" s="2"/>
      <c r="R597" s="2"/>
      <c r="S597" s="2"/>
      <c r="T597" s="2"/>
    </row>
    <row r="598" spans="1:20" ht="15.75" customHeight="1">
      <c r="A598" s="1"/>
      <c r="B598" s="2"/>
      <c r="C598" s="2"/>
      <c r="D598" s="2"/>
      <c r="E598" s="2"/>
      <c r="F598" s="2"/>
      <c r="G598" s="2"/>
      <c r="H598" s="2"/>
      <c r="I598" s="2"/>
      <c r="J598" s="2"/>
      <c r="K598" s="2"/>
      <c r="L598" s="2"/>
      <c r="M598" s="2"/>
      <c r="N598" s="2"/>
      <c r="O598" s="2"/>
      <c r="P598" s="2"/>
      <c r="Q598" s="2"/>
      <c r="R598" s="2"/>
      <c r="S598" s="2"/>
      <c r="T598" s="2"/>
    </row>
    <row r="599" spans="1:20" ht="15.75" customHeight="1">
      <c r="A599" s="1"/>
      <c r="B599" s="2"/>
      <c r="C599" s="2"/>
      <c r="D599" s="2"/>
      <c r="E599" s="2"/>
      <c r="F599" s="2"/>
      <c r="G599" s="2"/>
      <c r="H599" s="2"/>
      <c r="I599" s="2"/>
      <c r="J599" s="2"/>
      <c r="K599" s="2"/>
      <c r="L599" s="2"/>
      <c r="M599" s="2"/>
      <c r="N599" s="2"/>
      <c r="O599" s="2"/>
      <c r="P599" s="2"/>
      <c r="Q599" s="2"/>
      <c r="R599" s="2"/>
      <c r="S599" s="2"/>
      <c r="T599" s="2"/>
    </row>
    <row r="600" spans="1:20" ht="15.75" customHeight="1">
      <c r="A600" s="1"/>
      <c r="B600" s="2"/>
      <c r="C600" s="2"/>
      <c r="D600" s="2"/>
      <c r="E600" s="2"/>
      <c r="F600" s="2"/>
      <c r="G600" s="2"/>
      <c r="H600" s="2"/>
      <c r="I600" s="2"/>
      <c r="J600" s="2"/>
      <c r="K600" s="2"/>
      <c r="L600" s="2"/>
      <c r="M600" s="2"/>
      <c r="N600" s="2"/>
      <c r="O600" s="2"/>
      <c r="P600" s="2"/>
      <c r="Q600" s="2"/>
      <c r="R600" s="2"/>
      <c r="S600" s="2"/>
      <c r="T600" s="2"/>
    </row>
    <row r="601" spans="1:20" ht="15.75" customHeight="1">
      <c r="A601" s="1"/>
      <c r="B601" s="2"/>
      <c r="C601" s="2"/>
      <c r="D601" s="2"/>
      <c r="E601" s="2"/>
      <c r="F601" s="2"/>
      <c r="G601" s="2"/>
      <c r="H601" s="2"/>
      <c r="I601" s="2"/>
      <c r="J601" s="2"/>
      <c r="K601" s="2"/>
      <c r="L601" s="2"/>
      <c r="M601" s="2"/>
      <c r="N601" s="2"/>
      <c r="O601" s="2"/>
      <c r="P601" s="2"/>
      <c r="Q601" s="2"/>
      <c r="R601" s="2"/>
      <c r="S601" s="2"/>
      <c r="T601" s="2"/>
    </row>
    <row r="602" spans="1:20" ht="15.75" customHeight="1">
      <c r="A602" s="1"/>
      <c r="B602" s="2"/>
      <c r="C602" s="2"/>
      <c r="D602" s="2"/>
      <c r="E602" s="2"/>
      <c r="F602" s="2"/>
      <c r="G602" s="2"/>
      <c r="H602" s="2"/>
      <c r="I602" s="2"/>
      <c r="J602" s="2"/>
      <c r="K602" s="2"/>
      <c r="L602" s="2"/>
      <c r="M602" s="2"/>
      <c r="N602" s="2"/>
      <c r="O602" s="2"/>
      <c r="P602" s="2"/>
      <c r="Q602" s="2"/>
      <c r="R602" s="2"/>
      <c r="S602" s="2"/>
      <c r="T602" s="2"/>
    </row>
    <row r="603" spans="1:20" ht="15.75" customHeight="1">
      <c r="A603" s="1"/>
      <c r="B603" s="2"/>
      <c r="C603" s="2"/>
      <c r="D603" s="2"/>
      <c r="E603" s="2"/>
      <c r="F603" s="2"/>
      <c r="G603" s="2"/>
      <c r="H603" s="2"/>
      <c r="I603" s="2"/>
      <c r="J603" s="2"/>
      <c r="K603" s="2"/>
      <c r="L603" s="2"/>
      <c r="M603" s="2"/>
      <c r="N603" s="2"/>
      <c r="O603" s="2"/>
      <c r="P603" s="2"/>
      <c r="Q603" s="2"/>
      <c r="R603" s="2"/>
      <c r="S603" s="2"/>
      <c r="T603" s="2"/>
    </row>
    <row r="604" spans="1:20" ht="15.75" customHeight="1">
      <c r="A604" s="1"/>
      <c r="B604" s="2"/>
      <c r="C604" s="2"/>
      <c r="D604" s="2"/>
      <c r="E604" s="2"/>
      <c r="F604" s="2"/>
      <c r="G604" s="2"/>
      <c r="H604" s="2"/>
      <c r="I604" s="2"/>
      <c r="J604" s="2"/>
      <c r="K604" s="2"/>
      <c r="L604" s="2"/>
      <c r="M604" s="2"/>
      <c r="N604" s="2"/>
      <c r="O604" s="2"/>
      <c r="P604" s="2"/>
      <c r="Q604" s="2"/>
      <c r="R604" s="2"/>
      <c r="S604" s="2"/>
      <c r="T604" s="2"/>
    </row>
    <row r="605" spans="1:20" ht="15.75" customHeight="1">
      <c r="A605" s="1"/>
      <c r="B605" s="2"/>
      <c r="C605" s="2"/>
      <c r="D605" s="2"/>
      <c r="E605" s="2"/>
      <c r="F605" s="2"/>
      <c r="G605" s="2"/>
      <c r="H605" s="2"/>
      <c r="I605" s="2"/>
      <c r="J605" s="2"/>
      <c r="K605" s="2"/>
      <c r="L605" s="2"/>
      <c r="M605" s="2"/>
      <c r="N605" s="2"/>
      <c r="O605" s="2"/>
      <c r="P605" s="2"/>
      <c r="Q605" s="2"/>
      <c r="R605" s="2"/>
      <c r="S605" s="2"/>
      <c r="T605" s="2"/>
    </row>
    <row r="606" spans="1:20" ht="15.75" customHeight="1">
      <c r="A606" s="1"/>
      <c r="B606" s="2"/>
      <c r="C606" s="2"/>
      <c r="D606" s="2"/>
      <c r="E606" s="2"/>
      <c r="F606" s="2"/>
      <c r="G606" s="2"/>
      <c r="H606" s="2"/>
      <c r="I606" s="2"/>
      <c r="J606" s="2"/>
      <c r="K606" s="2"/>
      <c r="L606" s="2"/>
      <c r="M606" s="2"/>
      <c r="N606" s="2"/>
      <c r="O606" s="2"/>
      <c r="P606" s="2"/>
      <c r="Q606" s="2"/>
      <c r="R606" s="2"/>
      <c r="S606" s="2"/>
      <c r="T606" s="2"/>
    </row>
    <row r="607" spans="1:20" ht="15.75" customHeight="1">
      <c r="A607" s="1"/>
      <c r="B607" s="2"/>
      <c r="C607" s="2"/>
      <c r="D607" s="2"/>
      <c r="E607" s="2"/>
      <c r="F607" s="2"/>
      <c r="G607" s="2"/>
      <c r="H607" s="2"/>
      <c r="I607" s="2"/>
      <c r="J607" s="2"/>
      <c r="K607" s="2"/>
      <c r="L607" s="2"/>
      <c r="M607" s="2"/>
      <c r="N607" s="2"/>
      <c r="O607" s="2"/>
      <c r="P607" s="2"/>
      <c r="Q607" s="2"/>
      <c r="R607" s="2"/>
      <c r="S607" s="2"/>
      <c r="T607" s="2"/>
    </row>
    <row r="608" spans="1:20" ht="15.75" customHeight="1">
      <c r="A608" s="1"/>
      <c r="B608" s="2"/>
      <c r="C608" s="2"/>
      <c r="D608" s="2"/>
      <c r="E608" s="2"/>
      <c r="F608" s="2"/>
      <c r="G608" s="2"/>
      <c r="H608" s="2"/>
      <c r="I608" s="2"/>
      <c r="J608" s="2"/>
      <c r="K608" s="2"/>
      <c r="L608" s="2"/>
      <c r="M608" s="2"/>
      <c r="N608" s="2"/>
      <c r="O608" s="2"/>
      <c r="P608" s="2"/>
      <c r="Q608" s="2"/>
      <c r="R608" s="2"/>
      <c r="S608" s="2"/>
      <c r="T608" s="2"/>
    </row>
    <row r="609" spans="1:20" ht="15.75" customHeight="1">
      <c r="A609" s="1"/>
      <c r="B609" s="2"/>
      <c r="C609" s="2"/>
      <c r="D609" s="2"/>
      <c r="E609" s="2"/>
      <c r="F609" s="2"/>
      <c r="G609" s="2"/>
      <c r="H609" s="2"/>
      <c r="I609" s="2"/>
      <c r="J609" s="2"/>
      <c r="K609" s="2"/>
      <c r="L609" s="2"/>
      <c r="M609" s="2"/>
      <c r="N609" s="2"/>
      <c r="O609" s="2"/>
      <c r="P609" s="2"/>
      <c r="Q609" s="2"/>
      <c r="R609" s="2"/>
      <c r="S609" s="2"/>
      <c r="T609" s="2"/>
    </row>
    <row r="610" spans="1:20" ht="15.75" customHeight="1">
      <c r="A610" s="1"/>
      <c r="B610" s="2"/>
      <c r="C610" s="2"/>
      <c r="D610" s="2"/>
      <c r="E610" s="2"/>
      <c r="F610" s="2"/>
      <c r="G610" s="2"/>
      <c r="H610" s="2"/>
      <c r="I610" s="2"/>
      <c r="J610" s="2"/>
      <c r="K610" s="2"/>
      <c r="L610" s="2"/>
      <c r="M610" s="2"/>
      <c r="N610" s="2"/>
      <c r="O610" s="2"/>
      <c r="P610" s="2"/>
      <c r="Q610" s="2"/>
      <c r="R610" s="2"/>
      <c r="S610" s="2"/>
      <c r="T610" s="2"/>
    </row>
    <row r="611" spans="1:20" ht="15.75" customHeight="1">
      <c r="A611" s="1"/>
      <c r="B611" s="2"/>
      <c r="C611" s="2"/>
      <c r="D611" s="2"/>
      <c r="E611" s="2"/>
      <c r="F611" s="2"/>
      <c r="G611" s="2"/>
      <c r="H611" s="2"/>
      <c r="I611" s="2"/>
      <c r="J611" s="2"/>
      <c r="K611" s="2"/>
      <c r="L611" s="2"/>
      <c r="M611" s="2"/>
      <c r="N611" s="2"/>
      <c r="O611" s="2"/>
      <c r="P611" s="2"/>
      <c r="Q611" s="2"/>
      <c r="R611" s="2"/>
      <c r="S611" s="2"/>
      <c r="T611" s="2"/>
    </row>
    <row r="612" spans="1:20" ht="15.75" customHeight="1">
      <c r="A612" s="1"/>
      <c r="B612" s="2"/>
      <c r="C612" s="2"/>
      <c r="D612" s="2"/>
      <c r="E612" s="2"/>
      <c r="F612" s="2"/>
      <c r="G612" s="2"/>
      <c r="H612" s="2"/>
      <c r="I612" s="2"/>
      <c r="J612" s="2"/>
      <c r="K612" s="2"/>
      <c r="L612" s="2"/>
      <c r="M612" s="2"/>
      <c r="N612" s="2"/>
      <c r="O612" s="2"/>
      <c r="P612" s="2"/>
      <c r="Q612" s="2"/>
      <c r="R612" s="2"/>
      <c r="S612" s="2"/>
      <c r="T612" s="2"/>
    </row>
    <row r="613" spans="1:20" ht="15.75" customHeight="1">
      <c r="A613" s="1"/>
      <c r="B613" s="2"/>
      <c r="C613" s="2"/>
      <c r="D613" s="2"/>
      <c r="E613" s="2"/>
      <c r="F613" s="2"/>
      <c r="G613" s="2"/>
      <c r="H613" s="2"/>
      <c r="I613" s="2"/>
      <c r="J613" s="2"/>
      <c r="K613" s="2"/>
      <c r="L613" s="2"/>
      <c r="M613" s="2"/>
      <c r="N613" s="2"/>
      <c r="O613" s="2"/>
      <c r="P613" s="2"/>
      <c r="Q613" s="2"/>
      <c r="R613" s="2"/>
      <c r="S613" s="2"/>
      <c r="T613" s="2"/>
    </row>
    <row r="614" spans="1:20" ht="15.75" customHeight="1">
      <c r="A614" s="1"/>
      <c r="B614" s="2"/>
      <c r="C614" s="2"/>
      <c r="D614" s="2"/>
      <c r="E614" s="2"/>
      <c r="F614" s="2"/>
      <c r="G614" s="2"/>
      <c r="H614" s="2"/>
      <c r="I614" s="2"/>
      <c r="J614" s="2"/>
      <c r="K614" s="2"/>
      <c r="L614" s="2"/>
      <c r="M614" s="2"/>
      <c r="N614" s="2"/>
      <c r="O614" s="2"/>
      <c r="P614" s="2"/>
      <c r="Q614" s="2"/>
      <c r="R614" s="2"/>
      <c r="S614" s="2"/>
      <c r="T614" s="2"/>
    </row>
    <row r="615" spans="1:20" ht="15.75" customHeight="1">
      <c r="A615" s="1"/>
      <c r="B615" s="2"/>
      <c r="C615" s="2"/>
      <c r="D615" s="2"/>
      <c r="E615" s="2"/>
      <c r="F615" s="2"/>
      <c r="G615" s="2"/>
      <c r="H615" s="2"/>
      <c r="I615" s="2"/>
      <c r="J615" s="2"/>
      <c r="K615" s="2"/>
      <c r="L615" s="2"/>
      <c r="M615" s="2"/>
      <c r="N615" s="2"/>
      <c r="O615" s="2"/>
      <c r="P615" s="2"/>
      <c r="Q615" s="2"/>
      <c r="R615" s="2"/>
      <c r="S615" s="2"/>
      <c r="T615" s="2"/>
    </row>
    <row r="616" spans="1:20" ht="15.75" customHeight="1">
      <c r="A616" s="1"/>
      <c r="B616" s="2"/>
      <c r="C616" s="2"/>
      <c r="D616" s="2"/>
      <c r="E616" s="2"/>
      <c r="F616" s="2"/>
      <c r="G616" s="2"/>
      <c r="H616" s="2"/>
      <c r="I616" s="2"/>
      <c r="J616" s="2"/>
      <c r="K616" s="2"/>
      <c r="L616" s="2"/>
      <c r="M616" s="2"/>
      <c r="N616" s="2"/>
      <c r="O616" s="2"/>
      <c r="P616" s="2"/>
      <c r="Q616" s="2"/>
      <c r="R616" s="2"/>
      <c r="S616" s="2"/>
      <c r="T616" s="2"/>
    </row>
    <row r="617" spans="1:20" ht="15.75" customHeight="1">
      <c r="A617" s="1"/>
      <c r="B617" s="2"/>
      <c r="C617" s="2"/>
      <c r="D617" s="2"/>
      <c r="E617" s="2"/>
      <c r="F617" s="2"/>
      <c r="G617" s="2"/>
      <c r="H617" s="2"/>
      <c r="I617" s="2"/>
      <c r="J617" s="2"/>
      <c r="K617" s="2"/>
      <c r="L617" s="2"/>
      <c r="M617" s="2"/>
      <c r="N617" s="2"/>
      <c r="O617" s="2"/>
      <c r="P617" s="2"/>
      <c r="Q617" s="2"/>
      <c r="R617" s="2"/>
      <c r="S617" s="2"/>
      <c r="T617" s="2"/>
    </row>
    <row r="618" spans="1:20" ht="15.75" customHeight="1">
      <c r="A618" s="1"/>
      <c r="B618" s="2"/>
      <c r="C618" s="2"/>
      <c r="D618" s="2"/>
      <c r="E618" s="2"/>
      <c r="F618" s="2"/>
      <c r="G618" s="2"/>
      <c r="H618" s="2"/>
      <c r="I618" s="2"/>
      <c r="J618" s="2"/>
      <c r="K618" s="2"/>
      <c r="L618" s="2"/>
      <c r="M618" s="2"/>
      <c r="N618" s="2"/>
      <c r="O618" s="2"/>
      <c r="P618" s="2"/>
      <c r="Q618" s="2"/>
      <c r="R618" s="2"/>
      <c r="S618" s="2"/>
      <c r="T618" s="2"/>
    </row>
    <row r="619" spans="1:20" ht="15.75" customHeight="1">
      <c r="A619" s="1"/>
      <c r="B619" s="2"/>
      <c r="C619" s="2"/>
      <c r="D619" s="2"/>
      <c r="E619" s="2"/>
      <c r="F619" s="2"/>
      <c r="G619" s="2"/>
      <c r="H619" s="2"/>
      <c r="I619" s="2"/>
      <c r="J619" s="2"/>
      <c r="K619" s="2"/>
      <c r="L619" s="2"/>
      <c r="M619" s="2"/>
      <c r="N619" s="2"/>
      <c r="O619" s="2"/>
      <c r="P619" s="2"/>
      <c r="Q619" s="2"/>
      <c r="R619" s="2"/>
      <c r="S619" s="2"/>
      <c r="T619" s="2"/>
    </row>
    <row r="620" spans="1:20" ht="15.75" customHeight="1">
      <c r="A620" s="1"/>
      <c r="B620" s="2"/>
      <c r="C620" s="2"/>
      <c r="D620" s="2"/>
      <c r="E620" s="2"/>
      <c r="F620" s="2"/>
      <c r="G620" s="2"/>
      <c r="H620" s="2"/>
      <c r="I620" s="2"/>
      <c r="J620" s="2"/>
      <c r="K620" s="2"/>
      <c r="L620" s="2"/>
      <c r="M620" s="2"/>
      <c r="N620" s="2"/>
      <c r="O620" s="2"/>
      <c r="P620" s="2"/>
      <c r="Q620" s="2"/>
      <c r="R620" s="2"/>
      <c r="S620" s="2"/>
      <c r="T620" s="2"/>
    </row>
    <row r="621" spans="1:20" ht="15.75" customHeight="1">
      <c r="A621" s="1"/>
      <c r="B621" s="2"/>
      <c r="C621" s="2"/>
      <c r="D621" s="2"/>
      <c r="E621" s="2"/>
      <c r="F621" s="2"/>
      <c r="G621" s="2"/>
      <c r="H621" s="2"/>
      <c r="I621" s="2"/>
      <c r="J621" s="2"/>
      <c r="K621" s="2"/>
      <c r="L621" s="2"/>
      <c r="M621" s="2"/>
      <c r="N621" s="2"/>
      <c r="O621" s="2"/>
      <c r="P621" s="2"/>
      <c r="Q621" s="2"/>
      <c r="R621" s="2"/>
      <c r="S621" s="2"/>
      <c r="T621" s="2"/>
    </row>
    <row r="622" spans="1:20" ht="15.75" customHeight="1">
      <c r="A622" s="1"/>
      <c r="B622" s="2"/>
      <c r="C622" s="2"/>
      <c r="D622" s="2"/>
      <c r="E622" s="2"/>
      <c r="F622" s="2"/>
      <c r="G622" s="2"/>
      <c r="H622" s="2"/>
      <c r="I622" s="2"/>
      <c r="J622" s="2"/>
      <c r="K622" s="2"/>
      <c r="L622" s="2"/>
      <c r="M622" s="2"/>
      <c r="N622" s="2"/>
      <c r="O622" s="2"/>
      <c r="P622" s="2"/>
      <c r="Q622" s="2"/>
      <c r="R622" s="2"/>
      <c r="S622" s="2"/>
      <c r="T622" s="2"/>
    </row>
    <row r="623" spans="1:20" ht="15.75" customHeight="1">
      <c r="A623" s="1"/>
      <c r="B623" s="2"/>
      <c r="C623" s="2"/>
      <c r="D623" s="2"/>
      <c r="E623" s="2"/>
      <c r="F623" s="2"/>
      <c r="G623" s="2"/>
      <c r="H623" s="2"/>
      <c r="I623" s="2"/>
      <c r="J623" s="2"/>
      <c r="K623" s="2"/>
      <c r="L623" s="2"/>
      <c r="M623" s="2"/>
      <c r="N623" s="2"/>
      <c r="O623" s="2"/>
      <c r="P623" s="2"/>
      <c r="Q623" s="2"/>
      <c r="R623" s="2"/>
      <c r="S623" s="2"/>
      <c r="T623" s="2"/>
    </row>
    <row r="624" spans="1:20" ht="15.75" customHeight="1">
      <c r="A624" s="1"/>
      <c r="B624" s="2"/>
      <c r="C624" s="2"/>
      <c r="D624" s="2"/>
      <c r="E624" s="2"/>
      <c r="F624" s="2"/>
      <c r="G624" s="2"/>
      <c r="H624" s="2"/>
      <c r="I624" s="2"/>
      <c r="J624" s="2"/>
      <c r="K624" s="2"/>
      <c r="L624" s="2"/>
      <c r="M624" s="2"/>
      <c r="N624" s="2"/>
      <c r="O624" s="2"/>
      <c r="P624" s="2"/>
      <c r="Q624" s="2"/>
      <c r="R624" s="2"/>
      <c r="S624" s="2"/>
      <c r="T624" s="2"/>
    </row>
    <row r="625" spans="1:20" ht="15.75" customHeight="1">
      <c r="A625" s="1"/>
      <c r="B625" s="2"/>
      <c r="C625" s="2"/>
      <c r="D625" s="2"/>
      <c r="E625" s="2"/>
      <c r="F625" s="2"/>
      <c r="G625" s="2"/>
      <c r="H625" s="2"/>
      <c r="I625" s="2"/>
      <c r="J625" s="2"/>
      <c r="K625" s="2"/>
      <c r="L625" s="2"/>
      <c r="M625" s="2"/>
      <c r="N625" s="2"/>
      <c r="O625" s="2"/>
      <c r="P625" s="2"/>
      <c r="Q625" s="2"/>
      <c r="R625" s="2"/>
      <c r="S625" s="2"/>
      <c r="T625" s="2"/>
    </row>
    <row r="626" spans="1:20" ht="15.75" customHeight="1">
      <c r="A626" s="1"/>
      <c r="B626" s="2"/>
      <c r="C626" s="2"/>
      <c r="D626" s="2"/>
      <c r="E626" s="2"/>
      <c r="F626" s="2"/>
      <c r="G626" s="2"/>
      <c r="H626" s="2"/>
      <c r="I626" s="2"/>
      <c r="J626" s="2"/>
      <c r="K626" s="2"/>
      <c r="L626" s="2"/>
      <c r="M626" s="2"/>
      <c r="N626" s="2"/>
      <c r="O626" s="2"/>
      <c r="P626" s="2"/>
      <c r="Q626" s="2"/>
      <c r="R626" s="2"/>
      <c r="S626" s="2"/>
      <c r="T626" s="2"/>
    </row>
    <row r="627" spans="1:20" ht="15.75" customHeight="1">
      <c r="A627" s="1"/>
      <c r="B627" s="2"/>
      <c r="C627" s="2"/>
      <c r="D627" s="2"/>
      <c r="E627" s="2"/>
      <c r="F627" s="2"/>
      <c r="G627" s="2"/>
      <c r="H627" s="2"/>
      <c r="I627" s="2"/>
      <c r="J627" s="2"/>
      <c r="K627" s="2"/>
      <c r="L627" s="2"/>
      <c r="M627" s="2"/>
      <c r="N627" s="2"/>
      <c r="O627" s="2"/>
      <c r="P627" s="2"/>
      <c r="Q627" s="2"/>
      <c r="R627" s="2"/>
      <c r="S627" s="2"/>
      <c r="T627" s="2"/>
    </row>
    <row r="628" spans="1:20" ht="15.75" customHeight="1">
      <c r="A628" s="1"/>
      <c r="B628" s="2"/>
      <c r="C628" s="2"/>
      <c r="D628" s="2"/>
      <c r="E628" s="2"/>
      <c r="F628" s="2"/>
      <c r="G628" s="2"/>
      <c r="H628" s="2"/>
      <c r="I628" s="2"/>
      <c r="J628" s="2"/>
      <c r="K628" s="2"/>
      <c r="L628" s="2"/>
      <c r="M628" s="2"/>
      <c r="N628" s="2"/>
      <c r="O628" s="2"/>
      <c r="P628" s="2"/>
      <c r="Q628" s="2"/>
      <c r="R628" s="2"/>
      <c r="S628" s="2"/>
      <c r="T628" s="2"/>
    </row>
    <row r="629" spans="1:20" ht="15.75" customHeight="1">
      <c r="A629" s="1"/>
      <c r="B629" s="2"/>
      <c r="C629" s="2"/>
      <c r="D629" s="2"/>
      <c r="E629" s="2"/>
      <c r="F629" s="2"/>
      <c r="G629" s="2"/>
      <c r="H629" s="2"/>
      <c r="I629" s="2"/>
      <c r="J629" s="2"/>
      <c r="K629" s="2"/>
      <c r="L629" s="2"/>
      <c r="M629" s="2"/>
      <c r="N629" s="2"/>
      <c r="O629" s="2"/>
      <c r="P629" s="2"/>
      <c r="Q629" s="2"/>
      <c r="R629" s="2"/>
      <c r="S629" s="2"/>
      <c r="T629" s="2"/>
    </row>
    <row r="630" spans="1:20" ht="15.75" customHeight="1">
      <c r="A630" s="1"/>
      <c r="B630" s="2"/>
      <c r="C630" s="2"/>
      <c r="D630" s="2"/>
      <c r="E630" s="2"/>
      <c r="F630" s="2"/>
      <c r="G630" s="2"/>
      <c r="H630" s="2"/>
      <c r="I630" s="2"/>
      <c r="J630" s="2"/>
      <c r="K630" s="2"/>
      <c r="L630" s="2"/>
      <c r="M630" s="2"/>
      <c r="N630" s="2"/>
      <c r="O630" s="2"/>
      <c r="P630" s="2"/>
      <c r="Q630" s="2"/>
      <c r="R630" s="2"/>
      <c r="S630" s="2"/>
      <c r="T630" s="2"/>
    </row>
    <row r="631" spans="1:20" ht="15.75" customHeight="1">
      <c r="A631" s="1"/>
      <c r="B631" s="2"/>
      <c r="C631" s="2"/>
      <c r="D631" s="2"/>
      <c r="E631" s="2"/>
      <c r="F631" s="2"/>
      <c r="G631" s="2"/>
      <c r="H631" s="2"/>
      <c r="I631" s="2"/>
      <c r="J631" s="2"/>
      <c r="K631" s="2"/>
      <c r="L631" s="2"/>
      <c r="M631" s="2"/>
      <c r="N631" s="2"/>
      <c r="O631" s="2"/>
      <c r="P631" s="2"/>
      <c r="Q631" s="2"/>
      <c r="R631" s="2"/>
      <c r="S631" s="2"/>
      <c r="T631" s="2"/>
    </row>
    <row r="632" spans="1:20" ht="15.75" customHeight="1">
      <c r="A632" s="1"/>
      <c r="B632" s="2"/>
      <c r="C632" s="2"/>
      <c r="D632" s="2"/>
      <c r="E632" s="2"/>
      <c r="F632" s="2"/>
      <c r="G632" s="2"/>
      <c r="H632" s="2"/>
      <c r="I632" s="2"/>
      <c r="J632" s="2"/>
      <c r="K632" s="2"/>
      <c r="L632" s="2"/>
      <c r="M632" s="2"/>
      <c r="N632" s="2"/>
      <c r="O632" s="2"/>
      <c r="P632" s="2"/>
      <c r="Q632" s="2"/>
      <c r="R632" s="2"/>
      <c r="S632" s="2"/>
      <c r="T632" s="2"/>
    </row>
    <row r="633" spans="1:20" ht="15.75" customHeight="1">
      <c r="A633" s="1"/>
      <c r="B633" s="2"/>
      <c r="C633" s="2"/>
      <c r="D633" s="2"/>
      <c r="E633" s="2"/>
      <c r="F633" s="2"/>
      <c r="G633" s="2"/>
      <c r="H633" s="2"/>
      <c r="I633" s="2"/>
      <c r="J633" s="2"/>
      <c r="K633" s="2"/>
      <c r="L633" s="2"/>
      <c r="M633" s="2"/>
      <c r="N633" s="2"/>
      <c r="O633" s="2"/>
      <c r="P633" s="2"/>
      <c r="Q633" s="2"/>
      <c r="R633" s="2"/>
      <c r="S633" s="2"/>
      <c r="T633" s="2"/>
    </row>
    <row r="634" spans="1:20" ht="15.75" customHeight="1">
      <c r="A634" s="1"/>
      <c r="B634" s="2"/>
      <c r="C634" s="2"/>
      <c r="D634" s="2"/>
      <c r="E634" s="2"/>
      <c r="F634" s="2"/>
      <c r="G634" s="2"/>
      <c r="H634" s="2"/>
      <c r="I634" s="2"/>
      <c r="J634" s="2"/>
      <c r="K634" s="2"/>
      <c r="L634" s="2"/>
      <c r="M634" s="2"/>
      <c r="N634" s="2"/>
      <c r="O634" s="2"/>
      <c r="P634" s="2"/>
      <c r="Q634" s="2"/>
      <c r="R634" s="2"/>
      <c r="S634" s="2"/>
      <c r="T634" s="2"/>
    </row>
    <row r="635" spans="1:20" ht="15.75" customHeight="1">
      <c r="A635" s="1"/>
      <c r="B635" s="2"/>
      <c r="C635" s="2"/>
      <c r="D635" s="2"/>
      <c r="E635" s="2"/>
      <c r="F635" s="2"/>
      <c r="G635" s="2"/>
      <c r="H635" s="2"/>
      <c r="I635" s="2"/>
      <c r="J635" s="2"/>
      <c r="K635" s="2"/>
      <c r="L635" s="2"/>
      <c r="M635" s="2"/>
      <c r="N635" s="2"/>
      <c r="O635" s="2"/>
      <c r="P635" s="2"/>
      <c r="Q635" s="2"/>
      <c r="R635" s="2"/>
      <c r="S635" s="2"/>
      <c r="T635" s="2"/>
    </row>
    <row r="636" spans="1:20" ht="15.75" customHeight="1">
      <c r="A636" s="1"/>
      <c r="B636" s="2"/>
      <c r="C636" s="2"/>
      <c r="D636" s="2"/>
      <c r="E636" s="2"/>
      <c r="F636" s="2"/>
      <c r="G636" s="2"/>
      <c r="H636" s="2"/>
      <c r="I636" s="2"/>
      <c r="J636" s="2"/>
      <c r="K636" s="2"/>
      <c r="L636" s="2"/>
      <c r="M636" s="2"/>
      <c r="N636" s="2"/>
      <c r="O636" s="2"/>
      <c r="P636" s="2"/>
      <c r="Q636" s="2"/>
      <c r="R636" s="2"/>
      <c r="S636" s="2"/>
      <c r="T636" s="2"/>
    </row>
    <row r="637" spans="1:20" ht="15.75" customHeight="1">
      <c r="A637" s="1"/>
      <c r="B637" s="2"/>
      <c r="C637" s="2"/>
      <c r="D637" s="2"/>
      <c r="E637" s="2"/>
      <c r="F637" s="2"/>
      <c r="G637" s="2"/>
      <c r="H637" s="2"/>
      <c r="I637" s="2"/>
      <c r="J637" s="2"/>
      <c r="K637" s="2"/>
      <c r="L637" s="2"/>
      <c r="M637" s="2"/>
      <c r="N637" s="2"/>
      <c r="O637" s="2"/>
      <c r="P637" s="2"/>
      <c r="Q637" s="2"/>
      <c r="R637" s="2"/>
      <c r="S637" s="2"/>
      <c r="T637" s="2"/>
    </row>
    <row r="638" spans="1:20" ht="15.75" customHeight="1">
      <c r="A638" s="1"/>
      <c r="B638" s="2"/>
      <c r="C638" s="2"/>
      <c r="D638" s="2"/>
      <c r="E638" s="2"/>
      <c r="F638" s="2"/>
      <c r="G638" s="2"/>
      <c r="H638" s="2"/>
      <c r="I638" s="2"/>
      <c r="J638" s="2"/>
      <c r="K638" s="2"/>
      <c r="L638" s="2"/>
      <c r="M638" s="2"/>
      <c r="N638" s="2"/>
      <c r="O638" s="2"/>
      <c r="P638" s="2"/>
      <c r="Q638" s="2"/>
      <c r="R638" s="2"/>
      <c r="S638" s="2"/>
      <c r="T638" s="2"/>
    </row>
    <row r="639" spans="1:20" ht="15.75" customHeight="1">
      <c r="A639" s="1"/>
      <c r="B639" s="2"/>
      <c r="C639" s="2"/>
      <c r="D639" s="2"/>
      <c r="E639" s="2"/>
      <c r="F639" s="2"/>
      <c r="G639" s="2"/>
      <c r="H639" s="2"/>
      <c r="I639" s="2"/>
      <c r="J639" s="2"/>
      <c r="K639" s="2"/>
      <c r="L639" s="2"/>
      <c r="M639" s="2"/>
      <c r="N639" s="2"/>
      <c r="O639" s="2"/>
      <c r="P639" s="2"/>
      <c r="Q639" s="2"/>
      <c r="R639" s="2"/>
      <c r="S639" s="2"/>
      <c r="T639" s="2"/>
    </row>
    <row r="640" spans="1:20" ht="15.75" customHeight="1">
      <c r="A640" s="1"/>
      <c r="B640" s="2"/>
      <c r="C640" s="2"/>
      <c r="D640" s="2"/>
      <c r="E640" s="2"/>
      <c r="F640" s="2"/>
      <c r="G640" s="2"/>
      <c r="H640" s="2"/>
      <c r="I640" s="2"/>
      <c r="J640" s="2"/>
      <c r="K640" s="2"/>
      <c r="L640" s="2"/>
      <c r="M640" s="2"/>
      <c r="N640" s="2"/>
      <c r="O640" s="2"/>
      <c r="P640" s="2"/>
      <c r="Q640" s="2"/>
      <c r="R640" s="2"/>
      <c r="S640" s="2"/>
      <c r="T640" s="2"/>
    </row>
    <row r="641" spans="1:20" ht="15.75" customHeight="1">
      <c r="A641" s="1"/>
      <c r="B641" s="2"/>
      <c r="C641" s="2"/>
      <c r="D641" s="2"/>
      <c r="E641" s="2"/>
      <c r="F641" s="2"/>
      <c r="G641" s="2"/>
      <c r="H641" s="2"/>
      <c r="I641" s="2"/>
      <c r="J641" s="2"/>
      <c r="K641" s="2"/>
      <c r="L641" s="2"/>
      <c r="M641" s="2"/>
      <c r="N641" s="2"/>
      <c r="O641" s="2"/>
      <c r="P641" s="2"/>
      <c r="Q641" s="2"/>
      <c r="R641" s="2"/>
      <c r="S641" s="2"/>
      <c r="T641" s="2"/>
    </row>
    <row r="642" spans="1:20" ht="15.75" customHeight="1">
      <c r="A642" s="1"/>
      <c r="B642" s="2"/>
      <c r="C642" s="2"/>
      <c r="D642" s="2"/>
      <c r="E642" s="2"/>
      <c r="F642" s="2"/>
      <c r="G642" s="2"/>
      <c r="H642" s="2"/>
      <c r="I642" s="2"/>
      <c r="J642" s="2"/>
      <c r="K642" s="2"/>
      <c r="L642" s="2"/>
      <c r="M642" s="2"/>
      <c r="N642" s="2"/>
      <c r="O642" s="2"/>
      <c r="P642" s="2"/>
      <c r="Q642" s="2"/>
      <c r="R642" s="2"/>
      <c r="S642" s="2"/>
      <c r="T642" s="2"/>
    </row>
    <row r="643" spans="1:20" ht="15.75" customHeight="1">
      <c r="A643" s="1"/>
      <c r="B643" s="2"/>
      <c r="C643" s="2"/>
      <c r="D643" s="2"/>
      <c r="E643" s="2"/>
      <c r="F643" s="2"/>
      <c r="G643" s="2"/>
      <c r="H643" s="2"/>
      <c r="I643" s="2"/>
      <c r="J643" s="2"/>
      <c r="K643" s="2"/>
      <c r="L643" s="2"/>
      <c r="M643" s="2"/>
      <c r="N643" s="2"/>
      <c r="O643" s="2"/>
      <c r="P643" s="2"/>
      <c r="Q643" s="2"/>
      <c r="R643" s="2"/>
      <c r="S643" s="2"/>
      <c r="T643" s="2"/>
    </row>
    <row r="644" spans="1:20" ht="15.75" customHeight="1">
      <c r="A644" s="1"/>
      <c r="B644" s="2"/>
      <c r="C644" s="2"/>
      <c r="D644" s="2"/>
      <c r="E644" s="2"/>
      <c r="F644" s="2"/>
      <c r="G644" s="2"/>
      <c r="H644" s="2"/>
      <c r="I644" s="2"/>
      <c r="J644" s="2"/>
      <c r="K644" s="2"/>
      <c r="L644" s="2"/>
      <c r="M644" s="2"/>
      <c r="N644" s="2"/>
      <c r="O644" s="2"/>
      <c r="P644" s="2"/>
      <c r="Q644" s="2"/>
      <c r="R644" s="2"/>
      <c r="S644" s="2"/>
      <c r="T644" s="2"/>
    </row>
    <row r="645" spans="1:20" ht="15.75" customHeight="1">
      <c r="A645" s="1"/>
      <c r="B645" s="2"/>
      <c r="C645" s="2"/>
      <c r="D645" s="2"/>
      <c r="E645" s="2"/>
      <c r="F645" s="2"/>
      <c r="G645" s="2"/>
      <c r="H645" s="2"/>
      <c r="I645" s="2"/>
      <c r="J645" s="2"/>
      <c r="K645" s="2"/>
      <c r="L645" s="2"/>
      <c r="M645" s="2"/>
      <c r="N645" s="2"/>
      <c r="O645" s="2"/>
      <c r="P645" s="2"/>
      <c r="Q645" s="2"/>
      <c r="R645" s="2"/>
      <c r="S645" s="2"/>
      <c r="T645" s="2"/>
    </row>
    <row r="646" spans="1:20" ht="15.75" customHeight="1">
      <c r="A646" s="1"/>
      <c r="B646" s="2"/>
      <c r="C646" s="2"/>
      <c r="D646" s="2"/>
      <c r="E646" s="2"/>
      <c r="F646" s="2"/>
      <c r="G646" s="2"/>
      <c r="H646" s="2"/>
      <c r="I646" s="2"/>
      <c r="J646" s="2"/>
      <c r="K646" s="2"/>
      <c r="L646" s="2"/>
      <c r="M646" s="2"/>
      <c r="N646" s="2"/>
      <c r="O646" s="2"/>
      <c r="P646" s="2"/>
      <c r="Q646" s="2"/>
      <c r="R646" s="2"/>
      <c r="S646" s="2"/>
      <c r="T646" s="2"/>
    </row>
    <row r="647" spans="1:20" ht="15.75" customHeight="1">
      <c r="A647" s="1"/>
      <c r="B647" s="2"/>
      <c r="C647" s="2"/>
      <c r="D647" s="2"/>
      <c r="E647" s="2"/>
      <c r="F647" s="2"/>
      <c r="G647" s="2"/>
      <c r="H647" s="2"/>
      <c r="I647" s="2"/>
      <c r="J647" s="2"/>
      <c r="K647" s="2"/>
      <c r="L647" s="2"/>
      <c r="M647" s="2"/>
      <c r="N647" s="2"/>
      <c r="O647" s="2"/>
      <c r="P647" s="2"/>
      <c r="Q647" s="2"/>
      <c r="R647" s="2"/>
      <c r="S647" s="2"/>
      <c r="T647" s="2"/>
    </row>
    <row r="648" spans="1:20" ht="15.75" customHeight="1">
      <c r="A648" s="1"/>
      <c r="B648" s="2"/>
      <c r="C648" s="2"/>
      <c r="D648" s="2"/>
      <c r="E648" s="2"/>
      <c r="F648" s="2"/>
      <c r="G648" s="2"/>
      <c r="H648" s="2"/>
      <c r="I648" s="2"/>
      <c r="J648" s="2"/>
      <c r="K648" s="2"/>
      <c r="L648" s="2"/>
      <c r="M648" s="2"/>
      <c r="N648" s="2"/>
      <c r="O648" s="2"/>
      <c r="P648" s="2"/>
      <c r="Q648" s="2"/>
      <c r="R648" s="2"/>
      <c r="S648" s="2"/>
      <c r="T648" s="2"/>
    </row>
    <row r="649" spans="1:20" ht="15.75" customHeight="1">
      <c r="A649" s="1"/>
      <c r="B649" s="2"/>
      <c r="C649" s="2"/>
      <c r="D649" s="2"/>
      <c r="E649" s="2"/>
      <c r="F649" s="2"/>
      <c r="G649" s="2"/>
      <c r="H649" s="2"/>
      <c r="I649" s="2"/>
      <c r="J649" s="2"/>
      <c r="K649" s="2"/>
      <c r="L649" s="2"/>
      <c r="M649" s="2"/>
      <c r="N649" s="2"/>
      <c r="O649" s="2"/>
      <c r="P649" s="2"/>
      <c r="Q649" s="2"/>
      <c r="R649" s="2"/>
      <c r="S649" s="2"/>
      <c r="T649" s="2"/>
    </row>
    <row r="650" spans="1:20" ht="15.75" customHeight="1">
      <c r="A650" s="1"/>
      <c r="B650" s="2"/>
      <c r="C650" s="2"/>
      <c r="D650" s="2"/>
      <c r="E650" s="2"/>
      <c r="F650" s="2"/>
      <c r="G650" s="2"/>
      <c r="H650" s="2"/>
      <c r="I650" s="2"/>
      <c r="J650" s="2"/>
      <c r="K650" s="2"/>
      <c r="L650" s="2"/>
      <c r="M650" s="2"/>
      <c r="N650" s="2"/>
      <c r="O650" s="2"/>
      <c r="P650" s="2"/>
      <c r="Q650" s="2"/>
      <c r="R650" s="2"/>
      <c r="S650" s="2"/>
      <c r="T650" s="2"/>
    </row>
    <row r="651" spans="1:20" ht="15.75" customHeight="1">
      <c r="A651" s="1"/>
      <c r="B651" s="2"/>
      <c r="C651" s="2"/>
      <c r="D651" s="2"/>
      <c r="E651" s="2"/>
      <c r="F651" s="2"/>
      <c r="G651" s="2"/>
      <c r="H651" s="2"/>
      <c r="I651" s="2"/>
      <c r="J651" s="2"/>
      <c r="K651" s="2"/>
      <c r="L651" s="2"/>
      <c r="M651" s="2"/>
      <c r="N651" s="2"/>
      <c r="O651" s="2"/>
      <c r="P651" s="2"/>
      <c r="Q651" s="2"/>
      <c r="R651" s="2"/>
      <c r="S651" s="2"/>
      <c r="T651" s="2"/>
    </row>
    <row r="652" spans="1:20" ht="15.75" customHeight="1">
      <c r="A652" s="1"/>
      <c r="B652" s="2"/>
      <c r="C652" s="2"/>
      <c r="D652" s="2"/>
      <c r="E652" s="2"/>
      <c r="F652" s="2"/>
      <c r="G652" s="2"/>
      <c r="H652" s="2"/>
      <c r="I652" s="2"/>
      <c r="J652" s="2"/>
      <c r="K652" s="2"/>
      <c r="L652" s="2"/>
      <c r="M652" s="2"/>
      <c r="N652" s="2"/>
      <c r="O652" s="2"/>
      <c r="P652" s="2"/>
      <c r="Q652" s="2"/>
      <c r="R652" s="2"/>
      <c r="S652" s="2"/>
      <c r="T652" s="2"/>
    </row>
    <row r="653" spans="1:20" ht="15.75" customHeight="1">
      <c r="A653" s="1"/>
      <c r="B653" s="2"/>
      <c r="C653" s="2"/>
      <c r="D653" s="2"/>
      <c r="E653" s="2"/>
      <c r="F653" s="2"/>
      <c r="G653" s="2"/>
      <c r="H653" s="2"/>
      <c r="I653" s="2"/>
      <c r="J653" s="2"/>
      <c r="K653" s="2"/>
      <c r="L653" s="2"/>
      <c r="M653" s="2"/>
      <c r="N653" s="2"/>
      <c r="O653" s="2"/>
      <c r="P653" s="2"/>
      <c r="Q653" s="2"/>
      <c r="R653" s="2"/>
      <c r="S653" s="2"/>
      <c r="T653" s="2"/>
    </row>
    <row r="654" spans="1:20" ht="15.75" customHeight="1">
      <c r="A654" s="1"/>
      <c r="B654" s="2"/>
      <c r="C654" s="2"/>
      <c r="D654" s="2"/>
      <c r="E654" s="2"/>
      <c r="F654" s="2"/>
      <c r="G654" s="2"/>
      <c r="H654" s="2"/>
      <c r="I654" s="2"/>
      <c r="J654" s="2"/>
      <c r="K654" s="2"/>
      <c r="L654" s="2"/>
      <c r="M654" s="2"/>
      <c r="N654" s="2"/>
      <c r="O654" s="2"/>
      <c r="P654" s="2"/>
      <c r="Q654" s="2"/>
      <c r="R654" s="2"/>
      <c r="S654" s="2"/>
      <c r="T654" s="2"/>
    </row>
    <row r="655" spans="1:20" ht="15.75" customHeight="1">
      <c r="A655" s="1"/>
      <c r="B655" s="2"/>
      <c r="C655" s="2"/>
      <c r="D655" s="2"/>
      <c r="E655" s="2"/>
      <c r="F655" s="2"/>
      <c r="G655" s="2"/>
      <c r="H655" s="2"/>
      <c r="I655" s="2"/>
      <c r="J655" s="2"/>
      <c r="K655" s="2"/>
      <c r="L655" s="2"/>
      <c r="M655" s="2"/>
      <c r="N655" s="2"/>
      <c r="O655" s="2"/>
      <c r="P655" s="2"/>
      <c r="Q655" s="2"/>
      <c r="R655" s="2"/>
      <c r="S655" s="2"/>
      <c r="T655" s="2"/>
    </row>
    <row r="656" spans="1:20" ht="15.75" customHeight="1">
      <c r="A656" s="1"/>
      <c r="B656" s="2"/>
      <c r="C656" s="2"/>
      <c r="D656" s="2"/>
      <c r="E656" s="2"/>
      <c r="F656" s="2"/>
      <c r="G656" s="2"/>
      <c r="H656" s="2"/>
      <c r="I656" s="2"/>
      <c r="J656" s="2"/>
      <c r="K656" s="2"/>
      <c r="L656" s="2"/>
      <c r="M656" s="2"/>
      <c r="N656" s="2"/>
      <c r="O656" s="2"/>
      <c r="P656" s="2"/>
      <c r="Q656" s="2"/>
      <c r="R656" s="2"/>
      <c r="S656" s="2"/>
      <c r="T656" s="2"/>
    </row>
    <row r="657" spans="1:20" ht="15.75" customHeight="1">
      <c r="A657" s="1"/>
      <c r="B657" s="2"/>
      <c r="C657" s="2"/>
      <c r="D657" s="2"/>
      <c r="E657" s="2"/>
      <c r="F657" s="2"/>
      <c r="G657" s="2"/>
      <c r="H657" s="2"/>
      <c r="I657" s="2"/>
      <c r="J657" s="2"/>
      <c r="K657" s="2"/>
      <c r="L657" s="2"/>
      <c r="M657" s="2"/>
      <c r="N657" s="2"/>
      <c r="O657" s="2"/>
      <c r="P657" s="2"/>
      <c r="Q657" s="2"/>
      <c r="R657" s="2"/>
      <c r="S657" s="2"/>
      <c r="T657" s="2"/>
    </row>
    <row r="658" spans="1:20" ht="15.75" customHeight="1">
      <c r="A658" s="1"/>
      <c r="B658" s="2"/>
      <c r="C658" s="2"/>
      <c r="D658" s="2"/>
      <c r="E658" s="2"/>
      <c r="F658" s="2"/>
      <c r="G658" s="2"/>
      <c r="H658" s="2"/>
      <c r="I658" s="2"/>
      <c r="J658" s="2"/>
      <c r="K658" s="2"/>
      <c r="L658" s="2"/>
      <c r="M658" s="2"/>
      <c r="N658" s="2"/>
      <c r="O658" s="2"/>
      <c r="P658" s="2"/>
      <c r="Q658" s="2"/>
      <c r="R658" s="2"/>
      <c r="S658" s="2"/>
      <c r="T658" s="2"/>
    </row>
    <row r="659" spans="1:20" ht="15.75" customHeight="1">
      <c r="A659" s="1"/>
      <c r="B659" s="2"/>
      <c r="C659" s="2"/>
      <c r="D659" s="2"/>
      <c r="E659" s="2"/>
      <c r="F659" s="2"/>
      <c r="G659" s="2"/>
      <c r="H659" s="2"/>
      <c r="I659" s="2"/>
      <c r="J659" s="2"/>
      <c r="K659" s="2"/>
      <c r="L659" s="2"/>
      <c r="M659" s="2"/>
      <c r="N659" s="2"/>
      <c r="O659" s="2"/>
      <c r="P659" s="2"/>
      <c r="Q659" s="2"/>
      <c r="R659" s="2"/>
      <c r="S659" s="2"/>
      <c r="T659" s="2"/>
    </row>
    <row r="660" spans="1:20" ht="15.75" customHeight="1">
      <c r="A660" s="1"/>
      <c r="B660" s="2"/>
      <c r="C660" s="2"/>
      <c r="D660" s="2"/>
      <c r="E660" s="2"/>
      <c r="F660" s="2"/>
      <c r="G660" s="2"/>
      <c r="H660" s="2"/>
      <c r="I660" s="2"/>
      <c r="J660" s="2"/>
      <c r="K660" s="2"/>
      <c r="L660" s="2"/>
      <c r="M660" s="2"/>
      <c r="N660" s="2"/>
      <c r="O660" s="2"/>
      <c r="P660" s="2"/>
      <c r="Q660" s="2"/>
      <c r="R660" s="2"/>
      <c r="S660" s="2"/>
      <c r="T660" s="2"/>
    </row>
    <row r="661" spans="1:20" ht="15.75" customHeight="1">
      <c r="A661" s="1"/>
      <c r="B661" s="2"/>
      <c r="C661" s="2"/>
      <c r="D661" s="2"/>
      <c r="E661" s="2"/>
      <c r="F661" s="2"/>
      <c r="G661" s="2"/>
      <c r="H661" s="2"/>
      <c r="I661" s="2"/>
      <c r="J661" s="2"/>
      <c r="K661" s="2"/>
      <c r="L661" s="2"/>
      <c r="M661" s="2"/>
      <c r="N661" s="2"/>
      <c r="O661" s="2"/>
      <c r="P661" s="2"/>
      <c r="Q661" s="2"/>
      <c r="R661" s="2"/>
      <c r="S661" s="2"/>
      <c r="T661" s="2"/>
    </row>
    <row r="662" spans="1:20" ht="15.75" customHeight="1">
      <c r="A662" s="1"/>
      <c r="B662" s="2"/>
      <c r="C662" s="2"/>
      <c r="D662" s="2"/>
      <c r="E662" s="2"/>
      <c r="F662" s="2"/>
      <c r="G662" s="2"/>
      <c r="H662" s="2"/>
      <c r="I662" s="2"/>
      <c r="J662" s="2"/>
      <c r="K662" s="2"/>
      <c r="L662" s="2"/>
      <c r="M662" s="2"/>
      <c r="N662" s="2"/>
      <c r="O662" s="2"/>
      <c r="P662" s="2"/>
      <c r="Q662" s="2"/>
      <c r="R662" s="2"/>
      <c r="S662" s="2"/>
      <c r="T662" s="2"/>
    </row>
    <row r="663" spans="1:20" ht="15.75" customHeight="1">
      <c r="A663" s="1"/>
      <c r="B663" s="2"/>
      <c r="C663" s="2"/>
      <c r="D663" s="2"/>
      <c r="E663" s="2"/>
      <c r="F663" s="2"/>
      <c r="G663" s="2"/>
      <c r="H663" s="2"/>
      <c r="I663" s="2"/>
      <c r="J663" s="2"/>
      <c r="K663" s="2"/>
      <c r="L663" s="2"/>
      <c r="M663" s="2"/>
      <c r="N663" s="2"/>
      <c r="O663" s="2"/>
      <c r="P663" s="2"/>
      <c r="Q663" s="2"/>
      <c r="R663" s="2"/>
      <c r="S663" s="2"/>
      <c r="T663" s="2"/>
    </row>
    <row r="664" spans="1:20" ht="15.75" customHeight="1">
      <c r="A664" s="1"/>
      <c r="B664" s="2"/>
      <c r="C664" s="2"/>
      <c r="D664" s="2"/>
      <c r="E664" s="2"/>
      <c r="F664" s="2"/>
      <c r="G664" s="2"/>
      <c r="H664" s="2"/>
      <c r="I664" s="2"/>
      <c r="J664" s="2"/>
      <c r="K664" s="2"/>
      <c r="L664" s="2"/>
      <c r="M664" s="2"/>
      <c r="N664" s="2"/>
      <c r="O664" s="2"/>
      <c r="P664" s="2"/>
      <c r="Q664" s="2"/>
      <c r="R664" s="2"/>
      <c r="S664" s="2"/>
      <c r="T664" s="2"/>
    </row>
    <row r="665" spans="1:20" ht="15.75" customHeight="1">
      <c r="A665" s="1"/>
      <c r="B665" s="2"/>
      <c r="C665" s="2"/>
      <c r="D665" s="2"/>
      <c r="E665" s="2"/>
      <c r="F665" s="2"/>
      <c r="G665" s="2"/>
      <c r="H665" s="2"/>
      <c r="I665" s="2"/>
      <c r="J665" s="2"/>
      <c r="K665" s="2"/>
      <c r="L665" s="2"/>
      <c r="M665" s="2"/>
      <c r="N665" s="2"/>
      <c r="O665" s="2"/>
      <c r="P665" s="2"/>
      <c r="Q665" s="2"/>
      <c r="R665" s="2"/>
      <c r="S665" s="2"/>
      <c r="T665" s="2"/>
    </row>
    <row r="666" spans="1:20" ht="15.75" customHeight="1">
      <c r="A666" s="1"/>
      <c r="B666" s="2"/>
      <c r="C666" s="2"/>
      <c r="D666" s="2"/>
      <c r="E666" s="2"/>
      <c r="F666" s="2"/>
      <c r="G666" s="2"/>
      <c r="H666" s="2"/>
      <c r="I666" s="2"/>
      <c r="J666" s="2"/>
      <c r="K666" s="2"/>
      <c r="L666" s="2"/>
      <c r="M666" s="2"/>
      <c r="N666" s="2"/>
      <c r="O666" s="2"/>
      <c r="P666" s="2"/>
      <c r="Q666" s="2"/>
      <c r="R666" s="2"/>
      <c r="S666" s="2"/>
      <c r="T666" s="2"/>
    </row>
    <row r="667" spans="1:20" ht="15.75" customHeight="1">
      <c r="A667" s="1"/>
      <c r="B667" s="2"/>
      <c r="C667" s="2"/>
      <c r="D667" s="2"/>
      <c r="E667" s="2"/>
      <c r="F667" s="2"/>
      <c r="G667" s="2"/>
      <c r="H667" s="2"/>
      <c r="I667" s="2"/>
      <c r="J667" s="2"/>
      <c r="K667" s="2"/>
      <c r="L667" s="2"/>
      <c r="M667" s="2"/>
      <c r="N667" s="2"/>
      <c r="O667" s="2"/>
      <c r="P667" s="2"/>
      <c r="Q667" s="2"/>
      <c r="R667" s="2"/>
      <c r="S667" s="2"/>
      <c r="T667" s="2"/>
    </row>
    <row r="668" spans="1:20" ht="15.75" customHeight="1">
      <c r="A668" s="1"/>
      <c r="B668" s="2"/>
      <c r="C668" s="2"/>
      <c r="D668" s="2"/>
      <c r="E668" s="2"/>
      <c r="F668" s="2"/>
      <c r="G668" s="2"/>
      <c r="H668" s="2"/>
      <c r="I668" s="2"/>
      <c r="J668" s="2"/>
      <c r="K668" s="2"/>
      <c r="L668" s="2"/>
      <c r="M668" s="2"/>
      <c r="N668" s="2"/>
      <c r="O668" s="2"/>
      <c r="P668" s="2"/>
      <c r="Q668" s="2"/>
      <c r="R668" s="2"/>
      <c r="S668" s="2"/>
      <c r="T668" s="2"/>
    </row>
    <row r="669" spans="1:20" ht="15.75" customHeight="1">
      <c r="A669" s="1"/>
      <c r="B669" s="2"/>
      <c r="C669" s="2"/>
      <c r="D669" s="2"/>
      <c r="E669" s="2"/>
      <c r="F669" s="2"/>
      <c r="G669" s="2"/>
      <c r="H669" s="2"/>
      <c r="I669" s="2"/>
      <c r="J669" s="2"/>
      <c r="K669" s="2"/>
      <c r="L669" s="2"/>
      <c r="M669" s="2"/>
      <c r="N669" s="2"/>
      <c r="O669" s="2"/>
      <c r="P669" s="2"/>
      <c r="Q669" s="2"/>
      <c r="R669" s="2"/>
      <c r="S669" s="2"/>
      <c r="T669" s="2"/>
    </row>
    <row r="670" spans="1:20" ht="15.75" customHeight="1">
      <c r="A670" s="1"/>
      <c r="B670" s="2"/>
      <c r="C670" s="2"/>
      <c r="D670" s="2"/>
      <c r="E670" s="2"/>
      <c r="F670" s="2"/>
      <c r="G670" s="2"/>
      <c r="H670" s="2"/>
      <c r="I670" s="2"/>
      <c r="J670" s="2"/>
      <c r="K670" s="2"/>
      <c r="L670" s="2"/>
      <c r="M670" s="2"/>
      <c r="N670" s="2"/>
      <c r="O670" s="2"/>
      <c r="P670" s="2"/>
      <c r="Q670" s="2"/>
      <c r="R670" s="2"/>
      <c r="S670" s="2"/>
      <c r="T670" s="2"/>
    </row>
    <row r="671" spans="1:20" ht="15.75" customHeight="1">
      <c r="A671" s="1"/>
      <c r="B671" s="2"/>
      <c r="C671" s="2"/>
      <c r="D671" s="2"/>
      <c r="E671" s="2"/>
      <c r="F671" s="2"/>
      <c r="G671" s="2"/>
      <c r="H671" s="2"/>
      <c r="I671" s="2"/>
      <c r="J671" s="2"/>
      <c r="K671" s="2"/>
      <c r="L671" s="2"/>
      <c r="M671" s="2"/>
      <c r="N671" s="2"/>
      <c r="O671" s="2"/>
      <c r="P671" s="2"/>
      <c r="Q671" s="2"/>
      <c r="R671" s="2"/>
      <c r="S671" s="2"/>
      <c r="T671" s="2"/>
    </row>
    <row r="672" spans="1:20" ht="15.75" customHeight="1">
      <c r="A672" s="1"/>
      <c r="B672" s="2"/>
      <c r="C672" s="2"/>
      <c r="D672" s="2"/>
      <c r="E672" s="2"/>
      <c r="F672" s="2"/>
      <c r="G672" s="2"/>
      <c r="H672" s="2"/>
      <c r="I672" s="2"/>
      <c r="J672" s="2"/>
      <c r="K672" s="2"/>
      <c r="L672" s="2"/>
      <c r="M672" s="2"/>
      <c r="N672" s="2"/>
      <c r="O672" s="2"/>
      <c r="P672" s="2"/>
      <c r="Q672" s="2"/>
      <c r="R672" s="2"/>
      <c r="S672" s="2"/>
      <c r="T672" s="2"/>
    </row>
    <row r="673" spans="1:20" ht="15.75" customHeight="1">
      <c r="A673" s="1"/>
      <c r="B673" s="2"/>
      <c r="C673" s="2"/>
      <c r="D673" s="2"/>
      <c r="E673" s="2"/>
      <c r="F673" s="2"/>
      <c r="G673" s="2"/>
      <c r="H673" s="2"/>
      <c r="I673" s="2"/>
      <c r="J673" s="2"/>
      <c r="K673" s="2"/>
      <c r="L673" s="2"/>
      <c r="M673" s="2"/>
      <c r="N673" s="2"/>
      <c r="O673" s="2"/>
      <c r="P673" s="2"/>
      <c r="Q673" s="2"/>
      <c r="R673" s="2"/>
      <c r="S673" s="2"/>
      <c r="T673" s="2"/>
    </row>
    <row r="674" spans="1:20" ht="15.75" customHeight="1">
      <c r="A674" s="1"/>
      <c r="B674" s="2"/>
      <c r="C674" s="2"/>
      <c r="D674" s="2"/>
      <c r="E674" s="2"/>
      <c r="F674" s="2"/>
      <c r="G674" s="2"/>
      <c r="H674" s="2"/>
      <c r="I674" s="2"/>
      <c r="J674" s="2"/>
      <c r="K674" s="2"/>
      <c r="L674" s="2"/>
      <c r="M674" s="2"/>
      <c r="N674" s="2"/>
      <c r="O674" s="2"/>
      <c r="P674" s="2"/>
      <c r="Q674" s="2"/>
      <c r="R674" s="2"/>
      <c r="S674" s="2"/>
      <c r="T674" s="2"/>
    </row>
    <row r="675" spans="1:20" ht="15.75" customHeight="1">
      <c r="A675" s="1"/>
      <c r="B675" s="2"/>
      <c r="C675" s="2"/>
      <c r="D675" s="2"/>
      <c r="E675" s="2"/>
      <c r="F675" s="2"/>
      <c r="G675" s="2"/>
      <c r="H675" s="2"/>
      <c r="I675" s="2"/>
      <c r="J675" s="2"/>
      <c r="K675" s="2"/>
      <c r="L675" s="2"/>
      <c r="M675" s="2"/>
      <c r="N675" s="2"/>
      <c r="O675" s="2"/>
      <c r="P675" s="2"/>
      <c r="Q675" s="2"/>
      <c r="R675" s="2"/>
      <c r="S675" s="2"/>
      <c r="T675" s="2"/>
    </row>
    <row r="676" spans="1:20" ht="15.75" customHeight="1">
      <c r="A676" s="1"/>
      <c r="B676" s="2"/>
      <c r="C676" s="2"/>
      <c r="D676" s="2"/>
      <c r="E676" s="2"/>
      <c r="F676" s="2"/>
      <c r="G676" s="2"/>
      <c r="H676" s="2"/>
      <c r="I676" s="2"/>
      <c r="J676" s="2"/>
      <c r="K676" s="2"/>
      <c r="L676" s="2"/>
      <c r="M676" s="2"/>
      <c r="N676" s="2"/>
      <c r="O676" s="2"/>
      <c r="P676" s="2"/>
      <c r="Q676" s="2"/>
      <c r="R676" s="2"/>
      <c r="S676" s="2"/>
      <c r="T676" s="2"/>
    </row>
    <row r="677" spans="1:20" ht="15.75" customHeight="1">
      <c r="A677" s="1"/>
      <c r="B677" s="2"/>
      <c r="C677" s="2"/>
      <c r="D677" s="2"/>
      <c r="E677" s="2"/>
      <c r="F677" s="2"/>
      <c r="G677" s="2"/>
      <c r="H677" s="2"/>
      <c r="I677" s="2"/>
      <c r="J677" s="2"/>
      <c r="K677" s="2"/>
      <c r="L677" s="2"/>
      <c r="M677" s="2"/>
      <c r="N677" s="2"/>
      <c r="O677" s="2"/>
      <c r="P677" s="2"/>
      <c r="Q677" s="2"/>
      <c r="R677" s="2"/>
      <c r="S677" s="2"/>
      <c r="T677" s="2"/>
    </row>
    <row r="678" spans="1:20" ht="15.75" customHeight="1">
      <c r="A678" s="1"/>
      <c r="B678" s="2"/>
      <c r="C678" s="2"/>
      <c r="D678" s="2"/>
      <c r="E678" s="2"/>
      <c r="F678" s="2"/>
      <c r="G678" s="2"/>
      <c r="H678" s="2"/>
      <c r="I678" s="2"/>
      <c r="J678" s="2"/>
      <c r="K678" s="2"/>
      <c r="L678" s="2"/>
      <c r="M678" s="2"/>
      <c r="N678" s="2"/>
      <c r="O678" s="2"/>
      <c r="P678" s="2"/>
      <c r="Q678" s="2"/>
      <c r="R678" s="2"/>
      <c r="S678" s="2"/>
      <c r="T678" s="2"/>
    </row>
    <row r="679" spans="1:20" ht="15.75" customHeight="1">
      <c r="A679" s="1"/>
      <c r="B679" s="2"/>
      <c r="C679" s="2"/>
      <c r="D679" s="2"/>
      <c r="E679" s="2"/>
      <c r="F679" s="2"/>
      <c r="G679" s="2"/>
      <c r="H679" s="2"/>
      <c r="I679" s="2"/>
      <c r="J679" s="2"/>
      <c r="K679" s="2"/>
      <c r="L679" s="2"/>
      <c r="M679" s="2"/>
      <c r="N679" s="2"/>
      <c r="O679" s="2"/>
      <c r="P679" s="2"/>
      <c r="Q679" s="2"/>
      <c r="R679" s="2"/>
      <c r="S679" s="2"/>
      <c r="T679" s="2"/>
    </row>
    <row r="680" spans="1:20" ht="15.75" customHeight="1">
      <c r="A680" s="1"/>
      <c r="B680" s="2"/>
      <c r="C680" s="2"/>
      <c r="D680" s="2"/>
      <c r="E680" s="2"/>
      <c r="F680" s="2"/>
      <c r="G680" s="2"/>
      <c r="H680" s="2"/>
      <c r="I680" s="2"/>
      <c r="J680" s="2"/>
      <c r="K680" s="2"/>
      <c r="L680" s="2"/>
      <c r="M680" s="2"/>
      <c r="N680" s="2"/>
      <c r="O680" s="2"/>
      <c r="P680" s="2"/>
      <c r="Q680" s="2"/>
      <c r="R680" s="2"/>
      <c r="S680" s="2"/>
      <c r="T680" s="2"/>
    </row>
    <row r="681" spans="1:20" ht="15.75" customHeight="1">
      <c r="A681" s="1"/>
      <c r="B681" s="2"/>
      <c r="C681" s="2"/>
      <c r="D681" s="2"/>
      <c r="E681" s="2"/>
      <c r="F681" s="2"/>
      <c r="G681" s="2"/>
      <c r="H681" s="2"/>
      <c r="I681" s="2"/>
      <c r="J681" s="2"/>
      <c r="K681" s="2"/>
      <c r="L681" s="2"/>
      <c r="M681" s="2"/>
      <c r="N681" s="2"/>
      <c r="O681" s="2"/>
      <c r="P681" s="2"/>
      <c r="Q681" s="2"/>
      <c r="R681" s="2"/>
      <c r="S681" s="2"/>
      <c r="T681" s="2"/>
    </row>
    <row r="682" spans="1:20" ht="15.75" customHeight="1">
      <c r="A682" s="1"/>
      <c r="B682" s="2"/>
      <c r="C682" s="2"/>
      <c r="D682" s="2"/>
      <c r="E682" s="2"/>
      <c r="F682" s="2"/>
      <c r="G682" s="2"/>
      <c r="H682" s="2"/>
      <c r="I682" s="2"/>
      <c r="J682" s="2"/>
      <c r="K682" s="2"/>
      <c r="L682" s="2"/>
      <c r="M682" s="2"/>
      <c r="N682" s="2"/>
      <c r="O682" s="2"/>
      <c r="P682" s="2"/>
      <c r="Q682" s="2"/>
      <c r="R682" s="2"/>
      <c r="S682" s="2"/>
      <c r="T682" s="2"/>
    </row>
    <row r="683" spans="1:20" ht="15.75" customHeight="1">
      <c r="A683" s="1"/>
      <c r="B683" s="2"/>
      <c r="C683" s="2"/>
      <c r="D683" s="2"/>
      <c r="E683" s="2"/>
      <c r="F683" s="2"/>
      <c r="G683" s="2"/>
      <c r="H683" s="2"/>
      <c r="I683" s="2"/>
      <c r="J683" s="2"/>
      <c r="K683" s="2"/>
      <c r="L683" s="2"/>
      <c r="M683" s="2"/>
      <c r="N683" s="2"/>
      <c r="O683" s="2"/>
      <c r="P683" s="2"/>
      <c r="Q683" s="2"/>
      <c r="R683" s="2"/>
      <c r="S683" s="2"/>
      <c r="T683" s="2"/>
    </row>
    <row r="684" spans="1:20" ht="15.75" customHeight="1">
      <c r="A684" s="1"/>
      <c r="B684" s="2"/>
      <c r="C684" s="2"/>
      <c r="D684" s="2"/>
      <c r="E684" s="2"/>
      <c r="F684" s="2"/>
      <c r="G684" s="2"/>
      <c r="H684" s="2"/>
      <c r="I684" s="2"/>
      <c r="J684" s="2"/>
      <c r="K684" s="2"/>
      <c r="L684" s="2"/>
      <c r="M684" s="2"/>
      <c r="N684" s="2"/>
      <c r="O684" s="2"/>
      <c r="P684" s="2"/>
      <c r="Q684" s="2"/>
      <c r="R684" s="2"/>
      <c r="S684" s="2"/>
      <c r="T684" s="2"/>
    </row>
    <row r="685" spans="1:20" ht="15.75" customHeight="1">
      <c r="A685" s="1"/>
      <c r="B685" s="2"/>
      <c r="C685" s="2"/>
      <c r="D685" s="2"/>
      <c r="E685" s="2"/>
      <c r="F685" s="2"/>
      <c r="G685" s="2"/>
      <c r="H685" s="2"/>
      <c r="I685" s="2"/>
      <c r="J685" s="2"/>
      <c r="K685" s="2"/>
      <c r="L685" s="2"/>
      <c r="M685" s="2"/>
      <c r="N685" s="2"/>
      <c r="O685" s="2"/>
      <c r="P685" s="2"/>
      <c r="Q685" s="2"/>
      <c r="R685" s="2"/>
      <c r="S685" s="2"/>
      <c r="T685" s="2"/>
    </row>
    <row r="686" spans="1:20" ht="15.75" customHeight="1">
      <c r="A686" s="1"/>
      <c r="B686" s="2"/>
      <c r="C686" s="2"/>
      <c r="D686" s="2"/>
      <c r="E686" s="2"/>
      <c r="F686" s="2"/>
      <c r="G686" s="2"/>
      <c r="H686" s="2"/>
      <c r="I686" s="2"/>
      <c r="J686" s="2"/>
      <c r="K686" s="2"/>
      <c r="L686" s="2"/>
      <c r="M686" s="2"/>
      <c r="N686" s="2"/>
      <c r="O686" s="2"/>
      <c r="P686" s="2"/>
      <c r="Q686" s="2"/>
      <c r="R686" s="2"/>
      <c r="S686" s="2"/>
      <c r="T686" s="2"/>
    </row>
    <row r="687" spans="1:20" ht="15.75" customHeight="1">
      <c r="A687" s="1"/>
      <c r="B687" s="2"/>
      <c r="C687" s="2"/>
      <c r="D687" s="2"/>
      <c r="E687" s="2"/>
      <c r="F687" s="2"/>
      <c r="G687" s="2"/>
      <c r="H687" s="2"/>
      <c r="I687" s="2"/>
      <c r="J687" s="2"/>
      <c r="K687" s="2"/>
      <c r="L687" s="2"/>
      <c r="M687" s="2"/>
      <c r="N687" s="2"/>
      <c r="O687" s="2"/>
      <c r="P687" s="2"/>
      <c r="Q687" s="2"/>
      <c r="R687" s="2"/>
      <c r="S687" s="2"/>
      <c r="T687" s="2"/>
    </row>
    <row r="688" spans="1:20" ht="15.75" customHeight="1">
      <c r="A688" s="1"/>
      <c r="B688" s="2"/>
      <c r="C688" s="2"/>
      <c r="D688" s="2"/>
      <c r="E688" s="2"/>
      <c r="F688" s="2"/>
      <c r="G688" s="2"/>
      <c r="H688" s="2"/>
      <c r="I688" s="2"/>
      <c r="J688" s="2"/>
      <c r="K688" s="2"/>
      <c r="L688" s="2"/>
      <c r="M688" s="2"/>
      <c r="N688" s="2"/>
      <c r="O688" s="2"/>
      <c r="P688" s="2"/>
      <c r="Q688" s="2"/>
      <c r="R688" s="2"/>
      <c r="S688" s="2"/>
      <c r="T688" s="2"/>
    </row>
    <row r="689" spans="1:20" ht="15.75" customHeight="1">
      <c r="A689" s="1"/>
      <c r="B689" s="2"/>
      <c r="C689" s="2"/>
      <c r="D689" s="2"/>
      <c r="E689" s="2"/>
      <c r="F689" s="2"/>
      <c r="G689" s="2"/>
      <c r="H689" s="2"/>
      <c r="I689" s="2"/>
      <c r="J689" s="2"/>
      <c r="K689" s="2"/>
      <c r="L689" s="2"/>
      <c r="M689" s="2"/>
      <c r="N689" s="2"/>
      <c r="O689" s="2"/>
      <c r="P689" s="2"/>
      <c r="Q689" s="2"/>
      <c r="R689" s="2"/>
      <c r="S689" s="2"/>
      <c r="T689" s="2"/>
    </row>
    <row r="690" spans="1:20" ht="15.75" customHeight="1">
      <c r="A690" s="1"/>
      <c r="B690" s="2"/>
      <c r="C690" s="2"/>
      <c r="D690" s="2"/>
      <c r="E690" s="2"/>
      <c r="F690" s="2"/>
      <c r="G690" s="2"/>
      <c r="H690" s="2"/>
      <c r="I690" s="2"/>
      <c r="J690" s="2"/>
      <c r="K690" s="2"/>
      <c r="L690" s="2"/>
      <c r="M690" s="2"/>
      <c r="N690" s="2"/>
      <c r="O690" s="2"/>
      <c r="P690" s="2"/>
      <c r="Q690" s="2"/>
      <c r="R690" s="2"/>
      <c r="S690" s="2"/>
      <c r="T690" s="2"/>
    </row>
    <row r="691" spans="1:20" ht="15.75" customHeight="1">
      <c r="A691" s="1"/>
      <c r="B691" s="2"/>
      <c r="C691" s="2"/>
      <c r="D691" s="2"/>
      <c r="E691" s="2"/>
      <c r="F691" s="2"/>
      <c r="G691" s="2"/>
      <c r="H691" s="2"/>
      <c r="I691" s="2"/>
      <c r="J691" s="2"/>
      <c r="K691" s="2"/>
      <c r="L691" s="2"/>
      <c r="M691" s="2"/>
      <c r="N691" s="2"/>
      <c r="O691" s="2"/>
      <c r="P691" s="2"/>
      <c r="Q691" s="2"/>
      <c r="R691" s="2"/>
      <c r="S691" s="2"/>
      <c r="T691" s="2"/>
    </row>
    <row r="692" spans="1:20" ht="15.75" customHeight="1">
      <c r="A692" s="1"/>
      <c r="B692" s="2"/>
      <c r="C692" s="2"/>
      <c r="D692" s="2"/>
      <c r="E692" s="2"/>
      <c r="F692" s="2"/>
      <c r="G692" s="2"/>
      <c r="H692" s="2"/>
      <c r="I692" s="2"/>
      <c r="J692" s="2"/>
      <c r="K692" s="2"/>
      <c r="L692" s="2"/>
      <c r="M692" s="2"/>
      <c r="N692" s="2"/>
      <c r="O692" s="2"/>
      <c r="P692" s="2"/>
      <c r="Q692" s="2"/>
      <c r="R692" s="2"/>
      <c r="S692" s="2"/>
      <c r="T692" s="2"/>
    </row>
    <row r="693" spans="1:20" ht="15.75" customHeight="1">
      <c r="A693" s="1"/>
      <c r="B693" s="2"/>
      <c r="C693" s="2"/>
      <c r="D693" s="2"/>
      <c r="E693" s="2"/>
      <c r="F693" s="2"/>
      <c r="G693" s="2"/>
      <c r="H693" s="2"/>
      <c r="I693" s="2"/>
      <c r="J693" s="2"/>
      <c r="K693" s="2"/>
      <c r="L693" s="2"/>
      <c r="M693" s="2"/>
      <c r="N693" s="2"/>
      <c r="O693" s="2"/>
      <c r="P693" s="2"/>
      <c r="Q693" s="2"/>
      <c r="R693" s="2"/>
      <c r="S693" s="2"/>
      <c r="T693" s="2"/>
    </row>
    <row r="694" spans="1:20" ht="15.75" customHeight="1">
      <c r="A694" s="1"/>
      <c r="B694" s="2"/>
      <c r="C694" s="2"/>
      <c r="D694" s="2"/>
      <c r="E694" s="2"/>
      <c r="F694" s="2"/>
      <c r="G694" s="2"/>
      <c r="H694" s="2"/>
      <c r="I694" s="2"/>
      <c r="J694" s="2"/>
      <c r="K694" s="2"/>
      <c r="L694" s="2"/>
      <c r="M694" s="2"/>
      <c r="N694" s="2"/>
      <c r="O694" s="2"/>
      <c r="P694" s="2"/>
      <c r="Q694" s="2"/>
      <c r="R694" s="2"/>
      <c r="S694" s="2"/>
      <c r="T694" s="2"/>
    </row>
    <row r="695" spans="1:20" ht="15.75" customHeight="1">
      <c r="A695" s="1"/>
      <c r="B695" s="2"/>
      <c r="C695" s="2"/>
      <c r="D695" s="2"/>
      <c r="E695" s="2"/>
      <c r="F695" s="2"/>
      <c r="G695" s="2"/>
      <c r="H695" s="2"/>
      <c r="I695" s="2"/>
      <c r="J695" s="2"/>
      <c r="K695" s="2"/>
      <c r="L695" s="2"/>
      <c r="M695" s="2"/>
      <c r="N695" s="2"/>
      <c r="O695" s="2"/>
      <c r="P695" s="2"/>
      <c r="Q695" s="2"/>
      <c r="R695" s="2"/>
      <c r="S695" s="2"/>
      <c r="T695" s="2"/>
    </row>
    <row r="696" spans="1:20" ht="15.75" customHeight="1">
      <c r="A696" s="1"/>
      <c r="B696" s="2"/>
      <c r="C696" s="2"/>
      <c r="D696" s="2"/>
      <c r="E696" s="2"/>
      <c r="F696" s="2"/>
      <c r="G696" s="2"/>
      <c r="H696" s="2"/>
      <c r="I696" s="2"/>
      <c r="J696" s="2"/>
      <c r="K696" s="2"/>
      <c r="L696" s="2"/>
      <c r="M696" s="2"/>
      <c r="N696" s="2"/>
      <c r="O696" s="2"/>
      <c r="P696" s="2"/>
      <c r="Q696" s="2"/>
      <c r="R696" s="2"/>
      <c r="S696" s="2"/>
      <c r="T696" s="2"/>
    </row>
    <row r="697" spans="1:20" ht="15.75" customHeight="1">
      <c r="A697" s="1"/>
      <c r="B697" s="2"/>
      <c r="C697" s="2"/>
      <c r="D697" s="2"/>
      <c r="E697" s="2"/>
      <c r="F697" s="2"/>
      <c r="G697" s="2"/>
      <c r="H697" s="2"/>
      <c r="I697" s="2"/>
      <c r="J697" s="2"/>
      <c r="K697" s="2"/>
      <c r="L697" s="2"/>
      <c r="M697" s="2"/>
      <c r="N697" s="2"/>
      <c r="O697" s="2"/>
      <c r="P697" s="2"/>
      <c r="Q697" s="2"/>
      <c r="R697" s="2"/>
      <c r="S697" s="2"/>
      <c r="T697" s="2"/>
    </row>
    <row r="698" spans="1:20" ht="15.75" customHeight="1">
      <c r="A698" s="1"/>
      <c r="B698" s="2"/>
      <c r="C698" s="2"/>
      <c r="D698" s="2"/>
      <c r="E698" s="2"/>
      <c r="F698" s="2"/>
      <c r="G698" s="2"/>
      <c r="H698" s="2"/>
      <c r="I698" s="2"/>
      <c r="J698" s="2"/>
      <c r="K698" s="2"/>
      <c r="L698" s="2"/>
      <c r="M698" s="2"/>
      <c r="N698" s="2"/>
      <c r="O698" s="2"/>
      <c r="P698" s="2"/>
      <c r="Q698" s="2"/>
      <c r="R698" s="2"/>
      <c r="S698" s="2"/>
      <c r="T698" s="2"/>
    </row>
    <row r="699" spans="1:20" ht="15.75" customHeight="1">
      <c r="A699" s="1"/>
      <c r="B699" s="2"/>
      <c r="C699" s="2"/>
      <c r="D699" s="2"/>
      <c r="E699" s="2"/>
      <c r="F699" s="2"/>
      <c r="G699" s="2"/>
      <c r="H699" s="2"/>
      <c r="I699" s="2"/>
      <c r="J699" s="2"/>
      <c r="K699" s="2"/>
      <c r="L699" s="2"/>
      <c r="M699" s="2"/>
      <c r="N699" s="2"/>
      <c r="O699" s="2"/>
      <c r="P699" s="2"/>
      <c r="Q699" s="2"/>
      <c r="R699" s="2"/>
      <c r="S699" s="2"/>
      <c r="T699" s="2"/>
    </row>
    <row r="700" spans="1:20" ht="15.75" customHeight="1">
      <c r="A700" s="1"/>
      <c r="B700" s="2"/>
      <c r="C700" s="2"/>
      <c r="D700" s="2"/>
      <c r="E700" s="2"/>
      <c r="F700" s="2"/>
      <c r="G700" s="2"/>
      <c r="H700" s="2"/>
      <c r="I700" s="2"/>
      <c r="J700" s="2"/>
      <c r="K700" s="2"/>
      <c r="L700" s="2"/>
      <c r="M700" s="2"/>
      <c r="N700" s="2"/>
      <c r="O700" s="2"/>
      <c r="P700" s="2"/>
      <c r="Q700" s="2"/>
      <c r="R700" s="2"/>
      <c r="S700" s="2"/>
      <c r="T700" s="2"/>
    </row>
    <row r="701" spans="1:20" ht="15.75" customHeight="1">
      <c r="A701" s="1"/>
      <c r="B701" s="2"/>
      <c r="C701" s="2"/>
      <c r="D701" s="2"/>
      <c r="E701" s="2"/>
      <c r="F701" s="2"/>
      <c r="G701" s="2"/>
      <c r="H701" s="2"/>
      <c r="I701" s="2"/>
      <c r="J701" s="2"/>
      <c r="K701" s="2"/>
      <c r="L701" s="2"/>
      <c r="M701" s="2"/>
      <c r="N701" s="2"/>
      <c r="O701" s="2"/>
      <c r="P701" s="2"/>
      <c r="Q701" s="2"/>
      <c r="R701" s="2"/>
      <c r="S701" s="2"/>
      <c r="T701" s="2"/>
    </row>
    <row r="702" spans="1:20" ht="15.75" customHeight="1">
      <c r="A702" s="1"/>
      <c r="B702" s="2"/>
      <c r="C702" s="2"/>
      <c r="D702" s="2"/>
      <c r="E702" s="2"/>
      <c r="F702" s="2"/>
      <c r="G702" s="2"/>
      <c r="H702" s="2"/>
      <c r="I702" s="2"/>
      <c r="J702" s="2"/>
      <c r="K702" s="2"/>
      <c r="L702" s="2"/>
      <c r="M702" s="2"/>
      <c r="N702" s="2"/>
      <c r="O702" s="2"/>
      <c r="P702" s="2"/>
      <c r="Q702" s="2"/>
      <c r="R702" s="2"/>
      <c r="S702" s="2"/>
      <c r="T702" s="2"/>
    </row>
    <row r="703" spans="1:20" ht="15.75" customHeight="1">
      <c r="A703" s="1"/>
      <c r="B703" s="2"/>
      <c r="C703" s="2"/>
      <c r="D703" s="2"/>
      <c r="E703" s="2"/>
      <c r="F703" s="2"/>
      <c r="G703" s="2"/>
      <c r="H703" s="2"/>
      <c r="I703" s="2"/>
      <c r="J703" s="2"/>
      <c r="K703" s="2"/>
      <c r="L703" s="2"/>
      <c r="M703" s="2"/>
      <c r="N703" s="2"/>
      <c r="O703" s="2"/>
      <c r="P703" s="2"/>
      <c r="Q703" s="2"/>
      <c r="R703" s="2"/>
      <c r="S703" s="2"/>
      <c r="T703" s="2"/>
    </row>
    <row r="704" spans="1:20" ht="15.75" customHeight="1">
      <c r="A704" s="1"/>
      <c r="B704" s="2"/>
      <c r="C704" s="2"/>
      <c r="D704" s="2"/>
      <c r="E704" s="2"/>
      <c r="F704" s="2"/>
      <c r="G704" s="2"/>
      <c r="H704" s="2"/>
      <c r="I704" s="2"/>
      <c r="J704" s="2"/>
      <c r="K704" s="2"/>
      <c r="L704" s="2"/>
      <c r="M704" s="2"/>
      <c r="N704" s="2"/>
      <c r="O704" s="2"/>
      <c r="P704" s="2"/>
      <c r="Q704" s="2"/>
      <c r="R704" s="2"/>
      <c r="S704" s="2"/>
      <c r="T704" s="2"/>
    </row>
    <row r="705" spans="1:20" ht="15.75" customHeight="1">
      <c r="A705" s="1"/>
      <c r="B705" s="2"/>
      <c r="C705" s="2"/>
      <c r="D705" s="2"/>
      <c r="E705" s="2"/>
      <c r="F705" s="2"/>
      <c r="G705" s="2"/>
      <c r="H705" s="2"/>
      <c r="I705" s="2"/>
      <c r="J705" s="2"/>
      <c r="K705" s="2"/>
      <c r="L705" s="2"/>
      <c r="M705" s="2"/>
      <c r="N705" s="2"/>
      <c r="O705" s="2"/>
      <c r="P705" s="2"/>
      <c r="Q705" s="2"/>
      <c r="R705" s="2"/>
      <c r="S705" s="2"/>
      <c r="T705" s="2"/>
    </row>
    <row r="706" spans="1:20" ht="15.75" customHeight="1">
      <c r="A706" s="1"/>
      <c r="B706" s="2"/>
      <c r="C706" s="2"/>
      <c r="D706" s="2"/>
      <c r="E706" s="2"/>
      <c r="F706" s="2"/>
      <c r="G706" s="2"/>
      <c r="H706" s="2"/>
      <c r="I706" s="2"/>
      <c r="J706" s="2"/>
      <c r="K706" s="2"/>
      <c r="L706" s="2"/>
      <c r="M706" s="2"/>
      <c r="N706" s="2"/>
      <c r="O706" s="2"/>
      <c r="P706" s="2"/>
      <c r="Q706" s="2"/>
      <c r="R706" s="2"/>
      <c r="S706" s="2"/>
      <c r="T706" s="2"/>
    </row>
    <row r="707" spans="1:20" ht="15.75" customHeight="1">
      <c r="A707" s="1"/>
      <c r="B707" s="2"/>
      <c r="C707" s="2"/>
      <c r="D707" s="2"/>
      <c r="E707" s="2"/>
      <c r="F707" s="2"/>
      <c r="G707" s="2"/>
      <c r="H707" s="2"/>
      <c r="I707" s="2"/>
      <c r="J707" s="2"/>
      <c r="K707" s="2"/>
      <c r="L707" s="2"/>
      <c r="M707" s="2"/>
      <c r="N707" s="2"/>
      <c r="O707" s="2"/>
      <c r="P707" s="2"/>
      <c r="Q707" s="2"/>
      <c r="R707" s="2"/>
      <c r="S707" s="2"/>
      <c r="T707" s="2"/>
    </row>
    <row r="708" spans="1:20" ht="15.75" customHeight="1">
      <c r="A708" s="1"/>
      <c r="B708" s="2"/>
      <c r="C708" s="2"/>
      <c r="D708" s="2"/>
      <c r="E708" s="2"/>
      <c r="F708" s="2"/>
      <c r="G708" s="2"/>
      <c r="H708" s="2"/>
      <c r="I708" s="2"/>
      <c r="J708" s="2"/>
      <c r="K708" s="2"/>
      <c r="L708" s="2"/>
      <c r="M708" s="2"/>
      <c r="N708" s="2"/>
      <c r="O708" s="2"/>
      <c r="P708" s="2"/>
      <c r="Q708" s="2"/>
      <c r="R708" s="2"/>
      <c r="S708" s="2"/>
      <c r="T708" s="2"/>
    </row>
    <row r="709" spans="1:20" ht="15.75" customHeight="1">
      <c r="A709" s="1"/>
      <c r="B709" s="2"/>
      <c r="C709" s="2"/>
      <c r="D709" s="2"/>
      <c r="E709" s="2"/>
      <c r="F709" s="2"/>
      <c r="G709" s="2"/>
      <c r="H709" s="2"/>
      <c r="I709" s="2"/>
      <c r="J709" s="2"/>
      <c r="K709" s="2"/>
      <c r="L709" s="2"/>
      <c r="M709" s="2"/>
      <c r="N709" s="2"/>
      <c r="O709" s="2"/>
      <c r="P709" s="2"/>
      <c r="Q709" s="2"/>
      <c r="R709" s="2"/>
      <c r="S709" s="2"/>
      <c r="T709" s="2"/>
    </row>
    <row r="710" spans="1:20" ht="15.75" customHeight="1">
      <c r="A710" s="1"/>
      <c r="B710" s="2"/>
      <c r="C710" s="2"/>
      <c r="D710" s="2"/>
      <c r="E710" s="2"/>
      <c r="F710" s="2"/>
      <c r="G710" s="2"/>
      <c r="H710" s="2"/>
      <c r="I710" s="2"/>
      <c r="J710" s="2"/>
      <c r="K710" s="2"/>
      <c r="L710" s="2"/>
      <c r="M710" s="2"/>
      <c r="N710" s="2"/>
      <c r="O710" s="2"/>
      <c r="P710" s="2"/>
      <c r="Q710" s="2"/>
      <c r="R710" s="2"/>
      <c r="S710" s="2"/>
      <c r="T710" s="2"/>
    </row>
    <row r="711" spans="1:20" ht="15.75" customHeight="1">
      <c r="A711" s="1"/>
      <c r="B711" s="2"/>
      <c r="C711" s="2"/>
      <c r="D711" s="2"/>
      <c r="E711" s="2"/>
      <c r="F711" s="2"/>
      <c r="G711" s="2"/>
      <c r="H711" s="2"/>
      <c r="I711" s="2"/>
      <c r="J711" s="2"/>
      <c r="K711" s="2"/>
      <c r="L711" s="2"/>
      <c r="M711" s="2"/>
      <c r="N711" s="2"/>
      <c r="O711" s="2"/>
      <c r="P711" s="2"/>
      <c r="Q711" s="2"/>
      <c r="R711" s="2"/>
      <c r="S711" s="2"/>
      <c r="T711" s="2"/>
    </row>
    <row r="712" spans="1:20" ht="15.75" customHeight="1">
      <c r="A712" s="1"/>
      <c r="B712" s="2"/>
      <c r="C712" s="2"/>
      <c r="D712" s="2"/>
      <c r="E712" s="2"/>
      <c r="F712" s="2"/>
      <c r="G712" s="2"/>
      <c r="H712" s="2"/>
      <c r="I712" s="2"/>
      <c r="J712" s="2"/>
      <c r="K712" s="2"/>
      <c r="L712" s="2"/>
      <c r="M712" s="2"/>
      <c r="N712" s="2"/>
      <c r="O712" s="2"/>
      <c r="P712" s="2"/>
      <c r="Q712" s="2"/>
      <c r="R712" s="2"/>
      <c r="S712" s="2"/>
      <c r="T712" s="2"/>
    </row>
    <row r="713" spans="1:20" ht="15.75" customHeight="1">
      <c r="A713" s="1"/>
      <c r="B713" s="2"/>
      <c r="C713" s="2"/>
      <c r="D713" s="2"/>
      <c r="E713" s="2"/>
      <c r="F713" s="2"/>
      <c r="G713" s="2"/>
      <c r="H713" s="2"/>
      <c r="I713" s="2"/>
      <c r="J713" s="2"/>
      <c r="K713" s="2"/>
      <c r="L713" s="2"/>
      <c r="M713" s="2"/>
      <c r="N713" s="2"/>
      <c r="O713" s="2"/>
      <c r="P713" s="2"/>
      <c r="Q713" s="2"/>
      <c r="R713" s="2"/>
      <c r="S713" s="2"/>
      <c r="T713" s="2"/>
    </row>
    <row r="714" spans="1:20" ht="15.75" customHeight="1">
      <c r="A714" s="1"/>
      <c r="B714" s="2"/>
      <c r="C714" s="2"/>
      <c r="D714" s="2"/>
      <c r="E714" s="2"/>
      <c r="F714" s="2"/>
      <c r="G714" s="2"/>
      <c r="H714" s="2"/>
      <c r="I714" s="2"/>
      <c r="J714" s="2"/>
      <c r="K714" s="2"/>
      <c r="L714" s="2"/>
      <c r="M714" s="2"/>
      <c r="N714" s="2"/>
      <c r="O714" s="2"/>
      <c r="P714" s="2"/>
      <c r="Q714" s="2"/>
      <c r="R714" s="2"/>
      <c r="S714" s="2"/>
      <c r="T714" s="2"/>
    </row>
    <row r="715" spans="1:20" ht="15.75" customHeight="1">
      <c r="A715" s="1"/>
      <c r="B715" s="2"/>
      <c r="C715" s="2"/>
      <c r="D715" s="2"/>
      <c r="E715" s="2"/>
      <c r="F715" s="2"/>
      <c r="G715" s="2"/>
      <c r="H715" s="2"/>
      <c r="I715" s="2"/>
      <c r="J715" s="2"/>
      <c r="K715" s="2"/>
      <c r="L715" s="2"/>
      <c r="M715" s="2"/>
      <c r="N715" s="2"/>
      <c r="O715" s="2"/>
      <c r="P715" s="2"/>
      <c r="Q715" s="2"/>
      <c r="R715" s="2"/>
      <c r="S715" s="2"/>
      <c r="T715" s="2"/>
    </row>
    <row r="716" spans="1:20" ht="15.75" customHeight="1">
      <c r="A716" s="1"/>
      <c r="B716" s="2"/>
      <c r="C716" s="2"/>
      <c r="D716" s="2"/>
      <c r="E716" s="2"/>
      <c r="F716" s="2"/>
      <c r="G716" s="2"/>
      <c r="H716" s="2"/>
      <c r="I716" s="2"/>
      <c r="J716" s="2"/>
      <c r="K716" s="2"/>
      <c r="L716" s="2"/>
      <c r="M716" s="2"/>
      <c r="N716" s="2"/>
      <c r="O716" s="2"/>
      <c r="P716" s="2"/>
      <c r="Q716" s="2"/>
      <c r="R716" s="2"/>
      <c r="S716" s="2"/>
      <c r="T716" s="2"/>
    </row>
    <row r="717" spans="1:20" ht="15.75" customHeight="1">
      <c r="A717" s="1"/>
      <c r="B717" s="2"/>
      <c r="C717" s="2"/>
      <c r="D717" s="2"/>
      <c r="E717" s="2"/>
      <c r="F717" s="2"/>
      <c r="G717" s="2"/>
      <c r="H717" s="2"/>
      <c r="I717" s="2"/>
      <c r="J717" s="2"/>
      <c r="K717" s="2"/>
      <c r="L717" s="2"/>
      <c r="M717" s="2"/>
      <c r="N717" s="2"/>
      <c r="O717" s="2"/>
      <c r="P717" s="2"/>
      <c r="Q717" s="2"/>
      <c r="R717" s="2"/>
      <c r="S717" s="2"/>
      <c r="T717" s="2"/>
    </row>
    <row r="718" spans="1:20" ht="15.75" customHeight="1">
      <c r="A718" s="1"/>
      <c r="B718" s="2"/>
      <c r="C718" s="2"/>
      <c r="D718" s="2"/>
      <c r="E718" s="2"/>
      <c r="F718" s="2"/>
      <c r="G718" s="2"/>
      <c r="H718" s="2"/>
      <c r="I718" s="2"/>
      <c r="J718" s="2"/>
      <c r="K718" s="2"/>
      <c r="L718" s="2"/>
      <c r="M718" s="2"/>
      <c r="N718" s="2"/>
      <c r="O718" s="2"/>
      <c r="P718" s="2"/>
      <c r="Q718" s="2"/>
      <c r="R718" s="2"/>
      <c r="S718" s="2"/>
      <c r="T718" s="2"/>
    </row>
    <row r="719" spans="1:20" ht="15.75" customHeight="1">
      <c r="A719" s="1"/>
      <c r="B719" s="2"/>
      <c r="C719" s="2"/>
      <c r="D719" s="2"/>
      <c r="E719" s="2"/>
      <c r="F719" s="2"/>
      <c r="G719" s="2"/>
      <c r="H719" s="2"/>
      <c r="I719" s="2"/>
      <c r="J719" s="2"/>
      <c r="K719" s="2"/>
      <c r="L719" s="2"/>
      <c r="M719" s="2"/>
      <c r="N719" s="2"/>
      <c r="O719" s="2"/>
      <c r="P719" s="2"/>
      <c r="Q719" s="2"/>
      <c r="R719" s="2"/>
      <c r="S719" s="2"/>
      <c r="T719" s="2"/>
    </row>
    <row r="720" spans="1:20" ht="15.75" customHeight="1">
      <c r="A720" s="1"/>
      <c r="B720" s="2"/>
      <c r="C720" s="2"/>
      <c r="D720" s="2"/>
      <c r="E720" s="2"/>
      <c r="F720" s="2"/>
      <c r="G720" s="2"/>
      <c r="H720" s="2"/>
      <c r="I720" s="2"/>
      <c r="J720" s="2"/>
      <c r="K720" s="2"/>
      <c r="L720" s="2"/>
      <c r="M720" s="2"/>
      <c r="N720" s="2"/>
      <c r="O720" s="2"/>
      <c r="P720" s="2"/>
      <c r="Q720" s="2"/>
      <c r="R720" s="2"/>
      <c r="S720" s="2"/>
      <c r="T720" s="2"/>
    </row>
    <row r="721" spans="1:20" ht="15.75" customHeight="1">
      <c r="A721" s="1"/>
      <c r="B721" s="2"/>
      <c r="C721" s="2"/>
      <c r="D721" s="2"/>
      <c r="E721" s="2"/>
      <c r="F721" s="2"/>
      <c r="G721" s="2"/>
      <c r="H721" s="2"/>
      <c r="I721" s="2"/>
      <c r="J721" s="2"/>
      <c r="K721" s="2"/>
      <c r="L721" s="2"/>
      <c r="M721" s="2"/>
      <c r="N721" s="2"/>
      <c r="O721" s="2"/>
      <c r="P721" s="2"/>
      <c r="Q721" s="2"/>
      <c r="R721" s="2"/>
      <c r="S721" s="2"/>
      <c r="T721" s="2"/>
    </row>
    <row r="722" spans="1:20" ht="15.75" customHeight="1">
      <c r="A722" s="1"/>
      <c r="B722" s="2"/>
      <c r="C722" s="2"/>
      <c r="D722" s="2"/>
      <c r="E722" s="2"/>
      <c r="F722" s="2"/>
      <c r="G722" s="2"/>
      <c r="H722" s="2"/>
      <c r="I722" s="2"/>
      <c r="J722" s="2"/>
      <c r="K722" s="2"/>
      <c r="L722" s="2"/>
      <c r="M722" s="2"/>
      <c r="N722" s="2"/>
      <c r="O722" s="2"/>
      <c r="P722" s="2"/>
      <c r="Q722" s="2"/>
      <c r="R722" s="2"/>
      <c r="S722" s="2"/>
      <c r="T722" s="2"/>
    </row>
    <row r="723" spans="1:20" ht="15.75" customHeight="1">
      <c r="A723" s="1"/>
      <c r="B723" s="2"/>
      <c r="C723" s="2"/>
      <c r="D723" s="2"/>
      <c r="E723" s="2"/>
      <c r="F723" s="2"/>
      <c r="G723" s="2"/>
      <c r="H723" s="2"/>
      <c r="I723" s="2"/>
      <c r="J723" s="2"/>
      <c r="K723" s="2"/>
      <c r="L723" s="2"/>
      <c r="M723" s="2"/>
      <c r="N723" s="2"/>
      <c r="O723" s="2"/>
      <c r="P723" s="2"/>
      <c r="Q723" s="2"/>
      <c r="R723" s="2"/>
      <c r="S723" s="2"/>
      <c r="T723" s="2"/>
    </row>
    <row r="724" spans="1:20" ht="15.75" customHeight="1">
      <c r="A724" s="1"/>
      <c r="B724" s="2"/>
      <c r="C724" s="2"/>
      <c r="D724" s="2"/>
      <c r="E724" s="2"/>
      <c r="F724" s="2"/>
      <c r="G724" s="2"/>
      <c r="H724" s="2"/>
      <c r="I724" s="2"/>
      <c r="J724" s="2"/>
      <c r="K724" s="2"/>
      <c r="L724" s="2"/>
      <c r="M724" s="2"/>
      <c r="N724" s="2"/>
      <c r="O724" s="2"/>
      <c r="P724" s="2"/>
      <c r="Q724" s="2"/>
      <c r="R724" s="2"/>
      <c r="S724" s="2"/>
      <c r="T724" s="2"/>
    </row>
    <row r="725" spans="1:20" ht="15.75" customHeight="1">
      <c r="A725" s="1"/>
      <c r="B725" s="2"/>
      <c r="C725" s="2"/>
      <c r="D725" s="2"/>
      <c r="E725" s="2"/>
      <c r="F725" s="2"/>
      <c r="G725" s="2"/>
      <c r="H725" s="2"/>
      <c r="I725" s="2"/>
      <c r="J725" s="2"/>
      <c r="K725" s="2"/>
      <c r="L725" s="2"/>
      <c r="M725" s="2"/>
      <c r="N725" s="2"/>
      <c r="O725" s="2"/>
      <c r="P725" s="2"/>
      <c r="Q725" s="2"/>
      <c r="R725" s="2"/>
      <c r="S725" s="2"/>
      <c r="T725" s="2"/>
    </row>
    <row r="726" spans="1:20" ht="15.75" customHeight="1">
      <c r="A726" s="1"/>
      <c r="B726" s="2"/>
      <c r="C726" s="2"/>
      <c r="D726" s="2"/>
      <c r="E726" s="2"/>
      <c r="F726" s="2"/>
      <c r="G726" s="2"/>
      <c r="H726" s="2"/>
      <c r="I726" s="2"/>
      <c r="J726" s="2"/>
      <c r="K726" s="2"/>
      <c r="L726" s="2"/>
      <c r="M726" s="2"/>
      <c r="N726" s="2"/>
      <c r="O726" s="2"/>
      <c r="P726" s="2"/>
      <c r="Q726" s="2"/>
      <c r="R726" s="2"/>
      <c r="S726" s="2"/>
      <c r="T726" s="2"/>
    </row>
    <row r="727" spans="1:20" ht="15.75" customHeight="1">
      <c r="A727" s="1"/>
      <c r="B727" s="2"/>
      <c r="C727" s="2"/>
      <c r="D727" s="2"/>
      <c r="E727" s="2"/>
      <c r="F727" s="2"/>
      <c r="G727" s="2"/>
      <c r="H727" s="2"/>
      <c r="I727" s="2"/>
      <c r="J727" s="2"/>
      <c r="K727" s="2"/>
      <c r="L727" s="2"/>
      <c r="M727" s="2"/>
      <c r="N727" s="2"/>
      <c r="O727" s="2"/>
      <c r="P727" s="2"/>
      <c r="Q727" s="2"/>
      <c r="R727" s="2"/>
      <c r="S727" s="2"/>
      <c r="T727" s="2"/>
    </row>
    <row r="728" spans="1:20" ht="15.75" customHeight="1">
      <c r="A728" s="1"/>
      <c r="B728" s="2"/>
      <c r="C728" s="2"/>
      <c r="D728" s="2"/>
      <c r="E728" s="2"/>
      <c r="F728" s="2"/>
      <c r="G728" s="2"/>
      <c r="H728" s="2"/>
      <c r="I728" s="2"/>
      <c r="J728" s="2"/>
      <c r="K728" s="2"/>
      <c r="L728" s="2"/>
      <c r="M728" s="2"/>
      <c r="N728" s="2"/>
      <c r="O728" s="2"/>
      <c r="P728" s="2"/>
      <c r="Q728" s="2"/>
      <c r="R728" s="2"/>
      <c r="S728" s="2"/>
      <c r="T728" s="2"/>
    </row>
    <row r="729" spans="1:20" ht="15.75" customHeight="1">
      <c r="A729" s="1"/>
      <c r="B729" s="2"/>
      <c r="C729" s="2"/>
      <c r="D729" s="2"/>
      <c r="E729" s="2"/>
      <c r="F729" s="2"/>
      <c r="G729" s="2"/>
      <c r="H729" s="2"/>
      <c r="I729" s="2"/>
      <c r="J729" s="2"/>
      <c r="K729" s="2"/>
      <c r="L729" s="2"/>
      <c r="M729" s="2"/>
      <c r="N729" s="2"/>
      <c r="O729" s="2"/>
      <c r="P729" s="2"/>
      <c r="Q729" s="2"/>
      <c r="R729" s="2"/>
      <c r="S729" s="2"/>
      <c r="T729" s="2"/>
    </row>
    <row r="730" spans="1:20" ht="15.75" customHeight="1">
      <c r="A730" s="1"/>
      <c r="B730" s="2"/>
      <c r="C730" s="2"/>
      <c r="D730" s="2"/>
      <c r="E730" s="2"/>
      <c r="F730" s="2"/>
      <c r="G730" s="2"/>
      <c r="H730" s="2"/>
      <c r="I730" s="2"/>
      <c r="J730" s="2"/>
      <c r="K730" s="2"/>
      <c r="L730" s="2"/>
      <c r="M730" s="2"/>
      <c r="N730" s="2"/>
      <c r="O730" s="2"/>
      <c r="P730" s="2"/>
      <c r="Q730" s="2"/>
      <c r="R730" s="2"/>
      <c r="S730" s="2"/>
      <c r="T730" s="2"/>
    </row>
    <row r="731" spans="1:20" ht="15.75" customHeight="1">
      <c r="A731" s="1"/>
      <c r="B731" s="2"/>
      <c r="C731" s="2"/>
      <c r="D731" s="2"/>
      <c r="E731" s="2"/>
      <c r="F731" s="2"/>
      <c r="G731" s="2"/>
      <c r="H731" s="2"/>
      <c r="I731" s="2"/>
      <c r="J731" s="2"/>
      <c r="K731" s="2"/>
      <c r="L731" s="2"/>
      <c r="M731" s="2"/>
      <c r="N731" s="2"/>
      <c r="O731" s="2"/>
      <c r="P731" s="2"/>
      <c r="Q731" s="2"/>
      <c r="R731" s="2"/>
      <c r="S731" s="2"/>
      <c r="T731" s="2"/>
    </row>
    <row r="732" spans="1:20" ht="15.75" customHeight="1">
      <c r="A732" s="1"/>
      <c r="B732" s="2"/>
      <c r="C732" s="2"/>
      <c r="D732" s="2"/>
      <c r="E732" s="2"/>
      <c r="F732" s="2"/>
      <c r="G732" s="2"/>
      <c r="H732" s="2"/>
      <c r="I732" s="2"/>
      <c r="J732" s="2"/>
      <c r="K732" s="2"/>
      <c r="L732" s="2"/>
      <c r="M732" s="2"/>
      <c r="N732" s="2"/>
      <c r="O732" s="2"/>
      <c r="P732" s="2"/>
      <c r="Q732" s="2"/>
      <c r="R732" s="2"/>
      <c r="S732" s="2"/>
      <c r="T732" s="2"/>
    </row>
    <row r="733" spans="1:20" ht="15.75" customHeight="1">
      <c r="A733" s="1"/>
      <c r="B733" s="2"/>
      <c r="C733" s="2"/>
      <c r="D733" s="2"/>
      <c r="E733" s="2"/>
      <c r="F733" s="2"/>
      <c r="G733" s="2"/>
      <c r="H733" s="2"/>
      <c r="I733" s="2"/>
      <c r="J733" s="2"/>
      <c r="K733" s="2"/>
      <c r="L733" s="2"/>
      <c r="M733" s="2"/>
      <c r="N733" s="2"/>
      <c r="O733" s="2"/>
      <c r="P733" s="2"/>
      <c r="Q733" s="2"/>
      <c r="R733" s="2"/>
      <c r="S733" s="2"/>
      <c r="T733" s="2"/>
    </row>
    <row r="734" spans="1:20" ht="15.75" customHeight="1">
      <c r="A734" s="1"/>
      <c r="B734" s="2"/>
      <c r="C734" s="2"/>
      <c r="D734" s="2"/>
      <c r="E734" s="2"/>
      <c r="F734" s="2"/>
      <c r="G734" s="2"/>
      <c r="H734" s="2"/>
      <c r="I734" s="2"/>
      <c r="J734" s="2"/>
      <c r="K734" s="2"/>
      <c r="L734" s="2"/>
      <c r="M734" s="2"/>
      <c r="N734" s="2"/>
      <c r="O734" s="2"/>
      <c r="P734" s="2"/>
      <c r="Q734" s="2"/>
      <c r="R734" s="2"/>
      <c r="S734" s="2"/>
      <c r="T734" s="2"/>
    </row>
    <row r="735" spans="1:20" ht="15.75" customHeight="1">
      <c r="A735" s="1"/>
      <c r="B735" s="2"/>
      <c r="C735" s="2"/>
      <c r="D735" s="2"/>
      <c r="E735" s="2"/>
      <c r="F735" s="2"/>
      <c r="G735" s="2"/>
      <c r="H735" s="2"/>
      <c r="I735" s="2"/>
      <c r="J735" s="2"/>
      <c r="K735" s="2"/>
      <c r="L735" s="2"/>
      <c r="M735" s="2"/>
      <c r="N735" s="2"/>
      <c r="O735" s="2"/>
      <c r="P735" s="2"/>
      <c r="Q735" s="2"/>
      <c r="R735" s="2"/>
      <c r="S735" s="2"/>
      <c r="T735" s="2"/>
    </row>
    <row r="736" spans="1:20" ht="15.75" customHeight="1">
      <c r="A736" s="1"/>
      <c r="B736" s="2"/>
      <c r="C736" s="2"/>
      <c r="D736" s="2"/>
      <c r="E736" s="2"/>
      <c r="F736" s="2"/>
      <c r="G736" s="2"/>
      <c r="H736" s="2"/>
      <c r="I736" s="2"/>
      <c r="J736" s="2"/>
      <c r="K736" s="2"/>
      <c r="L736" s="2"/>
      <c r="M736" s="2"/>
      <c r="N736" s="2"/>
      <c r="O736" s="2"/>
      <c r="P736" s="2"/>
      <c r="Q736" s="2"/>
      <c r="R736" s="2"/>
      <c r="S736" s="2"/>
      <c r="T736" s="2"/>
    </row>
    <row r="737" spans="1:20" ht="15.75" customHeight="1">
      <c r="A737" s="1"/>
      <c r="B737" s="2"/>
      <c r="C737" s="2"/>
      <c r="D737" s="2"/>
      <c r="E737" s="2"/>
      <c r="F737" s="2"/>
      <c r="G737" s="2"/>
      <c r="H737" s="2"/>
      <c r="I737" s="2"/>
      <c r="J737" s="2"/>
      <c r="K737" s="2"/>
      <c r="L737" s="2"/>
      <c r="M737" s="2"/>
      <c r="N737" s="2"/>
      <c r="O737" s="2"/>
      <c r="P737" s="2"/>
      <c r="Q737" s="2"/>
      <c r="R737" s="2"/>
      <c r="S737" s="2"/>
      <c r="T737" s="2"/>
    </row>
    <row r="738" spans="1:20" ht="15.75" customHeight="1">
      <c r="A738" s="1"/>
      <c r="B738" s="2"/>
      <c r="C738" s="2"/>
      <c r="D738" s="2"/>
      <c r="E738" s="2"/>
      <c r="F738" s="2"/>
      <c r="G738" s="2"/>
      <c r="H738" s="2"/>
      <c r="I738" s="2"/>
      <c r="J738" s="2"/>
      <c r="K738" s="2"/>
      <c r="L738" s="2"/>
      <c r="M738" s="2"/>
      <c r="N738" s="2"/>
      <c r="O738" s="2"/>
      <c r="P738" s="2"/>
      <c r="Q738" s="2"/>
      <c r="R738" s="2"/>
      <c r="S738" s="2"/>
      <c r="T738" s="2"/>
    </row>
    <row r="739" spans="1:20" ht="15.75" customHeight="1">
      <c r="A739" s="1"/>
      <c r="B739" s="2"/>
      <c r="C739" s="2"/>
      <c r="D739" s="2"/>
      <c r="E739" s="2"/>
      <c r="F739" s="2"/>
      <c r="G739" s="2"/>
      <c r="H739" s="2"/>
      <c r="I739" s="2"/>
      <c r="J739" s="2"/>
      <c r="K739" s="2"/>
      <c r="L739" s="2"/>
      <c r="M739" s="2"/>
      <c r="N739" s="2"/>
      <c r="O739" s="2"/>
      <c r="P739" s="2"/>
      <c r="Q739" s="2"/>
      <c r="R739" s="2"/>
      <c r="S739" s="2"/>
      <c r="T739" s="2"/>
    </row>
    <row r="740" spans="1:20" ht="15.75" customHeight="1">
      <c r="A740" s="1"/>
      <c r="B740" s="2"/>
      <c r="C740" s="2"/>
      <c r="D740" s="2"/>
      <c r="E740" s="2"/>
      <c r="F740" s="2"/>
      <c r="G740" s="2"/>
      <c r="H740" s="2"/>
      <c r="I740" s="2"/>
      <c r="J740" s="2"/>
      <c r="K740" s="2"/>
      <c r="L740" s="2"/>
      <c r="M740" s="2"/>
      <c r="N740" s="2"/>
      <c r="O740" s="2"/>
      <c r="P740" s="2"/>
      <c r="Q740" s="2"/>
      <c r="R740" s="2"/>
      <c r="S740" s="2"/>
      <c r="T740" s="2"/>
    </row>
    <row r="741" spans="1:20" ht="15.75" customHeight="1">
      <c r="A741" s="1"/>
      <c r="B741" s="2"/>
      <c r="C741" s="2"/>
      <c r="D741" s="2"/>
      <c r="E741" s="2"/>
      <c r="F741" s="2"/>
      <c r="G741" s="2"/>
      <c r="H741" s="2"/>
      <c r="I741" s="2"/>
      <c r="J741" s="2"/>
      <c r="K741" s="2"/>
      <c r="L741" s="2"/>
      <c r="M741" s="2"/>
      <c r="N741" s="2"/>
      <c r="O741" s="2"/>
      <c r="P741" s="2"/>
      <c r="Q741" s="2"/>
      <c r="R741" s="2"/>
      <c r="S741" s="2"/>
      <c r="T741" s="2"/>
    </row>
    <row r="742" spans="1:20" ht="15.75" customHeight="1">
      <c r="A742" s="1"/>
      <c r="B742" s="2"/>
      <c r="C742" s="2"/>
      <c r="D742" s="2"/>
      <c r="E742" s="2"/>
      <c r="F742" s="2"/>
      <c r="G742" s="2"/>
      <c r="H742" s="2"/>
      <c r="I742" s="2"/>
      <c r="J742" s="2"/>
      <c r="K742" s="2"/>
      <c r="L742" s="2"/>
      <c r="M742" s="2"/>
      <c r="N742" s="2"/>
      <c r="O742" s="2"/>
      <c r="P742" s="2"/>
      <c r="Q742" s="2"/>
      <c r="R742" s="2"/>
      <c r="S742" s="2"/>
      <c r="T742" s="2"/>
    </row>
    <row r="743" spans="1:20" ht="15.75" customHeight="1">
      <c r="A743" s="1"/>
      <c r="B743" s="2"/>
      <c r="C743" s="2"/>
      <c r="D743" s="2"/>
      <c r="E743" s="2"/>
      <c r="F743" s="2"/>
      <c r="G743" s="2"/>
      <c r="H743" s="2"/>
      <c r="I743" s="2"/>
      <c r="J743" s="2"/>
      <c r="K743" s="2"/>
      <c r="L743" s="2"/>
      <c r="M743" s="2"/>
      <c r="N743" s="2"/>
      <c r="O743" s="2"/>
      <c r="P743" s="2"/>
      <c r="Q743" s="2"/>
      <c r="R743" s="2"/>
      <c r="S743" s="2"/>
      <c r="T743" s="2"/>
    </row>
    <row r="744" spans="1:20" ht="15.75" customHeight="1">
      <c r="A744" s="1"/>
      <c r="B744" s="2"/>
      <c r="C744" s="2"/>
      <c r="D744" s="2"/>
      <c r="E744" s="2"/>
      <c r="F744" s="2"/>
      <c r="G744" s="2"/>
      <c r="H744" s="2"/>
      <c r="I744" s="2"/>
      <c r="J744" s="2"/>
      <c r="K744" s="2"/>
      <c r="L744" s="2"/>
      <c r="M744" s="2"/>
      <c r="N744" s="2"/>
      <c r="O744" s="2"/>
      <c r="P744" s="2"/>
      <c r="Q744" s="2"/>
      <c r="R744" s="2"/>
      <c r="S744" s="2"/>
      <c r="T744" s="2"/>
    </row>
    <row r="745" spans="1:20" ht="15.75" customHeight="1">
      <c r="A745" s="1"/>
      <c r="B745" s="2"/>
      <c r="C745" s="2"/>
      <c r="D745" s="2"/>
      <c r="E745" s="2"/>
      <c r="F745" s="2"/>
      <c r="G745" s="2"/>
      <c r="H745" s="2"/>
      <c r="I745" s="2"/>
      <c r="J745" s="2"/>
      <c r="K745" s="2"/>
      <c r="L745" s="2"/>
      <c r="M745" s="2"/>
      <c r="N745" s="2"/>
      <c r="O745" s="2"/>
      <c r="P745" s="2"/>
      <c r="Q745" s="2"/>
      <c r="R745" s="2"/>
      <c r="S745" s="2"/>
      <c r="T745" s="2"/>
    </row>
    <row r="746" spans="1:20" ht="15.75" customHeight="1">
      <c r="A746" s="1"/>
      <c r="B746" s="2"/>
      <c r="C746" s="2"/>
      <c r="D746" s="2"/>
      <c r="E746" s="2"/>
      <c r="F746" s="2"/>
      <c r="G746" s="2"/>
      <c r="H746" s="2"/>
      <c r="I746" s="2"/>
      <c r="J746" s="2"/>
      <c r="K746" s="2"/>
      <c r="L746" s="2"/>
      <c r="M746" s="2"/>
      <c r="N746" s="2"/>
      <c r="O746" s="2"/>
      <c r="P746" s="2"/>
      <c r="Q746" s="2"/>
      <c r="R746" s="2"/>
      <c r="S746" s="2"/>
      <c r="T746" s="2"/>
    </row>
    <row r="747" spans="1:20" ht="15.75" customHeight="1">
      <c r="A747" s="1"/>
      <c r="B747" s="2"/>
      <c r="C747" s="2"/>
      <c r="D747" s="2"/>
      <c r="E747" s="2"/>
      <c r="F747" s="2"/>
      <c r="G747" s="2"/>
      <c r="H747" s="2"/>
      <c r="I747" s="2"/>
      <c r="J747" s="2"/>
      <c r="K747" s="2"/>
      <c r="L747" s="2"/>
      <c r="M747" s="2"/>
      <c r="N747" s="2"/>
      <c r="O747" s="2"/>
      <c r="P747" s="2"/>
      <c r="Q747" s="2"/>
      <c r="R747" s="2"/>
      <c r="S747" s="2"/>
      <c r="T747" s="2"/>
    </row>
    <row r="748" spans="1:20" ht="15.75" customHeight="1">
      <c r="A748" s="1"/>
      <c r="B748" s="2"/>
      <c r="C748" s="2"/>
      <c r="D748" s="2"/>
      <c r="E748" s="2"/>
      <c r="F748" s="2"/>
      <c r="G748" s="2"/>
      <c r="H748" s="2"/>
      <c r="I748" s="2"/>
      <c r="J748" s="2"/>
      <c r="K748" s="2"/>
      <c r="L748" s="2"/>
      <c r="M748" s="2"/>
      <c r="N748" s="2"/>
      <c r="O748" s="2"/>
      <c r="P748" s="2"/>
      <c r="Q748" s="2"/>
      <c r="R748" s="2"/>
      <c r="S748" s="2"/>
      <c r="T748" s="2"/>
    </row>
    <row r="749" spans="1:20" ht="15.75" customHeight="1">
      <c r="A749" s="1"/>
      <c r="B749" s="2"/>
      <c r="C749" s="2"/>
      <c r="D749" s="2"/>
      <c r="E749" s="2"/>
      <c r="F749" s="2"/>
      <c r="G749" s="2"/>
      <c r="H749" s="2"/>
      <c r="I749" s="2"/>
      <c r="J749" s="2"/>
      <c r="K749" s="2"/>
      <c r="L749" s="2"/>
      <c r="M749" s="2"/>
      <c r="N749" s="2"/>
      <c r="O749" s="2"/>
      <c r="P749" s="2"/>
      <c r="Q749" s="2"/>
      <c r="R749" s="2"/>
      <c r="S749" s="2"/>
      <c r="T749" s="2"/>
    </row>
    <row r="750" spans="1:20" ht="15.75" customHeight="1">
      <c r="A750" s="1"/>
      <c r="B750" s="2"/>
      <c r="C750" s="2"/>
      <c r="D750" s="2"/>
      <c r="E750" s="2"/>
      <c r="F750" s="2"/>
      <c r="G750" s="2"/>
      <c r="H750" s="2"/>
      <c r="I750" s="2"/>
      <c r="J750" s="2"/>
      <c r="K750" s="2"/>
      <c r="L750" s="2"/>
      <c r="M750" s="2"/>
      <c r="N750" s="2"/>
      <c r="O750" s="2"/>
      <c r="P750" s="2"/>
      <c r="Q750" s="2"/>
      <c r="R750" s="2"/>
      <c r="S750" s="2"/>
      <c r="T750" s="2"/>
    </row>
    <row r="751" spans="1:20" ht="15.75" customHeight="1">
      <c r="A751" s="1"/>
      <c r="B751" s="2"/>
      <c r="C751" s="2"/>
      <c r="D751" s="2"/>
      <c r="E751" s="2"/>
      <c r="F751" s="2"/>
      <c r="G751" s="2"/>
      <c r="H751" s="2"/>
      <c r="I751" s="2"/>
      <c r="J751" s="2"/>
      <c r="K751" s="2"/>
      <c r="L751" s="2"/>
      <c r="M751" s="2"/>
      <c r="N751" s="2"/>
      <c r="O751" s="2"/>
      <c r="P751" s="2"/>
      <c r="Q751" s="2"/>
      <c r="R751" s="2"/>
      <c r="S751" s="2"/>
      <c r="T751" s="2"/>
    </row>
    <row r="752" spans="1:20" ht="15.75" customHeight="1">
      <c r="A752" s="1"/>
      <c r="B752" s="2"/>
      <c r="C752" s="2"/>
      <c r="D752" s="2"/>
      <c r="E752" s="2"/>
      <c r="F752" s="2"/>
      <c r="G752" s="2"/>
      <c r="H752" s="2"/>
      <c r="I752" s="2"/>
      <c r="J752" s="2"/>
      <c r="K752" s="2"/>
      <c r="L752" s="2"/>
      <c r="M752" s="2"/>
      <c r="N752" s="2"/>
      <c r="O752" s="2"/>
      <c r="P752" s="2"/>
      <c r="Q752" s="2"/>
      <c r="R752" s="2"/>
      <c r="S752" s="2"/>
      <c r="T752" s="2"/>
    </row>
    <row r="753" spans="1:20" ht="15.75" customHeight="1">
      <c r="A753" s="1"/>
      <c r="B753" s="2"/>
      <c r="C753" s="2"/>
      <c r="D753" s="2"/>
      <c r="E753" s="2"/>
      <c r="F753" s="2"/>
      <c r="G753" s="2"/>
      <c r="H753" s="2"/>
      <c r="I753" s="2"/>
      <c r="J753" s="2"/>
      <c r="K753" s="2"/>
      <c r="L753" s="2"/>
      <c r="M753" s="2"/>
      <c r="N753" s="2"/>
      <c r="O753" s="2"/>
      <c r="P753" s="2"/>
      <c r="Q753" s="2"/>
      <c r="R753" s="2"/>
      <c r="S753" s="2"/>
      <c r="T753" s="2"/>
    </row>
    <row r="754" spans="1:20" ht="15.75" customHeight="1">
      <c r="A754" s="1"/>
      <c r="B754" s="2"/>
      <c r="C754" s="2"/>
      <c r="D754" s="2"/>
      <c r="E754" s="2"/>
      <c r="F754" s="2"/>
      <c r="G754" s="2"/>
      <c r="H754" s="2"/>
      <c r="I754" s="2"/>
      <c r="J754" s="2"/>
      <c r="K754" s="2"/>
      <c r="L754" s="2"/>
      <c r="M754" s="2"/>
      <c r="N754" s="2"/>
      <c r="O754" s="2"/>
      <c r="P754" s="2"/>
      <c r="Q754" s="2"/>
      <c r="R754" s="2"/>
      <c r="S754" s="2"/>
      <c r="T754" s="2"/>
    </row>
    <row r="755" spans="1:20" ht="15.75" customHeight="1">
      <c r="A755" s="1"/>
      <c r="B755" s="2"/>
      <c r="C755" s="2"/>
      <c r="D755" s="2"/>
      <c r="E755" s="2"/>
      <c r="F755" s="2"/>
      <c r="G755" s="2"/>
      <c r="H755" s="2"/>
      <c r="I755" s="2"/>
      <c r="J755" s="2"/>
      <c r="K755" s="2"/>
      <c r="L755" s="2"/>
      <c r="M755" s="2"/>
      <c r="N755" s="2"/>
      <c r="O755" s="2"/>
      <c r="P755" s="2"/>
      <c r="Q755" s="2"/>
      <c r="R755" s="2"/>
      <c r="S755" s="2"/>
      <c r="T755" s="2"/>
    </row>
    <row r="756" spans="1:20" ht="15.75" customHeight="1">
      <c r="A756" s="1"/>
      <c r="B756" s="2"/>
      <c r="C756" s="2"/>
      <c r="D756" s="2"/>
      <c r="E756" s="2"/>
      <c r="F756" s="2"/>
      <c r="G756" s="2"/>
      <c r="H756" s="2"/>
      <c r="I756" s="2"/>
      <c r="J756" s="2"/>
      <c r="K756" s="2"/>
      <c r="L756" s="2"/>
      <c r="M756" s="2"/>
      <c r="N756" s="2"/>
      <c r="O756" s="2"/>
      <c r="P756" s="2"/>
      <c r="Q756" s="2"/>
      <c r="R756" s="2"/>
      <c r="S756" s="2"/>
      <c r="T756" s="2"/>
    </row>
    <row r="757" spans="1:20" ht="15.75" customHeight="1">
      <c r="A757" s="1"/>
      <c r="B757" s="2"/>
      <c r="C757" s="2"/>
      <c r="D757" s="2"/>
      <c r="E757" s="2"/>
      <c r="F757" s="2"/>
      <c r="G757" s="2"/>
      <c r="H757" s="2"/>
      <c r="I757" s="2"/>
      <c r="J757" s="2"/>
      <c r="K757" s="2"/>
      <c r="L757" s="2"/>
      <c r="M757" s="2"/>
      <c r="N757" s="2"/>
      <c r="O757" s="2"/>
      <c r="P757" s="2"/>
      <c r="Q757" s="2"/>
      <c r="R757" s="2"/>
      <c r="S757" s="2"/>
      <c r="T757" s="2"/>
    </row>
    <row r="758" spans="1:20" ht="15.75" customHeight="1">
      <c r="A758" s="1"/>
      <c r="B758" s="2"/>
      <c r="C758" s="2"/>
      <c r="D758" s="2"/>
      <c r="E758" s="2"/>
      <c r="F758" s="2"/>
      <c r="G758" s="2"/>
      <c r="H758" s="2"/>
      <c r="I758" s="2"/>
      <c r="J758" s="2"/>
      <c r="K758" s="2"/>
      <c r="L758" s="2"/>
      <c r="M758" s="2"/>
      <c r="N758" s="2"/>
      <c r="O758" s="2"/>
      <c r="P758" s="2"/>
      <c r="Q758" s="2"/>
      <c r="R758" s="2"/>
      <c r="S758" s="2"/>
      <c r="T758" s="2"/>
    </row>
    <row r="759" spans="1:20" ht="15.75" customHeight="1">
      <c r="A759" s="1"/>
      <c r="B759" s="2"/>
      <c r="C759" s="2"/>
      <c r="D759" s="2"/>
      <c r="E759" s="2"/>
      <c r="F759" s="2"/>
      <c r="G759" s="2"/>
      <c r="H759" s="2"/>
      <c r="I759" s="2"/>
      <c r="J759" s="2"/>
      <c r="K759" s="2"/>
      <c r="L759" s="2"/>
      <c r="M759" s="2"/>
      <c r="N759" s="2"/>
      <c r="O759" s="2"/>
      <c r="P759" s="2"/>
      <c r="Q759" s="2"/>
      <c r="R759" s="2"/>
      <c r="S759" s="2"/>
      <c r="T759" s="2"/>
    </row>
    <row r="760" spans="1:20" ht="15.75" customHeight="1">
      <c r="A760" s="1"/>
      <c r="B760" s="2"/>
      <c r="C760" s="2"/>
      <c r="D760" s="2"/>
      <c r="E760" s="2"/>
      <c r="F760" s="2"/>
      <c r="G760" s="2"/>
      <c r="H760" s="2"/>
      <c r="I760" s="2"/>
      <c r="J760" s="2"/>
      <c r="K760" s="2"/>
      <c r="L760" s="2"/>
      <c r="M760" s="2"/>
      <c r="N760" s="2"/>
      <c r="O760" s="2"/>
      <c r="P760" s="2"/>
      <c r="Q760" s="2"/>
      <c r="R760" s="2"/>
      <c r="S760" s="2"/>
      <c r="T760" s="2"/>
    </row>
    <row r="761" spans="1:20" ht="15.75" customHeight="1">
      <c r="A761" s="1"/>
      <c r="B761" s="2"/>
      <c r="C761" s="2"/>
      <c r="D761" s="2"/>
      <c r="E761" s="2"/>
      <c r="F761" s="2"/>
      <c r="G761" s="2"/>
      <c r="H761" s="2"/>
      <c r="I761" s="2"/>
      <c r="J761" s="2"/>
      <c r="K761" s="2"/>
      <c r="L761" s="2"/>
      <c r="M761" s="2"/>
      <c r="N761" s="2"/>
      <c r="O761" s="2"/>
      <c r="P761" s="2"/>
      <c r="Q761" s="2"/>
      <c r="R761" s="2"/>
      <c r="S761" s="2"/>
      <c r="T761" s="2"/>
    </row>
    <row r="762" spans="1:20" ht="15.75" customHeight="1">
      <c r="A762" s="1"/>
      <c r="B762" s="2"/>
      <c r="C762" s="2"/>
      <c r="D762" s="2"/>
      <c r="E762" s="2"/>
      <c r="F762" s="2"/>
      <c r="G762" s="2"/>
      <c r="H762" s="2"/>
      <c r="I762" s="2"/>
      <c r="J762" s="2"/>
      <c r="K762" s="2"/>
      <c r="L762" s="2"/>
      <c r="M762" s="2"/>
      <c r="N762" s="2"/>
      <c r="O762" s="2"/>
      <c r="P762" s="2"/>
      <c r="Q762" s="2"/>
      <c r="R762" s="2"/>
      <c r="S762" s="2"/>
      <c r="T762" s="2"/>
    </row>
    <row r="763" spans="1:20" ht="15.75" customHeight="1">
      <c r="A763" s="1"/>
      <c r="B763" s="2"/>
      <c r="C763" s="2"/>
      <c r="D763" s="2"/>
      <c r="E763" s="2"/>
      <c r="F763" s="2"/>
      <c r="G763" s="2"/>
      <c r="H763" s="2"/>
      <c r="I763" s="2"/>
      <c r="J763" s="2"/>
      <c r="K763" s="2"/>
      <c r="L763" s="2"/>
      <c r="M763" s="2"/>
      <c r="N763" s="2"/>
      <c r="O763" s="2"/>
      <c r="P763" s="2"/>
      <c r="Q763" s="2"/>
      <c r="R763" s="2"/>
      <c r="S763" s="2"/>
      <c r="T763" s="2"/>
    </row>
    <row r="764" spans="1:20" ht="15.75" customHeight="1">
      <c r="A764" s="1"/>
      <c r="B764" s="2"/>
      <c r="C764" s="2"/>
      <c r="D764" s="2"/>
      <c r="E764" s="2"/>
      <c r="F764" s="2"/>
      <c r="G764" s="2"/>
      <c r="H764" s="2"/>
      <c r="I764" s="2"/>
      <c r="J764" s="2"/>
      <c r="K764" s="2"/>
      <c r="L764" s="2"/>
      <c r="M764" s="2"/>
      <c r="N764" s="2"/>
      <c r="O764" s="2"/>
      <c r="P764" s="2"/>
      <c r="Q764" s="2"/>
      <c r="R764" s="2"/>
      <c r="S764" s="2"/>
      <c r="T764" s="2"/>
    </row>
    <row r="765" spans="1:20" ht="15.75" customHeight="1">
      <c r="A765" s="1"/>
      <c r="B765" s="2"/>
      <c r="C765" s="2"/>
      <c r="D765" s="2"/>
      <c r="E765" s="2"/>
      <c r="F765" s="2"/>
      <c r="G765" s="2"/>
      <c r="H765" s="2"/>
      <c r="I765" s="2"/>
      <c r="J765" s="2"/>
      <c r="K765" s="2"/>
      <c r="L765" s="2"/>
      <c r="M765" s="2"/>
      <c r="N765" s="2"/>
      <c r="O765" s="2"/>
      <c r="P765" s="2"/>
      <c r="Q765" s="2"/>
      <c r="R765" s="2"/>
      <c r="S765" s="2"/>
      <c r="T765" s="2"/>
    </row>
    <row r="766" spans="1:20" ht="15.75" customHeight="1">
      <c r="A766" s="1"/>
      <c r="B766" s="2"/>
      <c r="C766" s="2"/>
      <c r="D766" s="2"/>
      <c r="E766" s="2"/>
      <c r="F766" s="2"/>
      <c r="G766" s="2"/>
      <c r="H766" s="2"/>
      <c r="I766" s="2"/>
      <c r="J766" s="2"/>
      <c r="K766" s="2"/>
      <c r="L766" s="2"/>
      <c r="M766" s="2"/>
      <c r="N766" s="2"/>
      <c r="O766" s="2"/>
      <c r="P766" s="2"/>
      <c r="Q766" s="2"/>
      <c r="R766" s="2"/>
      <c r="S766" s="2"/>
      <c r="T766" s="2"/>
    </row>
    <row r="767" spans="1:20" ht="15.75" customHeight="1">
      <c r="A767" s="1"/>
      <c r="B767" s="2"/>
      <c r="C767" s="2"/>
      <c r="D767" s="2"/>
      <c r="E767" s="2"/>
      <c r="F767" s="2"/>
      <c r="G767" s="2"/>
      <c r="H767" s="2"/>
      <c r="I767" s="2"/>
      <c r="J767" s="2"/>
      <c r="K767" s="2"/>
      <c r="L767" s="2"/>
      <c r="M767" s="2"/>
      <c r="N767" s="2"/>
      <c r="O767" s="2"/>
      <c r="P767" s="2"/>
      <c r="Q767" s="2"/>
      <c r="R767" s="2"/>
      <c r="S767" s="2"/>
      <c r="T767" s="2"/>
    </row>
    <row r="768" spans="1:20" ht="15.75" customHeight="1">
      <c r="A768" s="1"/>
      <c r="B768" s="2"/>
      <c r="C768" s="2"/>
      <c r="D768" s="2"/>
      <c r="E768" s="2"/>
      <c r="F768" s="2"/>
      <c r="G768" s="2"/>
      <c r="H768" s="2"/>
      <c r="I768" s="2"/>
      <c r="J768" s="2"/>
      <c r="K768" s="2"/>
      <c r="L768" s="2"/>
      <c r="M768" s="2"/>
      <c r="N768" s="2"/>
      <c r="O768" s="2"/>
      <c r="P768" s="2"/>
      <c r="Q768" s="2"/>
      <c r="R768" s="2"/>
      <c r="S768" s="2"/>
      <c r="T768" s="2"/>
    </row>
    <row r="769" spans="1:20" ht="15.75" customHeight="1">
      <c r="A769" s="1"/>
      <c r="B769" s="2"/>
      <c r="C769" s="2"/>
      <c r="D769" s="2"/>
      <c r="E769" s="2"/>
      <c r="F769" s="2"/>
      <c r="G769" s="2"/>
      <c r="H769" s="2"/>
      <c r="I769" s="2"/>
      <c r="J769" s="2"/>
      <c r="K769" s="2"/>
      <c r="L769" s="2"/>
      <c r="M769" s="2"/>
      <c r="N769" s="2"/>
      <c r="O769" s="2"/>
      <c r="P769" s="2"/>
      <c r="Q769" s="2"/>
      <c r="R769" s="2"/>
      <c r="S769" s="2"/>
      <c r="T769" s="2"/>
    </row>
    <row r="770" spans="1:20" ht="15.75" customHeight="1">
      <c r="A770" s="1"/>
      <c r="B770" s="2"/>
      <c r="C770" s="2"/>
      <c r="D770" s="2"/>
      <c r="E770" s="2"/>
      <c r="F770" s="2"/>
      <c r="G770" s="2"/>
      <c r="H770" s="2"/>
      <c r="I770" s="2"/>
      <c r="J770" s="2"/>
      <c r="K770" s="2"/>
      <c r="L770" s="2"/>
      <c r="M770" s="2"/>
      <c r="N770" s="2"/>
      <c r="O770" s="2"/>
      <c r="P770" s="2"/>
      <c r="Q770" s="2"/>
      <c r="R770" s="2"/>
      <c r="S770" s="2"/>
      <c r="T770" s="2"/>
    </row>
    <row r="771" spans="1:20" ht="15.75" customHeight="1">
      <c r="A771" s="1"/>
      <c r="B771" s="2"/>
      <c r="C771" s="2"/>
      <c r="D771" s="2"/>
      <c r="E771" s="2"/>
      <c r="F771" s="2"/>
      <c r="G771" s="2"/>
      <c r="H771" s="2"/>
      <c r="I771" s="2"/>
      <c r="J771" s="2"/>
      <c r="K771" s="2"/>
      <c r="L771" s="2"/>
      <c r="M771" s="2"/>
      <c r="N771" s="2"/>
      <c r="O771" s="2"/>
      <c r="P771" s="2"/>
      <c r="Q771" s="2"/>
      <c r="R771" s="2"/>
      <c r="S771" s="2"/>
      <c r="T771" s="2"/>
    </row>
    <row r="772" spans="1:20" ht="15.75" customHeight="1">
      <c r="A772" s="1"/>
      <c r="B772" s="2"/>
      <c r="C772" s="2"/>
      <c r="D772" s="2"/>
      <c r="E772" s="2"/>
      <c r="F772" s="2"/>
      <c r="G772" s="2"/>
      <c r="H772" s="2"/>
      <c r="I772" s="2"/>
      <c r="J772" s="2"/>
      <c r="K772" s="2"/>
      <c r="L772" s="2"/>
      <c r="M772" s="2"/>
      <c r="N772" s="2"/>
      <c r="O772" s="2"/>
      <c r="P772" s="2"/>
      <c r="Q772" s="2"/>
      <c r="R772" s="2"/>
      <c r="S772" s="2"/>
      <c r="T772" s="2"/>
    </row>
    <row r="773" spans="1:20" ht="15.75" customHeight="1">
      <c r="A773" s="1"/>
      <c r="B773" s="2"/>
      <c r="C773" s="2"/>
      <c r="D773" s="2"/>
      <c r="E773" s="2"/>
      <c r="F773" s="2"/>
      <c r="G773" s="2"/>
      <c r="H773" s="2"/>
      <c r="I773" s="2"/>
      <c r="J773" s="2"/>
      <c r="K773" s="2"/>
      <c r="L773" s="2"/>
      <c r="M773" s="2"/>
      <c r="N773" s="2"/>
      <c r="O773" s="2"/>
      <c r="P773" s="2"/>
      <c r="Q773" s="2"/>
      <c r="R773" s="2"/>
      <c r="S773" s="2"/>
      <c r="T773" s="2"/>
    </row>
    <row r="774" spans="1:20" ht="15.75" customHeight="1">
      <c r="A774" s="1"/>
      <c r="B774" s="2"/>
      <c r="C774" s="2"/>
      <c r="D774" s="2"/>
      <c r="E774" s="2"/>
      <c r="F774" s="2"/>
      <c r="G774" s="2"/>
      <c r="H774" s="2"/>
      <c r="I774" s="2"/>
      <c r="J774" s="2"/>
      <c r="K774" s="2"/>
      <c r="L774" s="2"/>
      <c r="M774" s="2"/>
      <c r="N774" s="2"/>
      <c r="O774" s="2"/>
      <c r="P774" s="2"/>
      <c r="Q774" s="2"/>
      <c r="R774" s="2"/>
      <c r="S774" s="2"/>
      <c r="T774" s="2"/>
    </row>
    <row r="775" spans="1:20" ht="15.75" customHeight="1">
      <c r="A775" s="1"/>
      <c r="B775" s="2"/>
      <c r="C775" s="2"/>
      <c r="D775" s="2"/>
      <c r="E775" s="2"/>
      <c r="F775" s="2"/>
      <c r="G775" s="2"/>
      <c r="H775" s="2"/>
      <c r="I775" s="2"/>
      <c r="J775" s="2"/>
      <c r="K775" s="2"/>
      <c r="L775" s="2"/>
      <c r="M775" s="2"/>
      <c r="N775" s="2"/>
      <c r="O775" s="2"/>
      <c r="P775" s="2"/>
      <c r="Q775" s="2"/>
      <c r="R775" s="2"/>
      <c r="S775" s="2"/>
      <c r="T775" s="2"/>
    </row>
    <row r="776" spans="1:20" ht="15.75" customHeight="1">
      <c r="A776" s="1"/>
      <c r="B776" s="2"/>
      <c r="C776" s="2"/>
      <c r="D776" s="2"/>
      <c r="E776" s="2"/>
      <c r="F776" s="2"/>
      <c r="G776" s="2"/>
      <c r="H776" s="2"/>
      <c r="I776" s="2"/>
      <c r="J776" s="2"/>
      <c r="K776" s="2"/>
      <c r="L776" s="2"/>
      <c r="M776" s="2"/>
      <c r="N776" s="2"/>
      <c r="O776" s="2"/>
      <c r="P776" s="2"/>
      <c r="Q776" s="2"/>
      <c r="R776" s="2"/>
      <c r="S776" s="2"/>
      <c r="T776" s="2"/>
    </row>
    <row r="777" spans="1:20" ht="15.75" customHeight="1">
      <c r="A777" s="1"/>
      <c r="B777" s="2"/>
      <c r="C777" s="2"/>
      <c r="D777" s="2"/>
      <c r="E777" s="2"/>
      <c r="F777" s="2"/>
      <c r="G777" s="2"/>
      <c r="H777" s="2"/>
      <c r="I777" s="2"/>
      <c r="J777" s="2"/>
      <c r="K777" s="2"/>
      <c r="L777" s="2"/>
      <c r="M777" s="2"/>
      <c r="N777" s="2"/>
      <c r="O777" s="2"/>
      <c r="P777" s="2"/>
      <c r="Q777" s="2"/>
      <c r="R777" s="2"/>
      <c r="S777" s="2"/>
      <c r="T777" s="2"/>
    </row>
    <row r="778" spans="1:20" ht="15.75" customHeight="1">
      <c r="A778" s="1"/>
      <c r="B778" s="2"/>
      <c r="C778" s="2"/>
      <c r="D778" s="2"/>
      <c r="E778" s="2"/>
      <c r="F778" s="2"/>
      <c r="G778" s="2"/>
      <c r="H778" s="2"/>
      <c r="I778" s="2"/>
      <c r="J778" s="2"/>
      <c r="K778" s="2"/>
      <c r="L778" s="2"/>
      <c r="M778" s="2"/>
      <c r="N778" s="2"/>
      <c r="O778" s="2"/>
      <c r="P778" s="2"/>
      <c r="Q778" s="2"/>
      <c r="R778" s="2"/>
      <c r="S778" s="2"/>
      <c r="T778" s="2"/>
    </row>
    <row r="779" spans="1:20" ht="15.75" customHeight="1">
      <c r="A779" s="1"/>
      <c r="B779" s="2"/>
      <c r="C779" s="2"/>
      <c r="D779" s="2"/>
      <c r="E779" s="2"/>
      <c r="F779" s="2"/>
      <c r="G779" s="2"/>
      <c r="H779" s="2"/>
      <c r="I779" s="2"/>
      <c r="J779" s="2"/>
      <c r="K779" s="2"/>
      <c r="L779" s="2"/>
      <c r="M779" s="2"/>
      <c r="N779" s="2"/>
      <c r="O779" s="2"/>
      <c r="P779" s="2"/>
      <c r="Q779" s="2"/>
      <c r="R779" s="2"/>
      <c r="S779" s="2"/>
      <c r="T779" s="2"/>
    </row>
    <row r="780" spans="1:20" ht="15.75" customHeight="1">
      <c r="A780" s="1"/>
      <c r="B780" s="2"/>
      <c r="C780" s="2"/>
      <c r="D780" s="2"/>
      <c r="E780" s="2"/>
      <c r="F780" s="2"/>
      <c r="G780" s="2"/>
      <c r="H780" s="2"/>
      <c r="I780" s="2"/>
      <c r="J780" s="2"/>
      <c r="K780" s="2"/>
      <c r="L780" s="2"/>
      <c r="M780" s="2"/>
      <c r="N780" s="2"/>
      <c r="O780" s="2"/>
      <c r="P780" s="2"/>
      <c r="Q780" s="2"/>
      <c r="R780" s="2"/>
      <c r="S780" s="2"/>
      <c r="T780" s="2"/>
    </row>
    <row r="781" spans="1:20" ht="15.75" customHeight="1">
      <c r="A781" s="1"/>
      <c r="B781" s="2"/>
      <c r="C781" s="2"/>
      <c r="D781" s="2"/>
      <c r="E781" s="2"/>
      <c r="F781" s="2"/>
      <c r="G781" s="2"/>
      <c r="H781" s="2"/>
      <c r="I781" s="2"/>
      <c r="J781" s="2"/>
      <c r="K781" s="2"/>
      <c r="L781" s="2"/>
      <c r="M781" s="2"/>
      <c r="N781" s="2"/>
      <c r="O781" s="2"/>
      <c r="P781" s="2"/>
      <c r="Q781" s="2"/>
      <c r="R781" s="2"/>
      <c r="S781" s="2"/>
      <c r="T781" s="2"/>
    </row>
    <row r="782" spans="1:20" ht="15.75" customHeight="1">
      <c r="A782" s="1"/>
      <c r="B782" s="2"/>
      <c r="C782" s="2"/>
      <c r="D782" s="2"/>
      <c r="E782" s="2"/>
      <c r="F782" s="2"/>
      <c r="G782" s="2"/>
      <c r="H782" s="2"/>
      <c r="I782" s="2"/>
      <c r="J782" s="2"/>
      <c r="K782" s="2"/>
      <c r="L782" s="2"/>
      <c r="M782" s="2"/>
      <c r="N782" s="2"/>
      <c r="O782" s="2"/>
      <c r="P782" s="2"/>
      <c r="Q782" s="2"/>
      <c r="R782" s="2"/>
      <c r="S782" s="2"/>
      <c r="T782" s="2"/>
    </row>
    <row r="783" spans="1:20" ht="15.75" customHeight="1">
      <c r="A783" s="1"/>
      <c r="B783" s="2"/>
      <c r="C783" s="2"/>
      <c r="D783" s="2"/>
      <c r="E783" s="2"/>
      <c r="F783" s="2"/>
      <c r="G783" s="2"/>
      <c r="H783" s="2"/>
      <c r="I783" s="2"/>
      <c r="J783" s="2"/>
      <c r="K783" s="2"/>
      <c r="L783" s="2"/>
      <c r="M783" s="2"/>
      <c r="N783" s="2"/>
      <c r="O783" s="2"/>
      <c r="P783" s="2"/>
      <c r="Q783" s="2"/>
      <c r="R783" s="2"/>
      <c r="S783" s="2"/>
      <c r="T783" s="2"/>
    </row>
    <row r="784" spans="1:20" ht="15.75" customHeight="1">
      <c r="A784" s="1"/>
      <c r="B784" s="2"/>
      <c r="C784" s="2"/>
      <c r="D784" s="2"/>
      <c r="E784" s="2"/>
      <c r="F784" s="2"/>
      <c r="G784" s="2"/>
      <c r="H784" s="2"/>
      <c r="I784" s="2"/>
      <c r="J784" s="2"/>
      <c r="K784" s="2"/>
      <c r="L784" s="2"/>
      <c r="M784" s="2"/>
      <c r="N784" s="2"/>
      <c r="O784" s="2"/>
      <c r="P784" s="2"/>
      <c r="Q784" s="2"/>
      <c r="R784" s="2"/>
      <c r="S784" s="2"/>
      <c r="T784" s="2"/>
    </row>
    <row r="785" spans="1:20" ht="15.75" customHeight="1">
      <c r="A785" s="1"/>
      <c r="B785" s="2"/>
      <c r="C785" s="2"/>
      <c r="D785" s="2"/>
      <c r="E785" s="2"/>
      <c r="F785" s="2"/>
      <c r="G785" s="2"/>
      <c r="H785" s="2"/>
      <c r="I785" s="2"/>
      <c r="J785" s="2"/>
      <c r="K785" s="2"/>
      <c r="L785" s="2"/>
      <c r="M785" s="2"/>
      <c r="N785" s="2"/>
      <c r="O785" s="2"/>
      <c r="P785" s="2"/>
      <c r="Q785" s="2"/>
      <c r="R785" s="2"/>
      <c r="S785" s="2"/>
      <c r="T785" s="2"/>
    </row>
    <row r="786" spans="1:20" ht="15.75" customHeight="1">
      <c r="A786" s="1"/>
      <c r="B786" s="2"/>
      <c r="C786" s="2"/>
      <c r="D786" s="2"/>
      <c r="E786" s="2"/>
      <c r="F786" s="2"/>
      <c r="G786" s="2"/>
      <c r="H786" s="2"/>
      <c r="I786" s="2"/>
      <c r="J786" s="2"/>
      <c r="K786" s="2"/>
      <c r="L786" s="2"/>
      <c r="M786" s="2"/>
      <c r="N786" s="2"/>
      <c r="O786" s="2"/>
      <c r="P786" s="2"/>
      <c r="Q786" s="2"/>
      <c r="R786" s="2"/>
      <c r="S786" s="2"/>
      <c r="T786" s="2"/>
    </row>
    <row r="787" spans="1:20" ht="15.75" customHeight="1">
      <c r="A787" s="1"/>
      <c r="B787" s="2"/>
      <c r="C787" s="2"/>
      <c r="D787" s="2"/>
      <c r="E787" s="2"/>
      <c r="F787" s="2"/>
      <c r="G787" s="2"/>
      <c r="H787" s="2"/>
      <c r="I787" s="2"/>
      <c r="J787" s="2"/>
      <c r="K787" s="2"/>
      <c r="L787" s="2"/>
      <c r="M787" s="2"/>
      <c r="N787" s="2"/>
      <c r="O787" s="2"/>
      <c r="P787" s="2"/>
      <c r="Q787" s="2"/>
      <c r="R787" s="2"/>
      <c r="S787" s="2"/>
      <c r="T787" s="2"/>
    </row>
    <row r="788" spans="1:20" ht="15.75" customHeight="1">
      <c r="A788" s="1"/>
      <c r="B788" s="2"/>
      <c r="C788" s="2"/>
      <c r="D788" s="2"/>
      <c r="E788" s="2"/>
      <c r="F788" s="2"/>
      <c r="G788" s="2"/>
      <c r="H788" s="2"/>
      <c r="I788" s="2"/>
      <c r="J788" s="2"/>
      <c r="K788" s="2"/>
      <c r="L788" s="2"/>
      <c r="M788" s="2"/>
      <c r="N788" s="2"/>
      <c r="O788" s="2"/>
      <c r="P788" s="2"/>
      <c r="Q788" s="2"/>
      <c r="R788" s="2"/>
      <c r="S788" s="2"/>
      <c r="T788" s="2"/>
    </row>
    <row r="789" spans="1:20" ht="15.75" customHeight="1">
      <c r="A789" s="1"/>
      <c r="B789" s="2"/>
      <c r="C789" s="2"/>
      <c r="D789" s="2"/>
      <c r="E789" s="2"/>
      <c r="F789" s="2"/>
      <c r="G789" s="2"/>
      <c r="H789" s="2"/>
      <c r="I789" s="2"/>
      <c r="J789" s="2"/>
      <c r="K789" s="2"/>
      <c r="L789" s="2"/>
      <c r="M789" s="2"/>
      <c r="N789" s="2"/>
      <c r="O789" s="2"/>
      <c r="P789" s="2"/>
      <c r="Q789" s="2"/>
      <c r="R789" s="2"/>
      <c r="S789" s="2"/>
      <c r="T789" s="2"/>
    </row>
    <row r="790" spans="1:20" ht="15.75" customHeight="1">
      <c r="A790" s="1"/>
      <c r="B790" s="2"/>
      <c r="C790" s="2"/>
      <c r="D790" s="2"/>
      <c r="E790" s="2"/>
      <c r="F790" s="2"/>
      <c r="G790" s="2"/>
      <c r="H790" s="2"/>
      <c r="I790" s="2"/>
      <c r="J790" s="2"/>
      <c r="K790" s="2"/>
      <c r="L790" s="2"/>
      <c r="M790" s="2"/>
      <c r="N790" s="2"/>
      <c r="O790" s="2"/>
      <c r="P790" s="2"/>
      <c r="Q790" s="2"/>
      <c r="R790" s="2"/>
      <c r="S790" s="2"/>
      <c r="T790" s="2"/>
    </row>
    <row r="791" spans="1:20" ht="15.75" customHeight="1">
      <c r="A791" s="1"/>
      <c r="B791" s="2"/>
      <c r="C791" s="2"/>
      <c r="D791" s="2"/>
      <c r="E791" s="2"/>
      <c r="F791" s="2"/>
      <c r="G791" s="2"/>
      <c r="H791" s="2"/>
      <c r="I791" s="2"/>
      <c r="J791" s="2"/>
      <c r="K791" s="2"/>
      <c r="L791" s="2"/>
      <c r="M791" s="2"/>
      <c r="N791" s="2"/>
      <c r="O791" s="2"/>
      <c r="P791" s="2"/>
      <c r="Q791" s="2"/>
      <c r="R791" s="2"/>
      <c r="S791" s="2"/>
      <c r="T791" s="2"/>
    </row>
    <row r="792" spans="1:20" ht="15.75" customHeight="1">
      <c r="A792" s="1"/>
      <c r="B792" s="2"/>
      <c r="C792" s="2"/>
      <c r="D792" s="2"/>
      <c r="E792" s="2"/>
      <c r="F792" s="2"/>
      <c r="G792" s="2"/>
      <c r="H792" s="2"/>
      <c r="I792" s="2"/>
      <c r="J792" s="2"/>
      <c r="K792" s="2"/>
      <c r="L792" s="2"/>
      <c r="M792" s="2"/>
      <c r="N792" s="2"/>
      <c r="O792" s="2"/>
      <c r="P792" s="2"/>
      <c r="Q792" s="2"/>
      <c r="R792" s="2"/>
      <c r="S792" s="2"/>
      <c r="T792" s="2"/>
    </row>
    <row r="793" spans="1:20" ht="15.75" customHeight="1">
      <c r="A793" s="1"/>
      <c r="B793" s="2"/>
      <c r="C793" s="2"/>
      <c r="D793" s="2"/>
      <c r="E793" s="2"/>
      <c r="F793" s="2"/>
      <c r="G793" s="2"/>
      <c r="H793" s="2"/>
      <c r="I793" s="2"/>
      <c r="J793" s="2"/>
      <c r="K793" s="2"/>
      <c r="L793" s="2"/>
      <c r="M793" s="2"/>
      <c r="N793" s="2"/>
      <c r="O793" s="2"/>
      <c r="P793" s="2"/>
      <c r="Q793" s="2"/>
      <c r="R793" s="2"/>
      <c r="S793" s="2"/>
      <c r="T793" s="2"/>
    </row>
    <row r="794" spans="1:20" ht="15.75" customHeight="1">
      <c r="A794" s="1"/>
      <c r="B794" s="2"/>
      <c r="C794" s="2"/>
      <c r="D794" s="2"/>
      <c r="E794" s="2"/>
      <c r="F794" s="2"/>
      <c r="G794" s="2"/>
      <c r="H794" s="2"/>
      <c r="I794" s="2"/>
      <c r="J794" s="2"/>
      <c r="K794" s="2"/>
      <c r="L794" s="2"/>
      <c r="M794" s="2"/>
      <c r="N794" s="2"/>
      <c r="O794" s="2"/>
      <c r="P794" s="2"/>
      <c r="Q794" s="2"/>
      <c r="R794" s="2"/>
      <c r="S794" s="2"/>
      <c r="T794" s="2"/>
    </row>
    <row r="795" spans="1:20" ht="15.75" customHeight="1">
      <c r="A795" s="1"/>
      <c r="B795" s="2"/>
      <c r="C795" s="2"/>
      <c r="D795" s="2"/>
      <c r="E795" s="2"/>
      <c r="F795" s="2"/>
      <c r="G795" s="2"/>
      <c r="H795" s="2"/>
      <c r="I795" s="2"/>
      <c r="J795" s="2"/>
      <c r="K795" s="2"/>
      <c r="L795" s="2"/>
      <c r="M795" s="2"/>
      <c r="N795" s="2"/>
      <c r="O795" s="2"/>
      <c r="P795" s="2"/>
      <c r="Q795" s="2"/>
      <c r="R795" s="2"/>
      <c r="S795" s="2"/>
      <c r="T795" s="2"/>
    </row>
    <row r="796" spans="1:20" ht="15.75" customHeight="1">
      <c r="A796" s="1"/>
      <c r="B796" s="2"/>
      <c r="C796" s="2"/>
      <c r="D796" s="2"/>
      <c r="E796" s="2"/>
      <c r="F796" s="2"/>
      <c r="G796" s="2"/>
      <c r="H796" s="2"/>
      <c r="I796" s="2"/>
      <c r="J796" s="2"/>
      <c r="K796" s="2"/>
      <c r="L796" s="2"/>
      <c r="M796" s="2"/>
      <c r="N796" s="2"/>
      <c r="O796" s="2"/>
      <c r="P796" s="2"/>
      <c r="Q796" s="2"/>
      <c r="R796" s="2"/>
      <c r="S796" s="2"/>
      <c r="T796" s="2"/>
    </row>
    <row r="797" spans="1:20" ht="15.75" customHeight="1">
      <c r="A797" s="1"/>
      <c r="B797" s="2"/>
      <c r="C797" s="2"/>
      <c r="D797" s="2"/>
      <c r="E797" s="2"/>
      <c r="F797" s="2"/>
      <c r="G797" s="2"/>
      <c r="H797" s="2"/>
      <c r="I797" s="2"/>
      <c r="J797" s="2"/>
      <c r="K797" s="2"/>
      <c r="L797" s="2"/>
      <c r="M797" s="2"/>
      <c r="N797" s="2"/>
      <c r="O797" s="2"/>
      <c r="P797" s="2"/>
      <c r="Q797" s="2"/>
      <c r="R797" s="2"/>
      <c r="S797" s="2"/>
      <c r="T797" s="2"/>
    </row>
    <row r="798" spans="1:20" ht="15.75" customHeight="1">
      <c r="A798" s="1"/>
      <c r="B798" s="2"/>
      <c r="C798" s="2"/>
      <c r="D798" s="2"/>
      <c r="E798" s="2"/>
      <c r="F798" s="2"/>
      <c r="G798" s="2"/>
      <c r="H798" s="2"/>
      <c r="I798" s="2"/>
      <c r="J798" s="2"/>
      <c r="K798" s="2"/>
      <c r="L798" s="2"/>
      <c r="M798" s="2"/>
      <c r="N798" s="2"/>
      <c r="O798" s="2"/>
      <c r="P798" s="2"/>
      <c r="Q798" s="2"/>
      <c r="R798" s="2"/>
      <c r="S798" s="2"/>
      <c r="T798" s="2"/>
    </row>
    <row r="799" spans="1:20" ht="15.75" customHeight="1">
      <c r="A799" s="1"/>
      <c r="B799" s="2"/>
      <c r="C799" s="2"/>
      <c r="D799" s="2"/>
      <c r="E799" s="2"/>
      <c r="F799" s="2"/>
      <c r="G799" s="2"/>
      <c r="H799" s="2"/>
      <c r="I799" s="2"/>
      <c r="J799" s="2"/>
      <c r="K799" s="2"/>
      <c r="L799" s="2"/>
      <c r="M799" s="2"/>
      <c r="N799" s="2"/>
      <c r="O799" s="2"/>
      <c r="P799" s="2"/>
      <c r="Q799" s="2"/>
      <c r="R799" s="2"/>
      <c r="S799" s="2"/>
      <c r="T799" s="2"/>
    </row>
    <row r="800" spans="1:20" ht="15.75" customHeight="1">
      <c r="A800" s="1"/>
      <c r="B800" s="2"/>
      <c r="C800" s="2"/>
      <c r="D800" s="2"/>
      <c r="E800" s="2"/>
      <c r="F800" s="2"/>
      <c r="G800" s="2"/>
      <c r="H800" s="2"/>
      <c r="I800" s="2"/>
      <c r="J800" s="2"/>
      <c r="K800" s="2"/>
      <c r="L800" s="2"/>
      <c r="M800" s="2"/>
      <c r="N800" s="2"/>
      <c r="O800" s="2"/>
      <c r="P800" s="2"/>
      <c r="Q800" s="2"/>
      <c r="R800" s="2"/>
      <c r="S800" s="2"/>
      <c r="T800" s="2"/>
    </row>
    <row r="801" spans="1:20" ht="15.75" customHeight="1">
      <c r="A801" s="1"/>
      <c r="B801" s="2"/>
      <c r="C801" s="2"/>
      <c r="D801" s="2"/>
      <c r="E801" s="2"/>
      <c r="F801" s="2"/>
      <c r="G801" s="2"/>
      <c r="H801" s="2"/>
      <c r="I801" s="2"/>
      <c r="J801" s="2"/>
      <c r="K801" s="2"/>
      <c r="L801" s="2"/>
      <c r="M801" s="2"/>
      <c r="N801" s="2"/>
      <c r="O801" s="2"/>
      <c r="P801" s="2"/>
      <c r="Q801" s="2"/>
      <c r="R801" s="2"/>
      <c r="S801" s="2"/>
      <c r="T801" s="2"/>
    </row>
    <row r="802" spans="1:20" ht="15.75" customHeight="1">
      <c r="A802" s="1"/>
      <c r="B802" s="2"/>
      <c r="C802" s="2"/>
      <c r="D802" s="2"/>
      <c r="E802" s="2"/>
      <c r="F802" s="2"/>
      <c r="G802" s="2"/>
      <c r="H802" s="2"/>
      <c r="I802" s="2"/>
      <c r="J802" s="2"/>
      <c r="K802" s="2"/>
      <c r="L802" s="2"/>
      <c r="M802" s="2"/>
      <c r="N802" s="2"/>
      <c r="O802" s="2"/>
      <c r="P802" s="2"/>
      <c r="Q802" s="2"/>
      <c r="R802" s="2"/>
      <c r="S802" s="2"/>
      <c r="T802" s="2"/>
    </row>
    <row r="803" spans="1:20" ht="15.75" customHeight="1">
      <c r="A803" s="1"/>
      <c r="B803" s="2"/>
      <c r="C803" s="2"/>
      <c r="D803" s="2"/>
      <c r="E803" s="2"/>
      <c r="F803" s="2"/>
      <c r="G803" s="2"/>
      <c r="H803" s="2"/>
      <c r="I803" s="2"/>
      <c r="J803" s="2"/>
      <c r="K803" s="2"/>
      <c r="L803" s="2"/>
      <c r="M803" s="2"/>
      <c r="N803" s="2"/>
      <c r="O803" s="2"/>
      <c r="P803" s="2"/>
      <c r="Q803" s="2"/>
      <c r="R803" s="2"/>
      <c r="S803" s="2"/>
      <c r="T803" s="2"/>
    </row>
    <row r="804" spans="1:20" ht="15.75" customHeight="1">
      <c r="A804" s="1"/>
      <c r="B804" s="2"/>
      <c r="C804" s="2"/>
      <c r="D804" s="2"/>
      <c r="E804" s="2"/>
      <c r="F804" s="2"/>
      <c r="G804" s="2"/>
      <c r="H804" s="2"/>
      <c r="I804" s="2"/>
      <c r="J804" s="2"/>
      <c r="K804" s="2"/>
      <c r="L804" s="2"/>
      <c r="M804" s="2"/>
      <c r="N804" s="2"/>
      <c r="O804" s="2"/>
      <c r="P804" s="2"/>
      <c r="Q804" s="2"/>
      <c r="R804" s="2"/>
      <c r="S804" s="2"/>
      <c r="T804" s="2"/>
    </row>
    <row r="805" spans="1:20" ht="15.75" customHeight="1">
      <c r="A805" s="1"/>
      <c r="B805" s="2"/>
      <c r="C805" s="2"/>
      <c r="D805" s="2"/>
      <c r="E805" s="2"/>
      <c r="F805" s="2"/>
      <c r="G805" s="2"/>
      <c r="H805" s="2"/>
      <c r="I805" s="2"/>
      <c r="J805" s="2"/>
      <c r="K805" s="2"/>
      <c r="L805" s="2"/>
      <c r="M805" s="2"/>
      <c r="N805" s="2"/>
      <c r="O805" s="2"/>
      <c r="P805" s="2"/>
      <c r="Q805" s="2"/>
      <c r="R805" s="2"/>
      <c r="S805" s="2"/>
      <c r="T805" s="2"/>
    </row>
    <row r="806" spans="1:20" ht="15.75" customHeight="1">
      <c r="A806" s="1"/>
      <c r="B806" s="2"/>
      <c r="C806" s="2"/>
      <c r="D806" s="2"/>
      <c r="E806" s="2"/>
      <c r="F806" s="2"/>
      <c r="G806" s="2"/>
      <c r="H806" s="2"/>
      <c r="I806" s="2"/>
      <c r="J806" s="2"/>
      <c r="K806" s="2"/>
      <c r="L806" s="2"/>
      <c r="M806" s="2"/>
      <c r="N806" s="2"/>
      <c r="O806" s="2"/>
      <c r="P806" s="2"/>
      <c r="Q806" s="2"/>
      <c r="R806" s="2"/>
      <c r="S806" s="2"/>
      <c r="T806" s="2"/>
    </row>
    <row r="807" spans="1:20" ht="15.75" customHeight="1">
      <c r="A807" s="1"/>
      <c r="B807" s="2"/>
      <c r="C807" s="2"/>
      <c r="D807" s="2"/>
      <c r="E807" s="2"/>
      <c r="F807" s="2"/>
      <c r="G807" s="2"/>
      <c r="H807" s="2"/>
      <c r="I807" s="2"/>
      <c r="J807" s="2"/>
      <c r="K807" s="2"/>
      <c r="L807" s="2"/>
      <c r="M807" s="2"/>
      <c r="N807" s="2"/>
      <c r="O807" s="2"/>
      <c r="P807" s="2"/>
      <c r="Q807" s="2"/>
      <c r="R807" s="2"/>
      <c r="S807" s="2"/>
      <c r="T807" s="2"/>
    </row>
    <row r="808" spans="1:20" ht="15.75" customHeight="1">
      <c r="A808" s="1"/>
      <c r="B808" s="2"/>
      <c r="C808" s="2"/>
      <c r="D808" s="2"/>
      <c r="E808" s="2"/>
      <c r="F808" s="2"/>
      <c r="G808" s="2"/>
      <c r="H808" s="2"/>
      <c r="I808" s="2"/>
      <c r="J808" s="2"/>
      <c r="K808" s="2"/>
      <c r="L808" s="2"/>
      <c r="M808" s="2"/>
      <c r="N808" s="2"/>
      <c r="O808" s="2"/>
      <c r="P808" s="2"/>
      <c r="Q808" s="2"/>
      <c r="R808" s="2"/>
      <c r="S808" s="2"/>
      <c r="T808" s="2"/>
    </row>
    <row r="809" spans="1:20" ht="15.75" customHeight="1">
      <c r="A809" s="1"/>
      <c r="B809" s="2"/>
      <c r="C809" s="2"/>
      <c r="D809" s="2"/>
      <c r="E809" s="2"/>
      <c r="F809" s="2"/>
      <c r="G809" s="2"/>
      <c r="H809" s="2"/>
      <c r="I809" s="2"/>
      <c r="J809" s="2"/>
      <c r="K809" s="2"/>
      <c r="L809" s="2"/>
      <c r="M809" s="2"/>
      <c r="N809" s="2"/>
      <c r="O809" s="2"/>
      <c r="P809" s="2"/>
      <c r="Q809" s="2"/>
      <c r="R809" s="2"/>
      <c r="S809" s="2"/>
      <c r="T809" s="2"/>
    </row>
    <row r="810" spans="1:20" ht="15.75" customHeight="1">
      <c r="A810" s="1"/>
      <c r="B810" s="2"/>
      <c r="C810" s="2"/>
      <c r="D810" s="2"/>
      <c r="E810" s="2"/>
      <c r="F810" s="2"/>
      <c r="G810" s="2"/>
      <c r="H810" s="2"/>
      <c r="I810" s="2"/>
      <c r="J810" s="2"/>
      <c r="K810" s="2"/>
      <c r="L810" s="2"/>
      <c r="M810" s="2"/>
      <c r="N810" s="2"/>
      <c r="O810" s="2"/>
      <c r="P810" s="2"/>
      <c r="Q810" s="2"/>
      <c r="R810" s="2"/>
      <c r="S810" s="2"/>
      <c r="T810" s="2"/>
    </row>
    <row r="811" spans="1:20" ht="15.75" customHeight="1">
      <c r="A811" s="1"/>
      <c r="B811" s="2"/>
      <c r="C811" s="2"/>
      <c r="D811" s="2"/>
      <c r="E811" s="2"/>
      <c r="F811" s="2"/>
      <c r="G811" s="2"/>
      <c r="H811" s="2"/>
      <c r="I811" s="2"/>
      <c r="J811" s="2"/>
      <c r="K811" s="2"/>
      <c r="L811" s="2"/>
      <c r="M811" s="2"/>
      <c r="N811" s="2"/>
      <c r="O811" s="2"/>
      <c r="P811" s="2"/>
      <c r="Q811" s="2"/>
      <c r="R811" s="2"/>
      <c r="S811" s="2"/>
      <c r="T811" s="2"/>
    </row>
    <row r="812" spans="1:20" ht="15.75" customHeight="1">
      <c r="A812" s="1"/>
      <c r="B812" s="2"/>
      <c r="C812" s="2"/>
      <c r="D812" s="2"/>
      <c r="E812" s="2"/>
      <c r="F812" s="2"/>
      <c r="G812" s="2"/>
      <c r="H812" s="2"/>
      <c r="I812" s="2"/>
      <c r="J812" s="2"/>
      <c r="K812" s="2"/>
      <c r="L812" s="2"/>
      <c r="M812" s="2"/>
      <c r="N812" s="2"/>
      <c r="O812" s="2"/>
      <c r="P812" s="2"/>
      <c r="Q812" s="2"/>
      <c r="R812" s="2"/>
      <c r="S812" s="2"/>
      <c r="T812" s="2"/>
    </row>
    <row r="813" spans="1:20" ht="15.75" customHeight="1">
      <c r="A813" s="1"/>
      <c r="B813" s="2"/>
      <c r="C813" s="2"/>
      <c r="D813" s="2"/>
      <c r="E813" s="2"/>
      <c r="F813" s="2"/>
      <c r="G813" s="2"/>
      <c r="H813" s="2"/>
      <c r="I813" s="2"/>
      <c r="J813" s="2"/>
      <c r="K813" s="2"/>
      <c r="L813" s="2"/>
      <c r="M813" s="2"/>
      <c r="N813" s="2"/>
      <c r="O813" s="2"/>
      <c r="P813" s="2"/>
      <c r="Q813" s="2"/>
      <c r="R813" s="2"/>
      <c r="S813" s="2"/>
      <c r="T813" s="2"/>
    </row>
    <row r="814" spans="1:20" ht="15.75" customHeight="1">
      <c r="A814" s="1"/>
      <c r="B814" s="2"/>
      <c r="C814" s="2"/>
      <c r="D814" s="2"/>
      <c r="E814" s="2"/>
      <c r="F814" s="2"/>
      <c r="G814" s="2"/>
      <c r="H814" s="2"/>
      <c r="I814" s="2"/>
      <c r="J814" s="2"/>
      <c r="K814" s="2"/>
      <c r="L814" s="2"/>
      <c r="M814" s="2"/>
      <c r="N814" s="2"/>
      <c r="O814" s="2"/>
      <c r="P814" s="2"/>
      <c r="Q814" s="2"/>
      <c r="R814" s="2"/>
      <c r="S814" s="2"/>
      <c r="T814" s="2"/>
    </row>
    <row r="815" spans="1:20" ht="15.75" customHeight="1">
      <c r="A815" s="1"/>
      <c r="B815" s="2"/>
      <c r="C815" s="2"/>
      <c r="D815" s="2"/>
      <c r="E815" s="2"/>
      <c r="F815" s="2"/>
      <c r="G815" s="2"/>
      <c r="H815" s="2"/>
      <c r="I815" s="2"/>
      <c r="J815" s="2"/>
      <c r="K815" s="2"/>
      <c r="L815" s="2"/>
      <c r="M815" s="2"/>
      <c r="N815" s="2"/>
      <c r="O815" s="2"/>
      <c r="P815" s="2"/>
      <c r="Q815" s="2"/>
      <c r="R815" s="2"/>
      <c r="S815" s="2"/>
      <c r="T815" s="2"/>
    </row>
    <row r="816" spans="1:20" ht="15.75" customHeight="1">
      <c r="A816" s="1"/>
      <c r="B816" s="2"/>
      <c r="C816" s="2"/>
      <c r="D816" s="2"/>
      <c r="E816" s="2"/>
      <c r="F816" s="2"/>
      <c r="G816" s="2"/>
      <c r="H816" s="2"/>
      <c r="I816" s="2"/>
      <c r="J816" s="2"/>
      <c r="K816" s="2"/>
      <c r="L816" s="2"/>
      <c r="M816" s="2"/>
      <c r="N816" s="2"/>
      <c r="O816" s="2"/>
      <c r="P816" s="2"/>
      <c r="Q816" s="2"/>
      <c r="R816" s="2"/>
      <c r="S816" s="2"/>
      <c r="T816" s="2"/>
    </row>
    <row r="817" spans="1:20" ht="15.75" customHeight="1">
      <c r="A817" s="1"/>
      <c r="B817" s="2"/>
      <c r="C817" s="2"/>
      <c r="D817" s="2"/>
      <c r="E817" s="2"/>
      <c r="F817" s="2"/>
      <c r="G817" s="2"/>
      <c r="H817" s="2"/>
      <c r="I817" s="2"/>
      <c r="J817" s="2"/>
      <c r="K817" s="2"/>
      <c r="L817" s="2"/>
      <c r="M817" s="2"/>
      <c r="N817" s="2"/>
      <c r="O817" s="2"/>
      <c r="P817" s="2"/>
      <c r="Q817" s="2"/>
      <c r="R817" s="2"/>
      <c r="S817" s="2"/>
      <c r="T817" s="2"/>
    </row>
    <row r="818" spans="1:20" ht="15.75" customHeight="1">
      <c r="A818" s="1"/>
      <c r="B818" s="2"/>
      <c r="C818" s="2"/>
      <c r="D818" s="2"/>
      <c r="E818" s="2"/>
      <c r="F818" s="2"/>
      <c r="G818" s="2"/>
      <c r="H818" s="2"/>
      <c r="I818" s="2"/>
      <c r="J818" s="2"/>
      <c r="K818" s="2"/>
      <c r="L818" s="2"/>
      <c r="M818" s="2"/>
      <c r="N818" s="2"/>
      <c r="O818" s="2"/>
      <c r="P818" s="2"/>
      <c r="Q818" s="2"/>
      <c r="R818" s="2"/>
      <c r="S818" s="2"/>
      <c r="T818" s="2"/>
    </row>
    <row r="819" spans="1:20" ht="15.75" customHeight="1">
      <c r="A819" s="1"/>
      <c r="B819" s="2"/>
      <c r="C819" s="2"/>
      <c r="D819" s="2"/>
      <c r="E819" s="2"/>
      <c r="F819" s="2"/>
      <c r="G819" s="2"/>
      <c r="H819" s="2"/>
      <c r="I819" s="2"/>
      <c r="J819" s="2"/>
      <c r="K819" s="2"/>
      <c r="L819" s="2"/>
      <c r="M819" s="2"/>
      <c r="N819" s="2"/>
      <c r="O819" s="2"/>
      <c r="P819" s="2"/>
      <c r="Q819" s="2"/>
      <c r="R819" s="2"/>
      <c r="S819" s="2"/>
      <c r="T819" s="2"/>
    </row>
    <row r="820" spans="1:20" ht="15.75" customHeight="1">
      <c r="A820" s="1"/>
      <c r="B820" s="2"/>
      <c r="C820" s="2"/>
      <c r="D820" s="2"/>
      <c r="E820" s="2"/>
      <c r="F820" s="2"/>
      <c r="G820" s="2"/>
      <c r="H820" s="2"/>
      <c r="I820" s="2"/>
      <c r="J820" s="2"/>
      <c r="K820" s="2"/>
      <c r="L820" s="2"/>
      <c r="M820" s="2"/>
      <c r="N820" s="2"/>
      <c r="O820" s="2"/>
      <c r="P820" s="2"/>
      <c r="Q820" s="2"/>
      <c r="R820" s="2"/>
      <c r="S820" s="2"/>
      <c r="T820" s="2"/>
    </row>
    <row r="821" spans="1:20" ht="15.75" customHeight="1">
      <c r="A821" s="1"/>
      <c r="B821" s="2"/>
      <c r="C821" s="2"/>
      <c r="D821" s="2"/>
      <c r="E821" s="2"/>
      <c r="F821" s="2"/>
      <c r="G821" s="2"/>
      <c r="H821" s="2"/>
      <c r="I821" s="2"/>
      <c r="J821" s="2"/>
      <c r="K821" s="2"/>
      <c r="L821" s="2"/>
      <c r="M821" s="2"/>
      <c r="N821" s="2"/>
      <c r="O821" s="2"/>
      <c r="P821" s="2"/>
      <c r="Q821" s="2"/>
      <c r="R821" s="2"/>
      <c r="S821" s="2"/>
      <c r="T821" s="2"/>
    </row>
    <row r="822" spans="1:20" ht="15.75" customHeight="1">
      <c r="A822" s="1"/>
      <c r="B822" s="2"/>
      <c r="C822" s="2"/>
      <c r="D822" s="2"/>
      <c r="E822" s="2"/>
      <c r="F822" s="2"/>
      <c r="G822" s="2"/>
      <c r="H822" s="2"/>
      <c r="I822" s="2"/>
      <c r="J822" s="2"/>
      <c r="K822" s="2"/>
      <c r="L822" s="2"/>
      <c r="M822" s="2"/>
      <c r="N822" s="2"/>
      <c r="O822" s="2"/>
      <c r="P822" s="2"/>
      <c r="Q822" s="2"/>
      <c r="R822" s="2"/>
      <c r="S822" s="2"/>
      <c r="T822" s="2"/>
    </row>
    <row r="823" spans="1:20" ht="15.75" customHeight="1">
      <c r="A823" s="1"/>
      <c r="B823" s="2"/>
      <c r="C823" s="2"/>
      <c r="D823" s="2"/>
      <c r="E823" s="2"/>
      <c r="F823" s="2"/>
      <c r="G823" s="2"/>
      <c r="H823" s="2"/>
      <c r="I823" s="2"/>
      <c r="J823" s="2"/>
      <c r="K823" s="2"/>
      <c r="L823" s="2"/>
      <c r="M823" s="2"/>
      <c r="N823" s="2"/>
      <c r="O823" s="2"/>
      <c r="P823" s="2"/>
      <c r="Q823" s="2"/>
      <c r="R823" s="2"/>
      <c r="S823" s="2"/>
      <c r="T823" s="2"/>
    </row>
    <row r="824" spans="1:20" ht="15.75" customHeight="1">
      <c r="A824" s="1"/>
      <c r="B824" s="2"/>
      <c r="C824" s="2"/>
      <c r="D824" s="2"/>
      <c r="E824" s="2"/>
      <c r="F824" s="2"/>
      <c r="G824" s="2"/>
      <c r="H824" s="2"/>
      <c r="I824" s="2"/>
      <c r="J824" s="2"/>
      <c r="K824" s="2"/>
      <c r="L824" s="2"/>
      <c r="M824" s="2"/>
      <c r="N824" s="2"/>
      <c r="O824" s="2"/>
      <c r="P824" s="2"/>
      <c r="Q824" s="2"/>
      <c r="R824" s="2"/>
      <c r="S824" s="2"/>
      <c r="T824" s="2"/>
    </row>
    <row r="825" spans="1:20" ht="15.75" customHeight="1">
      <c r="A825" s="1"/>
      <c r="B825" s="2"/>
      <c r="C825" s="2"/>
      <c r="D825" s="2"/>
      <c r="E825" s="2"/>
      <c r="F825" s="2"/>
      <c r="G825" s="2"/>
      <c r="H825" s="2"/>
      <c r="I825" s="2"/>
      <c r="J825" s="2"/>
      <c r="K825" s="2"/>
      <c r="L825" s="2"/>
      <c r="M825" s="2"/>
      <c r="N825" s="2"/>
      <c r="O825" s="2"/>
      <c r="P825" s="2"/>
      <c r="Q825" s="2"/>
      <c r="R825" s="2"/>
      <c r="S825" s="2"/>
      <c r="T825" s="2"/>
    </row>
    <row r="826" spans="1:20" ht="15.75" customHeight="1">
      <c r="A826" s="1"/>
      <c r="B826" s="2"/>
      <c r="C826" s="2"/>
      <c r="D826" s="2"/>
      <c r="E826" s="2"/>
      <c r="F826" s="2"/>
      <c r="G826" s="2"/>
      <c r="H826" s="2"/>
      <c r="I826" s="2"/>
      <c r="J826" s="2"/>
      <c r="K826" s="2"/>
      <c r="L826" s="2"/>
      <c r="M826" s="2"/>
      <c r="N826" s="2"/>
      <c r="O826" s="2"/>
      <c r="P826" s="2"/>
      <c r="Q826" s="2"/>
      <c r="R826" s="2"/>
      <c r="S826" s="2"/>
      <c r="T826" s="2"/>
    </row>
    <row r="827" spans="1:20" ht="15.75" customHeight="1">
      <c r="A827" s="1"/>
      <c r="B827" s="2"/>
      <c r="C827" s="2"/>
      <c r="D827" s="2"/>
      <c r="E827" s="2"/>
      <c r="F827" s="2"/>
      <c r="G827" s="2"/>
      <c r="H827" s="2"/>
      <c r="I827" s="2"/>
      <c r="J827" s="2"/>
      <c r="K827" s="2"/>
      <c r="L827" s="2"/>
      <c r="M827" s="2"/>
      <c r="N827" s="2"/>
      <c r="O827" s="2"/>
      <c r="P827" s="2"/>
      <c r="Q827" s="2"/>
      <c r="R827" s="2"/>
      <c r="S827" s="2"/>
      <c r="T827" s="2"/>
    </row>
    <row r="828" spans="1:20" ht="15.75" customHeight="1">
      <c r="A828" s="1"/>
      <c r="B828" s="2"/>
      <c r="C828" s="2"/>
      <c r="D828" s="2"/>
      <c r="E828" s="2"/>
      <c r="F828" s="2"/>
      <c r="G828" s="2"/>
      <c r="H828" s="2"/>
      <c r="I828" s="2"/>
      <c r="J828" s="2"/>
      <c r="K828" s="2"/>
      <c r="L828" s="2"/>
      <c r="M828" s="2"/>
      <c r="N828" s="2"/>
      <c r="O828" s="2"/>
      <c r="P828" s="2"/>
      <c r="Q828" s="2"/>
      <c r="R828" s="2"/>
      <c r="S828" s="2"/>
      <c r="T828" s="2"/>
    </row>
    <row r="829" spans="1:20" ht="15.75" customHeight="1">
      <c r="A829" s="1"/>
      <c r="B829" s="2"/>
      <c r="C829" s="2"/>
      <c r="D829" s="2"/>
      <c r="E829" s="2"/>
      <c r="F829" s="2"/>
      <c r="G829" s="2"/>
      <c r="H829" s="2"/>
      <c r="I829" s="2"/>
      <c r="J829" s="2"/>
      <c r="K829" s="2"/>
      <c r="L829" s="2"/>
      <c r="M829" s="2"/>
      <c r="N829" s="2"/>
      <c r="O829" s="2"/>
      <c r="P829" s="2"/>
      <c r="Q829" s="2"/>
      <c r="R829" s="2"/>
      <c r="S829" s="2"/>
      <c r="T829" s="2"/>
    </row>
    <row r="830" spans="1:20" ht="15.75" customHeight="1">
      <c r="A830" s="1"/>
      <c r="B830" s="2"/>
      <c r="C830" s="2"/>
      <c r="D830" s="2"/>
      <c r="E830" s="2"/>
      <c r="F830" s="2"/>
      <c r="G830" s="2"/>
      <c r="H830" s="2"/>
      <c r="I830" s="2"/>
      <c r="J830" s="2"/>
      <c r="K830" s="2"/>
      <c r="L830" s="2"/>
      <c r="M830" s="2"/>
      <c r="N830" s="2"/>
      <c r="O830" s="2"/>
      <c r="P830" s="2"/>
      <c r="Q830" s="2"/>
      <c r="R830" s="2"/>
      <c r="S830" s="2"/>
      <c r="T830" s="2"/>
    </row>
    <row r="831" spans="1:20" ht="15.75" customHeight="1">
      <c r="A831" s="1"/>
      <c r="B831" s="2"/>
      <c r="C831" s="2"/>
      <c r="D831" s="2"/>
      <c r="E831" s="2"/>
      <c r="F831" s="2"/>
      <c r="G831" s="2"/>
      <c r="H831" s="2"/>
      <c r="I831" s="2"/>
      <c r="J831" s="2"/>
      <c r="K831" s="2"/>
      <c r="L831" s="2"/>
      <c r="M831" s="2"/>
      <c r="N831" s="2"/>
      <c r="O831" s="2"/>
      <c r="P831" s="2"/>
      <c r="Q831" s="2"/>
      <c r="R831" s="2"/>
      <c r="S831" s="2"/>
      <c r="T831" s="2"/>
    </row>
    <row r="832" spans="1:20" ht="15.75" customHeight="1">
      <c r="A832" s="1"/>
      <c r="B832" s="2"/>
      <c r="C832" s="2"/>
      <c r="D832" s="2"/>
      <c r="E832" s="2"/>
      <c r="F832" s="2"/>
      <c r="G832" s="2"/>
      <c r="H832" s="2"/>
      <c r="I832" s="2"/>
      <c r="J832" s="2"/>
      <c r="K832" s="2"/>
      <c r="L832" s="2"/>
      <c r="M832" s="2"/>
      <c r="N832" s="2"/>
      <c r="O832" s="2"/>
      <c r="P832" s="2"/>
      <c r="Q832" s="2"/>
      <c r="R832" s="2"/>
      <c r="S832" s="2"/>
      <c r="T832" s="2"/>
    </row>
    <row r="833" spans="1:20" ht="15.75" customHeight="1">
      <c r="A833" s="1"/>
      <c r="B833" s="2"/>
      <c r="C833" s="2"/>
      <c r="D833" s="2"/>
      <c r="E833" s="2"/>
      <c r="F833" s="2"/>
      <c r="G833" s="2"/>
      <c r="H833" s="2"/>
      <c r="I833" s="2"/>
      <c r="J833" s="2"/>
      <c r="K833" s="2"/>
      <c r="L833" s="2"/>
      <c r="M833" s="2"/>
      <c r="N833" s="2"/>
      <c r="O833" s="2"/>
      <c r="P833" s="2"/>
      <c r="Q833" s="2"/>
      <c r="R833" s="2"/>
      <c r="S833" s="2"/>
      <c r="T833" s="2"/>
    </row>
    <row r="834" spans="1:20" ht="15.75" customHeight="1">
      <c r="A834" s="1"/>
      <c r="B834" s="2"/>
      <c r="C834" s="2"/>
      <c r="D834" s="2"/>
      <c r="E834" s="2"/>
      <c r="F834" s="2"/>
      <c r="G834" s="2"/>
      <c r="H834" s="2"/>
      <c r="I834" s="2"/>
      <c r="J834" s="2"/>
      <c r="K834" s="2"/>
      <c r="L834" s="2"/>
      <c r="M834" s="2"/>
      <c r="N834" s="2"/>
      <c r="O834" s="2"/>
      <c r="P834" s="2"/>
      <c r="Q834" s="2"/>
      <c r="R834" s="2"/>
      <c r="S834" s="2"/>
      <c r="T834" s="2"/>
    </row>
    <row r="835" spans="1:20" ht="15.75" customHeight="1">
      <c r="A835" s="1"/>
      <c r="B835" s="2"/>
      <c r="C835" s="2"/>
      <c r="D835" s="2"/>
      <c r="E835" s="2"/>
      <c r="F835" s="2"/>
      <c r="G835" s="2"/>
      <c r="H835" s="2"/>
      <c r="I835" s="2"/>
      <c r="J835" s="2"/>
      <c r="K835" s="2"/>
      <c r="L835" s="2"/>
      <c r="M835" s="2"/>
      <c r="N835" s="2"/>
      <c r="O835" s="2"/>
      <c r="P835" s="2"/>
      <c r="Q835" s="2"/>
      <c r="R835" s="2"/>
      <c r="S835" s="2"/>
      <c r="T835" s="2"/>
    </row>
    <row r="836" spans="1:20" ht="15.75" customHeight="1">
      <c r="A836" s="1"/>
      <c r="B836" s="2"/>
      <c r="C836" s="2"/>
      <c r="D836" s="2"/>
      <c r="E836" s="2"/>
      <c r="F836" s="2"/>
      <c r="G836" s="2"/>
      <c r="H836" s="2"/>
      <c r="I836" s="2"/>
      <c r="J836" s="2"/>
      <c r="K836" s="2"/>
      <c r="L836" s="2"/>
      <c r="M836" s="2"/>
      <c r="N836" s="2"/>
      <c r="O836" s="2"/>
      <c r="P836" s="2"/>
      <c r="Q836" s="2"/>
      <c r="R836" s="2"/>
      <c r="S836" s="2"/>
      <c r="T836" s="2"/>
    </row>
    <row r="837" spans="1:20" ht="15.75" customHeight="1">
      <c r="A837" s="1"/>
      <c r="B837" s="2"/>
      <c r="C837" s="2"/>
      <c r="D837" s="2"/>
      <c r="E837" s="2"/>
      <c r="F837" s="2"/>
      <c r="G837" s="2"/>
      <c r="H837" s="2"/>
      <c r="I837" s="2"/>
      <c r="J837" s="2"/>
      <c r="K837" s="2"/>
      <c r="L837" s="2"/>
      <c r="M837" s="2"/>
      <c r="N837" s="2"/>
      <c r="O837" s="2"/>
      <c r="P837" s="2"/>
      <c r="Q837" s="2"/>
      <c r="R837" s="2"/>
      <c r="S837" s="2"/>
      <c r="T837" s="2"/>
    </row>
    <row r="838" spans="1:20" ht="15.75" customHeight="1">
      <c r="A838" s="1"/>
      <c r="B838" s="2"/>
      <c r="C838" s="2"/>
      <c r="D838" s="2"/>
      <c r="E838" s="2"/>
      <c r="F838" s="2"/>
      <c r="G838" s="2"/>
      <c r="H838" s="2"/>
      <c r="I838" s="2"/>
      <c r="J838" s="2"/>
      <c r="K838" s="2"/>
      <c r="L838" s="2"/>
      <c r="M838" s="2"/>
      <c r="N838" s="2"/>
      <c r="O838" s="2"/>
      <c r="P838" s="2"/>
      <c r="Q838" s="2"/>
      <c r="R838" s="2"/>
      <c r="S838" s="2"/>
      <c r="T838" s="2"/>
    </row>
    <row r="839" spans="1:20" ht="15.75" customHeight="1">
      <c r="A839" s="1"/>
      <c r="B839" s="2"/>
      <c r="C839" s="2"/>
      <c r="D839" s="2"/>
      <c r="E839" s="2"/>
      <c r="F839" s="2"/>
      <c r="G839" s="2"/>
      <c r="H839" s="2"/>
      <c r="I839" s="2"/>
      <c r="J839" s="2"/>
      <c r="K839" s="2"/>
      <c r="L839" s="2"/>
      <c r="M839" s="2"/>
      <c r="N839" s="2"/>
      <c r="O839" s="2"/>
      <c r="P839" s="2"/>
      <c r="Q839" s="2"/>
      <c r="R839" s="2"/>
      <c r="S839" s="2"/>
      <c r="T839" s="2"/>
    </row>
    <row r="840" spans="1:20" ht="15.75" customHeight="1">
      <c r="A840" s="1"/>
      <c r="B840" s="2"/>
      <c r="C840" s="2"/>
      <c r="D840" s="2"/>
      <c r="E840" s="2"/>
      <c r="F840" s="2"/>
      <c r="G840" s="2"/>
      <c r="H840" s="2"/>
      <c r="I840" s="2"/>
      <c r="J840" s="2"/>
      <c r="K840" s="2"/>
      <c r="L840" s="2"/>
      <c r="M840" s="2"/>
      <c r="N840" s="2"/>
      <c r="O840" s="2"/>
      <c r="P840" s="2"/>
      <c r="Q840" s="2"/>
      <c r="R840" s="2"/>
      <c r="S840" s="2"/>
      <c r="T840" s="2"/>
    </row>
    <row r="841" spans="1:20" ht="15.75" customHeight="1">
      <c r="A841" s="1"/>
      <c r="B841" s="2"/>
      <c r="C841" s="2"/>
      <c r="D841" s="2"/>
      <c r="E841" s="2"/>
      <c r="F841" s="2"/>
      <c r="G841" s="2"/>
      <c r="H841" s="2"/>
      <c r="I841" s="2"/>
      <c r="J841" s="2"/>
      <c r="K841" s="2"/>
      <c r="L841" s="2"/>
      <c r="M841" s="2"/>
      <c r="N841" s="2"/>
      <c r="O841" s="2"/>
      <c r="P841" s="2"/>
      <c r="Q841" s="2"/>
      <c r="R841" s="2"/>
      <c r="S841" s="2"/>
      <c r="T841" s="2"/>
    </row>
    <row r="842" spans="1:20" ht="15.75" customHeight="1">
      <c r="A842" s="1"/>
      <c r="B842" s="2"/>
      <c r="C842" s="2"/>
      <c r="D842" s="2"/>
      <c r="E842" s="2"/>
      <c r="F842" s="2"/>
      <c r="G842" s="2"/>
      <c r="H842" s="2"/>
      <c r="I842" s="2"/>
      <c r="J842" s="2"/>
      <c r="K842" s="2"/>
      <c r="L842" s="2"/>
      <c r="M842" s="2"/>
      <c r="N842" s="2"/>
      <c r="O842" s="2"/>
      <c r="P842" s="2"/>
      <c r="Q842" s="2"/>
      <c r="R842" s="2"/>
      <c r="S842" s="2"/>
      <c r="T842" s="2"/>
    </row>
    <row r="843" spans="1:20" ht="15.75" customHeight="1">
      <c r="A843" s="1"/>
      <c r="B843" s="2"/>
      <c r="C843" s="2"/>
      <c r="D843" s="2"/>
      <c r="E843" s="2"/>
      <c r="F843" s="2"/>
      <c r="G843" s="2"/>
      <c r="H843" s="2"/>
      <c r="I843" s="2"/>
      <c r="J843" s="2"/>
      <c r="K843" s="2"/>
      <c r="L843" s="2"/>
      <c r="M843" s="2"/>
      <c r="N843" s="2"/>
      <c r="O843" s="2"/>
      <c r="P843" s="2"/>
      <c r="Q843" s="2"/>
      <c r="R843" s="2"/>
      <c r="S843" s="2"/>
      <c r="T843" s="2"/>
    </row>
    <row r="844" spans="1:20" ht="15.75" customHeight="1">
      <c r="A844" s="1"/>
      <c r="B844" s="2"/>
      <c r="C844" s="2"/>
      <c r="D844" s="2"/>
      <c r="E844" s="2"/>
      <c r="F844" s="2"/>
      <c r="G844" s="2"/>
      <c r="H844" s="2"/>
      <c r="I844" s="2"/>
      <c r="J844" s="2"/>
      <c r="K844" s="2"/>
      <c r="L844" s="2"/>
      <c r="M844" s="2"/>
      <c r="N844" s="2"/>
      <c r="O844" s="2"/>
      <c r="P844" s="2"/>
      <c r="Q844" s="2"/>
      <c r="R844" s="2"/>
      <c r="S844" s="2"/>
      <c r="T844" s="2"/>
    </row>
    <row r="845" spans="1:20" ht="15.75" customHeight="1">
      <c r="A845" s="1"/>
      <c r="B845" s="2"/>
      <c r="C845" s="2"/>
      <c r="D845" s="2"/>
      <c r="E845" s="2"/>
      <c r="F845" s="2"/>
      <c r="G845" s="2"/>
      <c r="H845" s="2"/>
      <c r="I845" s="2"/>
      <c r="J845" s="2"/>
      <c r="K845" s="2"/>
      <c r="L845" s="2"/>
      <c r="M845" s="2"/>
      <c r="N845" s="2"/>
      <c r="O845" s="2"/>
      <c r="P845" s="2"/>
      <c r="Q845" s="2"/>
      <c r="R845" s="2"/>
      <c r="S845" s="2"/>
      <c r="T845" s="2"/>
    </row>
    <row r="846" spans="1:20" ht="15.75" customHeight="1">
      <c r="A846" s="1"/>
      <c r="B846" s="2"/>
      <c r="C846" s="2"/>
      <c r="D846" s="2"/>
      <c r="E846" s="2"/>
      <c r="F846" s="2"/>
      <c r="G846" s="2"/>
      <c r="H846" s="2"/>
      <c r="I846" s="2"/>
      <c r="J846" s="2"/>
      <c r="K846" s="2"/>
      <c r="L846" s="2"/>
      <c r="M846" s="2"/>
      <c r="N846" s="2"/>
      <c r="O846" s="2"/>
      <c r="P846" s="2"/>
      <c r="Q846" s="2"/>
      <c r="R846" s="2"/>
      <c r="S846" s="2"/>
      <c r="T846" s="2"/>
    </row>
    <row r="847" spans="1:20" ht="15.75" customHeight="1">
      <c r="A847" s="1"/>
      <c r="B847" s="2"/>
      <c r="C847" s="2"/>
      <c r="D847" s="2"/>
      <c r="E847" s="2"/>
      <c r="F847" s="2"/>
      <c r="G847" s="2"/>
      <c r="H847" s="2"/>
      <c r="I847" s="2"/>
      <c r="J847" s="2"/>
      <c r="K847" s="2"/>
      <c r="L847" s="2"/>
      <c r="M847" s="2"/>
      <c r="N847" s="2"/>
      <c r="O847" s="2"/>
      <c r="P847" s="2"/>
      <c r="Q847" s="2"/>
      <c r="R847" s="2"/>
      <c r="S847" s="2"/>
      <c r="T847" s="2"/>
    </row>
    <row r="848" spans="1:20" ht="15.75" customHeight="1">
      <c r="A848" s="1"/>
      <c r="B848" s="2"/>
      <c r="C848" s="2"/>
      <c r="D848" s="2"/>
      <c r="E848" s="2"/>
      <c r="F848" s="2"/>
      <c r="G848" s="2"/>
      <c r="H848" s="2"/>
      <c r="I848" s="2"/>
      <c r="J848" s="2"/>
      <c r="K848" s="2"/>
      <c r="L848" s="2"/>
      <c r="M848" s="2"/>
      <c r="N848" s="2"/>
      <c r="O848" s="2"/>
      <c r="P848" s="2"/>
      <c r="Q848" s="2"/>
      <c r="R848" s="2"/>
      <c r="S848" s="2"/>
      <c r="T848" s="2"/>
    </row>
    <row r="849" spans="1:20" ht="15.75" customHeight="1">
      <c r="A849" s="1"/>
      <c r="B849" s="2"/>
      <c r="C849" s="2"/>
      <c r="D849" s="2"/>
      <c r="E849" s="2"/>
      <c r="F849" s="2"/>
      <c r="G849" s="2"/>
      <c r="H849" s="2"/>
      <c r="I849" s="2"/>
      <c r="J849" s="2"/>
      <c r="K849" s="2"/>
      <c r="L849" s="2"/>
      <c r="M849" s="2"/>
      <c r="N849" s="2"/>
      <c r="O849" s="2"/>
      <c r="P849" s="2"/>
      <c r="Q849" s="2"/>
      <c r="R849" s="2"/>
      <c r="S849" s="2"/>
      <c r="T849" s="2"/>
    </row>
    <row r="850" spans="1:20" ht="15.75" customHeight="1">
      <c r="A850" s="1"/>
      <c r="B850" s="2"/>
      <c r="C850" s="2"/>
      <c r="D850" s="2"/>
      <c r="E850" s="2"/>
      <c r="F850" s="2"/>
      <c r="G850" s="2"/>
      <c r="H850" s="2"/>
      <c r="I850" s="2"/>
      <c r="J850" s="2"/>
      <c r="K850" s="2"/>
      <c r="L850" s="2"/>
      <c r="M850" s="2"/>
      <c r="N850" s="2"/>
      <c r="O850" s="2"/>
      <c r="P850" s="2"/>
      <c r="Q850" s="2"/>
      <c r="R850" s="2"/>
      <c r="S850" s="2"/>
      <c r="T850" s="2"/>
    </row>
    <row r="851" spans="1:20" ht="15.75" customHeight="1">
      <c r="A851" s="1"/>
      <c r="B851" s="2"/>
      <c r="C851" s="2"/>
      <c r="D851" s="2"/>
      <c r="E851" s="2"/>
      <c r="F851" s="2"/>
      <c r="G851" s="2"/>
      <c r="H851" s="2"/>
      <c r="I851" s="2"/>
      <c r="J851" s="2"/>
      <c r="K851" s="2"/>
      <c r="L851" s="2"/>
      <c r="M851" s="2"/>
      <c r="N851" s="2"/>
      <c r="O851" s="2"/>
      <c r="P851" s="2"/>
      <c r="Q851" s="2"/>
      <c r="R851" s="2"/>
      <c r="S851" s="2"/>
      <c r="T851" s="2"/>
    </row>
    <row r="852" spans="1:20" ht="15.75" customHeight="1">
      <c r="A852" s="1"/>
      <c r="B852" s="2"/>
      <c r="C852" s="2"/>
      <c r="D852" s="2"/>
      <c r="E852" s="2"/>
      <c r="F852" s="2"/>
      <c r="G852" s="2"/>
      <c r="H852" s="2"/>
      <c r="I852" s="2"/>
      <c r="J852" s="2"/>
      <c r="K852" s="2"/>
      <c r="L852" s="2"/>
      <c r="M852" s="2"/>
      <c r="N852" s="2"/>
      <c r="O852" s="2"/>
      <c r="P852" s="2"/>
      <c r="Q852" s="2"/>
      <c r="R852" s="2"/>
      <c r="S852" s="2"/>
      <c r="T852" s="2"/>
    </row>
    <row r="853" spans="1:20" ht="15.75" customHeight="1">
      <c r="A853" s="1"/>
      <c r="B853" s="2"/>
      <c r="C853" s="2"/>
      <c r="D853" s="2"/>
      <c r="E853" s="2"/>
      <c r="F853" s="2"/>
      <c r="G853" s="2"/>
      <c r="H853" s="2"/>
      <c r="I853" s="2"/>
      <c r="J853" s="2"/>
      <c r="K853" s="2"/>
      <c r="L853" s="2"/>
      <c r="M853" s="2"/>
      <c r="N853" s="2"/>
      <c r="O853" s="2"/>
      <c r="P853" s="2"/>
      <c r="Q853" s="2"/>
      <c r="R853" s="2"/>
      <c r="S853" s="2"/>
      <c r="T853" s="2"/>
    </row>
    <row r="854" spans="1:20" ht="15.75" customHeight="1">
      <c r="A854" s="1"/>
      <c r="B854" s="2"/>
      <c r="C854" s="2"/>
      <c r="D854" s="2"/>
      <c r="E854" s="2"/>
      <c r="F854" s="2"/>
      <c r="G854" s="2"/>
      <c r="H854" s="2"/>
      <c r="I854" s="2"/>
      <c r="J854" s="2"/>
      <c r="K854" s="2"/>
      <c r="L854" s="2"/>
      <c r="M854" s="2"/>
      <c r="N854" s="2"/>
      <c r="O854" s="2"/>
      <c r="P854" s="2"/>
      <c r="Q854" s="2"/>
      <c r="R854" s="2"/>
      <c r="S854" s="2"/>
      <c r="T854" s="2"/>
    </row>
    <row r="855" spans="1:20" ht="15.75" customHeight="1">
      <c r="A855" s="1"/>
      <c r="B855" s="2"/>
      <c r="C855" s="2"/>
      <c r="D855" s="2"/>
      <c r="E855" s="2"/>
      <c r="F855" s="2"/>
      <c r="G855" s="2"/>
      <c r="H855" s="2"/>
      <c r="I855" s="2"/>
      <c r="J855" s="2"/>
      <c r="K855" s="2"/>
      <c r="L855" s="2"/>
      <c r="M855" s="2"/>
      <c r="N855" s="2"/>
      <c r="O855" s="2"/>
      <c r="P855" s="2"/>
      <c r="Q855" s="2"/>
      <c r="R855" s="2"/>
      <c r="S855" s="2"/>
      <c r="T855" s="2"/>
    </row>
    <row r="856" spans="1:20" ht="15.75" customHeight="1">
      <c r="A856" s="1"/>
      <c r="B856" s="2"/>
      <c r="C856" s="2"/>
      <c r="D856" s="2"/>
      <c r="E856" s="2"/>
      <c r="F856" s="2"/>
      <c r="G856" s="2"/>
      <c r="H856" s="2"/>
      <c r="I856" s="2"/>
      <c r="J856" s="2"/>
      <c r="K856" s="2"/>
      <c r="L856" s="2"/>
      <c r="M856" s="2"/>
      <c r="N856" s="2"/>
      <c r="O856" s="2"/>
      <c r="P856" s="2"/>
      <c r="Q856" s="2"/>
      <c r="R856" s="2"/>
      <c r="S856" s="2"/>
      <c r="T856" s="2"/>
    </row>
    <row r="857" spans="1:20" ht="15.75" customHeight="1">
      <c r="A857" s="1"/>
      <c r="B857" s="2"/>
      <c r="C857" s="2"/>
      <c r="D857" s="2"/>
      <c r="E857" s="2"/>
      <c r="F857" s="2"/>
      <c r="G857" s="2"/>
      <c r="H857" s="2"/>
      <c r="I857" s="2"/>
      <c r="J857" s="2"/>
      <c r="K857" s="2"/>
      <c r="L857" s="2"/>
      <c r="M857" s="2"/>
      <c r="N857" s="2"/>
      <c r="O857" s="2"/>
      <c r="P857" s="2"/>
      <c r="Q857" s="2"/>
      <c r="R857" s="2"/>
      <c r="S857" s="2"/>
      <c r="T857" s="2"/>
    </row>
    <row r="858" spans="1:20" ht="15.75" customHeight="1">
      <c r="A858" s="1"/>
      <c r="B858" s="2"/>
      <c r="C858" s="2"/>
      <c r="D858" s="2"/>
      <c r="E858" s="2"/>
      <c r="F858" s="2"/>
      <c r="G858" s="2"/>
      <c r="H858" s="2"/>
      <c r="I858" s="2"/>
      <c r="J858" s="2"/>
      <c r="K858" s="2"/>
      <c r="L858" s="2"/>
      <c r="M858" s="2"/>
      <c r="N858" s="2"/>
      <c r="O858" s="2"/>
      <c r="P858" s="2"/>
      <c r="Q858" s="2"/>
      <c r="R858" s="2"/>
      <c r="S858" s="2"/>
      <c r="T858" s="2"/>
    </row>
    <row r="859" spans="1:20" ht="15.75" customHeight="1">
      <c r="A859" s="1"/>
      <c r="B859" s="2"/>
      <c r="C859" s="2"/>
      <c r="D859" s="2"/>
      <c r="E859" s="2"/>
      <c r="F859" s="2"/>
      <c r="G859" s="2"/>
      <c r="H859" s="2"/>
      <c r="I859" s="2"/>
      <c r="J859" s="2"/>
      <c r="K859" s="2"/>
      <c r="L859" s="2"/>
      <c r="M859" s="2"/>
      <c r="N859" s="2"/>
      <c r="O859" s="2"/>
      <c r="P859" s="2"/>
      <c r="Q859" s="2"/>
      <c r="R859" s="2"/>
      <c r="S859" s="2"/>
      <c r="T859" s="2"/>
    </row>
    <row r="860" spans="1:20" ht="15.75" customHeight="1">
      <c r="A860" s="1"/>
      <c r="B860" s="2"/>
      <c r="C860" s="2"/>
      <c r="D860" s="2"/>
      <c r="E860" s="2"/>
      <c r="F860" s="2"/>
      <c r="G860" s="2"/>
      <c r="H860" s="2"/>
      <c r="I860" s="2"/>
      <c r="J860" s="2"/>
      <c r="K860" s="2"/>
      <c r="L860" s="2"/>
      <c r="M860" s="2"/>
      <c r="N860" s="2"/>
      <c r="O860" s="2"/>
      <c r="P860" s="2"/>
      <c r="Q860" s="2"/>
      <c r="R860" s="2"/>
      <c r="S860" s="2"/>
      <c r="T860" s="2"/>
    </row>
    <row r="861" spans="1:20" ht="15.75" customHeight="1">
      <c r="A861" s="1"/>
      <c r="B861" s="2"/>
      <c r="C861" s="2"/>
      <c r="D861" s="2"/>
      <c r="E861" s="2"/>
      <c r="F861" s="2"/>
      <c r="G861" s="2"/>
      <c r="H861" s="2"/>
      <c r="I861" s="2"/>
      <c r="J861" s="2"/>
      <c r="K861" s="2"/>
      <c r="L861" s="2"/>
      <c r="M861" s="2"/>
      <c r="N861" s="2"/>
      <c r="O861" s="2"/>
      <c r="P861" s="2"/>
      <c r="Q861" s="2"/>
      <c r="R861" s="2"/>
      <c r="S861" s="2"/>
      <c r="T861" s="2"/>
    </row>
    <row r="862" spans="1:20" ht="15.75" customHeight="1">
      <c r="A862" s="1"/>
      <c r="B862" s="2"/>
      <c r="C862" s="2"/>
      <c r="D862" s="2"/>
      <c r="E862" s="2"/>
      <c r="F862" s="2"/>
      <c r="G862" s="2"/>
      <c r="H862" s="2"/>
      <c r="I862" s="2"/>
      <c r="J862" s="2"/>
      <c r="K862" s="2"/>
      <c r="L862" s="2"/>
      <c r="M862" s="2"/>
      <c r="N862" s="2"/>
      <c r="O862" s="2"/>
      <c r="P862" s="2"/>
      <c r="Q862" s="2"/>
      <c r="R862" s="2"/>
      <c r="S862" s="2"/>
      <c r="T862" s="2"/>
    </row>
    <row r="863" spans="1:20" ht="15.75" customHeight="1">
      <c r="A863" s="1"/>
      <c r="B863" s="2"/>
      <c r="C863" s="2"/>
      <c r="D863" s="2"/>
      <c r="E863" s="2"/>
      <c r="F863" s="2"/>
      <c r="G863" s="2"/>
      <c r="H863" s="2"/>
      <c r="I863" s="2"/>
      <c r="J863" s="2"/>
      <c r="K863" s="2"/>
      <c r="L863" s="2"/>
      <c r="M863" s="2"/>
      <c r="N863" s="2"/>
      <c r="O863" s="2"/>
      <c r="P863" s="2"/>
      <c r="Q863" s="2"/>
      <c r="R863" s="2"/>
      <c r="S863" s="2"/>
      <c r="T863" s="2"/>
    </row>
    <row r="864" spans="1:20" ht="15.75" customHeight="1">
      <c r="A864" s="1"/>
      <c r="B864" s="2"/>
      <c r="C864" s="2"/>
      <c r="D864" s="2"/>
      <c r="E864" s="2"/>
      <c r="F864" s="2"/>
      <c r="G864" s="2"/>
      <c r="H864" s="2"/>
      <c r="I864" s="2"/>
      <c r="J864" s="2"/>
      <c r="K864" s="2"/>
      <c r="L864" s="2"/>
      <c r="M864" s="2"/>
      <c r="N864" s="2"/>
      <c r="O864" s="2"/>
      <c r="P864" s="2"/>
      <c r="Q864" s="2"/>
      <c r="R864" s="2"/>
      <c r="S864" s="2"/>
      <c r="T864" s="2"/>
    </row>
    <row r="865" spans="1:20" ht="15.75" customHeight="1">
      <c r="A865" s="1"/>
      <c r="B865" s="2"/>
      <c r="C865" s="2"/>
      <c r="D865" s="2"/>
      <c r="E865" s="2"/>
      <c r="F865" s="2"/>
      <c r="G865" s="2"/>
      <c r="H865" s="2"/>
      <c r="I865" s="2"/>
      <c r="J865" s="2"/>
      <c r="K865" s="2"/>
      <c r="L865" s="2"/>
      <c r="M865" s="2"/>
      <c r="N865" s="2"/>
      <c r="O865" s="2"/>
      <c r="P865" s="2"/>
      <c r="Q865" s="2"/>
      <c r="R865" s="2"/>
      <c r="S865" s="2"/>
      <c r="T865" s="2"/>
    </row>
    <row r="866" spans="1:20" ht="15.75" customHeight="1">
      <c r="A866" s="1"/>
      <c r="B866" s="2"/>
      <c r="C866" s="2"/>
      <c r="D866" s="2"/>
      <c r="E866" s="2"/>
      <c r="F866" s="2"/>
      <c r="G866" s="2"/>
      <c r="H866" s="2"/>
      <c r="I866" s="2"/>
      <c r="J866" s="2"/>
      <c r="K866" s="2"/>
      <c r="L866" s="2"/>
      <c r="M866" s="2"/>
      <c r="N866" s="2"/>
      <c r="O866" s="2"/>
      <c r="P866" s="2"/>
      <c r="Q866" s="2"/>
      <c r="R866" s="2"/>
      <c r="S866" s="2"/>
      <c r="T866" s="2"/>
    </row>
    <row r="867" spans="1:20" ht="15.75" customHeight="1">
      <c r="A867" s="1"/>
      <c r="B867" s="2"/>
      <c r="C867" s="2"/>
      <c r="D867" s="2"/>
      <c r="E867" s="2"/>
      <c r="F867" s="2"/>
      <c r="G867" s="2"/>
      <c r="H867" s="2"/>
      <c r="I867" s="2"/>
      <c r="J867" s="2"/>
      <c r="K867" s="2"/>
      <c r="L867" s="2"/>
      <c r="M867" s="2"/>
      <c r="N867" s="2"/>
      <c r="O867" s="2"/>
      <c r="P867" s="2"/>
      <c r="Q867" s="2"/>
      <c r="R867" s="2"/>
      <c r="S867" s="2"/>
      <c r="T867" s="2"/>
    </row>
    <row r="868" spans="1:20" ht="15.75" customHeight="1">
      <c r="A868" s="1"/>
      <c r="B868" s="2"/>
      <c r="C868" s="2"/>
      <c r="D868" s="2"/>
      <c r="E868" s="2"/>
      <c r="F868" s="2"/>
      <c r="G868" s="2"/>
      <c r="H868" s="2"/>
      <c r="I868" s="2"/>
      <c r="J868" s="2"/>
      <c r="K868" s="2"/>
      <c r="L868" s="2"/>
      <c r="M868" s="2"/>
      <c r="N868" s="2"/>
      <c r="O868" s="2"/>
      <c r="P868" s="2"/>
      <c r="Q868" s="2"/>
      <c r="R868" s="2"/>
      <c r="S868" s="2"/>
      <c r="T868" s="2"/>
    </row>
    <row r="869" spans="1:20" ht="15.75" customHeight="1">
      <c r="A869" s="1"/>
      <c r="B869" s="2"/>
      <c r="C869" s="2"/>
      <c r="D869" s="2"/>
      <c r="E869" s="2"/>
      <c r="F869" s="2"/>
      <c r="G869" s="2"/>
      <c r="H869" s="2"/>
      <c r="I869" s="2"/>
      <c r="J869" s="2"/>
      <c r="K869" s="2"/>
      <c r="L869" s="2"/>
      <c r="M869" s="2"/>
      <c r="N869" s="2"/>
      <c r="O869" s="2"/>
      <c r="P869" s="2"/>
      <c r="Q869" s="2"/>
      <c r="R869" s="2"/>
      <c r="S869" s="2"/>
      <c r="T869" s="2"/>
    </row>
    <row r="870" spans="1:20" ht="15.75" customHeight="1">
      <c r="A870" s="1"/>
      <c r="B870" s="2"/>
      <c r="C870" s="2"/>
      <c r="D870" s="2"/>
      <c r="E870" s="2"/>
      <c r="F870" s="2"/>
      <c r="G870" s="2"/>
      <c r="H870" s="2"/>
      <c r="I870" s="2"/>
      <c r="J870" s="2"/>
      <c r="K870" s="2"/>
      <c r="L870" s="2"/>
      <c r="M870" s="2"/>
      <c r="N870" s="2"/>
      <c r="O870" s="2"/>
      <c r="P870" s="2"/>
      <c r="Q870" s="2"/>
      <c r="R870" s="2"/>
      <c r="S870" s="2"/>
      <c r="T870" s="2"/>
    </row>
    <row r="871" spans="1:20" ht="15.75" customHeight="1">
      <c r="A871" s="1"/>
      <c r="B871" s="2"/>
      <c r="C871" s="2"/>
      <c r="D871" s="2"/>
      <c r="E871" s="2"/>
      <c r="F871" s="2"/>
      <c r="G871" s="2"/>
      <c r="H871" s="2"/>
      <c r="I871" s="2"/>
      <c r="J871" s="2"/>
      <c r="K871" s="2"/>
      <c r="L871" s="2"/>
      <c r="M871" s="2"/>
      <c r="N871" s="2"/>
      <c r="O871" s="2"/>
      <c r="P871" s="2"/>
      <c r="Q871" s="2"/>
      <c r="R871" s="2"/>
      <c r="S871" s="2"/>
      <c r="T871" s="2"/>
    </row>
    <row r="872" spans="1:20" ht="15.75" customHeight="1">
      <c r="A872" s="1"/>
      <c r="B872" s="2"/>
      <c r="C872" s="2"/>
      <c r="D872" s="2"/>
      <c r="E872" s="2"/>
      <c r="F872" s="2"/>
      <c r="G872" s="2"/>
      <c r="H872" s="2"/>
      <c r="I872" s="2"/>
      <c r="J872" s="2"/>
      <c r="K872" s="2"/>
      <c r="L872" s="2"/>
      <c r="M872" s="2"/>
      <c r="N872" s="2"/>
      <c r="O872" s="2"/>
      <c r="P872" s="2"/>
      <c r="Q872" s="2"/>
      <c r="R872" s="2"/>
      <c r="S872" s="2"/>
      <c r="T872" s="2"/>
    </row>
    <row r="873" spans="1:20" ht="15.75" customHeight="1">
      <c r="A873" s="1"/>
      <c r="B873" s="2"/>
      <c r="C873" s="2"/>
      <c r="D873" s="2"/>
      <c r="E873" s="2"/>
      <c r="F873" s="2"/>
      <c r="G873" s="2"/>
      <c r="H873" s="2"/>
      <c r="I873" s="2"/>
      <c r="J873" s="2"/>
      <c r="K873" s="2"/>
      <c r="L873" s="2"/>
      <c r="M873" s="2"/>
      <c r="N873" s="2"/>
      <c r="O873" s="2"/>
      <c r="P873" s="2"/>
      <c r="Q873" s="2"/>
      <c r="R873" s="2"/>
      <c r="S873" s="2"/>
      <c r="T873" s="2"/>
    </row>
    <row r="874" spans="1:20" ht="15.75" customHeight="1">
      <c r="A874" s="1"/>
      <c r="B874" s="2"/>
      <c r="C874" s="2"/>
      <c r="D874" s="2"/>
      <c r="E874" s="2"/>
      <c r="F874" s="2"/>
      <c r="G874" s="2"/>
      <c r="H874" s="2"/>
      <c r="I874" s="2"/>
      <c r="J874" s="2"/>
      <c r="K874" s="2"/>
      <c r="L874" s="2"/>
      <c r="M874" s="2"/>
      <c r="N874" s="2"/>
      <c r="O874" s="2"/>
      <c r="P874" s="2"/>
      <c r="Q874" s="2"/>
      <c r="R874" s="2"/>
      <c r="S874" s="2"/>
      <c r="T874" s="2"/>
    </row>
    <row r="875" spans="1:20" ht="15.75" customHeight="1">
      <c r="A875" s="1"/>
      <c r="B875" s="2"/>
      <c r="C875" s="2"/>
      <c r="D875" s="2"/>
      <c r="E875" s="2"/>
      <c r="F875" s="2"/>
      <c r="G875" s="2"/>
      <c r="H875" s="2"/>
      <c r="I875" s="2"/>
      <c r="J875" s="2"/>
      <c r="K875" s="2"/>
      <c r="L875" s="2"/>
      <c r="M875" s="2"/>
      <c r="N875" s="2"/>
      <c r="O875" s="2"/>
      <c r="P875" s="2"/>
      <c r="Q875" s="2"/>
      <c r="R875" s="2"/>
      <c r="S875" s="2"/>
      <c r="T875" s="2"/>
    </row>
    <row r="876" spans="1:20" ht="15.75" customHeight="1">
      <c r="A876" s="1"/>
      <c r="B876" s="2"/>
      <c r="C876" s="2"/>
      <c r="D876" s="2"/>
      <c r="E876" s="2"/>
      <c r="F876" s="2"/>
      <c r="G876" s="2"/>
      <c r="H876" s="2"/>
      <c r="I876" s="2"/>
      <c r="J876" s="2"/>
      <c r="K876" s="2"/>
      <c r="L876" s="2"/>
      <c r="M876" s="2"/>
      <c r="N876" s="2"/>
      <c r="O876" s="2"/>
      <c r="P876" s="2"/>
      <c r="Q876" s="2"/>
      <c r="R876" s="2"/>
      <c r="S876" s="2"/>
      <c r="T876" s="2"/>
    </row>
    <row r="877" spans="1:20" ht="15.75" customHeight="1">
      <c r="A877" s="1"/>
      <c r="B877" s="2"/>
      <c r="C877" s="2"/>
      <c r="D877" s="2"/>
      <c r="E877" s="2"/>
      <c r="F877" s="2"/>
      <c r="G877" s="2"/>
      <c r="H877" s="2"/>
      <c r="I877" s="2"/>
      <c r="J877" s="2"/>
      <c r="K877" s="2"/>
      <c r="L877" s="2"/>
      <c r="M877" s="2"/>
      <c r="N877" s="2"/>
      <c r="O877" s="2"/>
      <c r="P877" s="2"/>
      <c r="Q877" s="2"/>
      <c r="R877" s="2"/>
      <c r="S877" s="2"/>
      <c r="T877" s="2"/>
    </row>
    <row r="878" spans="1:20" ht="15.75" customHeight="1">
      <c r="A878" s="1"/>
      <c r="B878" s="2"/>
      <c r="C878" s="2"/>
      <c r="D878" s="2"/>
      <c r="E878" s="2"/>
      <c r="F878" s="2"/>
      <c r="G878" s="2"/>
      <c r="H878" s="2"/>
      <c r="I878" s="2"/>
      <c r="J878" s="2"/>
      <c r="K878" s="2"/>
      <c r="L878" s="2"/>
      <c r="M878" s="2"/>
      <c r="N878" s="2"/>
      <c r="O878" s="2"/>
      <c r="P878" s="2"/>
      <c r="Q878" s="2"/>
      <c r="R878" s="2"/>
      <c r="S878" s="2"/>
      <c r="T878" s="2"/>
    </row>
    <row r="879" spans="1:20" ht="15.75" customHeight="1">
      <c r="A879" s="1"/>
      <c r="B879" s="2"/>
      <c r="C879" s="2"/>
      <c r="D879" s="2"/>
      <c r="E879" s="2"/>
      <c r="F879" s="2"/>
      <c r="G879" s="2"/>
      <c r="H879" s="2"/>
      <c r="I879" s="2"/>
      <c r="J879" s="2"/>
      <c r="K879" s="2"/>
      <c r="L879" s="2"/>
      <c r="M879" s="2"/>
      <c r="N879" s="2"/>
      <c r="O879" s="2"/>
      <c r="P879" s="2"/>
      <c r="Q879" s="2"/>
      <c r="R879" s="2"/>
      <c r="S879" s="2"/>
      <c r="T879" s="2"/>
    </row>
    <row r="880" spans="1:20" ht="15.75" customHeight="1">
      <c r="A880" s="1"/>
      <c r="B880" s="2"/>
      <c r="C880" s="2"/>
      <c r="D880" s="2"/>
      <c r="E880" s="2"/>
      <c r="F880" s="2"/>
      <c r="G880" s="2"/>
      <c r="H880" s="2"/>
      <c r="I880" s="2"/>
      <c r="J880" s="2"/>
      <c r="K880" s="2"/>
      <c r="L880" s="2"/>
      <c r="M880" s="2"/>
      <c r="N880" s="2"/>
      <c r="O880" s="2"/>
      <c r="P880" s="2"/>
      <c r="Q880" s="2"/>
      <c r="R880" s="2"/>
      <c r="S880" s="2"/>
      <c r="T880" s="2"/>
    </row>
    <row r="881" spans="1:20" ht="15.75" customHeight="1">
      <c r="A881" s="1"/>
      <c r="B881" s="2"/>
      <c r="C881" s="2"/>
      <c r="D881" s="2"/>
      <c r="E881" s="2"/>
      <c r="F881" s="2"/>
      <c r="G881" s="2"/>
      <c r="H881" s="2"/>
      <c r="I881" s="2"/>
      <c r="J881" s="2"/>
      <c r="K881" s="2"/>
      <c r="L881" s="2"/>
      <c r="M881" s="2"/>
      <c r="N881" s="2"/>
      <c r="O881" s="2"/>
      <c r="P881" s="2"/>
      <c r="Q881" s="2"/>
      <c r="R881" s="2"/>
      <c r="S881" s="2"/>
      <c r="T881" s="2"/>
    </row>
    <row r="882" spans="1:20" ht="15.75" customHeight="1">
      <c r="A882" s="1"/>
      <c r="B882" s="2"/>
      <c r="C882" s="2"/>
      <c r="D882" s="2"/>
      <c r="E882" s="2"/>
      <c r="F882" s="2"/>
      <c r="G882" s="2"/>
      <c r="H882" s="2"/>
      <c r="I882" s="2"/>
      <c r="J882" s="2"/>
      <c r="K882" s="2"/>
      <c r="L882" s="2"/>
      <c r="M882" s="2"/>
      <c r="N882" s="2"/>
      <c r="O882" s="2"/>
      <c r="P882" s="2"/>
      <c r="Q882" s="2"/>
      <c r="R882" s="2"/>
      <c r="S882" s="2"/>
      <c r="T882" s="2"/>
    </row>
    <row r="883" spans="1:20" ht="15.75" customHeight="1">
      <c r="A883" s="1"/>
      <c r="B883" s="2"/>
      <c r="C883" s="2"/>
      <c r="D883" s="2"/>
      <c r="E883" s="2"/>
      <c r="F883" s="2"/>
      <c r="G883" s="2"/>
      <c r="H883" s="2"/>
      <c r="I883" s="2"/>
      <c r="J883" s="2"/>
      <c r="K883" s="2"/>
      <c r="L883" s="2"/>
      <c r="M883" s="2"/>
      <c r="N883" s="2"/>
      <c r="O883" s="2"/>
      <c r="P883" s="2"/>
      <c r="Q883" s="2"/>
      <c r="R883" s="2"/>
      <c r="S883" s="2"/>
      <c r="T883" s="2"/>
    </row>
    <row r="884" spans="1:20" ht="15.75" customHeight="1">
      <c r="A884" s="1"/>
      <c r="B884" s="2"/>
      <c r="C884" s="2"/>
      <c r="D884" s="2"/>
      <c r="E884" s="2"/>
      <c r="F884" s="2"/>
      <c r="G884" s="2"/>
      <c r="H884" s="2"/>
      <c r="I884" s="2"/>
      <c r="J884" s="2"/>
      <c r="K884" s="2"/>
      <c r="L884" s="2"/>
      <c r="M884" s="2"/>
      <c r="N884" s="2"/>
      <c r="O884" s="2"/>
      <c r="P884" s="2"/>
      <c r="Q884" s="2"/>
      <c r="R884" s="2"/>
      <c r="S884" s="2"/>
      <c r="T884" s="2"/>
    </row>
    <row r="885" spans="1:20" ht="15.75" customHeight="1">
      <c r="A885" s="1"/>
      <c r="B885" s="2"/>
      <c r="C885" s="2"/>
      <c r="D885" s="2"/>
      <c r="E885" s="2"/>
      <c r="F885" s="2"/>
      <c r="G885" s="2"/>
      <c r="H885" s="2"/>
      <c r="I885" s="2"/>
      <c r="J885" s="2"/>
      <c r="K885" s="2"/>
      <c r="L885" s="2"/>
      <c r="M885" s="2"/>
      <c r="N885" s="2"/>
      <c r="O885" s="2"/>
      <c r="P885" s="2"/>
      <c r="Q885" s="2"/>
      <c r="R885" s="2"/>
      <c r="S885" s="2"/>
      <c r="T885" s="2"/>
    </row>
    <row r="886" spans="1:20" ht="15.75" customHeight="1">
      <c r="A886" s="1"/>
      <c r="B886" s="2"/>
      <c r="C886" s="2"/>
      <c r="D886" s="2"/>
      <c r="E886" s="2"/>
      <c r="F886" s="2"/>
      <c r="G886" s="2"/>
      <c r="H886" s="2"/>
      <c r="I886" s="2"/>
      <c r="J886" s="2"/>
      <c r="K886" s="2"/>
      <c r="L886" s="2"/>
      <c r="M886" s="2"/>
      <c r="N886" s="2"/>
      <c r="O886" s="2"/>
      <c r="P886" s="2"/>
      <c r="Q886" s="2"/>
      <c r="R886" s="2"/>
      <c r="S886" s="2"/>
      <c r="T886" s="2"/>
    </row>
    <row r="887" spans="1:20" ht="15.75" customHeight="1">
      <c r="A887" s="1"/>
      <c r="B887" s="2"/>
      <c r="C887" s="2"/>
      <c r="D887" s="2"/>
      <c r="E887" s="2"/>
      <c r="F887" s="2"/>
      <c r="G887" s="2"/>
      <c r="H887" s="2"/>
      <c r="I887" s="2"/>
      <c r="J887" s="2"/>
      <c r="K887" s="2"/>
      <c r="L887" s="2"/>
      <c r="M887" s="2"/>
      <c r="N887" s="2"/>
      <c r="O887" s="2"/>
      <c r="P887" s="2"/>
      <c r="Q887" s="2"/>
      <c r="R887" s="2"/>
      <c r="S887" s="2"/>
      <c r="T887" s="2"/>
    </row>
    <row r="888" spans="1:20" ht="15.75" customHeight="1">
      <c r="A888" s="1"/>
      <c r="B888" s="2"/>
      <c r="C888" s="2"/>
      <c r="D888" s="2"/>
      <c r="E888" s="2"/>
      <c r="F888" s="2"/>
      <c r="G888" s="2"/>
      <c r="H888" s="2"/>
      <c r="I888" s="2"/>
      <c r="J888" s="2"/>
      <c r="K888" s="2"/>
      <c r="L888" s="2"/>
      <c r="M888" s="2"/>
      <c r="N888" s="2"/>
      <c r="O888" s="2"/>
      <c r="P888" s="2"/>
      <c r="Q888" s="2"/>
      <c r="R888" s="2"/>
      <c r="S888" s="2"/>
      <c r="T888" s="2"/>
    </row>
    <row r="889" spans="1:20" ht="15.75" customHeight="1">
      <c r="A889" s="1"/>
      <c r="B889" s="2"/>
      <c r="C889" s="2"/>
      <c r="D889" s="2"/>
      <c r="E889" s="2"/>
      <c r="F889" s="2"/>
      <c r="G889" s="2"/>
      <c r="H889" s="2"/>
      <c r="I889" s="2"/>
      <c r="J889" s="2"/>
      <c r="K889" s="2"/>
      <c r="L889" s="2"/>
      <c r="M889" s="2"/>
      <c r="N889" s="2"/>
      <c r="O889" s="2"/>
      <c r="P889" s="2"/>
      <c r="Q889" s="2"/>
      <c r="R889" s="2"/>
      <c r="S889" s="2"/>
      <c r="T889" s="2"/>
    </row>
    <row r="890" spans="1:20" ht="15.75" customHeight="1">
      <c r="A890" s="1"/>
      <c r="B890" s="2"/>
      <c r="C890" s="2"/>
      <c r="D890" s="2"/>
      <c r="E890" s="2"/>
      <c r="F890" s="2"/>
      <c r="G890" s="2"/>
      <c r="H890" s="2"/>
      <c r="I890" s="2"/>
      <c r="J890" s="2"/>
      <c r="K890" s="2"/>
      <c r="L890" s="2"/>
      <c r="M890" s="2"/>
      <c r="N890" s="2"/>
      <c r="O890" s="2"/>
      <c r="P890" s="2"/>
      <c r="Q890" s="2"/>
      <c r="R890" s="2"/>
      <c r="S890" s="2"/>
      <c r="T890" s="2"/>
    </row>
    <row r="891" spans="1:20" ht="15.75" customHeight="1">
      <c r="A891" s="1"/>
      <c r="B891" s="2"/>
      <c r="C891" s="2"/>
      <c r="D891" s="2"/>
      <c r="E891" s="2"/>
      <c r="F891" s="2"/>
      <c r="G891" s="2"/>
      <c r="H891" s="2"/>
      <c r="I891" s="2"/>
      <c r="J891" s="2"/>
      <c r="K891" s="2"/>
      <c r="L891" s="2"/>
      <c r="M891" s="2"/>
      <c r="N891" s="2"/>
      <c r="O891" s="2"/>
      <c r="P891" s="2"/>
      <c r="Q891" s="2"/>
      <c r="R891" s="2"/>
      <c r="S891" s="2"/>
      <c r="T891" s="2"/>
    </row>
    <row r="892" spans="1:20" ht="15.75" customHeight="1">
      <c r="A892" s="1"/>
      <c r="B892" s="2"/>
      <c r="C892" s="2"/>
      <c r="D892" s="2"/>
      <c r="E892" s="2"/>
      <c r="F892" s="2"/>
      <c r="G892" s="2"/>
      <c r="H892" s="2"/>
      <c r="I892" s="2"/>
      <c r="J892" s="2"/>
      <c r="K892" s="2"/>
      <c r="L892" s="2"/>
      <c r="M892" s="2"/>
      <c r="N892" s="2"/>
      <c r="O892" s="2"/>
      <c r="P892" s="2"/>
      <c r="Q892" s="2"/>
      <c r="R892" s="2"/>
      <c r="S892" s="2"/>
      <c r="T892" s="2"/>
    </row>
    <row r="893" spans="1:20" ht="15.75" customHeight="1">
      <c r="A893" s="1"/>
      <c r="B893" s="2"/>
      <c r="C893" s="2"/>
      <c r="D893" s="2"/>
      <c r="E893" s="2"/>
      <c r="F893" s="2"/>
      <c r="G893" s="2"/>
      <c r="H893" s="2"/>
      <c r="I893" s="2"/>
      <c r="J893" s="2"/>
      <c r="K893" s="2"/>
      <c r="L893" s="2"/>
      <c r="M893" s="2"/>
      <c r="N893" s="2"/>
      <c r="O893" s="2"/>
      <c r="P893" s="2"/>
      <c r="Q893" s="2"/>
      <c r="R893" s="2"/>
      <c r="S893" s="2"/>
      <c r="T893" s="2"/>
    </row>
    <row r="894" spans="1:20" ht="15.75" customHeight="1">
      <c r="A894" s="1"/>
      <c r="B894" s="2"/>
      <c r="C894" s="2"/>
      <c r="D894" s="2"/>
      <c r="E894" s="2"/>
      <c r="F894" s="2"/>
      <c r="G894" s="2"/>
      <c r="H894" s="2"/>
      <c r="I894" s="2"/>
      <c r="J894" s="2"/>
      <c r="K894" s="2"/>
      <c r="L894" s="2"/>
      <c r="M894" s="2"/>
      <c r="N894" s="2"/>
      <c r="O894" s="2"/>
      <c r="P894" s="2"/>
      <c r="Q894" s="2"/>
      <c r="R894" s="2"/>
      <c r="S894" s="2"/>
      <c r="T894" s="2"/>
    </row>
    <row r="895" spans="1:20" ht="15.75" customHeight="1">
      <c r="A895" s="1"/>
      <c r="B895" s="2"/>
      <c r="C895" s="2"/>
      <c r="D895" s="2"/>
      <c r="E895" s="2"/>
      <c r="F895" s="2"/>
      <c r="G895" s="2"/>
      <c r="H895" s="2"/>
      <c r="I895" s="2"/>
      <c r="J895" s="2"/>
      <c r="K895" s="2"/>
      <c r="L895" s="2"/>
      <c r="M895" s="2"/>
      <c r="N895" s="2"/>
      <c r="O895" s="2"/>
      <c r="P895" s="2"/>
      <c r="Q895" s="2"/>
      <c r="R895" s="2"/>
      <c r="S895" s="2"/>
      <c r="T895" s="2"/>
    </row>
    <row r="896" spans="1:20" ht="15.75" customHeight="1">
      <c r="A896" s="1"/>
      <c r="B896" s="2"/>
      <c r="C896" s="2"/>
      <c r="D896" s="2"/>
      <c r="E896" s="2"/>
      <c r="F896" s="2"/>
      <c r="G896" s="2"/>
      <c r="H896" s="2"/>
      <c r="I896" s="2"/>
      <c r="J896" s="2"/>
      <c r="K896" s="2"/>
      <c r="L896" s="2"/>
      <c r="M896" s="2"/>
      <c r="N896" s="2"/>
      <c r="O896" s="2"/>
      <c r="P896" s="2"/>
      <c r="Q896" s="2"/>
      <c r="R896" s="2"/>
      <c r="S896" s="2"/>
      <c r="T896" s="2"/>
    </row>
    <row r="897" spans="1:20" ht="15.75" customHeight="1">
      <c r="A897" s="1"/>
      <c r="B897" s="2"/>
      <c r="C897" s="2"/>
      <c r="D897" s="2"/>
      <c r="E897" s="2"/>
      <c r="F897" s="2"/>
      <c r="G897" s="2"/>
      <c r="H897" s="2"/>
      <c r="I897" s="2"/>
      <c r="J897" s="2"/>
      <c r="K897" s="2"/>
      <c r="L897" s="2"/>
      <c r="M897" s="2"/>
      <c r="N897" s="2"/>
      <c r="O897" s="2"/>
      <c r="P897" s="2"/>
      <c r="Q897" s="2"/>
      <c r="R897" s="2"/>
      <c r="S897" s="2"/>
      <c r="T897" s="2"/>
    </row>
    <row r="898" spans="1:20" ht="15.75" customHeight="1">
      <c r="A898" s="1"/>
      <c r="B898" s="2"/>
      <c r="C898" s="2"/>
      <c r="D898" s="2"/>
      <c r="E898" s="2"/>
      <c r="F898" s="2"/>
      <c r="G898" s="2"/>
      <c r="H898" s="2"/>
      <c r="I898" s="2"/>
      <c r="J898" s="2"/>
      <c r="K898" s="2"/>
      <c r="L898" s="2"/>
      <c r="M898" s="2"/>
      <c r="N898" s="2"/>
      <c r="O898" s="2"/>
      <c r="P898" s="2"/>
      <c r="Q898" s="2"/>
      <c r="R898" s="2"/>
      <c r="S898" s="2"/>
      <c r="T898" s="2"/>
    </row>
    <row r="899" spans="1:20" ht="15.75" customHeight="1">
      <c r="A899" s="1"/>
      <c r="B899" s="2"/>
      <c r="C899" s="2"/>
      <c r="D899" s="2"/>
      <c r="E899" s="2"/>
      <c r="F899" s="2"/>
      <c r="G899" s="2"/>
      <c r="H899" s="2"/>
      <c r="I899" s="2"/>
      <c r="J899" s="2"/>
      <c r="K899" s="2"/>
      <c r="L899" s="2"/>
      <c r="M899" s="2"/>
      <c r="N899" s="2"/>
      <c r="O899" s="2"/>
      <c r="P899" s="2"/>
      <c r="Q899" s="2"/>
      <c r="R899" s="2"/>
      <c r="S899" s="2"/>
      <c r="T899" s="2"/>
    </row>
    <row r="900" spans="1:20" ht="15.75" customHeight="1">
      <c r="A900" s="1"/>
      <c r="B900" s="2"/>
      <c r="C900" s="2"/>
      <c r="D900" s="2"/>
      <c r="E900" s="2"/>
      <c r="F900" s="2"/>
      <c r="G900" s="2"/>
      <c r="H900" s="2"/>
      <c r="I900" s="2"/>
      <c r="J900" s="2"/>
      <c r="K900" s="2"/>
      <c r="L900" s="2"/>
      <c r="M900" s="2"/>
      <c r="N900" s="2"/>
      <c r="O900" s="2"/>
      <c r="P900" s="2"/>
      <c r="Q900" s="2"/>
      <c r="R900" s="2"/>
      <c r="S900" s="2"/>
      <c r="T900" s="2"/>
    </row>
    <row r="901" spans="1:20" ht="15.75" customHeight="1">
      <c r="A901" s="1"/>
      <c r="B901" s="2"/>
      <c r="C901" s="2"/>
      <c r="D901" s="2"/>
      <c r="E901" s="2"/>
      <c r="F901" s="2"/>
      <c r="G901" s="2"/>
      <c r="H901" s="2"/>
      <c r="I901" s="2"/>
      <c r="J901" s="2"/>
      <c r="K901" s="2"/>
      <c r="L901" s="2"/>
      <c r="M901" s="2"/>
      <c r="N901" s="2"/>
      <c r="O901" s="2"/>
      <c r="P901" s="2"/>
      <c r="Q901" s="2"/>
      <c r="R901" s="2"/>
      <c r="S901" s="2"/>
      <c r="T901" s="2"/>
    </row>
    <row r="902" spans="1:20" ht="15.75" customHeight="1">
      <c r="A902" s="1"/>
      <c r="B902" s="2"/>
      <c r="C902" s="2"/>
      <c r="D902" s="2"/>
      <c r="E902" s="2"/>
      <c r="F902" s="2"/>
      <c r="G902" s="2"/>
      <c r="H902" s="2"/>
      <c r="I902" s="2"/>
      <c r="J902" s="2"/>
      <c r="K902" s="2"/>
      <c r="L902" s="2"/>
      <c r="M902" s="2"/>
      <c r="N902" s="2"/>
      <c r="O902" s="2"/>
      <c r="P902" s="2"/>
      <c r="Q902" s="2"/>
      <c r="R902" s="2"/>
      <c r="S902" s="2"/>
      <c r="T902" s="2"/>
    </row>
    <row r="903" spans="1:20" ht="15.75" customHeight="1">
      <c r="A903" s="1"/>
      <c r="B903" s="2"/>
      <c r="C903" s="2"/>
      <c r="D903" s="2"/>
      <c r="E903" s="2"/>
      <c r="F903" s="2"/>
      <c r="G903" s="2"/>
      <c r="H903" s="2"/>
      <c r="I903" s="2"/>
      <c r="J903" s="2"/>
      <c r="K903" s="2"/>
      <c r="L903" s="2"/>
      <c r="M903" s="2"/>
      <c r="N903" s="2"/>
      <c r="O903" s="2"/>
      <c r="P903" s="2"/>
      <c r="Q903" s="2"/>
      <c r="R903" s="2"/>
      <c r="S903" s="2"/>
      <c r="T903" s="2"/>
    </row>
    <row r="904" spans="1:20" ht="15.75" customHeight="1">
      <c r="A904" s="1"/>
      <c r="B904" s="2"/>
      <c r="C904" s="2"/>
      <c r="D904" s="2"/>
      <c r="E904" s="2"/>
      <c r="F904" s="2"/>
      <c r="G904" s="2"/>
      <c r="H904" s="2"/>
      <c r="I904" s="2"/>
      <c r="J904" s="2"/>
      <c r="K904" s="2"/>
      <c r="L904" s="2"/>
      <c r="M904" s="2"/>
      <c r="N904" s="2"/>
      <c r="O904" s="2"/>
      <c r="P904" s="2"/>
      <c r="Q904" s="2"/>
      <c r="R904" s="2"/>
      <c r="S904" s="2"/>
      <c r="T904" s="2"/>
    </row>
    <row r="905" spans="1:20" ht="15.75" customHeight="1">
      <c r="A905" s="1"/>
      <c r="B905" s="2"/>
      <c r="C905" s="2"/>
      <c r="D905" s="2"/>
      <c r="E905" s="2"/>
      <c r="F905" s="2"/>
      <c r="G905" s="2"/>
      <c r="H905" s="2"/>
      <c r="I905" s="2"/>
      <c r="J905" s="2"/>
      <c r="K905" s="2"/>
      <c r="L905" s="2"/>
      <c r="M905" s="2"/>
      <c r="N905" s="2"/>
      <c r="O905" s="2"/>
      <c r="P905" s="2"/>
      <c r="Q905" s="2"/>
      <c r="R905" s="2"/>
      <c r="S905" s="2"/>
      <c r="T905" s="2"/>
    </row>
    <row r="906" spans="1:20" ht="15.75" customHeight="1">
      <c r="A906" s="1"/>
      <c r="B906" s="2"/>
      <c r="C906" s="2"/>
      <c r="D906" s="2"/>
      <c r="E906" s="2"/>
      <c r="F906" s="2"/>
      <c r="G906" s="2"/>
      <c r="H906" s="2"/>
      <c r="I906" s="2"/>
      <c r="J906" s="2"/>
      <c r="K906" s="2"/>
      <c r="L906" s="2"/>
      <c r="M906" s="2"/>
      <c r="N906" s="2"/>
      <c r="O906" s="2"/>
      <c r="P906" s="2"/>
      <c r="Q906" s="2"/>
      <c r="R906" s="2"/>
      <c r="S906" s="2"/>
      <c r="T906" s="2"/>
    </row>
    <row r="907" spans="1:20" ht="15.75" customHeight="1">
      <c r="A907" s="1"/>
      <c r="B907" s="2"/>
      <c r="C907" s="2"/>
      <c r="D907" s="2"/>
      <c r="E907" s="2"/>
      <c r="F907" s="2"/>
      <c r="G907" s="2"/>
      <c r="H907" s="2"/>
      <c r="I907" s="2"/>
      <c r="J907" s="2"/>
      <c r="K907" s="2"/>
      <c r="L907" s="2"/>
      <c r="M907" s="2"/>
      <c r="N907" s="2"/>
      <c r="O907" s="2"/>
      <c r="P907" s="2"/>
      <c r="Q907" s="2"/>
      <c r="R907" s="2"/>
      <c r="S907" s="2"/>
      <c r="T907" s="2"/>
    </row>
    <row r="908" spans="1:20" ht="15.75" customHeight="1">
      <c r="A908" s="1"/>
      <c r="B908" s="2"/>
      <c r="C908" s="2"/>
      <c r="D908" s="2"/>
      <c r="E908" s="2"/>
      <c r="F908" s="2"/>
      <c r="G908" s="2"/>
      <c r="H908" s="2"/>
      <c r="I908" s="2"/>
      <c r="J908" s="2"/>
      <c r="K908" s="2"/>
      <c r="L908" s="2"/>
      <c r="M908" s="2"/>
      <c r="N908" s="2"/>
      <c r="O908" s="2"/>
      <c r="P908" s="2"/>
      <c r="Q908" s="2"/>
      <c r="R908" s="2"/>
      <c r="S908" s="2"/>
      <c r="T908" s="2"/>
    </row>
    <row r="909" spans="1:20" ht="15.75" customHeight="1">
      <c r="A909" s="1"/>
      <c r="B909" s="2"/>
      <c r="C909" s="2"/>
      <c r="D909" s="2"/>
      <c r="E909" s="2"/>
      <c r="F909" s="2"/>
      <c r="G909" s="2"/>
      <c r="H909" s="2"/>
      <c r="I909" s="2"/>
      <c r="J909" s="2"/>
      <c r="K909" s="2"/>
      <c r="L909" s="2"/>
      <c r="M909" s="2"/>
      <c r="N909" s="2"/>
      <c r="O909" s="2"/>
      <c r="P909" s="2"/>
      <c r="Q909" s="2"/>
      <c r="R909" s="2"/>
      <c r="S909" s="2"/>
      <c r="T909" s="2"/>
    </row>
    <row r="910" spans="1:20" ht="15.75" customHeight="1">
      <c r="A910" s="1"/>
      <c r="B910" s="2"/>
      <c r="C910" s="2"/>
      <c r="D910" s="2"/>
      <c r="E910" s="2"/>
      <c r="F910" s="2"/>
      <c r="G910" s="2"/>
      <c r="H910" s="2"/>
      <c r="I910" s="2"/>
      <c r="J910" s="2"/>
      <c r="K910" s="2"/>
      <c r="L910" s="2"/>
      <c r="M910" s="2"/>
      <c r="N910" s="2"/>
      <c r="O910" s="2"/>
      <c r="P910" s="2"/>
      <c r="Q910" s="2"/>
      <c r="R910" s="2"/>
      <c r="S910" s="2"/>
      <c r="T910" s="2"/>
    </row>
    <row r="911" spans="1:20" ht="15.75" customHeight="1">
      <c r="A911" s="1"/>
      <c r="B911" s="2"/>
      <c r="C911" s="2"/>
      <c r="D911" s="2"/>
      <c r="E911" s="2"/>
      <c r="F911" s="2"/>
      <c r="G911" s="2"/>
      <c r="H911" s="2"/>
      <c r="I911" s="2"/>
      <c r="J911" s="2"/>
      <c r="K911" s="2"/>
      <c r="L911" s="2"/>
      <c r="M911" s="2"/>
      <c r="N911" s="2"/>
      <c r="O911" s="2"/>
      <c r="P911" s="2"/>
      <c r="Q911" s="2"/>
      <c r="R911" s="2"/>
      <c r="S911" s="2"/>
      <c r="T911" s="2"/>
    </row>
    <row r="912" spans="1:20" ht="15.75" customHeight="1">
      <c r="A912" s="1"/>
      <c r="B912" s="2"/>
      <c r="C912" s="2"/>
      <c r="D912" s="2"/>
      <c r="E912" s="2"/>
      <c r="F912" s="2"/>
      <c r="G912" s="2"/>
      <c r="H912" s="2"/>
      <c r="I912" s="2"/>
      <c r="J912" s="2"/>
      <c r="K912" s="2"/>
      <c r="L912" s="2"/>
      <c r="M912" s="2"/>
      <c r="N912" s="2"/>
      <c r="O912" s="2"/>
      <c r="P912" s="2"/>
      <c r="Q912" s="2"/>
      <c r="R912" s="2"/>
      <c r="S912" s="2"/>
      <c r="T912" s="2"/>
    </row>
    <row r="913" spans="1:20" ht="15.75" customHeight="1">
      <c r="A913" s="1"/>
      <c r="B913" s="2"/>
      <c r="C913" s="2"/>
      <c r="D913" s="2"/>
      <c r="E913" s="2"/>
      <c r="F913" s="2"/>
      <c r="G913" s="2"/>
      <c r="H913" s="2"/>
      <c r="I913" s="2"/>
      <c r="J913" s="2"/>
      <c r="K913" s="2"/>
      <c r="L913" s="2"/>
      <c r="M913" s="2"/>
      <c r="N913" s="2"/>
      <c r="O913" s="2"/>
      <c r="P913" s="2"/>
      <c r="Q913" s="2"/>
      <c r="R913" s="2"/>
      <c r="S913" s="2"/>
      <c r="T913" s="2"/>
    </row>
    <row r="914" spans="1:20" ht="15.75" customHeight="1">
      <c r="A914" s="1"/>
      <c r="B914" s="2"/>
      <c r="C914" s="2"/>
      <c r="D914" s="2"/>
      <c r="E914" s="2"/>
      <c r="F914" s="2"/>
      <c r="G914" s="2"/>
      <c r="H914" s="2"/>
      <c r="I914" s="2"/>
      <c r="J914" s="2"/>
      <c r="K914" s="2"/>
      <c r="L914" s="2"/>
      <c r="M914" s="2"/>
      <c r="N914" s="2"/>
      <c r="O914" s="2"/>
      <c r="P914" s="2"/>
      <c r="Q914" s="2"/>
      <c r="R914" s="2"/>
      <c r="S914" s="2"/>
      <c r="T914" s="2"/>
    </row>
    <row r="915" spans="1:20" ht="15.75" customHeight="1">
      <c r="A915" s="1"/>
      <c r="B915" s="2"/>
      <c r="C915" s="2"/>
      <c r="D915" s="2"/>
      <c r="E915" s="2"/>
      <c r="F915" s="2"/>
      <c r="G915" s="2"/>
      <c r="H915" s="2"/>
      <c r="I915" s="2"/>
      <c r="J915" s="2"/>
      <c r="K915" s="2"/>
      <c r="L915" s="2"/>
      <c r="M915" s="2"/>
      <c r="N915" s="2"/>
      <c r="O915" s="2"/>
      <c r="P915" s="2"/>
      <c r="Q915" s="2"/>
      <c r="R915" s="2"/>
      <c r="S915" s="2"/>
      <c r="T915" s="2"/>
    </row>
    <row r="916" spans="1:20" ht="15.75" customHeight="1">
      <c r="A916" s="1"/>
      <c r="B916" s="2"/>
      <c r="C916" s="2"/>
      <c r="D916" s="2"/>
      <c r="E916" s="2"/>
      <c r="F916" s="2"/>
      <c r="G916" s="2"/>
      <c r="H916" s="2"/>
      <c r="I916" s="2"/>
      <c r="J916" s="2"/>
      <c r="K916" s="2"/>
      <c r="L916" s="2"/>
      <c r="M916" s="2"/>
      <c r="N916" s="2"/>
      <c r="O916" s="2"/>
      <c r="P916" s="2"/>
      <c r="Q916" s="2"/>
      <c r="R916" s="2"/>
      <c r="S916" s="2"/>
      <c r="T916" s="2"/>
    </row>
    <row r="917" spans="1:20" ht="15.75" customHeight="1">
      <c r="A917" s="1"/>
      <c r="B917" s="2"/>
      <c r="C917" s="2"/>
      <c r="D917" s="2"/>
      <c r="E917" s="2"/>
      <c r="F917" s="2"/>
      <c r="G917" s="2"/>
      <c r="H917" s="2"/>
      <c r="I917" s="2"/>
      <c r="J917" s="2"/>
      <c r="K917" s="2"/>
      <c r="L917" s="2"/>
      <c r="M917" s="2"/>
      <c r="N917" s="2"/>
      <c r="O917" s="2"/>
      <c r="P917" s="2"/>
      <c r="Q917" s="2"/>
      <c r="R917" s="2"/>
      <c r="S917" s="2"/>
      <c r="T917" s="2"/>
    </row>
    <row r="918" spans="1:20" ht="15.75" customHeight="1">
      <c r="A918" s="1"/>
      <c r="B918" s="2"/>
      <c r="C918" s="2"/>
      <c r="D918" s="2"/>
      <c r="E918" s="2"/>
      <c r="F918" s="2"/>
      <c r="G918" s="2"/>
      <c r="H918" s="2"/>
      <c r="I918" s="2"/>
      <c r="J918" s="2"/>
      <c r="K918" s="2"/>
      <c r="L918" s="2"/>
      <c r="M918" s="2"/>
      <c r="N918" s="2"/>
      <c r="O918" s="2"/>
      <c r="P918" s="2"/>
      <c r="Q918" s="2"/>
      <c r="R918" s="2"/>
      <c r="S918" s="2"/>
      <c r="T918" s="2"/>
    </row>
    <row r="919" spans="1:20" ht="15.75" customHeight="1">
      <c r="A919" s="1"/>
      <c r="B919" s="2"/>
      <c r="C919" s="2"/>
      <c r="D919" s="2"/>
      <c r="E919" s="2"/>
      <c r="F919" s="2"/>
      <c r="G919" s="2"/>
      <c r="H919" s="2"/>
      <c r="I919" s="2"/>
      <c r="J919" s="2"/>
      <c r="K919" s="2"/>
      <c r="L919" s="2"/>
      <c r="M919" s="2"/>
      <c r="N919" s="2"/>
      <c r="O919" s="2"/>
      <c r="P919" s="2"/>
      <c r="Q919" s="2"/>
      <c r="R919" s="2"/>
      <c r="S919" s="2"/>
      <c r="T919" s="2"/>
    </row>
    <row r="920" spans="1:20" ht="15.75" customHeight="1">
      <c r="A920" s="1"/>
      <c r="B920" s="2"/>
      <c r="C920" s="2"/>
      <c r="D920" s="2"/>
      <c r="E920" s="2"/>
      <c r="F920" s="2"/>
      <c r="G920" s="2"/>
      <c r="H920" s="2"/>
      <c r="I920" s="2"/>
      <c r="J920" s="2"/>
      <c r="K920" s="2"/>
      <c r="L920" s="2"/>
      <c r="M920" s="2"/>
      <c r="N920" s="2"/>
      <c r="O920" s="2"/>
      <c r="P920" s="2"/>
      <c r="Q920" s="2"/>
      <c r="R920" s="2"/>
      <c r="S920" s="2"/>
      <c r="T920" s="2"/>
    </row>
    <row r="921" spans="1:20" ht="15.75" customHeight="1">
      <c r="A921" s="1"/>
      <c r="B921" s="2"/>
      <c r="C921" s="2"/>
      <c r="D921" s="2"/>
      <c r="E921" s="2"/>
      <c r="F921" s="2"/>
      <c r="G921" s="2"/>
      <c r="H921" s="2"/>
      <c r="I921" s="2"/>
      <c r="J921" s="2"/>
      <c r="K921" s="2"/>
      <c r="L921" s="2"/>
      <c r="M921" s="2"/>
      <c r="N921" s="2"/>
      <c r="O921" s="2"/>
      <c r="P921" s="2"/>
      <c r="Q921" s="2"/>
      <c r="R921" s="2"/>
      <c r="S921" s="2"/>
      <c r="T921" s="2"/>
    </row>
    <row r="922" spans="1:20" ht="15.75" customHeight="1">
      <c r="A922" s="1"/>
      <c r="B922" s="2"/>
      <c r="C922" s="2"/>
      <c r="D922" s="2"/>
      <c r="E922" s="2"/>
      <c r="F922" s="2"/>
      <c r="G922" s="2"/>
      <c r="H922" s="2"/>
      <c r="I922" s="2"/>
      <c r="J922" s="2"/>
      <c r="K922" s="2"/>
      <c r="L922" s="2"/>
      <c r="M922" s="2"/>
      <c r="N922" s="2"/>
      <c r="O922" s="2"/>
      <c r="P922" s="2"/>
      <c r="Q922" s="2"/>
      <c r="R922" s="2"/>
      <c r="S922" s="2"/>
      <c r="T922" s="2"/>
    </row>
    <row r="923" spans="1:20" ht="15.75" customHeight="1">
      <c r="A923" s="1"/>
      <c r="B923" s="2"/>
      <c r="C923" s="2"/>
      <c r="D923" s="2"/>
      <c r="E923" s="2"/>
      <c r="F923" s="2"/>
      <c r="G923" s="2"/>
      <c r="H923" s="2"/>
      <c r="I923" s="2"/>
      <c r="J923" s="2"/>
      <c r="K923" s="2"/>
      <c r="L923" s="2"/>
      <c r="M923" s="2"/>
      <c r="N923" s="2"/>
      <c r="O923" s="2"/>
      <c r="P923" s="2"/>
      <c r="Q923" s="2"/>
      <c r="R923" s="2"/>
      <c r="S923" s="2"/>
      <c r="T923" s="2"/>
    </row>
    <row r="924" spans="1:20" ht="15.75" customHeight="1">
      <c r="A924" s="1"/>
      <c r="B924" s="2"/>
      <c r="C924" s="2"/>
      <c r="D924" s="2"/>
      <c r="E924" s="2"/>
      <c r="F924" s="2"/>
      <c r="G924" s="2"/>
      <c r="H924" s="2"/>
      <c r="I924" s="2"/>
      <c r="J924" s="2"/>
      <c r="K924" s="2"/>
      <c r="L924" s="2"/>
      <c r="M924" s="2"/>
      <c r="N924" s="2"/>
      <c r="O924" s="2"/>
      <c r="P924" s="2"/>
      <c r="Q924" s="2"/>
      <c r="R924" s="2"/>
      <c r="S924" s="2"/>
      <c r="T924" s="2"/>
    </row>
    <row r="925" spans="1:20" ht="15.75" customHeight="1">
      <c r="A925" s="1"/>
      <c r="B925" s="2"/>
      <c r="C925" s="2"/>
      <c r="D925" s="2"/>
      <c r="E925" s="2"/>
      <c r="F925" s="2"/>
      <c r="G925" s="2"/>
      <c r="H925" s="2"/>
      <c r="I925" s="2"/>
      <c r="J925" s="2"/>
      <c r="K925" s="2"/>
      <c r="L925" s="2"/>
      <c r="M925" s="2"/>
      <c r="N925" s="2"/>
      <c r="O925" s="2"/>
      <c r="P925" s="2"/>
      <c r="Q925" s="2"/>
      <c r="R925" s="2"/>
      <c r="S925" s="2"/>
      <c r="T925" s="2"/>
    </row>
    <row r="926" spans="1:20" ht="15.75" customHeight="1">
      <c r="A926" s="1"/>
      <c r="B926" s="2"/>
      <c r="C926" s="2"/>
      <c r="D926" s="2"/>
      <c r="E926" s="2"/>
      <c r="F926" s="2"/>
      <c r="G926" s="2"/>
      <c r="H926" s="2"/>
      <c r="I926" s="2"/>
      <c r="J926" s="2"/>
      <c r="K926" s="2"/>
      <c r="L926" s="2"/>
      <c r="M926" s="2"/>
      <c r="N926" s="2"/>
      <c r="O926" s="2"/>
      <c r="P926" s="2"/>
      <c r="Q926" s="2"/>
      <c r="R926" s="2"/>
      <c r="S926" s="2"/>
      <c r="T926" s="2"/>
    </row>
    <row r="927" spans="1:20" ht="15.75" customHeight="1">
      <c r="A927" s="1"/>
      <c r="B927" s="2"/>
      <c r="C927" s="2"/>
      <c r="D927" s="2"/>
      <c r="E927" s="2"/>
      <c r="F927" s="2"/>
      <c r="G927" s="2"/>
      <c r="H927" s="2"/>
      <c r="I927" s="2"/>
      <c r="J927" s="2"/>
      <c r="K927" s="2"/>
      <c r="L927" s="2"/>
      <c r="M927" s="2"/>
      <c r="N927" s="2"/>
      <c r="O927" s="2"/>
      <c r="P927" s="2"/>
      <c r="Q927" s="2"/>
      <c r="R927" s="2"/>
      <c r="S927" s="2"/>
      <c r="T927" s="2"/>
    </row>
    <row r="928" spans="1:20" ht="15.75" customHeight="1">
      <c r="A928" s="1"/>
      <c r="B928" s="2"/>
      <c r="C928" s="2"/>
      <c r="D928" s="2"/>
      <c r="E928" s="2"/>
      <c r="F928" s="2"/>
      <c r="G928" s="2"/>
      <c r="H928" s="2"/>
      <c r="I928" s="2"/>
      <c r="J928" s="2"/>
      <c r="K928" s="2"/>
      <c r="L928" s="2"/>
      <c r="M928" s="2"/>
      <c r="N928" s="2"/>
      <c r="O928" s="2"/>
      <c r="P928" s="2"/>
      <c r="Q928" s="2"/>
      <c r="R928" s="2"/>
      <c r="S928" s="2"/>
      <c r="T928" s="2"/>
    </row>
    <row r="929" spans="1:20" ht="15.75" customHeight="1">
      <c r="A929" s="1"/>
      <c r="B929" s="2"/>
      <c r="C929" s="2"/>
      <c r="D929" s="2"/>
      <c r="E929" s="2"/>
      <c r="F929" s="2"/>
      <c r="G929" s="2"/>
      <c r="H929" s="2"/>
      <c r="I929" s="2"/>
      <c r="J929" s="2"/>
      <c r="K929" s="2"/>
      <c r="L929" s="2"/>
      <c r="M929" s="2"/>
      <c r="N929" s="2"/>
      <c r="O929" s="2"/>
      <c r="P929" s="2"/>
      <c r="Q929" s="2"/>
      <c r="R929" s="2"/>
      <c r="S929" s="2"/>
      <c r="T929" s="2"/>
    </row>
    <row r="930" spans="1:20" ht="15.75" customHeight="1">
      <c r="A930" s="1"/>
      <c r="B930" s="2"/>
      <c r="C930" s="2"/>
      <c r="D930" s="2"/>
      <c r="E930" s="2"/>
      <c r="F930" s="2"/>
      <c r="G930" s="2"/>
      <c r="H930" s="2"/>
      <c r="I930" s="2"/>
      <c r="J930" s="2"/>
      <c r="K930" s="2"/>
      <c r="L930" s="2"/>
      <c r="M930" s="2"/>
      <c r="N930" s="2"/>
      <c r="O930" s="2"/>
      <c r="P930" s="2"/>
      <c r="Q930" s="2"/>
      <c r="R930" s="2"/>
      <c r="S930" s="2"/>
      <c r="T930" s="2"/>
    </row>
    <row r="931" spans="1:20" ht="15.75" customHeight="1">
      <c r="A931" s="1"/>
      <c r="B931" s="2"/>
      <c r="C931" s="2"/>
      <c r="D931" s="2"/>
      <c r="E931" s="2"/>
      <c r="F931" s="2"/>
      <c r="G931" s="2"/>
      <c r="H931" s="2"/>
      <c r="I931" s="2"/>
      <c r="J931" s="2"/>
      <c r="K931" s="2"/>
      <c r="L931" s="2"/>
      <c r="M931" s="2"/>
      <c r="N931" s="2"/>
      <c r="O931" s="2"/>
      <c r="P931" s="2"/>
      <c r="Q931" s="2"/>
      <c r="R931" s="2"/>
      <c r="S931" s="2"/>
      <c r="T931" s="2"/>
    </row>
    <row r="932" spans="1:20" ht="15.75" customHeight="1">
      <c r="A932" s="1"/>
      <c r="B932" s="2"/>
      <c r="C932" s="2"/>
      <c r="D932" s="2"/>
      <c r="E932" s="2"/>
      <c r="F932" s="2"/>
      <c r="G932" s="2"/>
      <c r="H932" s="2"/>
      <c r="I932" s="2"/>
      <c r="J932" s="2"/>
      <c r="K932" s="2"/>
      <c r="L932" s="2"/>
      <c r="M932" s="2"/>
      <c r="N932" s="2"/>
      <c r="O932" s="2"/>
      <c r="P932" s="2"/>
      <c r="Q932" s="2"/>
      <c r="R932" s="2"/>
      <c r="S932" s="2"/>
      <c r="T932" s="2"/>
    </row>
    <row r="933" spans="1:20" ht="15.75" customHeight="1">
      <c r="A933" s="1"/>
      <c r="B933" s="2"/>
      <c r="C933" s="2"/>
      <c r="D933" s="2"/>
      <c r="E933" s="2"/>
      <c r="F933" s="2"/>
      <c r="G933" s="2"/>
      <c r="H933" s="2"/>
      <c r="I933" s="2"/>
      <c r="J933" s="2"/>
      <c r="K933" s="2"/>
      <c r="L933" s="2"/>
      <c r="M933" s="2"/>
      <c r="N933" s="2"/>
      <c r="O933" s="2"/>
      <c r="P933" s="2"/>
      <c r="Q933" s="2"/>
      <c r="R933" s="2"/>
      <c r="S933" s="2"/>
      <c r="T933" s="2"/>
    </row>
    <row r="934" spans="1:20" ht="15.75" customHeight="1">
      <c r="A934" s="1"/>
      <c r="B934" s="2"/>
      <c r="C934" s="2"/>
      <c r="D934" s="2"/>
      <c r="E934" s="2"/>
      <c r="F934" s="2"/>
      <c r="G934" s="2"/>
      <c r="H934" s="2"/>
      <c r="I934" s="2"/>
      <c r="J934" s="2"/>
      <c r="K934" s="2"/>
      <c r="L934" s="2"/>
      <c r="M934" s="2"/>
      <c r="N934" s="2"/>
      <c r="O934" s="2"/>
      <c r="P934" s="2"/>
      <c r="Q934" s="2"/>
      <c r="R934" s="2"/>
      <c r="S934" s="2"/>
      <c r="T934" s="2"/>
    </row>
    <row r="935" spans="1:20" ht="15.75" customHeight="1">
      <c r="A935" s="1"/>
      <c r="B935" s="2"/>
      <c r="C935" s="2"/>
      <c r="D935" s="2"/>
      <c r="E935" s="2"/>
      <c r="F935" s="2"/>
      <c r="G935" s="2"/>
      <c r="H935" s="2"/>
      <c r="I935" s="2"/>
      <c r="J935" s="2"/>
      <c r="K935" s="2"/>
      <c r="L935" s="2"/>
      <c r="M935" s="2"/>
      <c r="N935" s="2"/>
      <c r="O935" s="2"/>
      <c r="P935" s="2"/>
      <c r="Q935" s="2"/>
      <c r="R935" s="2"/>
      <c r="S935" s="2"/>
      <c r="T935" s="2"/>
    </row>
    <row r="936" spans="1:20" ht="15.75" customHeight="1">
      <c r="A936" s="1"/>
      <c r="B936" s="2"/>
      <c r="C936" s="2"/>
      <c r="D936" s="2"/>
      <c r="E936" s="2"/>
      <c r="F936" s="2"/>
      <c r="G936" s="2"/>
      <c r="H936" s="2"/>
      <c r="I936" s="2"/>
      <c r="J936" s="2"/>
      <c r="K936" s="2"/>
      <c r="L936" s="2"/>
      <c r="M936" s="2"/>
      <c r="N936" s="2"/>
      <c r="O936" s="2"/>
      <c r="P936" s="2"/>
      <c r="Q936" s="2"/>
      <c r="R936" s="2"/>
      <c r="S936" s="2"/>
      <c r="T936" s="2"/>
    </row>
    <row r="937" spans="1:20" ht="15.75" customHeight="1">
      <c r="A937" s="1"/>
      <c r="B937" s="2"/>
      <c r="C937" s="2"/>
      <c r="D937" s="2"/>
      <c r="E937" s="2"/>
      <c r="F937" s="2"/>
      <c r="G937" s="2"/>
      <c r="H937" s="2"/>
      <c r="I937" s="2"/>
      <c r="J937" s="2"/>
      <c r="K937" s="2"/>
      <c r="L937" s="2"/>
      <c r="M937" s="2"/>
      <c r="N937" s="2"/>
      <c r="O937" s="2"/>
      <c r="P937" s="2"/>
      <c r="Q937" s="2"/>
      <c r="R937" s="2"/>
      <c r="S937" s="2"/>
      <c r="T937" s="2"/>
    </row>
    <row r="938" spans="1:20" ht="15.75" customHeight="1">
      <c r="A938" s="1"/>
      <c r="B938" s="2"/>
      <c r="C938" s="2"/>
      <c r="D938" s="2"/>
      <c r="E938" s="2"/>
      <c r="F938" s="2"/>
      <c r="G938" s="2"/>
      <c r="H938" s="2"/>
      <c r="I938" s="2"/>
      <c r="J938" s="2"/>
      <c r="K938" s="2"/>
      <c r="L938" s="2"/>
      <c r="M938" s="2"/>
      <c r="N938" s="2"/>
      <c r="O938" s="2"/>
      <c r="P938" s="2"/>
      <c r="Q938" s="2"/>
      <c r="R938" s="2"/>
      <c r="S938" s="2"/>
      <c r="T938" s="2"/>
    </row>
    <row r="939" spans="1:20" ht="15.75" customHeight="1">
      <c r="A939" s="1"/>
      <c r="B939" s="2"/>
      <c r="C939" s="2"/>
      <c r="D939" s="2"/>
      <c r="E939" s="2"/>
      <c r="F939" s="2"/>
      <c r="G939" s="2"/>
      <c r="H939" s="2"/>
      <c r="I939" s="2"/>
      <c r="J939" s="2"/>
      <c r="K939" s="2"/>
      <c r="L939" s="2"/>
      <c r="M939" s="2"/>
      <c r="N939" s="2"/>
      <c r="O939" s="2"/>
      <c r="P939" s="2"/>
      <c r="Q939" s="2"/>
      <c r="R939" s="2"/>
      <c r="S939" s="2"/>
      <c r="T939" s="2"/>
    </row>
    <row r="940" spans="1:20" ht="15.75" customHeight="1">
      <c r="A940" s="1"/>
      <c r="B940" s="2"/>
      <c r="C940" s="2"/>
      <c r="D940" s="2"/>
      <c r="E940" s="2"/>
      <c r="F940" s="2"/>
      <c r="G940" s="2"/>
      <c r="H940" s="2"/>
      <c r="I940" s="2"/>
      <c r="J940" s="2"/>
      <c r="K940" s="2"/>
      <c r="L940" s="2"/>
      <c r="M940" s="2"/>
      <c r="N940" s="2"/>
      <c r="O940" s="2"/>
      <c r="P940" s="2"/>
      <c r="Q940" s="2"/>
      <c r="R940" s="2"/>
      <c r="S940" s="2"/>
      <c r="T940" s="2"/>
    </row>
    <row r="941" spans="1:20" ht="15.75" customHeight="1">
      <c r="A941" s="1"/>
      <c r="B941" s="2"/>
      <c r="C941" s="2"/>
      <c r="D941" s="2"/>
      <c r="E941" s="2"/>
      <c r="F941" s="2"/>
      <c r="G941" s="2"/>
      <c r="H941" s="2"/>
      <c r="I941" s="2"/>
      <c r="J941" s="2"/>
      <c r="K941" s="2"/>
      <c r="L941" s="2"/>
      <c r="M941" s="2"/>
      <c r="N941" s="2"/>
      <c r="O941" s="2"/>
      <c r="P941" s="2"/>
      <c r="Q941" s="2"/>
      <c r="R941" s="2"/>
      <c r="S941" s="2"/>
      <c r="T941" s="2"/>
    </row>
    <row r="942" spans="1:20" ht="15.75" customHeight="1">
      <c r="A942" s="1"/>
      <c r="B942" s="2"/>
      <c r="C942" s="2"/>
      <c r="D942" s="2"/>
      <c r="E942" s="2"/>
      <c r="F942" s="2"/>
      <c r="G942" s="2"/>
      <c r="H942" s="2"/>
      <c r="I942" s="2"/>
      <c r="J942" s="2"/>
      <c r="K942" s="2"/>
      <c r="L942" s="2"/>
      <c r="M942" s="2"/>
      <c r="N942" s="2"/>
      <c r="O942" s="2"/>
      <c r="P942" s="2"/>
      <c r="Q942" s="2"/>
      <c r="R942" s="2"/>
      <c r="S942" s="2"/>
      <c r="T942" s="2"/>
    </row>
    <row r="943" spans="1:20" ht="15.75" customHeight="1">
      <c r="A943" s="1"/>
      <c r="B943" s="2"/>
      <c r="C943" s="2"/>
      <c r="D943" s="2"/>
      <c r="E943" s="2"/>
      <c r="F943" s="2"/>
      <c r="G943" s="2"/>
      <c r="H943" s="2"/>
      <c r="I943" s="2"/>
      <c r="J943" s="2"/>
      <c r="K943" s="2"/>
      <c r="L943" s="2"/>
      <c r="M943" s="2"/>
      <c r="N943" s="2"/>
      <c r="O943" s="2"/>
      <c r="P943" s="2"/>
      <c r="Q943" s="2"/>
      <c r="R943" s="2"/>
      <c r="S943" s="2"/>
      <c r="T943" s="2"/>
    </row>
    <row r="944" spans="1:20" ht="15.75" customHeight="1">
      <c r="A944" s="1"/>
      <c r="B944" s="2"/>
      <c r="C944" s="2"/>
      <c r="D944" s="2"/>
      <c r="E944" s="2"/>
      <c r="F944" s="2"/>
      <c r="G944" s="2"/>
      <c r="H944" s="2"/>
      <c r="I944" s="2"/>
      <c r="J944" s="2"/>
      <c r="K944" s="2"/>
      <c r="L944" s="2"/>
      <c r="M944" s="2"/>
      <c r="N944" s="2"/>
      <c r="O944" s="2"/>
      <c r="P944" s="2"/>
      <c r="Q944" s="2"/>
      <c r="R944" s="2"/>
      <c r="S944" s="2"/>
      <c r="T944" s="2"/>
    </row>
    <row r="945" spans="1:20" ht="15.75" customHeight="1">
      <c r="A945" s="1"/>
      <c r="B945" s="2"/>
      <c r="C945" s="2"/>
      <c r="D945" s="2"/>
      <c r="E945" s="2"/>
      <c r="F945" s="2"/>
      <c r="G945" s="2"/>
      <c r="H945" s="2"/>
      <c r="I945" s="2"/>
      <c r="J945" s="2"/>
      <c r="K945" s="2"/>
      <c r="L945" s="2"/>
      <c r="M945" s="2"/>
      <c r="N945" s="2"/>
      <c r="O945" s="2"/>
      <c r="P945" s="2"/>
      <c r="Q945" s="2"/>
      <c r="R945" s="2"/>
      <c r="S945" s="2"/>
      <c r="T945" s="2"/>
    </row>
    <row r="946" spans="1:20" ht="15.75" customHeight="1">
      <c r="A946" s="1"/>
      <c r="B946" s="2"/>
      <c r="C946" s="2"/>
      <c r="D946" s="2"/>
      <c r="E946" s="2"/>
      <c r="F946" s="2"/>
      <c r="G946" s="2"/>
      <c r="H946" s="2"/>
      <c r="I946" s="2"/>
      <c r="J946" s="2"/>
      <c r="K946" s="2"/>
      <c r="L946" s="2"/>
      <c r="M946" s="2"/>
      <c r="N946" s="2"/>
      <c r="O946" s="2"/>
      <c r="P946" s="2"/>
      <c r="Q946" s="2"/>
      <c r="R946" s="2"/>
      <c r="S946" s="2"/>
      <c r="T946" s="2"/>
    </row>
    <row r="947" spans="1:20" ht="15.75" customHeight="1">
      <c r="A947" s="1"/>
      <c r="B947" s="2"/>
      <c r="C947" s="2"/>
      <c r="D947" s="2"/>
      <c r="E947" s="2"/>
      <c r="F947" s="2"/>
      <c r="G947" s="2"/>
      <c r="H947" s="2"/>
      <c r="I947" s="2"/>
      <c r="J947" s="2"/>
      <c r="K947" s="2"/>
      <c r="L947" s="2"/>
      <c r="M947" s="2"/>
      <c r="N947" s="2"/>
      <c r="O947" s="2"/>
      <c r="P947" s="2"/>
      <c r="Q947" s="2"/>
      <c r="R947" s="2"/>
      <c r="S947" s="2"/>
      <c r="T947" s="2"/>
    </row>
    <row r="948" spans="1:20" ht="15.75" customHeight="1">
      <c r="A948" s="1"/>
      <c r="B948" s="2"/>
      <c r="C948" s="2"/>
      <c r="D948" s="2"/>
      <c r="E948" s="2"/>
      <c r="F948" s="2"/>
      <c r="G948" s="2"/>
      <c r="H948" s="2"/>
      <c r="I948" s="2"/>
      <c r="J948" s="2"/>
      <c r="K948" s="2"/>
      <c r="L948" s="2"/>
      <c r="M948" s="2"/>
      <c r="N948" s="2"/>
      <c r="O948" s="2"/>
      <c r="P948" s="2"/>
      <c r="Q948" s="2"/>
      <c r="R948" s="2"/>
      <c r="S948" s="2"/>
      <c r="T948" s="2"/>
    </row>
    <row r="949" spans="1:20" ht="15.75" customHeight="1">
      <c r="A949" s="1"/>
      <c r="B949" s="2"/>
      <c r="C949" s="2"/>
      <c r="D949" s="2"/>
      <c r="E949" s="2"/>
      <c r="F949" s="2"/>
      <c r="G949" s="2"/>
      <c r="H949" s="2"/>
      <c r="I949" s="2"/>
      <c r="J949" s="2"/>
      <c r="K949" s="2"/>
      <c r="L949" s="2"/>
      <c r="M949" s="2"/>
      <c r="N949" s="2"/>
      <c r="O949" s="2"/>
      <c r="P949" s="2"/>
      <c r="Q949" s="2"/>
      <c r="R949" s="2"/>
      <c r="S949" s="2"/>
      <c r="T949" s="2"/>
    </row>
    <row r="950" spans="1:20" ht="15.75" customHeight="1">
      <c r="A950" s="1"/>
      <c r="B950" s="2"/>
      <c r="C950" s="2"/>
      <c r="D950" s="2"/>
      <c r="E950" s="2"/>
      <c r="F950" s="2"/>
      <c r="G950" s="2"/>
      <c r="H950" s="2"/>
      <c r="I950" s="2"/>
      <c r="J950" s="2"/>
      <c r="K950" s="2"/>
      <c r="L950" s="2"/>
      <c r="M950" s="2"/>
      <c r="N950" s="2"/>
      <c r="O950" s="2"/>
      <c r="P950" s="2"/>
      <c r="Q950" s="2"/>
      <c r="R950" s="2"/>
      <c r="S950" s="2"/>
      <c r="T950" s="2"/>
    </row>
    <row r="951" spans="1:20" ht="15.75" customHeight="1">
      <c r="A951" s="1"/>
      <c r="B951" s="2"/>
      <c r="C951" s="2"/>
      <c r="D951" s="2"/>
      <c r="E951" s="2"/>
      <c r="F951" s="2"/>
      <c r="G951" s="2"/>
      <c r="H951" s="2"/>
      <c r="I951" s="2"/>
      <c r="J951" s="2"/>
      <c r="K951" s="2"/>
      <c r="L951" s="2"/>
      <c r="M951" s="2"/>
      <c r="N951" s="2"/>
      <c r="O951" s="2"/>
      <c r="P951" s="2"/>
      <c r="Q951" s="2"/>
      <c r="R951" s="2"/>
      <c r="S951" s="2"/>
      <c r="T951" s="2"/>
    </row>
    <row r="952" spans="1:20" ht="15.75" customHeight="1">
      <c r="A952" s="1"/>
      <c r="B952" s="2"/>
      <c r="C952" s="2"/>
      <c r="D952" s="2"/>
      <c r="E952" s="2"/>
      <c r="F952" s="2"/>
      <c r="G952" s="2"/>
      <c r="H952" s="2"/>
      <c r="I952" s="2"/>
      <c r="J952" s="2"/>
      <c r="K952" s="2"/>
      <c r="L952" s="2"/>
      <c r="M952" s="2"/>
      <c r="N952" s="2"/>
      <c r="O952" s="2"/>
      <c r="P952" s="2"/>
      <c r="Q952" s="2"/>
      <c r="R952" s="2"/>
      <c r="S952" s="2"/>
      <c r="T952" s="2"/>
    </row>
    <row r="953" spans="1:20" ht="15.75" customHeight="1">
      <c r="A953" s="1"/>
      <c r="B953" s="2"/>
      <c r="C953" s="2"/>
      <c r="D953" s="2"/>
      <c r="E953" s="2"/>
      <c r="F953" s="2"/>
      <c r="G953" s="2"/>
      <c r="H953" s="2"/>
      <c r="I953" s="2"/>
      <c r="J953" s="2"/>
      <c r="K953" s="2"/>
      <c r="L953" s="2"/>
      <c r="M953" s="2"/>
      <c r="N953" s="2"/>
      <c r="O953" s="2"/>
      <c r="P953" s="2"/>
      <c r="Q953" s="2"/>
      <c r="R953" s="2"/>
      <c r="S953" s="2"/>
      <c r="T953" s="2"/>
    </row>
    <row r="954" spans="1:20" ht="15.75" customHeight="1">
      <c r="A954" s="1"/>
      <c r="B954" s="2"/>
      <c r="C954" s="2"/>
      <c r="D954" s="2"/>
      <c r="E954" s="2"/>
      <c r="F954" s="2"/>
      <c r="G954" s="2"/>
      <c r="H954" s="2"/>
      <c r="I954" s="2"/>
      <c r="J954" s="2"/>
      <c r="K954" s="2"/>
      <c r="L954" s="2"/>
      <c r="M954" s="2"/>
      <c r="N954" s="2"/>
      <c r="O954" s="2"/>
      <c r="P954" s="2"/>
      <c r="Q954" s="2"/>
      <c r="R954" s="2"/>
      <c r="S954" s="2"/>
      <c r="T954" s="2"/>
    </row>
    <row r="955" spans="1:20" ht="15.75" customHeight="1">
      <c r="A955" s="1"/>
      <c r="B955" s="2"/>
      <c r="C955" s="2"/>
      <c r="D955" s="2"/>
      <c r="E955" s="2"/>
      <c r="F955" s="2"/>
      <c r="G955" s="2"/>
      <c r="H955" s="2"/>
      <c r="I955" s="2"/>
      <c r="J955" s="2"/>
      <c r="K955" s="2"/>
      <c r="L955" s="2"/>
      <c r="M955" s="2"/>
      <c r="N955" s="2"/>
      <c r="O955" s="2"/>
      <c r="P955" s="2"/>
      <c r="Q955" s="2"/>
      <c r="R955" s="2"/>
      <c r="S955" s="2"/>
      <c r="T955" s="2"/>
    </row>
    <row r="956" spans="1:20" ht="15.75" customHeight="1">
      <c r="A956" s="1"/>
      <c r="B956" s="2"/>
      <c r="C956" s="2"/>
      <c r="D956" s="2"/>
      <c r="E956" s="2"/>
      <c r="F956" s="2"/>
      <c r="G956" s="2"/>
      <c r="H956" s="2"/>
      <c r="I956" s="2"/>
      <c r="J956" s="2"/>
      <c r="K956" s="2"/>
      <c r="L956" s="2"/>
      <c r="M956" s="2"/>
      <c r="N956" s="2"/>
      <c r="O956" s="2"/>
      <c r="P956" s="2"/>
      <c r="Q956" s="2"/>
      <c r="R956" s="2"/>
      <c r="S956" s="2"/>
      <c r="T956" s="2"/>
    </row>
    <row r="957" spans="1:20" ht="15.75" customHeight="1">
      <c r="A957" s="1"/>
      <c r="B957" s="2"/>
      <c r="C957" s="2"/>
      <c r="D957" s="2"/>
      <c r="E957" s="2"/>
      <c r="F957" s="2"/>
      <c r="G957" s="2"/>
      <c r="H957" s="2"/>
      <c r="I957" s="2"/>
      <c r="J957" s="2"/>
      <c r="K957" s="2"/>
      <c r="L957" s="2"/>
      <c r="M957" s="2"/>
      <c r="N957" s="2"/>
      <c r="O957" s="2"/>
      <c r="P957" s="2"/>
      <c r="Q957" s="2"/>
      <c r="R957" s="2"/>
      <c r="S957" s="2"/>
      <c r="T957" s="2"/>
    </row>
    <row r="958" spans="1:20" ht="15.75" customHeight="1">
      <c r="A958" s="1"/>
      <c r="B958" s="2"/>
      <c r="C958" s="2"/>
      <c r="D958" s="2"/>
      <c r="E958" s="2"/>
      <c r="F958" s="2"/>
      <c r="G958" s="2"/>
      <c r="H958" s="2"/>
      <c r="I958" s="2"/>
      <c r="J958" s="2"/>
      <c r="K958" s="2"/>
      <c r="L958" s="2"/>
      <c r="M958" s="2"/>
      <c r="N958" s="2"/>
      <c r="O958" s="2"/>
      <c r="P958" s="2"/>
      <c r="Q958" s="2"/>
      <c r="R958" s="2"/>
      <c r="S958" s="2"/>
      <c r="T958" s="2"/>
    </row>
    <row r="959" spans="1:20" ht="15.75" customHeight="1">
      <c r="A959" s="1"/>
      <c r="B959" s="2"/>
      <c r="C959" s="2"/>
      <c r="D959" s="2"/>
      <c r="E959" s="2"/>
      <c r="F959" s="2"/>
      <c r="G959" s="2"/>
      <c r="H959" s="2"/>
      <c r="I959" s="2"/>
      <c r="J959" s="2"/>
      <c r="K959" s="2"/>
      <c r="L959" s="2"/>
      <c r="M959" s="2"/>
      <c r="N959" s="2"/>
      <c r="O959" s="2"/>
      <c r="P959" s="2"/>
      <c r="Q959" s="2"/>
      <c r="R959" s="2"/>
      <c r="S959" s="2"/>
      <c r="T959" s="2"/>
    </row>
    <row r="960" spans="1:20" ht="15.75" customHeight="1">
      <c r="A960" s="1"/>
      <c r="B960" s="2"/>
      <c r="C960" s="2"/>
      <c r="D960" s="2"/>
      <c r="E960" s="2"/>
      <c r="F960" s="2"/>
      <c r="G960" s="2"/>
      <c r="H960" s="2"/>
      <c r="I960" s="2"/>
      <c r="J960" s="2"/>
      <c r="K960" s="2"/>
      <c r="L960" s="2"/>
      <c r="M960" s="2"/>
      <c r="N960" s="2"/>
      <c r="O960" s="2"/>
      <c r="P960" s="2"/>
      <c r="Q960" s="2"/>
      <c r="R960" s="2"/>
      <c r="S960" s="2"/>
      <c r="T960" s="2"/>
    </row>
    <row r="961" spans="1:20" ht="15.75" customHeight="1">
      <c r="A961" s="1"/>
      <c r="B961" s="2"/>
      <c r="C961" s="2"/>
      <c r="D961" s="2"/>
      <c r="E961" s="2"/>
      <c r="F961" s="2"/>
      <c r="G961" s="2"/>
      <c r="H961" s="2"/>
      <c r="I961" s="2"/>
      <c r="J961" s="2"/>
      <c r="K961" s="2"/>
      <c r="L961" s="2"/>
      <c r="M961" s="2"/>
      <c r="N961" s="2"/>
      <c r="O961" s="2"/>
      <c r="P961" s="2"/>
      <c r="Q961" s="2"/>
      <c r="R961" s="2"/>
      <c r="S961" s="2"/>
      <c r="T961" s="2"/>
    </row>
    <row r="962" spans="1:20" ht="15.75" customHeight="1">
      <c r="A962" s="1"/>
      <c r="B962" s="2"/>
      <c r="C962" s="2"/>
      <c r="D962" s="2"/>
      <c r="E962" s="2"/>
      <c r="F962" s="2"/>
      <c r="G962" s="2"/>
      <c r="H962" s="2"/>
      <c r="I962" s="2"/>
      <c r="J962" s="2"/>
      <c r="K962" s="2"/>
      <c r="L962" s="2"/>
      <c r="M962" s="2"/>
      <c r="N962" s="2"/>
      <c r="O962" s="2"/>
      <c r="P962" s="2"/>
      <c r="Q962" s="2"/>
      <c r="R962" s="2"/>
      <c r="S962" s="2"/>
      <c r="T962" s="2"/>
    </row>
    <row r="963" spans="1:20" ht="15.75" customHeight="1">
      <c r="A963" s="1"/>
      <c r="B963" s="2"/>
      <c r="C963" s="2"/>
      <c r="D963" s="2"/>
      <c r="E963" s="2"/>
      <c r="F963" s="2"/>
      <c r="G963" s="2"/>
      <c r="H963" s="2"/>
      <c r="I963" s="2"/>
      <c r="J963" s="2"/>
      <c r="K963" s="2"/>
      <c r="L963" s="2"/>
      <c r="M963" s="2"/>
      <c r="N963" s="2"/>
      <c r="O963" s="2"/>
      <c r="P963" s="2"/>
      <c r="Q963" s="2"/>
      <c r="R963" s="2"/>
      <c r="S963" s="2"/>
      <c r="T963" s="2"/>
    </row>
    <row r="964" spans="1:20" ht="15.75" customHeight="1">
      <c r="A964" s="1"/>
      <c r="B964" s="2"/>
      <c r="C964" s="2"/>
      <c r="D964" s="2"/>
      <c r="E964" s="2"/>
      <c r="F964" s="2"/>
      <c r="G964" s="2"/>
      <c r="H964" s="2"/>
      <c r="I964" s="2"/>
      <c r="J964" s="2"/>
      <c r="K964" s="2"/>
      <c r="L964" s="2"/>
      <c r="M964" s="2"/>
      <c r="N964" s="2"/>
      <c r="O964" s="2"/>
      <c r="P964" s="2"/>
      <c r="Q964" s="2"/>
      <c r="R964" s="2"/>
      <c r="S964" s="2"/>
      <c r="T964" s="2"/>
    </row>
    <row r="965" spans="1:20" ht="15.75" customHeight="1">
      <c r="A965" s="1"/>
      <c r="B965" s="2"/>
      <c r="C965" s="2"/>
      <c r="D965" s="2"/>
      <c r="E965" s="2"/>
      <c r="F965" s="2"/>
      <c r="G965" s="2"/>
      <c r="H965" s="2"/>
      <c r="I965" s="2"/>
      <c r="J965" s="2"/>
      <c r="K965" s="2"/>
      <c r="L965" s="2"/>
      <c r="M965" s="2"/>
      <c r="N965" s="2"/>
      <c r="O965" s="2"/>
      <c r="P965" s="2"/>
      <c r="Q965" s="2"/>
      <c r="R965" s="2"/>
      <c r="S965" s="2"/>
      <c r="T965" s="2"/>
    </row>
    <row r="966" spans="1:20" ht="15.75" customHeight="1">
      <c r="A966" s="1"/>
      <c r="B966" s="2"/>
      <c r="C966" s="2"/>
      <c r="D966" s="2"/>
      <c r="E966" s="2"/>
      <c r="F966" s="2"/>
      <c r="G966" s="2"/>
      <c r="H966" s="2"/>
      <c r="I966" s="2"/>
      <c r="J966" s="2"/>
      <c r="K966" s="2"/>
      <c r="L966" s="2"/>
      <c r="M966" s="2"/>
      <c r="N966" s="2"/>
      <c r="O966" s="2"/>
      <c r="P966" s="2"/>
      <c r="Q966" s="2"/>
      <c r="R966" s="2"/>
      <c r="S966" s="2"/>
      <c r="T966" s="2"/>
    </row>
    <row r="967" spans="1:20" ht="15.75" customHeight="1">
      <c r="A967" s="1"/>
      <c r="B967" s="2"/>
      <c r="C967" s="2"/>
      <c r="D967" s="2"/>
      <c r="E967" s="2"/>
      <c r="F967" s="2"/>
      <c r="G967" s="2"/>
      <c r="H967" s="2"/>
      <c r="I967" s="2"/>
      <c r="J967" s="2"/>
      <c r="K967" s="2"/>
      <c r="L967" s="2"/>
      <c r="M967" s="2"/>
      <c r="N967" s="2"/>
      <c r="O967" s="2"/>
      <c r="P967" s="2"/>
      <c r="Q967" s="2"/>
      <c r="R967" s="2"/>
      <c r="S967" s="2"/>
      <c r="T967" s="2"/>
    </row>
    <row r="968" spans="1:20" ht="15.75" customHeight="1">
      <c r="A968" s="1"/>
      <c r="B968" s="2"/>
      <c r="C968" s="2"/>
      <c r="D968" s="2"/>
      <c r="E968" s="2"/>
      <c r="F968" s="2"/>
      <c r="G968" s="2"/>
      <c r="H968" s="2"/>
      <c r="I968" s="2"/>
      <c r="J968" s="2"/>
      <c r="K968" s="2"/>
      <c r="L968" s="2"/>
      <c r="M968" s="2"/>
      <c r="N968" s="2"/>
      <c r="O968" s="2"/>
      <c r="P968" s="2"/>
      <c r="Q968" s="2"/>
      <c r="R968" s="2"/>
      <c r="S968" s="2"/>
      <c r="T968" s="2"/>
    </row>
    <row r="969" spans="1:20" ht="15.75" customHeight="1">
      <c r="A969" s="1"/>
      <c r="B969" s="2"/>
      <c r="C969" s="2"/>
      <c r="D969" s="2"/>
      <c r="E969" s="2"/>
      <c r="F969" s="2"/>
      <c r="G969" s="2"/>
      <c r="H969" s="2"/>
      <c r="I969" s="2"/>
      <c r="J969" s="2"/>
      <c r="K969" s="2"/>
      <c r="L969" s="2"/>
      <c r="M969" s="2"/>
      <c r="N969" s="2"/>
      <c r="O969" s="2"/>
      <c r="P969" s="2"/>
      <c r="Q969" s="2"/>
      <c r="R969" s="2"/>
      <c r="S969" s="2"/>
      <c r="T969" s="2"/>
    </row>
    <row r="970" spans="1:20" ht="15.75" customHeight="1">
      <c r="A970" s="1"/>
      <c r="B970" s="2"/>
      <c r="C970" s="2"/>
      <c r="D970" s="2"/>
      <c r="E970" s="2"/>
      <c r="F970" s="2"/>
      <c r="G970" s="2"/>
      <c r="H970" s="2"/>
      <c r="I970" s="2"/>
      <c r="J970" s="2"/>
      <c r="K970" s="2"/>
      <c r="L970" s="2"/>
      <c r="M970" s="2"/>
      <c r="N970" s="2"/>
      <c r="O970" s="2"/>
      <c r="P970" s="2"/>
      <c r="Q970" s="2"/>
      <c r="R970" s="2"/>
      <c r="S970" s="2"/>
      <c r="T970" s="2"/>
    </row>
    <row r="971" spans="1:20" ht="15.75" customHeight="1">
      <c r="A971" s="1"/>
      <c r="B971" s="2"/>
      <c r="C971" s="2"/>
      <c r="D971" s="2"/>
      <c r="E971" s="2"/>
      <c r="F971" s="2"/>
      <c r="G971" s="2"/>
      <c r="H971" s="2"/>
      <c r="I971" s="2"/>
      <c r="J971" s="2"/>
      <c r="K971" s="2"/>
      <c r="L971" s="2"/>
      <c r="M971" s="2"/>
      <c r="N971" s="2"/>
      <c r="O971" s="2"/>
      <c r="P971" s="2"/>
      <c r="Q971" s="2"/>
      <c r="R971" s="2"/>
      <c r="S971" s="2"/>
      <c r="T971" s="2"/>
    </row>
    <row r="972" spans="1:20" ht="15.75" customHeight="1">
      <c r="A972" s="1"/>
      <c r="B972" s="2"/>
      <c r="C972" s="2"/>
      <c r="D972" s="2"/>
      <c r="E972" s="2"/>
      <c r="F972" s="2"/>
      <c r="G972" s="2"/>
      <c r="H972" s="2"/>
      <c r="I972" s="2"/>
      <c r="J972" s="2"/>
      <c r="K972" s="2"/>
      <c r="L972" s="2"/>
      <c r="M972" s="2"/>
      <c r="N972" s="2"/>
      <c r="O972" s="2"/>
      <c r="P972" s="2"/>
      <c r="Q972" s="2"/>
      <c r="R972" s="2"/>
      <c r="S972" s="2"/>
      <c r="T972" s="2"/>
    </row>
    <row r="973" spans="1:20" ht="15.75" customHeight="1">
      <c r="A973" s="1"/>
      <c r="B973" s="2"/>
      <c r="C973" s="2"/>
      <c r="D973" s="2"/>
      <c r="E973" s="2"/>
      <c r="F973" s="2"/>
      <c r="G973" s="2"/>
      <c r="H973" s="2"/>
      <c r="I973" s="2"/>
      <c r="J973" s="2"/>
      <c r="K973" s="2"/>
      <c r="L973" s="2"/>
      <c r="M973" s="2"/>
      <c r="N973" s="2"/>
      <c r="O973" s="2"/>
      <c r="P973" s="2"/>
      <c r="Q973" s="2"/>
      <c r="R973" s="2"/>
      <c r="S973" s="2"/>
      <c r="T973" s="2"/>
    </row>
    <row r="974" spans="1:20" ht="15.75" customHeight="1">
      <c r="A974" s="1"/>
      <c r="B974" s="2"/>
      <c r="C974" s="2"/>
      <c r="D974" s="2"/>
      <c r="E974" s="2"/>
      <c r="F974" s="2"/>
      <c r="G974" s="2"/>
      <c r="H974" s="2"/>
      <c r="I974" s="2"/>
      <c r="J974" s="2"/>
      <c r="K974" s="2"/>
      <c r="L974" s="2"/>
      <c r="M974" s="2"/>
      <c r="N974" s="2"/>
      <c r="O974" s="2"/>
      <c r="P974" s="2"/>
      <c r="Q974" s="2"/>
      <c r="R974" s="2"/>
      <c r="S974" s="2"/>
      <c r="T974" s="2"/>
    </row>
    <row r="975" spans="1:20" ht="15.75" customHeight="1">
      <c r="A975" s="1"/>
      <c r="B975" s="2"/>
      <c r="C975" s="2"/>
      <c r="D975" s="2"/>
      <c r="E975" s="2"/>
      <c r="F975" s="2"/>
      <c r="G975" s="2"/>
      <c r="H975" s="2"/>
      <c r="I975" s="2"/>
      <c r="J975" s="2"/>
      <c r="K975" s="2"/>
      <c r="L975" s="2"/>
      <c r="M975" s="2"/>
      <c r="N975" s="2"/>
      <c r="O975" s="2"/>
      <c r="P975" s="2"/>
      <c r="Q975" s="2"/>
      <c r="R975" s="2"/>
      <c r="S975" s="2"/>
      <c r="T975" s="2"/>
    </row>
    <row r="976" spans="1:20" ht="15.75" customHeight="1">
      <c r="A976" s="1"/>
      <c r="B976" s="2"/>
      <c r="C976" s="2"/>
      <c r="D976" s="2"/>
      <c r="E976" s="2"/>
      <c r="F976" s="2"/>
      <c r="G976" s="2"/>
      <c r="H976" s="2"/>
      <c r="I976" s="2"/>
      <c r="J976" s="2"/>
      <c r="K976" s="2"/>
      <c r="L976" s="2"/>
      <c r="M976" s="2"/>
      <c r="N976" s="2"/>
      <c r="O976" s="2"/>
      <c r="P976" s="2"/>
      <c r="Q976" s="2"/>
      <c r="R976" s="2"/>
      <c r="S976" s="2"/>
      <c r="T976" s="2"/>
    </row>
    <row r="977" spans="1:20" ht="15.75" customHeight="1">
      <c r="A977" s="1"/>
      <c r="B977" s="2"/>
      <c r="C977" s="2"/>
      <c r="D977" s="2"/>
      <c r="E977" s="2"/>
      <c r="F977" s="2"/>
      <c r="G977" s="2"/>
      <c r="H977" s="2"/>
      <c r="I977" s="2"/>
      <c r="J977" s="2"/>
      <c r="K977" s="2"/>
      <c r="L977" s="2"/>
      <c r="M977" s="2"/>
      <c r="N977" s="2"/>
      <c r="O977" s="2"/>
      <c r="P977" s="2"/>
      <c r="Q977" s="2"/>
      <c r="R977" s="2"/>
      <c r="S977" s="2"/>
      <c r="T977" s="2"/>
    </row>
    <row r="978" spans="1:20" ht="15.75" customHeight="1">
      <c r="A978" s="1"/>
      <c r="B978" s="2"/>
      <c r="C978" s="2"/>
      <c r="D978" s="2"/>
      <c r="E978" s="2"/>
      <c r="F978" s="2"/>
      <c r="G978" s="2"/>
      <c r="H978" s="2"/>
      <c r="I978" s="2"/>
      <c r="J978" s="2"/>
      <c r="K978" s="2"/>
      <c r="L978" s="2"/>
      <c r="M978" s="2"/>
      <c r="N978" s="2"/>
      <c r="O978" s="2"/>
      <c r="P978" s="2"/>
      <c r="Q978" s="2"/>
      <c r="R978" s="2"/>
      <c r="S978" s="2"/>
      <c r="T978" s="2"/>
    </row>
    <row r="979" spans="1:20" ht="15.75" customHeight="1">
      <c r="A979" s="1"/>
      <c r="B979" s="2"/>
      <c r="C979" s="2"/>
      <c r="D979" s="2"/>
      <c r="E979" s="2"/>
      <c r="F979" s="2"/>
      <c r="G979" s="2"/>
      <c r="H979" s="2"/>
      <c r="I979" s="2"/>
      <c r="J979" s="2"/>
      <c r="K979" s="2"/>
      <c r="L979" s="2"/>
      <c r="M979" s="2"/>
      <c r="N979" s="2"/>
      <c r="O979" s="2"/>
      <c r="P979" s="2"/>
      <c r="Q979" s="2"/>
      <c r="R979" s="2"/>
      <c r="S979" s="2"/>
      <c r="T979" s="2"/>
    </row>
    <row r="980" spans="1:20" ht="15.75" customHeight="1">
      <c r="A980" s="1"/>
      <c r="B980" s="2"/>
      <c r="C980" s="2"/>
      <c r="D980" s="2"/>
      <c r="E980" s="2"/>
      <c r="F980" s="2"/>
      <c r="G980" s="2"/>
      <c r="H980" s="2"/>
      <c r="I980" s="2"/>
      <c r="J980" s="2"/>
      <c r="K980" s="2"/>
      <c r="L980" s="2"/>
      <c r="M980" s="2"/>
      <c r="N980" s="2"/>
      <c r="O980" s="2"/>
      <c r="P980" s="2"/>
      <c r="Q980" s="2"/>
      <c r="R980" s="2"/>
      <c r="S980" s="2"/>
      <c r="T980" s="2"/>
    </row>
    <row r="981" spans="1:20" ht="15.75" customHeight="1">
      <c r="A981" s="1"/>
      <c r="B981" s="2"/>
      <c r="C981" s="2"/>
      <c r="D981" s="2"/>
      <c r="E981" s="2"/>
      <c r="F981" s="2"/>
      <c r="G981" s="2"/>
      <c r="H981" s="2"/>
      <c r="I981" s="2"/>
      <c r="J981" s="2"/>
      <c r="K981" s="2"/>
      <c r="L981" s="2"/>
      <c r="M981" s="2"/>
      <c r="N981" s="2"/>
      <c r="O981" s="2"/>
      <c r="P981" s="2"/>
      <c r="Q981" s="2"/>
      <c r="R981" s="2"/>
      <c r="S981" s="2"/>
      <c r="T981" s="2"/>
    </row>
    <row r="982" spans="1:20" ht="15.75" customHeight="1">
      <c r="A982" s="1"/>
      <c r="B982" s="2"/>
      <c r="C982" s="2"/>
      <c r="D982" s="2"/>
      <c r="E982" s="2"/>
      <c r="F982" s="2"/>
      <c r="G982" s="2"/>
      <c r="H982" s="2"/>
      <c r="I982" s="2"/>
      <c r="J982" s="2"/>
      <c r="K982" s="2"/>
      <c r="L982" s="2"/>
      <c r="M982" s="2"/>
      <c r="N982" s="2"/>
      <c r="O982" s="2"/>
      <c r="P982" s="2"/>
      <c r="Q982" s="2"/>
      <c r="R982" s="2"/>
      <c r="S982" s="2"/>
      <c r="T982" s="2"/>
    </row>
    <row r="983" spans="1:20" ht="15.75" customHeight="1">
      <c r="A983" s="1"/>
      <c r="B983" s="2"/>
      <c r="C983" s="2"/>
      <c r="D983" s="2"/>
      <c r="E983" s="2"/>
      <c r="F983" s="2"/>
      <c r="G983" s="2"/>
      <c r="H983" s="2"/>
      <c r="I983" s="2"/>
      <c r="J983" s="2"/>
      <c r="K983" s="2"/>
      <c r="L983" s="2"/>
      <c r="M983" s="2"/>
      <c r="N983" s="2"/>
      <c r="O983" s="2"/>
      <c r="P983" s="2"/>
      <c r="Q983" s="2"/>
      <c r="R983" s="2"/>
      <c r="S983" s="2"/>
      <c r="T983" s="2"/>
    </row>
    <row r="984" spans="1:20" ht="15.75" customHeight="1">
      <c r="A984" s="1"/>
      <c r="B984" s="2"/>
      <c r="C984" s="2"/>
      <c r="D984" s="2"/>
      <c r="E984" s="2"/>
      <c r="F984" s="2"/>
      <c r="G984" s="2"/>
      <c r="H984" s="2"/>
      <c r="I984" s="2"/>
      <c r="J984" s="2"/>
      <c r="K984" s="2"/>
      <c r="L984" s="2"/>
      <c r="M984" s="2"/>
      <c r="N984" s="2"/>
      <c r="O984" s="2"/>
      <c r="P984" s="2"/>
      <c r="Q984" s="2"/>
      <c r="R984" s="2"/>
      <c r="S984" s="2"/>
      <c r="T984" s="2"/>
    </row>
    <row r="985" spans="1:20" ht="15.75" customHeight="1">
      <c r="A985" s="1"/>
      <c r="B985" s="2"/>
      <c r="C985" s="2"/>
      <c r="D985" s="2"/>
      <c r="E985" s="2"/>
      <c r="F985" s="2"/>
      <c r="G985" s="2"/>
      <c r="H985" s="2"/>
      <c r="I985" s="2"/>
      <c r="J985" s="2"/>
      <c r="K985" s="2"/>
      <c r="L985" s="2"/>
      <c r="M985" s="2"/>
      <c r="N985" s="2"/>
      <c r="O985" s="2"/>
      <c r="P985" s="2"/>
      <c r="Q985" s="2"/>
      <c r="R985" s="2"/>
      <c r="S985" s="2"/>
      <c r="T985" s="2"/>
    </row>
    <row r="986" spans="1:20" ht="15.75" customHeight="1">
      <c r="A986" s="1"/>
      <c r="B986" s="2"/>
      <c r="C986" s="2"/>
      <c r="D986" s="2"/>
      <c r="E986" s="2"/>
      <c r="F986" s="2"/>
      <c r="G986" s="2"/>
      <c r="H986" s="2"/>
      <c r="I986" s="2"/>
      <c r="J986" s="2"/>
      <c r="K986" s="2"/>
      <c r="L986" s="2"/>
      <c r="M986" s="2"/>
      <c r="N986" s="2"/>
      <c r="O986" s="2"/>
      <c r="P986" s="2"/>
      <c r="Q986" s="2"/>
      <c r="R986" s="2"/>
      <c r="S986" s="2"/>
      <c r="T986" s="2"/>
    </row>
    <row r="987" spans="1:20" ht="15.75" customHeight="1">
      <c r="A987" s="1"/>
      <c r="B987" s="2"/>
      <c r="C987" s="2"/>
      <c r="D987" s="2"/>
      <c r="E987" s="2"/>
      <c r="F987" s="2"/>
      <c r="G987" s="2"/>
      <c r="H987" s="2"/>
      <c r="I987" s="2"/>
      <c r="J987" s="2"/>
      <c r="K987" s="2"/>
      <c r="L987" s="2"/>
      <c r="M987" s="2"/>
      <c r="N987" s="2"/>
      <c r="O987" s="2"/>
      <c r="P987" s="2"/>
      <c r="Q987" s="2"/>
      <c r="R987" s="2"/>
      <c r="S987" s="2"/>
      <c r="T987" s="2"/>
    </row>
    <row r="988" spans="1:20" ht="15.75" customHeight="1">
      <c r="A988" s="1"/>
      <c r="B988" s="2"/>
      <c r="C988" s="2"/>
      <c r="D988" s="2"/>
      <c r="E988" s="2"/>
      <c r="F988" s="2"/>
      <c r="G988" s="2"/>
      <c r="H988" s="2"/>
      <c r="I988" s="2"/>
      <c r="J988" s="2"/>
      <c r="K988" s="2"/>
      <c r="L988" s="2"/>
      <c r="M988" s="2"/>
      <c r="N988" s="2"/>
      <c r="O988" s="2"/>
      <c r="P988" s="2"/>
      <c r="Q988" s="2"/>
      <c r="R988" s="2"/>
      <c r="S988" s="2"/>
      <c r="T988" s="2"/>
    </row>
    <row r="989" spans="1:20" ht="15.75" customHeight="1">
      <c r="A989" s="1"/>
      <c r="B989" s="2"/>
      <c r="C989" s="2"/>
      <c r="D989" s="2"/>
      <c r="E989" s="2"/>
      <c r="F989" s="2"/>
      <c r="G989" s="2"/>
      <c r="H989" s="2"/>
      <c r="I989" s="2"/>
      <c r="J989" s="2"/>
      <c r="K989" s="2"/>
      <c r="L989" s="2"/>
      <c r="M989" s="2"/>
      <c r="N989" s="2"/>
      <c r="O989" s="2"/>
      <c r="P989" s="2"/>
      <c r="Q989" s="2"/>
      <c r="R989" s="2"/>
      <c r="S989" s="2"/>
      <c r="T989" s="2"/>
    </row>
    <row r="990" spans="1:20" ht="15.75" customHeight="1">
      <c r="A990" s="1"/>
      <c r="B990" s="2"/>
      <c r="C990" s="2"/>
      <c r="D990" s="2"/>
      <c r="E990" s="2"/>
      <c r="F990" s="2"/>
      <c r="G990" s="2"/>
      <c r="H990" s="2"/>
      <c r="I990" s="2"/>
      <c r="J990" s="2"/>
      <c r="K990" s="2"/>
      <c r="L990" s="2"/>
      <c r="M990" s="2"/>
      <c r="N990" s="2"/>
      <c r="O990" s="2"/>
      <c r="P990" s="2"/>
      <c r="Q990" s="2"/>
      <c r="R990" s="2"/>
      <c r="S990" s="2"/>
      <c r="T990" s="2"/>
    </row>
    <row r="991" spans="1:20" ht="15.75" customHeight="1">
      <c r="A991" s="1"/>
      <c r="B991" s="2"/>
      <c r="C991" s="2"/>
      <c r="D991" s="2"/>
      <c r="E991" s="2"/>
      <c r="F991" s="2"/>
      <c r="G991" s="2"/>
      <c r="H991" s="2"/>
      <c r="I991" s="2"/>
      <c r="J991" s="2"/>
      <c r="K991" s="2"/>
      <c r="L991" s="2"/>
      <c r="M991" s="2"/>
      <c r="N991" s="2"/>
      <c r="O991" s="2"/>
      <c r="P991" s="2"/>
      <c r="Q991" s="2"/>
      <c r="R991" s="2"/>
      <c r="S991" s="2"/>
      <c r="T991" s="2"/>
    </row>
    <row r="992" spans="1:20" ht="15.75" customHeight="1">
      <c r="A992" s="1"/>
      <c r="B992" s="2"/>
      <c r="C992" s="2"/>
      <c r="D992" s="2"/>
      <c r="E992" s="2"/>
      <c r="F992" s="2"/>
      <c r="G992" s="2"/>
      <c r="H992" s="2"/>
      <c r="I992" s="2"/>
      <c r="J992" s="2"/>
      <c r="K992" s="2"/>
      <c r="L992" s="2"/>
      <c r="M992" s="2"/>
      <c r="N992" s="2"/>
      <c r="O992" s="2"/>
      <c r="P992" s="2"/>
      <c r="Q992" s="2"/>
      <c r="R992" s="2"/>
      <c r="S992" s="2"/>
      <c r="T992" s="2"/>
    </row>
    <row r="993" spans="1:20" ht="15.75" customHeight="1">
      <c r="A993" s="1"/>
      <c r="B993" s="2"/>
      <c r="C993" s="2"/>
      <c r="D993" s="2"/>
      <c r="E993" s="2"/>
      <c r="F993" s="2"/>
      <c r="G993" s="2"/>
      <c r="H993" s="2"/>
      <c r="I993" s="2"/>
      <c r="J993" s="2"/>
      <c r="K993" s="2"/>
      <c r="L993" s="2"/>
      <c r="M993" s="2"/>
      <c r="N993" s="2"/>
      <c r="O993" s="2"/>
      <c r="P993" s="2"/>
      <c r="Q993" s="2"/>
      <c r="R993" s="2"/>
      <c r="S993" s="2"/>
      <c r="T993" s="2"/>
    </row>
    <row r="994" spans="1:20" ht="15.75" customHeight="1">
      <c r="A994" s="1"/>
      <c r="B994" s="2"/>
      <c r="C994" s="2"/>
      <c r="D994" s="2"/>
      <c r="E994" s="2"/>
      <c r="F994" s="2"/>
      <c r="G994" s="2"/>
      <c r="H994" s="2"/>
      <c r="I994" s="2"/>
      <c r="J994" s="2"/>
      <c r="K994" s="2"/>
      <c r="L994" s="2"/>
      <c r="M994" s="2"/>
      <c r="N994" s="2"/>
      <c r="O994" s="2"/>
      <c r="P994" s="2"/>
      <c r="Q994" s="2"/>
      <c r="R994" s="2"/>
      <c r="S994" s="2"/>
      <c r="T994" s="2"/>
    </row>
    <row r="995" spans="1:20" ht="15.75" customHeight="1">
      <c r="A995" s="1"/>
      <c r="B995" s="2"/>
      <c r="C995" s="2"/>
      <c r="D995" s="2"/>
      <c r="E995" s="2"/>
      <c r="F995" s="2"/>
      <c r="G995" s="2"/>
      <c r="H995" s="2"/>
      <c r="I995" s="2"/>
      <c r="J995" s="2"/>
      <c r="K995" s="2"/>
      <c r="L995" s="2"/>
      <c r="M995" s="2"/>
      <c r="N995" s="2"/>
      <c r="O995" s="2"/>
      <c r="P995" s="2"/>
      <c r="Q995" s="2"/>
      <c r="R995" s="2"/>
      <c r="S995" s="2"/>
      <c r="T995" s="2"/>
    </row>
    <row r="996" spans="1:20" ht="15.75" customHeight="1">
      <c r="A996" s="1"/>
      <c r="B996" s="2"/>
      <c r="C996" s="2"/>
      <c r="D996" s="2"/>
      <c r="E996" s="2"/>
      <c r="F996" s="2"/>
      <c r="G996" s="2"/>
      <c r="H996" s="2"/>
      <c r="I996" s="2"/>
      <c r="J996" s="2"/>
      <c r="K996" s="2"/>
      <c r="L996" s="2"/>
      <c r="M996" s="2"/>
      <c r="N996" s="2"/>
      <c r="O996" s="2"/>
      <c r="P996" s="2"/>
      <c r="Q996" s="2"/>
      <c r="R996" s="2"/>
      <c r="S996" s="2"/>
      <c r="T996" s="2"/>
    </row>
    <row r="997" spans="1:20" ht="15.75" customHeight="1">
      <c r="A997" s="1"/>
      <c r="B997" s="2"/>
      <c r="C997" s="2"/>
      <c r="D997" s="2"/>
      <c r="E997" s="2"/>
      <c r="F997" s="2"/>
      <c r="G997" s="2"/>
      <c r="H997" s="2"/>
      <c r="I997" s="2"/>
      <c r="J997" s="2"/>
      <c r="K997" s="2"/>
      <c r="L997" s="2"/>
      <c r="M997" s="2"/>
      <c r="N997" s="2"/>
      <c r="O997" s="2"/>
      <c r="P997" s="2"/>
      <c r="Q997" s="2"/>
      <c r="R997" s="2"/>
      <c r="S997" s="2"/>
      <c r="T997" s="2"/>
    </row>
    <row r="998" spans="1:20" ht="15.75" customHeight="1">
      <c r="A998" s="1"/>
      <c r="B998" s="2"/>
      <c r="C998" s="2"/>
      <c r="D998" s="2"/>
      <c r="E998" s="2"/>
      <c r="F998" s="2"/>
      <c r="G998" s="2"/>
      <c r="H998" s="2"/>
      <c r="I998" s="2"/>
      <c r="J998" s="2"/>
      <c r="K998" s="2"/>
      <c r="L998" s="2"/>
      <c r="M998" s="2"/>
      <c r="N998" s="2"/>
      <c r="O998" s="2"/>
      <c r="P998" s="2"/>
      <c r="Q998" s="2"/>
      <c r="R998" s="2"/>
      <c r="S998" s="2"/>
      <c r="T998" s="2"/>
    </row>
    <row r="999" spans="1:20" ht="15.75" customHeight="1">
      <c r="A999" s="1"/>
      <c r="B999" s="2"/>
      <c r="C999" s="2"/>
      <c r="D999" s="2"/>
      <c r="E999" s="2"/>
      <c r="F999" s="2"/>
      <c r="G999" s="2"/>
      <c r="H999" s="2"/>
      <c r="I999" s="2"/>
      <c r="J999" s="2"/>
      <c r="K999" s="2"/>
      <c r="L999" s="2"/>
      <c r="M999" s="2"/>
      <c r="N999" s="2"/>
      <c r="O999" s="2"/>
      <c r="P999" s="2"/>
      <c r="Q999" s="2"/>
      <c r="R999" s="2"/>
      <c r="S999" s="2"/>
      <c r="T999" s="2"/>
    </row>
    <row r="1000" spans="1:20" ht="15.75" customHeight="1">
      <c r="A1000" s="1"/>
      <c r="B1000" s="2"/>
      <c r="C1000" s="2"/>
      <c r="D1000" s="2"/>
      <c r="E1000" s="2"/>
      <c r="F1000" s="2"/>
      <c r="G1000" s="2"/>
      <c r="H1000" s="2"/>
      <c r="I1000" s="2"/>
      <c r="J1000" s="2"/>
      <c r="K1000" s="2"/>
      <c r="L1000" s="2"/>
      <c r="M1000" s="2"/>
      <c r="N1000" s="2"/>
      <c r="O1000" s="2"/>
      <c r="P1000" s="2"/>
      <c r="Q1000" s="2"/>
      <c r="R1000" s="2"/>
      <c r="S1000" s="2"/>
      <c r="T1000" s="2"/>
    </row>
  </sheetData>
  <conditionalFormatting sqref="E76:T76">
    <cfRule type="containsText" dxfId="21" priority="4" operator="containsText" text="TRUE">
      <formula>NOT(ISERROR(SEARCH(("TRUE"),(E76))))</formula>
    </cfRule>
  </conditionalFormatting>
  <conditionalFormatting sqref="E111:T111">
    <cfRule type="containsText" dxfId="20" priority="3" operator="containsText" text="TRUE">
      <formula>NOT(ISERROR(SEARCH(("TRUE"),(E111))))</formula>
    </cfRule>
  </conditionalFormatting>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C1000"/>
  <sheetViews>
    <sheetView zoomScale="60" zoomScaleNormal="60" workbookViewId="0">
      <pane xSplit="3" ySplit="3" topLeftCell="S181" activePane="bottomRight" state="frozen"/>
      <selection pane="topRight" activeCell="D1" sqref="D1"/>
      <selection pane="bottomLeft" activeCell="A4" sqref="A4"/>
      <selection pane="bottomRight" activeCell="V1" sqref="V1:AD1048576"/>
    </sheetView>
  </sheetViews>
  <sheetFormatPr defaultColWidth="14.42578125" defaultRowHeight="15" customHeight="1"/>
  <cols>
    <col min="1" max="1" width="5.5703125" customWidth="1"/>
    <col min="2" max="2" width="41.28515625" customWidth="1"/>
    <col min="3" max="3" width="13.5703125" customWidth="1"/>
    <col min="4" max="11" width="14.42578125" hidden="1" customWidth="1"/>
    <col min="12" max="12" width="14" hidden="1" customWidth="1"/>
    <col min="13" max="14" width="17.85546875" hidden="1" customWidth="1"/>
    <col min="15" max="20" width="17.85546875" customWidth="1"/>
    <col min="21" max="21" width="9.140625" customWidth="1"/>
  </cols>
  <sheetData>
    <row r="1" spans="1:29" ht="15.75" customHeight="1">
      <c r="A1" s="1"/>
      <c r="B1" s="2"/>
      <c r="C1" s="2"/>
      <c r="D1" s="2"/>
      <c r="E1" s="2"/>
      <c r="F1" s="2"/>
      <c r="G1" s="2"/>
      <c r="H1" s="2"/>
      <c r="I1" s="2"/>
      <c r="J1" s="2"/>
      <c r="K1" s="2"/>
      <c r="L1" s="2"/>
      <c r="M1" s="2"/>
      <c r="N1" s="2"/>
      <c r="O1" s="2"/>
      <c r="P1" s="2"/>
      <c r="Q1" s="2"/>
      <c r="R1" s="2"/>
      <c r="S1" s="2"/>
      <c r="T1" s="2"/>
      <c r="U1" s="2"/>
    </row>
    <row r="2" spans="1:29" ht="15.75" customHeight="1" thickBot="1">
      <c r="A2" s="1"/>
      <c r="B2" s="2"/>
      <c r="C2" s="2"/>
      <c r="D2" s="2"/>
      <c r="E2" s="2"/>
      <c r="F2" s="2"/>
      <c r="G2" s="2"/>
      <c r="H2" s="2"/>
      <c r="I2" s="2"/>
      <c r="J2" s="2"/>
      <c r="K2" s="2"/>
      <c r="L2" s="2"/>
      <c r="M2" s="2"/>
      <c r="N2" s="2"/>
      <c r="O2" s="2"/>
      <c r="P2" s="2"/>
      <c r="Q2" s="2"/>
      <c r="R2" s="2"/>
      <c r="S2" s="2"/>
      <c r="T2" s="2"/>
      <c r="U2" s="2"/>
    </row>
    <row r="3" spans="1:29" ht="15.75" customHeight="1" thickBot="1">
      <c r="A3" s="195"/>
      <c r="B3" s="55" t="s">
        <v>82</v>
      </c>
      <c r="C3" s="56" t="s">
        <v>1</v>
      </c>
      <c r="D3" s="56">
        <v>2008</v>
      </c>
      <c r="E3" s="56">
        <f t="shared" ref="E3:T3" si="0">D3+1</f>
        <v>2009</v>
      </c>
      <c r="F3" s="56">
        <f t="shared" si="0"/>
        <v>2010</v>
      </c>
      <c r="G3" s="56">
        <f t="shared" si="0"/>
        <v>2011</v>
      </c>
      <c r="H3" s="56">
        <f t="shared" si="0"/>
        <v>2012</v>
      </c>
      <c r="I3" s="56">
        <f t="shared" si="0"/>
        <v>2013</v>
      </c>
      <c r="J3" s="56">
        <f t="shared" si="0"/>
        <v>2014</v>
      </c>
      <c r="K3" s="56">
        <f t="shared" si="0"/>
        <v>2015</v>
      </c>
      <c r="L3" s="56">
        <f t="shared" si="0"/>
        <v>2016</v>
      </c>
      <c r="M3" s="56">
        <f t="shared" si="0"/>
        <v>2017</v>
      </c>
      <c r="N3" s="56">
        <f t="shared" si="0"/>
        <v>2018</v>
      </c>
      <c r="O3" s="56">
        <f t="shared" si="0"/>
        <v>2019</v>
      </c>
      <c r="P3" s="56">
        <f t="shared" si="0"/>
        <v>2020</v>
      </c>
      <c r="Q3" s="56">
        <f t="shared" si="0"/>
        <v>2021</v>
      </c>
      <c r="R3" s="56">
        <f t="shared" si="0"/>
        <v>2022</v>
      </c>
      <c r="S3" s="56">
        <f t="shared" si="0"/>
        <v>2023</v>
      </c>
      <c r="T3" s="56">
        <f t="shared" si="0"/>
        <v>2024</v>
      </c>
      <c r="U3" s="2"/>
    </row>
    <row r="4" spans="1:29" ht="15.75" customHeight="1">
      <c r="A4" s="1"/>
      <c r="B4" s="2"/>
      <c r="C4" s="2"/>
      <c r="D4" s="2"/>
      <c r="E4" s="2"/>
      <c r="F4" s="2"/>
      <c r="G4" s="2"/>
      <c r="H4" s="2"/>
      <c r="I4" s="2"/>
      <c r="J4" s="2"/>
      <c r="K4" s="2"/>
      <c r="L4" s="2"/>
      <c r="M4" s="2"/>
      <c r="N4" s="2"/>
      <c r="O4" s="2"/>
      <c r="P4" s="2"/>
      <c r="Q4" s="2"/>
      <c r="R4" s="2"/>
      <c r="S4" s="2"/>
      <c r="T4" s="2"/>
      <c r="U4" s="2"/>
    </row>
    <row r="5" spans="1:29" ht="15.75" customHeight="1">
      <c r="A5" s="6" t="s">
        <v>2</v>
      </c>
      <c r="B5" s="2"/>
      <c r="C5" s="2"/>
      <c r="D5" s="2"/>
      <c r="E5" s="2"/>
      <c r="F5" s="2"/>
      <c r="G5" s="2"/>
      <c r="H5" s="2"/>
      <c r="I5" s="2"/>
      <c r="J5" s="2"/>
      <c r="K5" s="2"/>
      <c r="L5" s="2"/>
      <c r="M5" s="2"/>
      <c r="N5" s="2"/>
      <c r="O5" s="2"/>
      <c r="P5" s="2"/>
      <c r="Q5" s="2"/>
      <c r="R5" s="2"/>
      <c r="S5" s="2"/>
      <c r="T5" s="2"/>
      <c r="U5" s="2"/>
    </row>
    <row r="6" spans="1:29" ht="6.75" customHeight="1" thickBot="1">
      <c r="A6" s="7"/>
      <c r="B6" s="2"/>
      <c r="C6" s="2"/>
      <c r="D6" s="2"/>
      <c r="E6" s="2"/>
      <c r="F6" s="2"/>
      <c r="G6" s="2"/>
      <c r="H6" s="2"/>
      <c r="I6" s="2"/>
      <c r="J6" s="2"/>
      <c r="K6" s="2"/>
      <c r="L6" s="2"/>
      <c r="M6" s="2"/>
      <c r="N6" s="2"/>
      <c r="O6" s="2"/>
      <c r="P6" s="2"/>
      <c r="Q6" s="2"/>
      <c r="R6" s="2"/>
      <c r="S6" s="2"/>
      <c r="T6" s="2"/>
      <c r="U6" s="2"/>
    </row>
    <row r="7" spans="1:29" ht="15.75" customHeight="1" thickBot="1">
      <c r="A7" s="54" t="s">
        <v>3</v>
      </c>
      <c r="B7" s="55" t="s">
        <v>4</v>
      </c>
      <c r="C7" s="56" t="s">
        <v>5</v>
      </c>
      <c r="D7" s="56">
        <f t="shared" ref="D7:T7" si="1">D$3</f>
        <v>2008</v>
      </c>
      <c r="E7" s="56">
        <f t="shared" si="1"/>
        <v>2009</v>
      </c>
      <c r="F7" s="56">
        <f t="shared" si="1"/>
        <v>2010</v>
      </c>
      <c r="G7" s="56">
        <f t="shared" si="1"/>
        <v>2011</v>
      </c>
      <c r="H7" s="56">
        <f t="shared" si="1"/>
        <v>2012</v>
      </c>
      <c r="I7" s="56">
        <f t="shared" si="1"/>
        <v>2013</v>
      </c>
      <c r="J7" s="56">
        <f t="shared" si="1"/>
        <v>2014</v>
      </c>
      <c r="K7" s="56">
        <f t="shared" si="1"/>
        <v>2015</v>
      </c>
      <c r="L7" s="56">
        <f t="shared" si="1"/>
        <v>2016</v>
      </c>
      <c r="M7" s="56">
        <f t="shared" si="1"/>
        <v>2017</v>
      </c>
      <c r="N7" s="56">
        <f t="shared" si="1"/>
        <v>2018</v>
      </c>
      <c r="O7" s="56">
        <f t="shared" si="1"/>
        <v>2019</v>
      </c>
      <c r="P7" s="56">
        <f t="shared" si="1"/>
        <v>2020</v>
      </c>
      <c r="Q7" s="56">
        <f t="shared" si="1"/>
        <v>2021</v>
      </c>
      <c r="R7" s="56">
        <f t="shared" si="1"/>
        <v>2022</v>
      </c>
      <c r="S7" s="56">
        <f t="shared" si="1"/>
        <v>2023</v>
      </c>
      <c r="T7" s="56">
        <f t="shared" si="1"/>
        <v>2024</v>
      </c>
      <c r="U7" s="2"/>
    </row>
    <row r="8" spans="1:29"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f t="shared" si="2"/>
        <v>-15</v>
      </c>
      <c r="P8" s="9">
        <f t="shared" si="2"/>
        <v>-16</v>
      </c>
      <c r="Q8" s="9">
        <f t="shared" si="2"/>
        <v>-17</v>
      </c>
      <c r="R8" s="9">
        <f t="shared" si="2"/>
        <v>-18</v>
      </c>
      <c r="S8" s="9">
        <f t="shared" si="2"/>
        <v>-19</v>
      </c>
      <c r="T8" s="9">
        <f t="shared" si="2"/>
        <v>-20</v>
      </c>
      <c r="U8" s="2"/>
    </row>
    <row r="9" spans="1:29" ht="15.75" customHeight="1">
      <c r="A9" s="57">
        <v>1</v>
      </c>
      <c r="B9" s="58" t="s">
        <v>6</v>
      </c>
      <c r="C9" s="57" t="s">
        <v>83</v>
      </c>
      <c r="D9" s="59">
        <f t="shared" ref="D9:R9" si="3">SUM(D10:D11)</f>
        <v>0</v>
      </c>
      <c r="E9" s="59">
        <f t="shared" si="3"/>
        <v>21131.841623</v>
      </c>
      <c r="F9" s="59">
        <f t="shared" si="3"/>
        <v>21131.841623</v>
      </c>
      <c r="G9" s="59">
        <f t="shared" si="3"/>
        <v>28017.464072999999</v>
      </c>
      <c r="H9" s="59">
        <f t="shared" si="3"/>
        <v>28978.608073000003</v>
      </c>
      <c r="I9" s="59">
        <f t="shared" si="3"/>
        <v>31357.147988000004</v>
      </c>
      <c r="J9" s="59">
        <f t="shared" si="3"/>
        <v>32384.739999999998</v>
      </c>
      <c r="K9" s="59">
        <f t="shared" si="3"/>
        <v>32263.68</v>
      </c>
      <c r="L9" s="59">
        <f t="shared" si="3"/>
        <v>28457.29</v>
      </c>
      <c r="M9" s="59">
        <f t="shared" si="3"/>
        <v>24239.96</v>
      </c>
      <c r="N9" s="59">
        <f t="shared" si="3"/>
        <v>37943.572836731197</v>
      </c>
      <c r="O9" s="59">
        <f t="shared" si="3"/>
        <v>37604.662489878603</v>
      </c>
      <c r="P9" s="59">
        <f t="shared" si="3"/>
        <v>38805.477211590012</v>
      </c>
      <c r="Q9" s="59">
        <f t="shared" si="3"/>
        <v>36278.84507262455</v>
      </c>
      <c r="R9" s="59">
        <f t="shared" si="3"/>
        <v>35054.081764989998</v>
      </c>
      <c r="S9" s="59">
        <v>31713.554136409992</v>
      </c>
      <c r="T9" s="59">
        <f>SUM(T10:T11)</f>
        <v>31955.5</v>
      </c>
      <c r="U9" s="13"/>
      <c r="Z9" s="209"/>
      <c r="AA9" s="209"/>
      <c r="AB9" s="209"/>
      <c r="AC9" s="209"/>
    </row>
    <row r="10" spans="1:29" ht="15.75" customHeight="1">
      <c r="A10" s="14">
        <v>1.1000000000000001</v>
      </c>
      <c r="B10" s="15" t="s">
        <v>8</v>
      </c>
      <c r="C10" s="14" t="s">
        <v>83</v>
      </c>
      <c r="D10" s="16"/>
      <c r="E10" s="16">
        <v>5529.4348760000003</v>
      </c>
      <c r="F10" s="16">
        <v>5529.4348760000003</v>
      </c>
      <c r="G10" s="16">
        <v>10260.319987999999</v>
      </c>
      <c r="H10" s="16">
        <v>9621.6909879999985</v>
      </c>
      <c r="I10" s="16">
        <v>8895.2609880000018</v>
      </c>
      <c r="J10" s="16">
        <v>9044.83</v>
      </c>
      <c r="K10" s="16">
        <v>8267.6299999999992</v>
      </c>
      <c r="L10" s="16">
        <v>16972.53</v>
      </c>
      <c r="M10" s="16">
        <v>12548.21</v>
      </c>
      <c r="N10" s="16">
        <v>20522.256802602002</v>
      </c>
      <c r="O10" s="16">
        <v>20537.622840257602</v>
      </c>
      <c r="P10" s="16">
        <v>21210.812454870458</v>
      </c>
      <c r="Q10" s="16">
        <v>17903.923618920009</v>
      </c>
      <c r="R10" s="16">
        <v>18271.704230630003</v>
      </c>
      <c r="S10" s="180">
        <v>17505.62</v>
      </c>
      <c r="T10" s="180">
        <v>17536.63</v>
      </c>
      <c r="U10" s="2"/>
      <c r="Z10" s="209"/>
      <c r="AA10" s="209"/>
      <c r="AB10" s="209"/>
      <c r="AC10" s="209"/>
    </row>
    <row r="11" spans="1:29" ht="15.75" customHeight="1">
      <c r="A11" s="14">
        <v>1.2</v>
      </c>
      <c r="B11" s="15" t="s">
        <v>9</v>
      </c>
      <c r="C11" s="14" t="s">
        <v>83</v>
      </c>
      <c r="D11" s="16"/>
      <c r="E11" s="16">
        <v>15602.406746999999</v>
      </c>
      <c r="F11" s="16">
        <v>15602.406746999999</v>
      </c>
      <c r="G11" s="16">
        <v>17757.144085</v>
      </c>
      <c r="H11" s="16">
        <v>19356.917085000005</v>
      </c>
      <c r="I11" s="16">
        <v>22461.887000000002</v>
      </c>
      <c r="J11" s="16">
        <v>23339.91</v>
      </c>
      <c r="K11" s="16">
        <v>23996.05</v>
      </c>
      <c r="L11" s="16">
        <v>11484.76</v>
      </c>
      <c r="M11" s="16">
        <v>11691.75</v>
      </c>
      <c r="N11" s="16">
        <v>17421.316034129199</v>
      </c>
      <c r="O11" s="16">
        <v>17067.039649621001</v>
      </c>
      <c r="P11" s="16">
        <v>17594.66475671955</v>
      </c>
      <c r="Q11" s="16">
        <v>18374.921453704545</v>
      </c>
      <c r="R11" s="16">
        <v>16782.377534359999</v>
      </c>
      <c r="S11" s="180">
        <v>14207.94</v>
      </c>
      <c r="T11" s="180">
        <v>14418.87</v>
      </c>
      <c r="U11" s="2"/>
      <c r="Z11" s="209"/>
      <c r="AA11" s="209"/>
      <c r="AB11" s="209"/>
      <c r="AC11" s="209"/>
    </row>
    <row r="12" spans="1:29" ht="15.75" customHeight="1">
      <c r="A12" s="57">
        <v>2</v>
      </c>
      <c r="B12" s="58" t="s">
        <v>10</v>
      </c>
      <c r="C12" s="57" t="s">
        <v>83</v>
      </c>
      <c r="D12" s="59">
        <f t="shared" ref="D12:O12" si="4">SUM(D13:D16)</f>
        <v>0</v>
      </c>
      <c r="E12" s="59">
        <f t="shared" si="4"/>
        <v>104940.22358752001</v>
      </c>
      <c r="F12" s="59">
        <f t="shared" si="4"/>
        <v>105187.44389451999</v>
      </c>
      <c r="G12" s="59">
        <f t="shared" si="4"/>
        <v>120338.59820951999</v>
      </c>
      <c r="H12" s="59">
        <f t="shared" si="4"/>
        <v>119445.55554252001</v>
      </c>
      <c r="I12" s="59">
        <f t="shared" si="4"/>
        <v>120525.41654251999</v>
      </c>
      <c r="J12" s="59">
        <f t="shared" si="4"/>
        <v>124796.74000000002</v>
      </c>
      <c r="K12" s="59">
        <f t="shared" si="4"/>
        <v>126609.34</v>
      </c>
      <c r="L12" s="59">
        <f t="shared" si="4"/>
        <v>128062.63</v>
      </c>
      <c r="M12" s="59">
        <f t="shared" si="4"/>
        <v>125177.60000000001</v>
      </c>
      <c r="N12" s="59">
        <f t="shared" si="4"/>
        <v>164397.99880387011</v>
      </c>
      <c r="O12" s="59">
        <f t="shared" si="4"/>
        <v>149009.5863241964</v>
      </c>
      <c r="P12" s="59">
        <f>SUM(P13:P16)</f>
        <v>143730.90385586</v>
      </c>
      <c r="Q12" s="59">
        <f t="shared" ref="Q12:T12" si="5">SUM(Q13:Q16)</f>
        <v>110069.91410325005</v>
      </c>
      <c r="R12" s="59">
        <f t="shared" si="5"/>
        <v>99193.111656270004</v>
      </c>
      <c r="S12" s="59">
        <f t="shared" si="5"/>
        <v>97297.110623520013</v>
      </c>
      <c r="T12" s="59">
        <f t="shared" si="5"/>
        <v>97960.76999999999</v>
      </c>
      <c r="U12" s="13"/>
      <c r="Z12" s="209"/>
      <c r="AA12" s="209"/>
      <c r="AB12" s="209"/>
      <c r="AC12" s="209"/>
    </row>
    <row r="13" spans="1:29" ht="15.75" customHeight="1">
      <c r="A13" s="14">
        <v>2.1</v>
      </c>
      <c r="B13" s="15" t="s">
        <v>11</v>
      </c>
      <c r="C13" s="14" t="s">
        <v>83</v>
      </c>
      <c r="D13" s="16"/>
      <c r="E13" s="16">
        <v>34626.105431000004</v>
      </c>
      <c r="F13" s="16">
        <v>34890.887167999994</v>
      </c>
      <c r="G13" s="16">
        <v>33554.026562999992</v>
      </c>
      <c r="H13" s="16">
        <v>32950.251563000005</v>
      </c>
      <c r="I13" s="16">
        <v>19557.453562999999</v>
      </c>
      <c r="J13" s="16">
        <v>19452.400000000001</v>
      </c>
      <c r="K13" s="16">
        <v>19763.84</v>
      </c>
      <c r="L13" s="16">
        <v>4532.79</v>
      </c>
      <c r="M13" s="16">
        <v>4520.55</v>
      </c>
      <c r="N13" s="16">
        <v>4312.2592925999998</v>
      </c>
      <c r="O13" s="16">
        <v>4306.2132926000004</v>
      </c>
      <c r="P13" s="16">
        <v>4320.7512930000021</v>
      </c>
      <c r="Q13" s="16"/>
      <c r="R13" s="16"/>
      <c r="S13" s="16"/>
      <c r="T13" s="16"/>
      <c r="U13" s="2"/>
      <c r="Z13" s="209"/>
      <c r="AA13" s="209"/>
      <c r="AB13" s="209"/>
      <c r="AC13" s="209"/>
    </row>
    <row r="14" spans="1:29" ht="15.75" customHeight="1">
      <c r="A14" s="14">
        <v>2.2000000000000002</v>
      </c>
      <c r="B14" s="15" t="s">
        <v>12</v>
      </c>
      <c r="C14" s="14" t="s">
        <v>83</v>
      </c>
      <c r="D14" s="16"/>
      <c r="E14" s="16">
        <v>32219.737297000003</v>
      </c>
      <c r="F14" s="16">
        <v>32199.007297000004</v>
      </c>
      <c r="G14" s="16">
        <v>35625.358334000004</v>
      </c>
      <c r="H14" s="16">
        <v>35407.440871999999</v>
      </c>
      <c r="I14" s="16">
        <v>32079.904871999996</v>
      </c>
      <c r="J14" s="16">
        <v>36510.800000000003</v>
      </c>
      <c r="K14" s="16">
        <v>36144.39</v>
      </c>
      <c r="L14" s="16">
        <v>44394.720000000001</v>
      </c>
      <c r="M14" s="16">
        <v>43532.7</v>
      </c>
      <c r="N14" s="16">
        <v>51678.450143825597</v>
      </c>
      <c r="O14" s="16">
        <v>45200.507749995799</v>
      </c>
      <c r="P14" s="16">
        <v>42822.147917100003</v>
      </c>
      <c r="Q14" s="16">
        <v>34350.149789320007</v>
      </c>
      <c r="R14" s="16">
        <v>26577.083717880003</v>
      </c>
      <c r="S14" s="16">
        <v>25288.779114570003</v>
      </c>
      <c r="T14" s="16">
        <v>25952.9</v>
      </c>
      <c r="U14" s="2"/>
      <c r="Z14" s="209"/>
      <c r="AA14" s="209"/>
      <c r="AB14" s="209"/>
      <c r="AC14" s="209"/>
    </row>
    <row r="15" spans="1:29" ht="15.75" customHeight="1">
      <c r="A15" s="14">
        <v>2.2999999999999998</v>
      </c>
      <c r="B15" s="15" t="s">
        <v>13</v>
      </c>
      <c r="C15" s="14" t="s">
        <v>83</v>
      </c>
      <c r="D15" s="16"/>
      <c r="E15" s="16">
        <v>15804.118741330003</v>
      </c>
      <c r="F15" s="16">
        <v>15806.185848330002</v>
      </c>
      <c r="G15" s="16">
        <v>27058.793729329998</v>
      </c>
      <c r="H15" s="16">
        <v>26399.978041330007</v>
      </c>
      <c r="I15" s="16">
        <v>29438.338041330004</v>
      </c>
      <c r="J15" s="16">
        <v>29311.47</v>
      </c>
      <c r="K15" s="16">
        <v>30453.51</v>
      </c>
      <c r="L15" s="16">
        <v>38952.31</v>
      </c>
      <c r="M15" s="16">
        <v>37450.839999999997</v>
      </c>
      <c r="N15" s="16">
        <v>59223.637507160704</v>
      </c>
      <c r="O15" s="16">
        <v>47249.6923902829</v>
      </c>
      <c r="P15" s="16">
        <v>44980.903651049994</v>
      </c>
      <c r="Q15" s="16">
        <v>34350.381110170012</v>
      </c>
      <c r="R15" s="16">
        <v>32721.069851340002</v>
      </c>
      <c r="S15" s="16">
        <v>31875.346408240013</v>
      </c>
      <c r="T15" s="16">
        <v>32232.44</v>
      </c>
      <c r="U15" s="2"/>
      <c r="Z15" s="209"/>
      <c r="AA15" s="209"/>
      <c r="AB15" s="209"/>
      <c r="AC15" s="209"/>
    </row>
    <row r="16" spans="1:29" ht="15.75" customHeight="1">
      <c r="A16" s="14">
        <v>2.4</v>
      </c>
      <c r="B16" s="15" t="s">
        <v>14</v>
      </c>
      <c r="C16" s="14" t="s">
        <v>83</v>
      </c>
      <c r="D16" s="16"/>
      <c r="E16" s="16">
        <v>22290.262118189996</v>
      </c>
      <c r="F16" s="16">
        <v>22291.363581189999</v>
      </c>
      <c r="G16" s="16">
        <v>24100.419583189996</v>
      </c>
      <c r="H16" s="16">
        <v>24687.885066190003</v>
      </c>
      <c r="I16" s="16">
        <v>39449.720066189999</v>
      </c>
      <c r="J16" s="16">
        <v>39522.07</v>
      </c>
      <c r="K16" s="16">
        <v>40247.599999999999</v>
      </c>
      <c r="L16" s="16">
        <v>40182.81</v>
      </c>
      <c r="M16" s="16">
        <v>39673.51</v>
      </c>
      <c r="N16" s="16">
        <v>49183.651860283797</v>
      </c>
      <c r="O16" s="16">
        <v>52253.172891317699</v>
      </c>
      <c r="P16" s="16">
        <v>51607.10099471001</v>
      </c>
      <c r="Q16" s="16">
        <v>41369.383203760015</v>
      </c>
      <c r="R16" s="16">
        <v>39894.958087049999</v>
      </c>
      <c r="S16" s="16">
        <v>40132.985100709986</v>
      </c>
      <c r="T16" s="16">
        <v>39775.43</v>
      </c>
      <c r="U16" s="2"/>
      <c r="Z16" s="209"/>
      <c r="AA16" s="209"/>
      <c r="AB16" s="209"/>
      <c r="AC16" s="209"/>
    </row>
    <row r="17" spans="1:29" ht="15.75" customHeight="1">
      <c r="A17" s="17" t="s">
        <v>15</v>
      </c>
      <c r="B17" s="2"/>
      <c r="C17" s="2"/>
      <c r="D17" s="2"/>
      <c r="E17" s="2"/>
      <c r="F17" s="2"/>
      <c r="G17" s="2"/>
      <c r="H17" s="2"/>
      <c r="I17" s="2"/>
      <c r="J17" s="2"/>
      <c r="K17" s="2"/>
      <c r="L17" s="2"/>
      <c r="M17" s="2"/>
      <c r="N17" s="2"/>
      <c r="O17" s="2"/>
      <c r="P17" s="2"/>
      <c r="Q17" s="2"/>
      <c r="R17" s="2"/>
      <c r="S17" s="2"/>
      <c r="T17" s="2"/>
      <c r="U17" s="2"/>
    </row>
    <row r="18" spans="1:29" ht="15.75" customHeight="1">
      <c r="A18" s="1"/>
      <c r="B18" s="2"/>
      <c r="C18" s="2"/>
      <c r="D18" s="2"/>
      <c r="E18" s="2"/>
      <c r="F18" s="2"/>
      <c r="G18" s="2"/>
      <c r="H18" s="2"/>
      <c r="I18" s="2"/>
      <c r="J18" s="2"/>
      <c r="K18" s="2"/>
      <c r="L18" s="2"/>
      <c r="M18" s="2"/>
      <c r="N18" s="2"/>
      <c r="O18" s="203"/>
      <c r="P18" s="203"/>
      <c r="Q18" s="203"/>
      <c r="R18" s="203"/>
      <c r="S18" s="203"/>
      <c r="T18" s="203"/>
      <c r="U18" s="2"/>
    </row>
    <row r="19" spans="1:29" ht="15.75" customHeight="1">
      <c r="A19" s="1"/>
      <c r="B19" s="2"/>
      <c r="C19" s="2"/>
      <c r="D19" s="2"/>
      <c r="E19" s="2"/>
      <c r="F19" s="2"/>
      <c r="G19" s="2"/>
      <c r="H19" s="2"/>
      <c r="I19" s="2"/>
      <c r="J19" s="2"/>
      <c r="K19" s="2"/>
      <c r="L19" s="2"/>
      <c r="M19" s="2"/>
      <c r="N19" s="2"/>
      <c r="O19" s="203"/>
      <c r="P19" s="203"/>
      <c r="Q19" s="203"/>
      <c r="R19" s="203"/>
      <c r="S19" s="203"/>
      <c r="T19" s="203"/>
      <c r="U19" s="2"/>
    </row>
    <row r="20" spans="1:29" ht="15.75" customHeight="1">
      <c r="A20" s="6" t="s">
        <v>16</v>
      </c>
      <c r="B20" s="2"/>
      <c r="C20" s="2"/>
      <c r="D20" s="2"/>
      <c r="E20" s="2"/>
      <c r="F20" s="2"/>
      <c r="G20" s="2"/>
      <c r="H20" s="2"/>
      <c r="I20" s="2"/>
      <c r="J20" s="2"/>
      <c r="K20" s="2"/>
      <c r="L20" s="2"/>
      <c r="M20" s="2"/>
      <c r="N20" s="2"/>
      <c r="O20" s="2"/>
      <c r="P20" s="185"/>
      <c r="Q20" s="185"/>
      <c r="R20" s="185"/>
      <c r="S20" s="185"/>
      <c r="T20" s="185"/>
      <c r="U20" s="2"/>
    </row>
    <row r="21" spans="1:29" ht="7.5" customHeight="1" thickBot="1">
      <c r="A21" s="7"/>
      <c r="B21" s="2"/>
      <c r="C21" s="2"/>
      <c r="D21" s="2"/>
      <c r="E21" s="2"/>
      <c r="F21" s="2"/>
      <c r="G21" s="2"/>
      <c r="H21" s="2"/>
      <c r="I21" s="2"/>
      <c r="J21" s="2"/>
      <c r="K21" s="2"/>
      <c r="L21" s="2"/>
      <c r="M21" s="2"/>
      <c r="N21" s="2"/>
      <c r="O21" s="2"/>
      <c r="P21" s="2"/>
      <c r="Q21" s="2"/>
      <c r="R21" s="2"/>
      <c r="S21" s="2"/>
      <c r="T21" s="2"/>
      <c r="U21" s="2"/>
    </row>
    <row r="22" spans="1:29" ht="15.75" customHeight="1" thickBot="1">
      <c r="A22" s="54" t="s">
        <v>3</v>
      </c>
      <c r="B22" s="55" t="s">
        <v>4</v>
      </c>
      <c r="C22" s="56" t="s">
        <v>5</v>
      </c>
      <c r="D22" s="56">
        <f t="shared" ref="D22:T22" si="6">D$3</f>
        <v>2008</v>
      </c>
      <c r="E22" s="56">
        <f t="shared" si="6"/>
        <v>2009</v>
      </c>
      <c r="F22" s="56">
        <f t="shared" si="6"/>
        <v>2010</v>
      </c>
      <c r="G22" s="56">
        <f t="shared" si="6"/>
        <v>2011</v>
      </c>
      <c r="H22" s="56">
        <f t="shared" si="6"/>
        <v>2012</v>
      </c>
      <c r="I22" s="56">
        <f t="shared" si="6"/>
        <v>2013</v>
      </c>
      <c r="J22" s="56">
        <f t="shared" si="6"/>
        <v>2014</v>
      </c>
      <c r="K22" s="56">
        <f t="shared" si="6"/>
        <v>2015</v>
      </c>
      <c r="L22" s="56">
        <f t="shared" si="6"/>
        <v>2016</v>
      </c>
      <c r="M22" s="56">
        <f t="shared" si="6"/>
        <v>2017</v>
      </c>
      <c r="N22" s="56">
        <f t="shared" si="6"/>
        <v>2018</v>
      </c>
      <c r="O22" s="56">
        <f t="shared" si="6"/>
        <v>2019</v>
      </c>
      <c r="P22" s="56">
        <f t="shared" si="6"/>
        <v>2020</v>
      </c>
      <c r="Q22" s="56">
        <f t="shared" si="6"/>
        <v>2021</v>
      </c>
      <c r="R22" s="56">
        <f t="shared" si="6"/>
        <v>2022</v>
      </c>
      <c r="S22" s="56">
        <f t="shared" si="6"/>
        <v>2023</v>
      </c>
      <c r="T22" s="56">
        <f t="shared" si="6"/>
        <v>2024</v>
      </c>
      <c r="U22" s="2"/>
    </row>
    <row r="23" spans="1:29" ht="15.75" customHeight="1">
      <c r="A23" s="9">
        <v>-1</v>
      </c>
      <c r="B23" s="9">
        <f t="shared" ref="B23:T23" si="7">A23-1</f>
        <v>-2</v>
      </c>
      <c r="C23" s="9">
        <f t="shared" si="7"/>
        <v>-3</v>
      </c>
      <c r="D23" s="9">
        <f t="shared" si="7"/>
        <v>-4</v>
      </c>
      <c r="E23" s="9">
        <f t="shared" si="7"/>
        <v>-5</v>
      </c>
      <c r="F23" s="9">
        <f t="shared" si="7"/>
        <v>-6</v>
      </c>
      <c r="G23" s="9">
        <f t="shared" si="7"/>
        <v>-7</v>
      </c>
      <c r="H23" s="9">
        <f t="shared" si="7"/>
        <v>-8</v>
      </c>
      <c r="I23" s="9">
        <f t="shared" si="7"/>
        <v>-9</v>
      </c>
      <c r="J23" s="9">
        <f t="shared" si="7"/>
        <v>-10</v>
      </c>
      <c r="K23" s="9">
        <f t="shared" si="7"/>
        <v>-11</v>
      </c>
      <c r="L23" s="9">
        <f t="shared" si="7"/>
        <v>-12</v>
      </c>
      <c r="M23" s="9">
        <f t="shared" si="7"/>
        <v>-13</v>
      </c>
      <c r="N23" s="9">
        <f t="shared" si="7"/>
        <v>-14</v>
      </c>
      <c r="O23" s="9">
        <f t="shared" si="7"/>
        <v>-15</v>
      </c>
      <c r="P23" s="189">
        <f t="shared" si="7"/>
        <v>-16</v>
      </c>
      <c r="Q23" s="189">
        <f t="shared" si="7"/>
        <v>-17</v>
      </c>
      <c r="R23" s="189">
        <f t="shared" si="7"/>
        <v>-18</v>
      </c>
      <c r="S23" s="189">
        <f t="shared" si="7"/>
        <v>-19</v>
      </c>
      <c r="T23" s="189">
        <f t="shared" si="7"/>
        <v>-20</v>
      </c>
      <c r="U23" s="2"/>
    </row>
    <row r="24" spans="1:29" ht="15.75" customHeight="1">
      <c r="A24" s="14">
        <v>1</v>
      </c>
      <c r="B24" s="15" t="s">
        <v>17</v>
      </c>
      <c r="C24" s="14" t="s">
        <v>84</v>
      </c>
      <c r="D24" s="18">
        <v>239869108.16000003</v>
      </c>
      <c r="E24" s="18">
        <v>253969460.78599992</v>
      </c>
      <c r="F24" s="18">
        <v>280607565.667</v>
      </c>
      <c r="G24" s="18">
        <v>353270937.00266075</v>
      </c>
      <c r="H24" s="18">
        <v>412130659.20549983</v>
      </c>
      <c r="I24" s="18">
        <v>474600920.68350089</v>
      </c>
      <c r="J24" s="18">
        <v>458096707.01213211</v>
      </c>
      <c r="K24" s="18">
        <v>461566079.39793962</v>
      </c>
      <c r="L24" s="18">
        <v>456197454.4732666</v>
      </c>
      <c r="M24" s="18">
        <v>461248184.47865099</v>
      </c>
      <c r="N24" s="18">
        <v>557772940.24163401</v>
      </c>
      <c r="O24" s="188">
        <v>616159593.90917599</v>
      </c>
      <c r="P24" s="191">
        <v>563728254.60000002</v>
      </c>
      <c r="Q24" s="191">
        <v>613990256.31999993</v>
      </c>
      <c r="R24" s="191">
        <v>687432383.65500009</v>
      </c>
      <c r="S24" s="191">
        <v>775181855.10000026</v>
      </c>
      <c r="T24" s="190">
        <v>836134000.00000012</v>
      </c>
      <c r="U24" s="2"/>
      <c r="Z24" s="209"/>
      <c r="AA24" s="209"/>
      <c r="AB24" s="209"/>
      <c r="AC24" s="209"/>
    </row>
    <row r="25" spans="1:29" ht="15.75" customHeight="1">
      <c r="A25" s="14">
        <v>2</v>
      </c>
      <c r="B25" s="15" t="s">
        <v>19</v>
      </c>
      <c r="C25" s="14" t="s">
        <v>85</v>
      </c>
      <c r="D25" s="18">
        <f t="shared" ref="D25:R25" si="8">D26/D24*1000000</f>
        <v>572823.58392594859</v>
      </c>
      <c r="E25" s="18">
        <f t="shared" si="8"/>
        <v>693118.81171075173</v>
      </c>
      <c r="F25" s="18">
        <f t="shared" si="8"/>
        <v>794960.79200114368</v>
      </c>
      <c r="G25" s="18">
        <f t="shared" si="8"/>
        <v>978831.71528000548</v>
      </c>
      <c r="H25" s="18">
        <f t="shared" si="8"/>
        <v>839942.19189656188</v>
      </c>
      <c r="I25" s="18">
        <f t="shared" si="8"/>
        <v>828355.89778642193</v>
      </c>
      <c r="J25" s="18">
        <f t="shared" si="8"/>
        <v>745634.80714796833</v>
      </c>
      <c r="K25" s="18">
        <f t="shared" si="8"/>
        <v>771214.89356152434</v>
      </c>
      <c r="L25" s="18">
        <f t="shared" si="8"/>
        <v>827707.38053459069</v>
      </c>
      <c r="M25" s="18">
        <f t="shared" si="8"/>
        <v>1148552.500012046</v>
      </c>
      <c r="N25" s="18">
        <f t="shared" si="8"/>
        <v>1378357.9989770763</v>
      </c>
      <c r="O25" s="188">
        <f t="shared" si="8"/>
        <v>1072527.350275564</v>
      </c>
      <c r="P25" s="191">
        <f t="shared" si="8"/>
        <v>891842.80802773114</v>
      </c>
      <c r="Q25" s="191">
        <f t="shared" si="8"/>
        <v>1743926.5063040718</v>
      </c>
      <c r="R25" s="191">
        <f t="shared" si="8"/>
        <v>3349295.6891540806</v>
      </c>
      <c r="S25" s="191">
        <f t="shared" ref="S25:T25" si="9">S26/S24*1000000</f>
        <v>2557145.9261333128</v>
      </c>
      <c r="T25" s="191">
        <f t="shared" si="9"/>
        <v>1805708.6748613538</v>
      </c>
      <c r="U25" s="2"/>
      <c r="Z25" s="209"/>
      <c r="AA25" s="209"/>
      <c r="AB25" s="209"/>
      <c r="AC25" s="209"/>
    </row>
    <row r="26" spans="1:29" ht="15.75" customHeight="1">
      <c r="A26" s="14">
        <v>3</v>
      </c>
      <c r="B26" s="15" t="s">
        <v>21</v>
      </c>
      <c r="C26" s="14" t="s">
        <v>22</v>
      </c>
      <c r="D26" s="18">
        <v>137402682.2093322</v>
      </c>
      <c r="E26" s="18">
        <v>176031010.87081262</v>
      </c>
      <c r="F26" s="18">
        <v>223072012.64415124</v>
      </c>
      <c r="G26" s="18">
        <v>345792797.22488916</v>
      </c>
      <c r="H26" s="18">
        <v>346165929.24084246</v>
      </c>
      <c r="I26" s="18">
        <v>393138471.74304378</v>
      </c>
      <c r="J26" s="18">
        <v>341572849.78811049</v>
      </c>
      <c r="K26" s="18">
        <v>355966634.79449207</v>
      </c>
      <c r="L26" s="18">
        <v>377598000.04861569</v>
      </c>
      <c r="M26" s="18">
        <v>529767755.40897202</v>
      </c>
      <c r="N26" s="18">
        <v>768810793.79501903</v>
      </c>
      <c r="O26" s="18">
        <v>660848016.60227597</v>
      </c>
      <c r="P26" s="196">
        <v>502756989.54703581</v>
      </c>
      <c r="Q26" s="196">
        <v>1070753882.6088791</v>
      </c>
      <c r="R26" s="196">
        <v>2302414319.1606059</v>
      </c>
      <c r="S26" s="196">
        <v>1982253122.7814298</v>
      </c>
      <c r="T26" s="196">
        <v>1509814417.1465235</v>
      </c>
      <c r="U26" s="2"/>
      <c r="Z26" s="209"/>
      <c r="AA26" s="209"/>
      <c r="AB26" s="209"/>
      <c r="AC26" s="209"/>
    </row>
    <row r="27" spans="1:29" ht="15.75" customHeight="1">
      <c r="A27" s="17" t="s">
        <v>23</v>
      </c>
      <c r="B27" s="2"/>
      <c r="C27" s="2"/>
      <c r="D27" s="2"/>
      <c r="E27" s="2"/>
      <c r="F27" s="2"/>
      <c r="G27" s="2"/>
      <c r="H27" s="2"/>
      <c r="I27" s="2"/>
      <c r="J27" s="2"/>
      <c r="K27" s="2"/>
      <c r="L27" s="2"/>
      <c r="M27" s="2"/>
      <c r="N27" s="2"/>
      <c r="O27" s="2"/>
      <c r="P27" s="185"/>
      <c r="Q27" s="185"/>
      <c r="R27" s="185"/>
      <c r="S27" s="185"/>
      <c r="T27" s="185"/>
      <c r="U27" s="2"/>
      <c r="Z27" s="209"/>
      <c r="AA27" s="209"/>
      <c r="AB27" s="209"/>
      <c r="AC27" s="209"/>
    </row>
    <row r="28" spans="1:29" ht="15.75" customHeight="1">
      <c r="A28" s="19"/>
      <c r="B28" s="2"/>
      <c r="C28" s="2"/>
      <c r="D28" s="2"/>
      <c r="E28" s="2"/>
      <c r="F28" s="2"/>
      <c r="G28" s="2"/>
      <c r="H28" s="2"/>
      <c r="I28" s="2"/>
      <c r="J28" s="2"/>
      <c r="K28" s="2"/>
      <c r="L28" s="2"/>
      <c r="M28" s="2"/>
      <c r="N28" s="60"/>
      <c r="O28" s="185"/>
      <c r="P28" s="185"/>
      <c r="Q28" s="185"/>
      <c r="R28" s="185"/>
      <c r="S28" s="185"/>
      <c r="T28" s="185"/>
      <c r="U28" s="2"/>
      <c r="Z28" s="209"/>
      <c r="AA28" s="209"/>
      <c r="AB28" s="209"/>
      <c r="AC28" s="209"/>
    </row>
    <row r="29" spans="1:29" ht="15.75" customHeight="1">
      <c r="A29" s="19"/>
      <c r="B29" s="2"/>
      <c r="C29" s="2"/>
      <c r="D29" s="2"/>
      <c r="E29" s="2"/>
      <c r="F29" s="2"/>
      <c r="G29" s="2"/>
      <c r="H29" s="2"/>
      <c r="I29" s="2"/>
      <c r="J29" s="2"/>
      <c r="K29" s="2"/>
      <c r="L29" s="2"/>
      <c r="M29" s="2"/>
      <c r="N29" s="2"/>
      <c r="O29" s="2"/>
      <c r="P29" s="2"/>
      <c r="Q29" s="2"/>
      <c r="R29" s="2"/>
      <c r="S29" s="2"/>
      <c r="T29" s="2"/>
      <c r="U29" s="2"/>
      <c r="Z29" s="209"/>
      <c r="AA29" s="209"/>
      <c r="AB29" s="209"/>
      <c r="AC29" s="209"/>
    </row>
    <row r="30" spans="1:29" ht="15.75" customHeight="1">
      <c r="A30" s="6" t="s">
        <v>24</v>
      </c>
      <c r="B30" s="2"/>
      <c r="C30" s="2"/>
      <c r="D30" s="2"/>
      <c r="E30" s="2"/>
      <c r="F30" s="2"/>
      <c r="G30" s="2"/>
      <c r="H30" s="2"/>
      <c r="I30" s="2"/>
      <c r="J30" s="2"/>
      <c r="K30" s="2"/>
      <c r="L30" s="2"/>
      <c r="M30" s="2"/>
      <c r="N30" s="2"/>
      <c r="O30" s="2"/>
      <c r="P30" s="2"/>
      <c r="Q30" s="2"/>
      <c r="R30" s="2"/>
      <c r="S30" s="2"/>
      <c r="T30" s="2"/>
      <c r="U30" s="2"/>
      <c r="Z30" s="209"/>
      <c r="AA30" s="209"/>
      <c r="AB30" s="209"/>
      <c r="AC30" s="209"/>
    </row>
    <row r="31" spans="1:29" ht="7.5" customHeight="1" thickBot="1">
      <c r="A31" s="19"/>
      <c r="B31" s="2"/>
      <c r="C31" s="2"/>
      <c r="D31" s="2"/>
      <c r="E31" s="2"/>
      <c r="F31" s="2"/>
      <c r="G31" s="2"/>
      <c r="H31" s="2"/>
      <c r="I31" s="2"/>
      <c r="J31" s="2"/>
      <c r="K31" s="2"/>
      <c r="L31" s="2"/>
      <c r="M31" s="2"/>
      <c r="N31" s="2"/>
      <c r="O31" s="2"/>
      <c r="P31" s="2"/>
      <c r="Q31" s="2"/>
      <c r="R31" s="2"/>
      <c r="S31" s="2"/>
      <c r="T31" s="2"/>
      <c r="U31" s="2"/>
      <c r="Z31" s="209"/>
      <c r="AA31" s="209"/>
      <c r="AB31" s="209"/>
      <c r="AC31" s="209"/>
    </row>
    <row r="32" spans="1:29" ht="15.75" customHeight="1" thickBot="1">
      <c r="A32" s="54" t="s">
        <v>3</v>
      </c>
      <c r="B32" s="55" t="s">
        <v>4</v>
      </c>
      <c r="C32" s="56" t="s">
        <v>5</v>
      </c>
      <c r="D32" s="56">
        <f t="shared" ref="D32:T32" si="10">D$3</f>
        <v>2008</v>
      </c>
      <c r="E32" s="56">
        <f t="shared" si="10"/>
        <v>2009</v>
      </c>
      <c r="F32" s="56">
        <f t="shared" si="10"/>
        <v>2010</v>
      </c>
      <c r="G32" s="56">
        <f t="shared" si="10"/>
        <v>2011</v>
      </c>
      <c r="H32" s="56">
        <f t="shared" si="10"/>
        <v>2012</v>
      </c>
      <c r="I32" s="56">
        <f t="shared" si="10"/>
        <v>2013</v>
      </c>
      <c r="J32" s="56">
        <f t="shared" si="10"/>
        <v>2014</v>
      </c>
      <c r="K32" s="56">
        <f t="shared" si="10"/>
        <v>2015</v>
      </c>
      <c r="L32" s="56">
        <f t="shared" si="10"/>
        <v>2016</v>
      </c>
      <c r="M32" s="56">
        <f t="shared" si="10"/>
        <v>2017</v>
      </c>
      <c r="N32" s="56">
        <f t="shared" si="10"/>
        <v>2018</v>
      </c>
      <c r="O32" s="56">
        <f t="shared" si="10"/>
        <v>2019</v>
      </c>
      <c r="P32" s="56">
        <f t="shared" si="10"/>
        <v>2020</v>
      </c>
      <c r="Q32" s="56">
        <f t="shared" si="10"/>
        <v>2021</v>
      </c>
      <c r="R32" s="56">
        <f t="shared" si="10"/>
        <v>2022</v>
      </c>
      <c r="S32" s="56">
        <f t="shared" si="10"/>
        <v>2023</v>
      </c>
      <c r="T32" s="56">
        <f t="shared" si="10"/>
        <v>2024</v>
      </c>
      <c r="U32" s="2"/>
    </row>
    <row r="33" spans="1:29" ht="15.75" customHeight="1">
      <c r="A33" s="9">
        <v>-1</v>
      </c>
      <c r="B33" s="9">
        <f t="shared" ref="B33:T33" si="11">A33-1</f>
        <v>-2</v>
      </c>
      <c r="C33" s="9">
        <f t="shared" si="11"/>
        <v>-3</v>
      </c>
      <c r="D33" s="9">
        <f t="shared" si="11"/>
        <v>-4</v>
      </c>
      <c r="E33" s="9">
        <f t="shared" si="11"/>
        <v>-5</v>
      </c>
      <c r="F33" s="9">
        <f t="shared" si="11"/>
        <v>-6</v>
      </c>
      <c r="G33" s="9">
        <f t="shared" si="11"/>
        <v>-7</v>
      </c>
      <c r="H33" s="9">
        <f t="shared" si="11"/>
        <v>-8</v>
      </c>
      <c r="I33" s="9">
        <f t="shared" si="11"/>
        <v>-9</v>
      </c>
      <c r="J33" s="9">
        <f t="shared" si="11"/>
        <v>-10</v>
      </c>
      <c r="K33" s="9">
        <f t="shared" si="11"/>
        <v>-11</v>
      </c>
      <c r="L33" s="9">
        <f t="shared" si="11"/>
        <v>-12</v>
      </c>
      <c r="M33" s="9">
        <f t="shared" si="11"/>
        <v>-13</v>
      </c>
      <c r="N33" s="9">
        <f t="shared" si="11"/>
        <v>-14</v>
      </c>
      <c r="O33" s="9">
        <f t="shared" si="11"/>
        <v>-15</v>
      </c>
      <c r="P33" s="9">
        <f t="shared" si="11"/>
        <v>-16</v>
      </c>
      <c r="Q33" s="9">
        <f t="shared" si="11"/>
        <v>-17</v>
      </c>
      <c r="R33" s="9">
        <f t="shared" si="11"/>
        <v>-18</v>
      </c>
      <c r="S33" s="9">
        <f t="shared" si="11"/>
        <v>-19</v>
      </c>
      <c r="T33" s="9">
        <f t="shared" si="11"/>
        <v>-20</v>
      </c>
      <c r="U33" s="2"/>
    </row>
    <row r="34" spans="1:29" ht="15.75" customHeight="1">
      <c r="A34" s="14">
        <v>1</v>
      </c>
      <c r="B34" s="21" t="s">
        <v>25</v>
      </c>
      <c r="C34" s="14" t="s">
        <v>22</v>
      </c>
      <c r="D34" s="18"/>
      <c r="E34" s="18"/>
      <c r="F34" s="22">
        <v>79145788</v>
      </c>
      <c r="G34" s="18"/>
      <c r="H34" s="18"/>
      <c r="I34" s="18"/>
      <c r="J34" s="18"/>
      <c r="K34" s="18"/>
      <c r="L34" s="18">
        <v>158647426</v>
      </c>
      <c r="M34" s="18"/>
      <c r="N34" s="18"/>
      <c r="O34" s="18"/>
      <c r="P34" s="18"/>
      <c r="Q34" s="18"/>
      <c r="R34" s="18"/>
      <c r="S34" s="18"/>
      <c r="T34" s="18"/>
      <c r="U34" s="2"/>
    </row>
    <row r="35" spans="1:29" ht="15.75" customHeight="1">
      <c r="A35" s="14">
        <v>2</v>
      </c>
      <c r="B35" s="15" t="s">
        <v>26</v>
      </c>
      <c r="C35" s="14" t="s">
        <v>22</v>
      </c>
      <c r="D35" s="18"/>
      <c r="E35" s="18"/>
      <c r="F35" s="22">
        <v>18280023</v>
      </c>
      <c r="G35" s="18"/>
      <c r="H35" s="18"/>
      <c r="I35" s="18"/>
      <c r="J35" s="18"/>
      <c r="K35" s="18"/>
      <c r="L35" s="18">
        <v>40866331</v>
      </c>
      <c r="M35" s="18"/>
      <c r="N35" s="18"/>
      <c r="O35" s="18"/>
      <c r="P35" s="18"/>
      <c r="Q35" s="18"/>
      <c r="R35" s="18"/>
      <c r="S35" s="18"/>
      <c r="T35" s="18"/>
      <c r="U35" s="2"/>
    </row>
    <row r="36" spans="1:29" ht="15.75" customHeight="1">
      <c r="A36" s="14">
        <v>3</v>
      </c>
      <c r="B36" s="21" t="s">
        <v>27</v>
      </c>
      <c r="C36" s="14" t="s">
        <v>22</v>
      </c>
      <c r="D36" s="18"/>
      <c r="E36" s="18"/>
      <c r="F36" s="22">
        <v>1506374</v>
      </c>
      <c r="G36" s="18"/>
      <c r="H36" s="18"/>
      <c r="I36" s="18"/>
      <c r="J36" s="18"/>
      <c r="K36" s="18"/>
      <c r="L36" s="18">
        <v>1138123</v>
      </c>
      <c r="M36" s="18"/>
      <c r="N36" s="18"/>
      <c r="O36" s="18"/>
      <c r="P36" s="18"/>
      <c r="Q36" s="18"/>
      <c r="R36" s="18"/>
      <c r="S36" s="18"/>
      <c r="T36" s="18"/>
      <c r="U36" s="2"/>
    </row>
    <row r="37" spans="1:29" ht="15.75" customHeight="1">
      <c r="A37" s="14">
        <v>4</v>
      </c>
      <c r="B37" s="21" t="s">
        <v>28</v>
      </c>
      <c r="C37" s="14" t="s">
        <v>22</v>
      </c>
      <c r="D37" s="18"/>
      <c r="E37" s="18"/>
      <c r="F37" s="22">
        <v>151748081</v>
      </c>
      <c r="G37" s="18"/>
      <c r="H37" s="18"/>
      <c r="I37" s="18"/>
      <c r="J37" s="18"/>
      <c r="K37" s="18"/>
      <c r="L37" s="18">
        <v>181096630</v>
      </c>
      <c r="M37" s="18"/>
      <c r="N37" s="18"/>
      <c r="O37" s="18"/>
      <c r="P37" s="18"/>
      <c r="Q37" s="18"/>
      <c r="R37" s="18"/>
      <c r="S37" s="18"/>
      <c r="T37" s="18"/>
      <c r="U37" s="2"/>
    </row>
    <row r="38" spans="1:29" ht="15.75" customHeight="1">
      <c r="A38" s="14">
        <v>5</v>
      </c>
      <c r="B38" s="21" t="s">
        <v>29</v>
      </c>
      <c r="C38" s="14" t="s">
        <v>22</v>
      </c>
      <c r="D38" s="18"/>
      <c r="E38" s="18"/>
      <c r="F38" s="22">
        <v>250680266</v>
      </c>
      <c r="G38" s="18"/>
      <c r="H38" s="18"/>
      <c r="I38" s="18"/>
      <c r="J38" s="18"/>
      <c r="K38" s="18"/>
      <c r="L38" s="18">
        <v>381748510</v>
      </c>
      <c r="M38" s="18"/>
      <c r="N38" s="18"/>
      <c r="O38" s="18"/>
      <c r="P38" s="18"/>
      <c r="Q38" s="18"/>
      <c r="R38" s="18"/>
      <c r="S38" s="18"/>
      <c r="T38" s="18"/>
      <c r="U38" s="2"/>
    </row>
    <row r="39" spans="1:29" ht="15.75" customHeight="1">
      <c r="A39" s="17" t="s">
        <v>30</v>
      </c>
      <c r="B39" s="2"/>
      <c r="C39" s="2"/>
      <c r="D39" s="2"/>
      <c r="E39" s="2"/>
      <c r="F39" s="2"/>
      <c r="G39" s="2"/>
      <c r="H39" s="2"/>
      <c r="I39" s="2"/>
      <c r="J39" s="2"/>
      <c r="K39" s="2"/>
      <c r="L39" s="2"/>
      <c r="M39" s="2"/>
      <c r="N39" s="2"/>
      <c r="O39" s="2"/>
      <c r="P39" s="2"/>
      <c r="Q39" s="2"/>
      <c r="R39" s="2"/>
      <c r="S39" s="2"/>
      <c r="T39" s="2"/>
      <c r="U39" s="2"/>
    </row>
    <row r="40" spans="1:29" ht="15.75" customHeight="1">
      <c r="A40" s="19"/>
      <c r="B40" s="2"/>
      <c r="C40" s="2"/>
      <c r="D40" s="2"/>
      <c r="E40" s="2"/>
      <c r="F40" s="2"/>
      <c r="G40" s="2"/>
      <c r="H40" s="2"/>
      <c r="I40" s="2"/>
      <c r="J40" s="2"/>
      <c r="K40" s="2"/>
      <c r="L40" s="2"/>
      <c r="M40" s="2"/>
      <c r="N40" s="2"/>
      <c r="O40" s="2"/>
      <c r="P40" s="2"/>
      <c r="Q40" s="2"/>
      <c r="R40" s="2"/>
      <c r="S40" s="2"/>
      <c r="T40" s="2"/>
      <c r="U40" s="2"/>
      <c r="Z40" s="209"/>
      <c r="AA40" s="209"/>
      <c r="AB40" s="209"/>
      <c r="AC40" s="209"/>
    </row>
    <row r="41" spans="1:29" ht="15.75" customHeight="1">
      <c r="A41" s="19"/>
      <c r="B41" s="2"/>
      <c r="C41" s="2"/>
      <c r="D41" s="2"/>
      <c r="E41" s="2"/>
      <c r="F41" s="2"/>
      <c r="G41" s="2"/>
      <c r="H41" s="2"/>
      <c r="I41" s="2"/>
      <c r="J41" s="2"/>
      <c r="K41" s="2"/>
      <c r="L41" s="2"/>
      <c r="M41" s="2"/>
      <c r="N41" s="2"/>
      <c r="O41" s="2"/>
      <c r="P41" s="2"/>
      <c r="Q41" s="2"/>
      <c r="R41" s="2"/>
      <c r="S41" s="2"/>
      <c r="T41" s="2"/>
      <c r="U41" s="2"/>
      <c r="Z41" s="209"/>
      <c r="AA41" s="209"/>
      <c r="AB41" s="209"/>
      <c r="AC41" s="209"/>
    </row>
    <row r="42" spans="1:29" ht="15.75" customHeight="1">
      <c r="A42" s="6" t="s">
        <v>31</v>
      </c>
      <c r="B42" s="2"/>
      <c r="C42" s="2"/>
      <c r="D42" s="2"/>
      <c r="E42" s="2"/>
      <c r="F42" s="2"/>
      <c r="G42" s="2"/>
      <c r="H42" s="2"/>
      <c r="I42" s="2"/>
      <c r="J42" s="2"/>
      <c r="K42" s="2"/>
      <c r="L42" s="2"/>
      <c r="M42" s="2"/>
      <c r="N42" s="2"/>
      <c r="O42" s="2"/>
      <c r="P42" s="2"/>
      <c r="Q42" s="2"/>
      <c r="R42" s="2"/>
      <c r="S42" s="2"/>
      <c r="T42" s="2"/>
      <c r="U42" s="2"/>
      <c r="Z42" s="209"/>
      <c r="AA42" s="209"/>
      <c r="AB42" s="209"/>
      <c r="AC42" s="209"/>
    </row>
    <row r="43" spans="1:29" ht="7.5" customHeight="1" thickBot="1">
      <c r="A43" s="7"/>
      <c r="B43" s="2"/>
      <c r="C43" s="2"/>
      <c r="D43" s="2"/>
      <c r="E43" s="2"/>
      <c r="F43" s="2"/>
      <c r="G43" s="2"/>
      <c r="H43" s="2"/>
      <c r="I43" s="2"/>
      <c r="J43" s="2"/>
      <c r="K43" s="2"/>
      <c r="L43" s="2"/>
      <c r="M43" s="2"/>
      <c r="N43" s="2"/>
      <c r="O43" s="2"/>
      <c r="P43" s="2"/>
      <c r="Q43" s="2"/>
      <c r="R43" s="2"/>
      <c r="S43" s="2"/>
      <c r="T43" s="2"/>
      <c r="U43" s="2"/>
      <c r="Z43" s="209"/>
      <c r="AA43" s="209"/>
      <c r="AB43" s="209"/>
      <c r="AC43" s="209"/>
    </row>
    <row r="44" spans="1:29" ht="15.75" customHeight="1" thickBot="1">
      <c r="A44" s="54" t="s">
        <v>3</v>
      </c>
      <c r="B44" s="55" t="s">
        <v>4</v>
      </c>
      <c r="C44" s="56" t="s">
        <v>5</v>
      </c>
      <c r="D44" s="56">
        <f t="shared" ref="D44:T44" si="12">D$3</f>
        <v>2008</v>
      </c>
      <c r="E44" s="56">
        <f t="shared" si="12"/>
        <v>2009</v>
      </c>
      <c r="F44" s="56">
        <f t="shared" si="12"/>
        <v>2010</v>
      </c>
      <c r="G44" s="56">
        <f t="shared" si="12"/>
        <v>2011</v>
      </c>
      <c r="H44" s="56">
        <f t="shared" si="12"/>
        <v>2012</v>
      </c>
      <c r="I44" s="56">
        <f t="shared" si="12"/>
        <v>2013</v>
      </c>
      <c r="J44" s="56">
        <f t="shared" si="12"/>
        <v>2014</v>
      </c>
      <c r="K44" s="56">
        <f t="shared" si="12"/>
        <v>2015</v>
      </c>
      <c r="L44" s="56">
        <f t="shared" si="12"/>
        <v>2016</v>
      </c>
      <c r="M44" s="56">
        <f t="shared" si="12"/>
        <v>2017</v>
      </c>
      <c r="N44" s="56">
        <f t="shared" si="12"/>
        <v>2018</v>
      </c>
      <c r="O44" s="56">
        <f t="shared" si="12"/>
        <v>2019</v>
      </c>
      <c r="P44" s="56">
        <f t="shared" si="12"/>
        <v>2020</v>
      </c>
      <c r="Q44" s="56">
        <f t="shared" si="12"/>
        <v>2021</v>
      </c>
      <c r="R44" s="56">
        <f t="shared" si="12"/>
        <v>2022</v>
      </c>
      <c r="S44" s="56">
        <f t="shared" si="12"/>
        <v>2023</v>
      </c>
      <c r="T44" s="56">
        <f t="shared" si="12"/>
        <v>2024</v>
      </c>
      <c r="U44" s="2"/>
      <c r="Z44" s="209"/>
      <c r="AA44" s="209"/>
      <c r="AB44" s="209"/>
      <c r="AC44" s="209"/>
    </row>
    <row r="45" spans="1:29" ht="15.75" customHeight="1">
      <c r="A45" s="9">
        <v>-1</v>
      </c>
      <c r="B45" s="9">
        <f t="shared" ref="B45:T45" si="13">A45-1</f>
        <v>-2</v>
      </c>
      <c r="C45" s="9">
        <f t="shared" si="13"/>
        <v>-3</v>
      </c>
      <c r="D45" s="9">
        <f t="shared" si="13"/>
        <v>-4</v>
      </c>
      <c r="E45" s="9">
        <f t="shared" si="13"/>
        <v>-5</v>
      </c>
      <c r="F45" s="9">
        <f t="shared" si="13"/>
        <v>-6</v>
      </c>
      <c r="G45" s="9">
        <f t="shared" si="13"/>
        <v>-7</v>
      </c>
      <c r="H45" s="9">
        <f t="shared" si="13"/>
        <v>-8</v>
      </c>
      <c r="I45" s="9">
        <f t="shared" si="13"/>
        <v>-9</v>
      </c>
      <c r="J45" s="9">
        <f t="shared" si="13"/>
        <v>-10</v>
      </c>
      <c r="K45" s="9">
        <f t="shared" si="13"/>
        <v>-11</v>
      </c>
      <c r="L45" s="9">
        <f t="shared" si="13"/>
        <v>-12</v>
      </c>
      <c r="M45" s="9">
        <f t="shared" si="13"/>
        <v>-13</v>
      </c>
      <c r="N45" s="9">
        <f t="shared" si="13"/>
        <v>-14</v>
      </c>
      <c r="O45" s="9">
        <f t="shared" si="13"/>
        <v>-15</v>
      </c>
      <c r="P45" s="9">
        <f t="shared" si="13"/>
        <v>-16</v>
      </c>
      <c r="Q45" s="9">
        <f t="shared" si="13"/>
        <v>-17</v>
      </c>
      <c r="R45" s="9">
        <f t="shared" si="13"/>
        <v>-18</v>
      </c>
      <c r="S45" s="9">
        <f t="shared" si="13"/>
        <v>-19</v>
      </c>
      <c r="T45" s="9">
        <f t="shared" si="13"/>
        <v>-20</v>
      </c>
      <c r="U45" s="2"/>
      <c r="Z45" s="209"/>
      <c r="AA45" s="209"/>
      <c r="AB45" s="209"/>
      <c r="AC45" s="209"/>
    </row>
    <row r="46" spans="1:29" ht="15.75" customHeight="1">
      <c r="A46" s="14">
        <v>1</v>
      </c>
      <c r="B46" s="15" t="s">
        <v>21</v>
      </c>
      <c r="C46" s="14" t="s">
        <v>22</v>
      </c>
      <c r="D46" s="18">
        <f t="shared" ref="D46:Q46" si="14">D26</f>
        <v>137402682.2093322</v>
      </c>
      <c r="E46" s="18">
        <f t="shared" si="14"/>
        <v>176031010.87081262</v>
      </c>
      <c r="F46" s="18">
        <f t="shared" si="14"/>
        <v>223072012.64415124</v>
      </c>
      <c r="G46" s="18">
        <f t="shared" si="14"/>
        <v>345792797.22488916</v>
      </c>
      <c r="H46" s="18">
        <f t="shared" si="14"/>
        <v>346165929.24084246</v>
      </c>
      <c r="I46" s="18">
        <f t="shared" si="14"/>
        <v>393138471.74304378</v>
      </c>
      <c r="J46" s="18">
        <f t="shared" si="14"/>
        <v>341572849.78811049</v>
      </c>
      <c r="K46" s="18">
        <f t="shared" si="14"/>
        <v>355966634.79449207</v>
      </c>
      <c r="L46" s="18">
        <f t="shared" si="14"/>
        <v>377598000.04861569</v>
      </c>
      <c r="M46" s="18">
        <f t="shared" si="14"/>
        <v>529767755.40897202</v>
      </c>
      <c r="N46" s="18">
        <f t="shared" si="14"/>
        <v>768810793.79501903</v>
      </c>
      <c r="O46" s="18">
        <f t="shared" si="14"/>
        <v>660848016.60227597</v>
      </c>
      <c r="P46" s="18">
        <f t="shared" si="14"/>
        <v>502756989.54703581</v>
      </c>
      <c r="Q46" s="18">
        <f t="shared" si="14"/>
        <v>1070753882.6088791</v>
      </c>
      <c r="R46" s="18">
        <f t="shared" ref="R46:S46" si="15">R26</f>
        <v>2302414319.1606059</v>
      </c>
      <c r="S46" s="18">
        <f t="shared" si="15"/>
        <v>1982253122.7814298</v>
      </c>
      <c r="T46" s="18">
        <f t="shared" ref="T46" si="16">T26</f>
        <v>1509814417.1465235</v>
      </c>
      <c r="U46" s="2"/>
      <c r="Z46" s="209"/>
      <c r="AA46" s="209"/>
      <c r="AB46" s="209"/>
      <c r="AC46" s="209"/>
    </row>
    <row r="47" spans="1:29" ht="15.75" customHeight="1">
      <c r="A47" s="14">
        <f t="shared" ref="A47:A56" si="17">A46+1</f>
        <v>2</v>
      </c>
      <c r="B47" s="15" t="s">
        <v>32</v>
      </c>
      <c r="C47" s="14" t="s">
        <v>22</v>
      </c>
      <c r="D47" s="18">
        <f t="shared" ref="D47:M47" si="18">$F34/$F$38*D$46</f>
        <v>43381330.849438213</v>
      </c>
      <c r="E47" s="18">
        <f t="shared" si="18"/>
        <v>55577223.090257257</v>
      </c>
      <c r="F47" s="18">
        <f t="shared" si="18"/>
        <v>70429198.52920258</v>
      </c>
      <c r="G47" s="18">
        <f t="shared" si="18"/>
        <v>109175101.24665363</v>
      </c>
      <c r="H47" s="18">
        <f t="shared" si="18"/>
        <v>109292907.99666983</v>
      </c>
      <c r="I47" s="18">
        <f t="shared" si="18"/>
        <v>124123269.19750011</v>
      </c>
      <c r="J47" s="18">
        <f t="shared" si="18"/>
        <v>107842762.36521003</v>
      </c>
      <c r="K47" s="18">
        <f t="shared" si="18"/>
        <v>112387226.41421759</v>
      </c>
      <c r="L47" s="18">
        <f t="shared" si="18"/>
        <v>119216768.58708826</v>
      </c>
      <c r="M47" s="18">
        <f t="shared" si="18"/>
        <v>167260419.5291318</v>
      </c>
      <c r="N47" s="18">
        <f t="shared" ref="N47:Q47" si="19">$L34/$L$38*N$46</f>
        <v>319503155.40615088</v>
      </c>
      <c r="O47" s="18">
        <f t="shared" si="19"/>
        <v>274635876.93153363</v>
      </c>
      <c r="P47" s="18">
        <f t="shared" si="19"/>
        <v>208936250.45228371</v>
      </c>
      <c r="Q47" s="18">
        <f t="shared" si="19"/>
        <v>444984964.98494476</v>
      </c>
      <c r="R47" s="18">
        <f t="shared" ref="R47:S47" si="20">$L34/$L$38*R$46</f>
        <v>956839635.91730225</v>
      </c>
      <c r="S47" s="18">
        <f t="shared" si="20"/>
        <v>823786727.05162823</v>
      </c>
      <c r="T47" s="18">
        <f t="shared" ref="T47" si="21">$L34/$L$38*T$46</f>
        <v>627450179.22397709</v>
      </c>
      <c r="U47" s="2"/>
      <c r="Z47" s="209"/>
      <c r="AA47" s="209"/>
      <c r="AB47" s="209"/>
      <c r="AC47" s="209"/>
    </row>
    <row r="48" spans="1:29" ht="15.75" customHeight="1">
      <c r="A48" s="14">
        <f t="shared" si="17"/>
        <v>3</v>
      </c>
      <c r="B48" s="15" t="s">
        <v>26</v>
      </c>
      <c r="C48" s="14" t="s">
        <v>22</v>
      </c>
      <c r="D48" s="18">
        <f t="shared" ref="D48:M48" si="22">$F35/$F$38*D$46</f>
        <v>10019632.702353535</v>
      </c>
      <c r="E48" s="18">
        <f t="shared" si="22"/>
        <v>12836474.840152374</v>
      </c>
      <c r="F48" s="18">
        <f t="shared" si="22"/>
        <v>16266783.129196836</v>
      </c>
      <c r="G48" s="18">
        <f t="shared" si="22"/>
        <v>25215787.374764115</v>
      </c>
      <c r="H48" s="18">
        <f t="shared" si="22"/>
        <v>25242996.78355604</v>
      </c>
      <c r="I48" s="18">
        <f t="shared" si="22"/>
        <v>28668312.908394992</v>
      </c>
      <c r="J48" s="18">
        <f t="shared" si="22"/>
        <v>24908061.771013938</v>
      </c>
      <c r="K48" s="18">
        <f t="shared" si="22"/>
        <v>25957680.574967615</v>
      </c>
      <c r="L48" s="18">
        <f t="shared" si="22"/>
        <v>27535075.799076643</v>
      </c>
      <c r="M48" s="18">
        <f t="shared" si="22"/>
        <v>38631548.099340148</v>
      </c>
      <c r="N48" s="18">
        <f t="shared" ref="N48:Q48" si="23">$L35/$L$38*N$46</f>
        <v>82301503.614513114</v>
      </c>
      <c r="O48" s="18">
        <f t="shared" si="23"/>
        <v>70744045.044634506</v>
      </c>
      <c r="P48" s="18">
        <f t="shared" si="23"/>
        <v>53820337.235612802</v>
      </c>
      <c r="Q48" s="18">
        <f t="shared" si="23"/>
        <v>114624632.29058732</v>
      </c>
      <c r="R48" s="18">
        <f t="shared" ref="R48:S48" si="24">$L35/$L$38*R$46</f>
        <v>246474375.67197567</v>
      </c>
      <c r="S48" s="18">
        <f t="shared" si="24"/>
        <v>212200991.27923131</v>
      </c>
      <c r="T48" s="18">
        <f t="shared" ref="T48" si="25">$L35/$L$38*T$46</f>
        <v>161626238.48795614</v>
      </c>
      <c r="U48" s="2"/>
      <c r="Z48" s="209"/>
      <c r="AA48" s="209"/>
      <c r="AB48" s="209"/>
      <c r="AC48" s="209"/>
    </row>
    <row r="49" spans="1:29" ht="15.75" customHeight="1">
      <c r="A49" s="14">
        <f t="shared" si="17"/>
        <v>4</v>
      </c>
      <c r="B49" s="21" t="s">
        <v>27</v>
      </c>
      <c r="C49" s="14" t="s">
        <v>22</v>
      </c>
      <c r="D49" s="18">
        <f t="shared" ref="D49:M49" si="26">$F36/$F$38*D$46</f>
        <v>825672.60404295474</v>
      </c>
      <c r="E49" s="18">
        <f t="shared" si="26"/>
        <v>1057795.8217481286</v>
      </c>
      <c r="F49" s="18">
        <f t="shared" si="26"/>
        <v>1340472.0097704886</v>
      </c>
      <c r="G49" s="18">
        <f t="shared" si="26"/>
        <v>2077918.9660140427</v>
      </c>
      <c r="H49" s="18">
        <f t="shared" si="26"/>
        <v>2080161.1703022718</v>
      </c>
      <c r="I49" s="18">
        <f t="shared" si="26"/>
        <v>2362425.9766560798</v>
      </c>
      <c r="J49" s="18">
        <f t="shared" si="26"/>
        <v>2052560.6911024866</v>
      </c>
      <c r="K49" s="18">
        <f t="shared" si="26"/>
        <v>2139055.0284557231</v>
      </c>
      <c r="L49" s="18">
        <f t="shared" si="26"/>
        <v>2269041.0330314292</v>
      </c>
      <c r="M49" s="18">
        <f t="shared" si="26"/>
        <v>3183451.1169157401</v>
      </c>
      <c r="N49" s="18">
        <f t="shared" ref="N49:Q49" si="27">$L36/$L$38*N$46</f>
        <v>2292088.1788546299</v>
      </c>
      <c r="O49" s="18">
        <f t="shared" si="27"/>
        <v>1970214.1789615161</v>
      </c>
      <c r="P49" s="18">
        <f t="shared" si="27"/>
        <v>1498890.704810455</v>
      </c>
      <c r="Q49" s="18">
        <f t="shared" si="27"/>
        <v>3192283.8968944903</v>
      </c>
      <c r="R49" s="18">
        <f t="shared" ref="R49:S49" si="28">$L36/$L$38*R$46</f>
        <v>6864285.3174882764</v>
      </c>
      <c r="S49" s="18">
        <f t="shared" si="28"/>
        <v>5909775.1838229029</v>
      </c>
      <c r="T49" s="18">
        <f t="shared" ref="T49" si="29">$L36/$L$38*T$46</f>
        <v>4501273.6628259607</v>
      </c>
      <c r="U49" s="2"/>
      <c r="Z49" s="209"/>
      <c r="AA49" s="209"/>
      <c r="AB49" s="209"/>
      <c r="AC49" s="209"/>
    </row>
    <row r="50" spans="1:29" ht="15.75" customHeight="1">
      <c r="A50" s="57">
        <f t="shared" si="17"/>
        <v>5</v>
      </c>
      <c r="B50" s="58" t="s">
        <v>33</v>
      </c>
      <c r="C50" s="57" t="s">
        <v>22</v>
      </c>
      <c r="D50" s="61">
        <f t="shared" ref="D50:M50" si="30">$F37/$F$38*D$46</f>
        <v>83176046.053497493</v>
      </c>
      <c r="E50" s="61">
        <f t="shared" si="30"/>
        <v>106559517.11865486</v>
      </c>
      <c r="F50" s="61">
        <f t="shared" si="30"/>
        <v>135035558.97598132</v>
      </c>
      <c r="G50" s="61">
        <f t="shared" si="30"/>
        <v>209323989.63745737</v>
      </c>
      <c r="H50" s="61">
        <f t="shared" si="30"/>
        <v>209549863.29031435</v>
      </c>
      <c r="I50" s="61">
        <f t="shared" si="30"/>
        <v>237984463.6604926</v>
      </c>
      <c r="J50" s="61">
        <f t="shared" si="30"/>
        <v>206769464.96078405</v>
      </c>
      <c r="K50" s="61">
        <f t="shared" si="30"/>
        <v>215482672.77685115</v>
      </c>
      <c r="L50" s="61">
        <f t="shared" si="30"/>
        <v>228577114.62941939</v>
      </c>
      <c r="M50" s="61">
        <f t="shared" si="30"/>
        <v>320692336.66358435</v>
      </c>
      <c r="N50" s="61">
        <f t="shared" ref="N50:Q50" si="31">$L37/$L$38*N$46</f>
        <v>364714046.59550041</v>
      </c>
      <c r="O50" s="61">
        <f t="shared" si="31"/>
        <v>313497880.4471463</v>
      </c>
      <c r="P50" s="61">
        <f t="shared" si="31"/>
        <v>238501511.15432885</v>
      </c>
      <c r="Q50" s="61">
        <f t="shared" si="31"/>
        <v>507952001.43645257</v>
      </c>
      <c r="R50" s="61">
        <f t="shared" ref="R50:S50" si="32">$L37/$L$38*R$46</f>
        <v>1092236022.2538397</v>
      </c>
      <c r="S50" s="61">
        <f t="shared" si="32"/>
        <v>940355629.26674724</v>
      </c>
      <c r="T50" s="61">
        <f t="shared" ref="T50" si="33">$L37/$L$38*T$46</f>
        <v>716236725.77176428</v>
      </c>
      <c r="U50" s="13"/>
      <c r="Z50" s="209"/>
      <c r="AA50" s="209"/>
      <c r="AB50" s="209"/>
      <c r="AC50" s="209"/>
    </row>
    <row r="51" spans="1:29" ht="15.75" customHeight="1">
      <c r="A51" s="14">
        <f t="shared" si="17"/>
        <v>6</v>
      </c>
      <c r="B51" s="21" t="s">
        <v>34</v>
      </c>
      <c r="C51" s="14" t="s">
        <v>22</v>
      </c>
      <c r="D51" s="18"/>
      <c r="E51" s="18"/>
      <c r="F51" s="18"/>
      <c r="G51" s="18"/>
      <c r="H51" s="18"/>
      <c r="I51" s="18"/>
      <c r="J51" s="18"/>
      <c r="K51" s="18"/>
      <c r="L51" s="18"/>
      <c r="M51" s="18"/>
      <c r="N51" s="18"/>
      <c r="O51" s="18"/>
      <c r="P51" s="18"/>
      <c r="Q51" s="18"/>
      <c r="R51" s="18"/>
      <c r="S51" s="18"/>
      <c r="T51" s="18"/>
      <c r="U51" s="2"/>
      <c r="Z51" s="209"/>
      <c r="AA51" s="209"/>
      <c r="AB51" s="209"/>
      <c r="AC51" s="209"/>
    </row>
    <row r="52" spans="1:29" ht="15.75" customHeight="1">
      <c r="A52" s="14">
        <f t="shared" si="17"/>
        <v>7</v>
      </c>
      <c r="B52" s="15" t="s">
        <v>35</v>
      </c>
      <c r="C52" s="14" t="s">
        <v>22</v>
      </c>
      <c r="D52" s="18"/>
      <c r="E52" s="18"/>
      <c r="F52" s="18"/>
      <c r="G52" s="18"/>
      <c r="H52" s="18"/>
      <c r="I52" s="18"/>
      <c r="J52" s="18"/>
      <c r="K52" s="18"/>
      <c r="L52" s="18"/>
      <c r="M52" s="18"/>
      <c r="N52" s="18"/>
      <c r="O52" s="18"/>
      <c r="P52" s="18"/>
      <c r="Q52" s="18"/>
      <c r="R52" s="18"/>
      <c r="S52" s="18"/>
      <c r="T52" s="18"/>
      <c r="U52" s="2"/>
      <c r="Z52" s="209"/>
      <c r="AA52" s="209"/>
      <c r="AB52" s="209"/>
      <c r="AC52" s="209"/>
    </row>
    <row r="53" spans="1:29" ht="15.75" customHeight="1">
      <c r="A53" s="14">
        <f t="shared" si="17"/>
        <v>8</v>
      </c>
      <c r="B53" s="21" t="s">
        <v>36</v>
      </c>
      <c r="C53" s="14" t="s">
        <v>22</v>
      </c>
      <c r="D53" s="18"/>
      <c r="E53" s="18"/>
      <c r="F53" s="18"/>
      <c r="G53" s="18"/>
      <c r="H53" s="18"/>
      <c r="I53" s="18"/>
      <c r="J53" s="18"/>
      <c r="K53" s="18"/>
      <c r="L53" s="18"/>
      <c r="M53" s="18"/>
      <c r="N53" s="18"/>
      <c r="O53" s="18"/>
      <c r="P53" s="18"/>
      <c r="Q53" s="18"/>
      <c r="R53" s="18"/>
      <c r="S53" s="18"/>
      <c r="T53" s="18"/>
      <c r="U53" s="2"/>
      <c r="Z53" s="209"/>
      <c r="AA53" s="209"/>
      <c r="AB53" s="209"/>
      <c r="AC53" s="209"/>
    </row>
    <row r="54" spans="1:29" ht="15.75" customHeight="1">
      <c r="A54" s="57">
        <f t="shared" si="17"/>
        <v>9</v>
      </c>
      <c r="B54" s="58" t="s">
        <v>37</v>
      </c>
      <c r="C54" s="57" t="s">
        <v>22</v>
      </c>
      <c r="D54" s="61">
        <f t="shared" ref="D54:Q54" si="34">D50+D51-D52-D53</f>
        <v>83176046.053497493</v>
      </c>
      <c r="E54" s="61">
        <f t="shared" si="34"/>
        <v>106559517.11865486</v>
      </c>
      <c r="F54" s="61">
        <f t="shared" si="34"/>
        <v>135035558.97598132</v>
      </c>
      <c r="G54" s="61">
        <f t="shared" si="34"/>
        <v>209323989.63745737</v>
      </c>
      <c r="H54" s="61">
        <f t="shared" si="34"/>
        <v>209549863.29031435</v>
      </c>
      <c r="I54" s="61">
        <f t="shared" si="34"/>
        <v>237984463.6604926</v>
      </c>
      <c r="J54" s="61">
        <f t="shared" si="34"/>
        <v>206769464.96078405</v>
      </c>
      <c r="K54" s="61">
        <f t="shared" si="34"/>
        <v>215482672.77685115</v>
      </c>
      <c r="L54" s="61">
        <f t="shared" si="34"/>
        <v>228577114.62941939</v>
      </c>
      <c r="M54" s="61">
        <f t="shared" si="34"/>
        <v>320692336.66358435</v>
      </c>
      <c r="N54" s="61">
        <f t="shared" si="34"/>
        <v>364714046.59550041</v>
      </c>
      <c r="O54" s="61">
        <f t="shared" si="34"/>
        <v>313497880.4471463</v>
      </c>
      <c r="P54" s="61">
        <f t="shared" si="34"/>
        <v>238501511.15432885</v>
      </c>
      <c r="Q54" s="61">
        <f t="shared" si="34"/>
        <v>507952001.43645257</v>
      </c>
      <c r="R54" s="61">
        <f t="shared" ref="R54:S54" si="35">R50+R51-R52-R53</f>
        <v>1092236022.2538397</v>
      </c>
      <c r="S54" s="61">
        <f t="shared" si="35"/>
        <v>940355629.26674724</v>
      </c>
      <c r="T54" s="61">
        <f t="shared" ref="T54" si="36">T50+T51-T52-T53</f>
        <v>716236725.77176428</v>
      </c>
      <c r="U54" s="13"/>
      <c r="Z54" s="209"/>
      <c r="AA54" s="209"/>
      <c r="AB54" s="209"/>
      <c r="AC54" s="209"/>
    </row>
    <row r="55" spans="1:29" ht="15.75" customHeight="1">
      <c r="A55" s="14">
        <f t="shared" si="17"/>
        <v>10</v>
      </c>
      <c r="B55" s="21" t="s">
        <v>38</v>
      </c>
      <c r="C55" s="26" t="s">
        <v>86</v>
      </c>
      <c r="D55" s="18">
        <f t="shared" ref="D55:Q55" si="37">D24/1000000</f>
        <v>239.86910816000002</v>
      </c>
      <c r="E55" s="18">
        <f t="shared" si="37"/>
        <v>253.96946078599993</v>
      </c>
      <c r="F55" s="18">
        <f t="shared" si="37"/>
        <v>280.60756566700002</v>
      </c>
      <c r="G55" s="18">
        <f t="shared" si="37"/>
        <v>353.27093700266073</v>
      </c>
      <c r="H55" s="18">
        <f t="shared" si="37"/>
        <v>412.13065920549985</v>
      </c>
      <c r="I55" s="18">
        <f t="shared" si="37"/>
        <v>474.60092068350087</v>
      </c>
      <c r="J55" s="18">
        <f t="shared" si="37"/>
        <v>458.09670701213213</v>
      </c>
      <c r="K55" s="18">
        <f t="shared" si="37"/>
        <v>461.56607939793963</v>
      </c>
      <c r="L55" s="18">
        <f t="shared" si="37"/>
        <v>456.19745447326659</v>
      </c>
      <c r="M55" s="18">
        <f t="shared" si="37"/>
        <v>461.24818447865101</v>
      </c>
      <c r="N55" s="18">
        <f t="shared" si="37"/>
        <v>557.77294024163405</v>
      </c>
      <c r="O55" s="18">
        <f t="shared" si="37"/>
        <v>616.15959390917601</v>
      </c>
      <c r="P55" s="18">
        <f t="shared" si="37"/>
        <v>563.72825460000001</v>
      </c>
      <c r="Q55" s="18">
        <f t="shared" si="37"/>
        <v>613.99025631999996</v>
      </c>
      <c r="R55" s="18">
        <f t="shared" ref="R55:S55" si="38">R24/1000000</f>
        <v>687.43238365500008</v>
      </c>
      <c r="S55" s="18">
        <f t="shared" si="38"/>
        <v>775.18185510000023</v>
      </c>
      <c r="T55" s="18">
        <f t="shared" ref="T55" si="39">T24/1000000</f>
        <v>836.13400000000013</v>
      </c>
      <c r="U55" s="2"/>
      <c r="Z55" s="209"/>
      <c r="AA55" s="209"/>
      <c r="AB55" s="209"/>
      <c r="AC55" s="209"/>
    </row>
    <row r="56" spans="1:29" ht="15.75" customHeight="1">
      <c r="A56" s="57">
        <f t="shared" si="17"/>
        <v>11</v>
      </c>
      <c r="B56" s="58" t="s">
        <v>39</v>
      </c>
      <c r="C56" s="57" t="s">
        <v>85</v>
      </c>
      <c r="D56" s="61">
        <f t="shared" ref="D56:Q56" si="40">D54/D55</f>
        <v>346755.9732536152</v>
      </c>
      <c r="E56" s="61">
        <f t="shared" si="40"/>
        <v>419576.10489413992</v>
      </c>
      <c r="F56" s="61">
        <f t="shared" si="40"/>
        <v>481225.65282587375</v>
      </c>
      <c r="G56" s="61">
        <f t="shared" si="40"/>
        <v>592531.02282761747</v>
      </c>
      <c r="H56" s="61">
        <f t="shared" si="40"/>
        <v>508454.9246937412</v>
      </c>
      <c r="I56" s="61">
        <f t="shared" si="40"/>
        <v>501441.21785047761</v>
      </c>
      <c r="J56" s="61">
        <f t="shared" si="40"/>
        <v>451366.40756360645</v>
      </c>
      <c r="K56" s="61">
        <f t="shared" si="40"/>
        <v>466851.18858370994</v>
      </c>
      <c r="L56" s="61">
        <f t="shared" si="40"/>
        <v>501048.64108314336</v>
      </c>
      <c r="M56" s="61">
        <f t="shared" si="40"/>
        <v>695270.67521374207</v>
      </c>
      <c r="N56" s="61">
        <f t="shared" si="40"/>
        <v>653875.47563261469</v>
      </c>
      <c r="O56" s="61">
        <f t="shared" si="40"/>
        <v>508793.31190509215</v>
      </c>
      <c r="P56" s="61">
        <f t="shared" si="40"/>
        <v>423078.86682664219</v>
      </c>
      <c r="Q56" s="61">
        <f t="shared" si="40"/>
        <v>827296.51848370326</v>
      </c>
      <c r="R56" s="61">
        <f t="shared" ref="R56:S56" si="41">R54/R55</f>
        <v>1588863.2078205927</v>
      </c>
      <c r="S56" s="61">
        <f t="shared" si="41"/>
        <v>1213077.4515425663</v>
      </c>
      <c r="T56" s="61">
        <f t="shared" ref="T56" si="42">T54/T55</f>
        <v>856605.19219618407</v>
      </c>
      <c r="U56" s="13"/>
      <c r="Z56" s="209"/>
      <c r="AA56" s="209"/>
      <c r="AB56" s="209"/>
      <c r="AC56" s="209"/>
    </row>
    <row r="57" spans="1:29" ht="15.75" customHeight="1">
      <c r="A57" s="19"/>
      <c r="B57" s="2"/>
      <c r="C57" s="2"/>
      <c r="D57" s="2"/>
      <c r="E57" s="2"/>
      <c r="F57" s="2"/>
      <c r="G57" s="2"/>
      <c r="H57" s="2"/>
      <c r="I57" s="2"/>
      <c r="J57" s="2"/>
      <c r="K57" s="2"/>
      <c r="L57" s="2"/>
      <c r="M57" s="2"/>
      <c r="N57" s="2"/>
      <c r="O57" s="2"/>
      <c r="P57" s="2"/>
      <c r="Q57" s="2"/>
      <c r="R57" s="2"/>
      <c r="S57" s="2"/>
      <c r="T57" s="2"/>
      <c r="U57" s="2"/>
      <c r="Z57" s="209"/>
      <c r="AA57" s="209"/>
      <c r="AB57" s="209"/>
      <c r="AC57" s="209"/>
    </row>
    <row r="58" spans="1:29" ht="15.75" customHeight="1">
      <c r="A58" s="19"/>
      <c r="B58" s="2"/>
      <c r="C58" s="2"/>
      <c r="D58" s="2"/>
      <c r="E58" s="2"/>
      <c r="F58" s="2"/>
      <c r="G58" s="2"/>
      <c r="H58" s="2"/>
      <c r="I58" s="2"/>
      <c r="J58" s="2"/>
      <c r="K58" s="2"/>
      <c r="L58" s="2"/>
      <c r="M58" s="2"/>
      <c r="N58" s="2"/>
      <c r="O58" s="2"/>
      <c r="P58" s="2"/>
      <c r="Q58" s="2"/>
      <c r="R58" s="2"/>
      <c r="S58" s="2"/>
      <c r="T58" s="2"/>
      <c r="U58" s="2"/>
      <c r="Z58" s="209"/>
      <c r="AA58" s="209"/>
      <c r="AB58" s="209"/>
      <c r="AC58" s="209"/>
    </row>
    <row r="59" spans="1:29" ht="15.75" customHeight="1">
      <c r="A59" s="6" t="s">
        <v>40</v>
      </c>
      <c r="B59" s="2"/>
      <c r="C59" s="2"/>
      <c r="D59" s="2"/>
      <c r="E59" s="2"/>
      <c r="F59" s="2"/>
      <c r="G59" s="2"/>
      <c r="H59" s="2"/>
      <c r="I59" s="2"/>
      <c r="J59" s="2"/>
      <c r="K59" s="2"/>
      <c r="L59" s="2"/>
      <c r="M59" s="2"/>
      <c r="N59" s="2"/>
      <c r="O59" s="2"/>
      <c r="P59" s="2"/>
      <c r="Q59" s="2"/>
      <c r="R59" s="2"/>
      <c r="S59" s="2"/>
      <c r="T59" s="2"/>
      <c r="U59" s="2"/>
      <c r="Z59" s="209"/>
      <c r="AA59" s="209"/>
      <c r="AB59" s="209"/>
      <c r="AC59" s="209"/>
    </row>
    <row r="60" spans="1:29" ht="15.75" customHeight="1" thickBot="1">
      <c r="A60" s="19"/>
      <c r="B60" s="2"/>
      <c r="C60" s="2"/>
      <c r="D60" s="2"/>
      <c r="E60" s="2"/>
      <c r="F60" s="2"/>
      <c r="G60" s="2"/>
      <c r="H60" s="2"/>
      <c r="I60" s="2"/>
      <c r="J60" s="2"/>
      <c r="K60" s="2"/>
      <c r="L60" s="2"/>
      <c r="M60" s="2"/>
      <c r="N60" s="2"/>
      <c r="O60" s="2"/>
      <c r="P60" s="2"/>
      <c r="Q60" s="2"/>
      <c r="R60" s="2"/>
      <c r="S60" s="2"/>
      <c r="T60" s="2"/>
      <c r="U60" s="2"/>
      <c r="Z60" s="209"/>
      <c r="AA60" s="209"/>
      <c r="AB60" s="209"/>
      <c r="AC60" s="209"/>
    </row>
    <row r="61" spans="1:29" ht="15.75" customHeight="1" thickBot="1">
      <c r="A61" s="54" t="s">
        <v>3</v>
      </c>
      <c r="B61" s="55" t="s">
        <v>4</v>
      </c>
      <c r="C61" s="56" t="s">
        <v>5</v>
      </c>
      <c r="D61" s="56">
        <f t="shared" ref="D61:T61" si="43">D$3</f>
        <v>2008</v>
      </c>
      <c r="E61" s="56">
        <f t="shared" si="43"/>
        <v>2009</v>
      </c>
      <c r="F61" s="56">
        <f t="shared" si="43"/>
        <v>2010</v>
      </c>
      <c r="G61" s="56">
        <f t="shared" si="43"/>
        <v>2011</v>
      </c>
      <c r="H61" s="56">
        <f t="shared" si="43"/>
        <v>2012</v>
      </c>
      <c r="I61" s="56">
        <f t="shared" si="43"/>
        <v>2013</v>
      </c>
      <c r="J61" s="56">
        <f t="shared" si="43"/>
        <v>2014</v>
      </c>
      <c r="K61" s="56">
        <f t="shared" si="43"/>
        <v>2015</v>
      </c>
      <c r="L61" s="56">
        <f t="shared" si="43"/>
        <v>2016</v>
      </c>
      <c r="M61" s="56">
        <f t="shared" si="43"/>
        <v>2017</v>
      </c>
      <c r="N61" s="56">
        <f t="shared" si="43"/>
        <v>2018</v>
      </c>
      <c r="O61" s="56">
        <f t="shared" si="43"/>
        <v>2019</v>
      </c>
      <c r="P61" s="56">
        <f t="shared" si="43"/>
        <v>2020</v>
      </c>
      <c r="Q61" s="56">
        <f t="shared" si="43"/>
        <v>2021</v>
      </c>
      <c r="R61" s="56">
        <f t="shared" si="43"/>
        <v>2022</v>
      </c>
      <c r="S61" s="56">
        <f t="shared" si="43"/>
        <v>2023</v>
      </c>
      <c r="T61" s="56">
        <f t="shared" si="43"/>
        <v>2024</v>
      </c>
      <c r="U61" s="2"/>
      <c r="Z61" s="209"/>
      <c r="AA61" s="209"/>
      <c r="AB61" s="209"/>
      <c r="AC61" s="209"/>
    </row>
    <row r="62" spans="1:29" ht="15.75" customHeight="1">
      <c r="A62" s="9">
        <v>-1</v>
      </c>
      <c r="B62" s="9">
        <f t="shared" ref="B62:T62" si="44">A62-1</f>
        <v>-2</v>
      </c>
      <c r="C62" s="9">
        <f t="shared" si="44"/>
        <v>-3</v>
      </c>
      <c r="D62" s="9">
        <f t="shared" si="44"/>
        <v>-4</v>
      </c>
      <c r="E62" s="9">
        <f t="shared" si="44"/>
        <v>-5</v>
      </c>
      <c r="F62" s="9">
        <f t="shared" si="44"/>
        <v>-6</v>
      </c>
      <c r="G62" s="9">
        <f t="shared" si="44"/>
        <v>-7</v>
      </c>
      <c r="H62" s="9">
        <f t="shared" si="44"/>
        <v>-8</v>
      </c>
      <c r="I62" s="9">
        <f t="shared" si="44"/>
        <v>-9</v>
      </c>
      <c r="J62" s="9">
        <f t="shared" si="44"/>
        <v>-10</v>
      </c>
      <c r="K62" s="9">
        <f t="shared" si="44"/>
        <v>-11</v>
      </c>
      <c r="L62" s="9">
        <f t="shared" si="44"/>
        <v>-12</v>
      </c>
      <c r="M62" s="9">
        <f t="shared" si="44"/>
        <v>-13</v>
      </c>
      <c r="N62" s="9">
        <f t="shared" si="44"/>
        <v>-14</v>
      </c>
      <c r="O62" s="9">
        <f t="shared" si="44"/>
        <v>-15</v>
      </c>
      <c r="P62" s="9">
        <f t="shared" si="44"/>
        <v>-16</v>
      </c>
      <c r="Q62" s="9">
        <f t="shared" si="44"/>
        <v>-17</v>
      </c>
      <c r="R62" s="9">
        <f t="shared" si="44"/>
        <v>-18</v>
      </c>
      <c r="S62" s="9">
        <f t="shared" si="44"/>
        <v>-19</v>
      </c>
      <c r="T62" s="9">
        <f t="shared" si="44"/>
        <v>-20</v>
      </c>
      <c r="U62" s="2"/>
      <c r="Z62" s="209"/>
      <c r="AA62" s="209"/>
      <c r="AB62" s="209"/>
      <c r="AC62" s="209"/>
    </row>
    <row r="63" spans="1:29" ht="15.75" customHeight="1">
      <c r="A63" s="57">
        <v>1</v>
      </c>
      <c r="B63" s="58" t="s">
        <v>41</v>
      </c>
      <c r="C63" s="57" t="s">
        <v>86</v>
      </c>
      <c r="D63" s="61"/>
      <c r="E63" s="61">
        <f t="shared" ref="E63:T63" si="45">D9</f>
        <v>0</v>
      </c>
      <c r="F63" s="61">
        <f t="shared" si="45"/>
        <v>21131.841623</v>
      </c>
      <c r="G63" s="61">
        <f t="shared" si="45"/>
        <v>21131.841623</v>
      </c>
      <c r="H63" s="61">
        <f t="shared" si="45"/>
        <v>28017.464072999999</v>
      </c>
      <c r="I63" s="61">
        <f t="shared" si="45"/>
        <v>28978.608073000003</v>
      </c>
      <c r="J63" s="61">
        <f t="shared" si="45"/>
        <v>31357.147988000004</v>
      </c>
      <c r="K63" s="61">
        <f t="shared" si="45"/>
        <v>32384.739999999998</v>
      </c>
      <c r="L63" s="61">
        <f t="shared" si="45"/>
        <v>32263.68</v>
      </c>
      <c r="M63" s="61">
        <f t="shared" si="45"/>
        <v>28457.29</v>
      </c>
      <c r="N63" s="61">
        <f t="shared" si="45"/>
        <v>24239.96</v>
      </c>
      <c r="O63" s="61">
        <f t="shared" si="45"/>
        <v>37943.572836731197</v>
      </c>
      <c r="P63" s="61">
        <f t="shared" si="45"/>
        <v>37604.662489878603</v>
      </c>
      <c r="Q63" s="61">
        <f t="shared" si="45"/>
        <v>38805.477211590012</v>
      </c>
      <c r="R63" s="61">
        <f t="shared" si="45"/>
        <v>36278.84507262455</v>
      </c>
      <c r="S63" s="61">
        <f t="shared" si="45"/>
        <v>35054.081764989998</v>
      </c>
      <c r="T63" s="61">
        <f t="shared" si="45"/>
        <v>31713.554136409992</v>
      </c>
      <c r="U63" s="13"/>
      <c r="Z63" s="209"/>
      <c r="AA63" s="209"/>
      <c r="AB63" s="209"/>
      <c r="AC63" s="209"/>
    </row>
    <row r="64" spans="1:29" ht="15.75" customHeight="1">
      <c r="A64" s="57">
        <v>2</v>
      </c>
      <c r="B64" s="58" t="s">
        <v>43</v>
      </c>
      <c r="C64" s="57" t="s">
        <v>86</v>
      </c>
      <c r="D64" s="61">
        <f t="shared" ref="D64:Q64" si="46">SUM(D65:D67)</f>
        <v>0</v>
      </c>
      <c r="E64" s="61">
        <f t="shared" si="46"/>
        <v>0</v>
      </c>
      <c r="F64" s="61">
        <f t="shared" si="46"/>
        <v>0</v>
      </c>
      <c r="G64" s="61">
        <f t="shared" si="46"/>
        <v>0</v>
      </c>
      <c r="H64" s="61">
        <f t="shared" si="46"/>
        <v>0</v>
      </c>
      <c r="I64" s="61">
        <f t="shared" si="46"/>
        <v>0</v>
      </c>
      <c r="J64" s="61">
        <f t="shared" si="46"/>
        <v>0</v>
      </c>
      <c r="K64" s="61">
        <f t="shared" si="46"/>
        <v>0</v>
      </c>
      <c r="L64" s="61">
        <f t="shared" si="46"/>
        <v>0</v>
      </c>
      <c r="M64" s="61">
        <f t="shared" si="46"/>
        <v>0</v>
      </c>
      <c r="N64" s="61">
        <f t="shared" si="46"/>
        <v>0</v>
      </c>
      <c r="O64" s="61">
        <f t="shared" si="46"/>
        <v>0</v>
      </c>
      <c r="P64" s="61">
        <f t="shared" si="46"/>
        <v>0</v>
      </c>
      <c r="Q64" s="61">
        <f t="shared" si="46"/>
        <v>0</v>
      </c>
      <c r="R64" s="61">
        <f t="shared" ref="R64:S64" si="47">SUM(R65:R67)</f>
        <v>0</v>
      </c>
      <c r="S64" s="61">
        <f t="shared" si="47"/>
        <v>0</v>
      </c>
      <c r="T64" s="61">
        <f t="shared" ref="T64" si="48">SUM(T65:T67)</f>
        <v>0</v>
      </c>
      <c r="U64" s="13"/>
      <c r="Z64" s="209"/>
      <c r="AA64" s="209"/>
      <c r="AB64" s="209"/>
      <c r="AC64" s="209"/>
    </row>
    <row r="65" spans="1:29" ht="15.75" customHeight="1">
      <c r="A65" s="14">
        <v>2.1</v>
      </c>
      <c r="B65" s="15" t="s">
        <v>44</v>
      </c>
      <c r="C65" s="14" t="s">
        <v>86</v>
      </c>
      <c r="D65" s="18"/>
      <c r="E65" s="18"/>
      <c r="F65" s="18"/>
      <c r="G65" s="18"/>
      <c r="H65" s="18"/>
      <c r="I65" s="18"/>
      <c r="J65" s="18"/>
      <c r="K65" s="18"/>
      <c r="L65" s="18"/>
      <c r="M65" s="18"/>
      <c r="N65" s="18"/>
      <c r="O65" s="18"/>
      <c r="P65" s="18"/>
      <c r="Q65" s="18"/>
      <c r="R65" s="18"/>
      <c r="S65" s="18"/>
      <c r="T65" s="18"/>
      <c r="U65" s="2"/>
      <c r="Z65" s="209"/>
      <c r="AA65" s="209"/>
      <c r="AB65" s="209"/>
      <c r="AC65" s="209"/>
    </row>
    <row r="66" spans="1:29" ht="15.75" customHeight="1">
      <c r="A66" s="14">
        <v>2.2000000000000002</v>
      </c>
      <c r="B66" s="15" t="s">
        <v>45</v>
      </c>
      <c r="C66" s="14" t="s">
        <v>86</v>
      </c>
      <c r="D66" s="18"/>
      <c r="E66" s="18"/>
      <c r="F66" s="18"/>
      <c r="G66" s="18"/>
      <c r="H66" s="18"/>
      <c r="I66" s="18"/>
      <c r="J66" s="18"/>
      <c r="K66" s="18"/>
      <c r="L66" s="18"/>
      <c r="M66" s="18"/>
      <c r="N66" s="18"/>
      <c r="O66" s="18"/>
      <c r="P66" s="18"/>
      <c r="Q66" s="18"/>
      <c r="R66" s="18"/>
      <c r="S66" s="18"/>
      <c r="T66" s="18"/>
      <c r="U66" s="2"/>
      <c r="Z66" s="209"/>
      <c r="AA66" s="209"/>
      <c r="AB66" s="209"/>
      <c r="AC66" s="209"/>
    </row>
    <row r="67" spans="1:29" ht="15.75" customHeight="1">
      <c r="A67" s="14">
        <v>2.2999999999999998</v>
      </c>
      <c r="B67" s="15" t="s">
        <v>46</v>
      </c>
      <c r="C67" s="14" t="s">
        <v>86</v>
      </c>
      <c r="D67" s="18"/>
      <c r="E67" s="18"/>
      <c r="F67" s="18"/>
      <c r="G67" s="18"/>
      <c r="H67" s="18"/>
      <c r="I67" s="18"/>
      <c r="J67" s="18"/>
      <c r="K67" s="18"/>
      <c r="L67" s="18"/>
      <c r="M67" s="18"/>
      <c r="N67" s="18"/>
      <c r="O67" s="18"/>
      <c r="P67" s="18"/>
      <c r="Q67" s="18"/>
      <c r="R67" s="18"/>
      <c r="S67" s="18"/>
      <c r="T67" s="18"/>
      <c r="U67" s="2"/>
      <c r="Z67" s="209"/>
      <c r="AA67" s="209"/>
      <c r="AB67" s="209"/>
      <c r="AC67" s="209"/>
    </row>
    <row r="68" spans="1:29" ht="15.75" customHeight="1">
      <c r="A68" s="57">
        <v>3</v>
      </c>
      <c r="B68" s="58" t="s">
        <v>47</v>
      </c>
      <c r="C68" s="57" t="s">
        <v>86</v>
      </c>
      <c r="D68" s="61">
        <f t="shared" ref="D68:Q68" si="49">SUM(D69:D72)</f>
        <v>239.86910816000002</v>
      </c>
      <c r="E68" s="61">
        <f t="shared" si="49"/>
        <v>253.96946078599993</v>
      </c>
      <c r="F68" s="61">
        <f t="shared" si="49"/>
        <v>280.60756566700002</v>
      </c>
      <c r="G68" s="61">
        <f t="shared" si="49"/>
        <v>353.27093700266073</v>
      </c>
      <c r="H68" s="61">
        <f t="shared" si="49"/>
        <v>412.13065920549985</v>
      </c>
      <c r="I68" s="61">
        <f t="shared" si="49"/>
        <v>474.60092068350087</v>
      </c>
      <c r="J68" s="61">
        <f t="shared" si="49"/>
        <v>458.09670701213213</v>
      </c>
      <c r="K68" s="61">
        <f t="shared" si="49"/>
        <v>461.56607939793963</v>
      </c>
      <c r="L68" s="61">
        <f t="shared" si="49"/>
        <v>456.19745447326659</v>
      </c>
      <c r="M68" s="61">
        <f t="shared" si="49"/>
        <v>461.24818447865101</v>
      </c>
      <c r="N68" s="61">
        <f t="shared" si="49"/>
        <v>557.77294024163405</v>
      </c>
      <c r="O68" s="61">
        <f t="shared" si="49"/>
        <v>616.15959390917601</v>
      </c>
      <c r="P68" s="61">
        <f t="shared" si="49"/>
        <v>563.72825460000001</v>
      </c>
      <c r="Q68" s="61">
        <f t="shared" si="49"/>
        <v>613.99025631999996</v>
      </c>
      <c r="R68" s="61">
        <f t="shared" ref="R68:S68" si="50">SUM(R69:R72)</f>
        <v>687.43238365500008</v>
      </c>
      <c r="S68" s="61">
        <f t="shared" si="50"/>
        <v>775.18185510000023</v>
      </c>
      <c r="T68" s="61">
        <f t="shared" ref="T68" si="51">SUM(T69:T72)</f>
        <v>836.13400000000013</v>
      </c>
      <c r="U68" s="13"/>
      <c r="Z68" s="209"/>
      <c r="AA68" s="209"/>
      <c r="AB68" s="209"/>
      <c r="AC68" s="209"/>
    </row>
    <row r="69" spans="1:29" ht="15.75" customHeight="1">
      <c r="A69" s="14">
        <v>3.1</v>
      </c>
      <c r="B69" s="15" t="s">
        <v>48</v>
      </c>
      <c r="C69" s="14" t="s">
        <v>86</v>
      </c>
      <c r="D69" s="18">
        <f t="shared" ref="D69:Q69" si="52">D24/1000000</f>
        <v>239.86910816000002</v>
      </c>
      <c r="E69" s="18">
        <f t="shared" si="52"/>
        <v>253.96946078599993</v>
      </c>
      <c r="F69" s="18">
        <f t="shared" si="52"/>
        <v>280.60756566700002</v>
      </c>
      <c r="G69" s="18">
        <f t="shared" si="52"/>
        <v>353.27093700266073</v>
      </c>
      <c r="H69" s="18">
        <f t="shared" si="52"/>
        <v>412.13065920549985</v>
      </c>
      <c r="I69" s="18">
        <f t="shared" si="52"/>
        <v>474.60092068350087</v>
      </c>
      <c r="J69" s="18">
        <f t="shared" si="52"/>
        <v>458.09670701213213</v>
      </c>
      <c r="K69" s="18">
        <f t="shared" si="52"/>
        <v>461.56607939793963</v>
      </c>
      <c r="L69" s="18">
        <f t="shared" si="52"/>
        <v>456.19745447326659</v>
      </c>
      <c r="M69" s="18">
        <f t="shared" si="52"/>
        <v>461.24818447865101</v>
      </c>
      <c r="N69" s="18">
        <f t="shared" si="52"/>
        <v>557.77294024163405</v>
      </c>
      <c r="O69" s="18">
        <f t="shared" si="52"/>
        <v>616.15959390917601</v>
      </c>
      <c r="P69" s="18">
        <f t="shared" si="52"/>
        <v>563.72825460000001</v>
      </c>
      <c r="Q69" s="18">
        <f t="shared" si="52"/>
        <v>613.99025631999996</v>
      </c>
      <c r="R69" s="18">
        <f t="shared" ref="R69:S69" si="53">R24/1000000</f>
        <v>687.43238365500008</v>
      </c>
      <c r="S69" s="18">
        <f t="shared" si="53"/>
        <v>775.18185510000023</v>
      </c>
      <c r="T69" s="18">
        <f t="shared" ref="T69" si="54">T24/1000000</f>
        <v>836.13400000000013</v>
      </c>
      <c r="U69" s="2"/>
      <c r="Z69" s="209"/>
      <c r="AA69" s="209"/>
      <c r="AB69" s="209"/>
      <c r="AC69" s="209"/>
    </row>
    <row r="70" spans="1:29" ht="15.75" customHeight="1">
      <c r="A70" s="14">
        <v>3.2</v>
      </c>
      <c r="B70" s="15" t="s">
        <v>49</v>
      </c>
      <c r="C70" s="14" t="s">
        <v>86</v>
      </c>
      <c r="D70" s="18"/>
      <c r="E70" s="18"/>
      <c r="F70" s="18"/>
      <c r="G70" s="18"/>
      <c r="H70" s="18"/>
      <c r="I70" s="18"/>
      <c r="J70" s="18"/>
      <c r="K70" s="18"/>
      <c r="L70" s="18"/>
      <c r="M70" s="18"/>
      <c r="N70" s="18"/>
      <c r="O70" s="18"/>
      <c r="P70" s="18"/>
      <c r="Q70" s="18"/>
      <c r="R70" s="18"/>
      <c r="S70" s="18"/>
      <c r="T70" s="18"/>
      <c r="U70" s="2"/>
      <c r="Z70" s="209"/>
      <c r="AA70" s="209"/>
      <c r="AB70" s="209"/>
      <c r="AC70" s="209"/>
    </row>
    <row r="71" spans="1:29" ht="15.75" customHeight="1">
      <c r="A71" s="14">
        <v>3.3</v>
      </c>
      <c r="B71" s="15" t="s">
        <v>50</v>
      </c>
      <c r="C71" s="14" t="s">
        <v>86</v>
      </c>
      <c r="D71" s="18"/>
      <c r="E71" s="18"/>
      <c r="F71" s="18"/>
      <c r="G71" s="18"/>
      <c r="H71" s="18"/>
      <c r="I71" s="18"/>
      <c r="J71" s="18"/>
      <c r="K71" s="18"/>
      <c r="L71" s="18"/>
      <c r="M71" s="18"/>
      <c r="N71" s="18"/>
      <c r="O71" s="18"/>
      <c r="P71" s="18"/>
      <c r="Q71" s="18"/>
      <c r="R71" s="18"/>
      <c r="S71" s="18"/>
      <c r="T71" s="18"/>
      <c r="U71" s="2"/>
      <c r="Z71" s="209"/>
      <c r="AA71" s="209"/>
      <c r="AB71" s="209"/>
      <c r="AC71" s="209"/>
    </row>
    <row r="72" spans="1:29" ht="15.75" customHeight="1">
      <c r="A72" s="14">
        <v>3.4</v>
      </c>
      <c r="B72" s="15" t="s">
        <v>46</v>
      </c>
      <c r="C72" s="14" t="s">
        <v>86</v>
      </c>
      <c r="D72" s="18"/>
      <c r="E72" s="18"/>
      <c r="F72" s="18"/>
      <c r="G72" s="18"/>
      <c r="H72" s="18"/>
      <c r="I72" s="18"/>
      <c r="J72" s="18"/>
      <c r="K72" s="18"/>
      <c r="L72" s="18"/>
      <c r="M72" s="18"/>
      <c r="N72" s="18"/>
      <c r="O72" s="18"/>
      <c r="P72" s="18"/>
      <c r="Q72" s="18"/>
      <c r="R72" s="18"/>
      <c r="S72" s="18"/>
      <c r="T72" s="18"/>
      <c r="U72" s="2"/>
      <c r="Z72" s="209"/>
      <c r="AA72" s="209"/>
      <c r="AB72" s="209"/>
      <c r="AC72" s="209"/>
    </row>
    <row r="73" spans="1:29" ht="15.75" customHeight="1">
      <c r="A73" s="57">
        <v>4</v>
      </c>
      <c r="B73" s="58" t="s">
        <v>51</v>
      </c>
      <c r="C73" s="57" t="s">
        <v>86</v>
      </c>
      <c r="D73" s="61">
        <f t="shared" ref="D73:Q73" si="55">D74-D63-D64+D68</f>
        <v>239.86910816000002</v>
      </c>
      <c r="E73" s="61">
        <f t="shared" si="55"/>
        <v>21385.811083786</v>
      </c>
      <c r="F73" s="61">
        <f t="shared" si="55"/>
        <v>280.60756566700002</v>
      </c>
      <c r="G73" s="61">
        <f t="shared" si="55"/>
        <v>7238.8933870026594</v>
      </c>
      <c r="H73" s="61">
        <f t="shared" si="55"/>
        <v>1373.2746592055037</v>
      </c>
      <c r="I73" s="61">
        <f t="shared" si="55"/>
        <v>2853.1408356835022</v>
      </c>
      <c r="J73" s="61">
        <f t="shared" si="55"/>
        <v>1485.6887190121258</v>
      </c>
      <c r="K73" s="61">
        <f t="shared" si="55"/>
        <v>340.50607939794196</v>
      </c>
      <c r="L73" s="61">
        <f t="shared" si="55"/>
        <v>-3350.1925455267328</v>
      </c>
      <c r="M73" s="61">
        <f t="shared" si="55"/>
        <v>-3756.0818155213506</v>
      </c>
      <c r="N73" s="61">
        <f t="shared" si="55"/>
        <v>14261.385776972831</v>
      </c>
      <c r="O73" s="61">
        <f t="shared" si="55"/>
        <v>277.24924705658236</v>
      </c>
      <c r="P73" s="61">
        <f t="shared" si="55"/>
        <v>1764.5429763114093</v>
      </c>
      <c r="Q73" s="61">
        <f t="shared" si="55"/>
        <v>-1912.6418826454624</v>
      </c>
      <c r="R73" s="61">
        <f t="shared" ref="R73:S73" si="56">R74-R63-R64+R68</f>
        <v>-537.33092397955181</v>
      </c>
      <c r="S73" s="61">
        <f t="shared" si="56"/>
        <v>-2565.3457734800063</v>
      </c>
      <c r="T73" s="61">
        <f t="shared" ref="T73" si="57">T74-T63-T64+T68</f>
        <v>1078.0798635900082</v>
      </c>
      <c r="U73" s="13"/>
      <c r="Z73" s="209"/>
      <c r="AA73" s="209"/>
      <c r="AB73" s="209"/>
      <c r="AC73" s="209"/>
    </row>
    <row r="74" spans="1:29" ht="15.75" customHeight="1">
      <c r="A74" s="57">
        <v>5</v>
      </c>
      <c r="B74" s="58" t="s">
        <v>52</v>
      </c>
      <c r="C74" s="57" t="s">
        <v>86</v>
      </c>
      <c r="D74" s="61">
        <f t="shared" ref="D74:Q74" si="58">D9</f>
        <v>0</v>
      </c>
      <c r="E74" s="61">
        <f t="shared" si="58"/>
        <v>21131.841623</v>
      </c>
      <c r="F74" s="61">
        <f t="shared" si="58"/>
        <v>21131.841623</v>
      </c>
      <c r="G74" s="61">
        <f t="shared" si="58"/>
        <v>28017.464072999999</v>
      </c>
      <c r="H74" s="61">
        <f t="shared" si="58"/>
        <v>28978.608073000003</v>
      </c>
      <c r="I74" s="61">
        <f t="shared" si="58"/>
        <v>31357.147988000004</v>
      </c>
      <c r="J74" s="61">
        <f t="shared" si="58"/>
        <v>32384.739999999998</v>
      </c>
      <c r="K74" s="61">
        <f t="shared" si="58"/>
        <v>32263.68</v>
      </c>
      <c r="L74" s="61">
        <f t="shared" si="58"/>
        <v>28457.29</v>
      </c>
      <c r="M74" s="61">
        <f t="shared" si="58"/>
        <v>24239.96</v>
      </c>
      <c r="N74" s="61">
        <f t="shared" si="58"/>
        <v>37943.572836731197</v>
      </c>
      <c r="O74" s="61">
        <f t="shared" si="58"/>
        <v>37604.662489878603</v>
      </c>
      <c r="P74" s="61">
        <f t="shared" si="58"/>
        <v>38805.477211590012</v>
      </c>
      <c r="Q74" s="61">
        <f t="shared" si="58"/>
        <v>36278.84507262455</v>
      </c>
      <c r="R74" s="61">
        <f t="shared" ref="R74:S74" si="59">R9</f>
        <v>35054.081764989998</v>
      </c>
      <c r="S74" s="61">
        <f t="shared" si="59"/>
        <v>31713.554136409992</v>
      </c>
      <c r="T74" s="61">
        <f t="shared" ref="T74" si="60">T9</f>
        <v>31955.5</v>
      </c>
      <c r="U74" s="13"/>
      <c r="Z74" s="209"/>
      <c r="AA74" s="209"/>
      <c r="AB74" s="209"/>
      <c r="AC74" s="209"/>
    </row>
    <row r="75" spans="1:29" ht="15.75" customHeight="1">
      <c r="A75" s="1"/>
      <c r="B75" s="2"/>
      <c r="C75" s="2"/>
      <c r="D75" s="20"/>
      <c r="E75" s="2"/>
      <c r="F75" s="2"/>
      <c r="G75" s="2"/>
      <c r="H75" s="2"/>
      <c r="I75" s="2"/>
      <c r="J75" s="2"/>
      <c r="K75" s="2"/>
      <c r="L75" s="2"/>
      <c r="M75" s="2"/>
      <c r="N75" s="2"/>
      <c r="O75" s="2"/>
      <c r="P75" s="2"/>
      <c r="Q75" s="2"/>
      <c r="R75" s="2"/>
      <c r="S75" s="2"/>
      <c r="T75" s="2"/>
      <c r="U75" s="2"/>
      <c r="Z75" s="209"/>
      <c r="AA75" s="209"/>
      <c r="AB75" s="209"/>
      <c r="AC75" s="209"/>
    </row>
    <row r="76" spans="1:29" ht="15.75" customHeight="1">
      <c r="A76" s="28"/>
      <c r="B76" s="29" t="s">
        <v>53</v>
      </c>
      <c r="C76" s="30"/>
      <c r="D76" s="2"/>
      <c r="E76" s="2" t="b">
        <f t="shared" ref="E76:Q76" si="61">E63+E64-E68+E73=E74</f>
        <v>1</v>
      </c>
      <c r="F76" s="2" t="b">
        <f t="shared" si="61"/>
        <v>1</v>
      </c>
      <c r="G76" s="2" t="b">
        <f t="shared" si="61"/>
        <v>1</v>
      </c>
      <c r="H76" s="2" t="b">
        <f t="shared" si="61"/>
        <v>1</v>
      </c>
      <c r="I76" s="2" t="b">
        <f t="shared" si="61"/>
        <v>1</v>
      </c>
      <c r="J76" s="2" t="b">
        <f t="shared" si="61"/>
        <v>1</v>
      </c>
      <c r="K76" s="2" t="b">
        <f t="shared" si="61"/>
        <v>1</v>
      </c>
      <c r="L76" s="2" t="b">
        <f t="shared" si="61"/>
        <v>1</v>
      </c>
      <c r="M76" s="2" t="b">
        <f t="shared" si="61"/>
        <v>1</v>
      </c>
      <c r="N76" s="2" t="b">
        <f t="shared" si="61"/>
        <v>1</v>
      </c>
      <c r="O76" s="2" t="b">
        <f t="shared" si="61"/>
        <v>1</v>
      </c>
      <c r="P76" s="2" t="b">
        <f t="shared" si="61"/>
        <v>1</v>
      </c>
      <c r="Q76" s="2" t="b">
        <f t="shared" si="61"/>
        <v>1</v>
      </c>
      <c r="R76" s="2" t="b">
        <f t="shared" ref="R76:S76" si="62">R63+R64-R68+R73=R74</f>
        <v>1</v>
      </c>
      <c r="S76" s="2" t="b">
        <f t="shared" si="62"/>
        <v>1</v>
      </c>
      <c r="T76" s="2" t="b">
        <f t="shared" ref="T76" si="63">T63+T64-T68+T73=T74</f>
        <v>1</v>
      </c>
      <c r="U76" s="2"/>
      <c r="Z76" s="209"/>
      <c r="AA76" s="209"/>
      <c r="AB76" s="209"/>
      <c r="AC76" s="209"/>
    </row>
    <row r="77" spans="1:29" ht="15.75" customHeight="1">
      <c r="A77" s="1"/>
      <c r="B77" s="2"/>
      <c r="C77" s="2"/>
      <c r="D77" s="20"/>
      <c r="E77" s="2"/>
      <c r="F77" s="2"/>
      <c r="G77" s="2"/>
      <c r="H77" s="2"/>
      <c r="I77" s="2"/>
      <c r="J77" s="2"/>
      <c r="K77" s="2"/>
      <c r="L77" s="2"/>
      <c r="M77" s="2"/>
      <c r="N77" s="2"/>
      <c r="O77" s="2"/>
      <c r="P77" s="2"/>
      <c r="Q77" s="2"/>
      <c r="R77" s="2"/>
      <c r="S77" s="2"/>
      <c r="T77" s="2"/>
      <c r="U77" s="2"/>
      <c r="Z77" s="209"/>
      <c r="AA77" s="209"/>
      <c r="AB77" s="209"/>
      <c r="AC77" s="209"/>
    </row>
    <row r="78" spans="1:29" ht="15.75" customHeight="1">
      <c r="A78" s="6" t="s">
        <v>54</v>
      </c>
      <c r="B78" s="2"/>
      <c r="C78" s="2"/>
      <c r="D78" s="2"/>
      <c r="E78" s="2"/>
      <c r="F78" s="2"/>
      <c r="G78" s="2"/>
      <c r="H78" s="2"/>
      <c r="I78" s="2"/>
      <c r="J78" s="2"/>
      <c r="K78" s="2"/>
      <c r="L78" s="2"/>
      <c r="M78" s="2"/>
      <c r="N78" s="2"/>
      <c r="O78" s="2"/>
      <c r="P78" s="2"/>
      <c r="Q78" s="2"/>
      <c r="R78" s="2"/>
      <c r="S78" s="2"/>
      <c r="T78" s="2"/>
      <c r="U78" s="2"/>
      <c r="Z78" s="209"/>
      <c r="AA78" s="209"/>
      <c r="AB78" s="209"/>
      <c r="AC78" s="209"/>
    </row>
    <row r="79" spans="1:29" ht="15.75" customHeight="1" thickBot="1">
      <c r="A79" s="7"/>
      <c r="B79" s="2"/>
      <c r="C79" s="2"/>
      <c r="D79" s="2"/>
      <c r="E79" s="2"/>
      <c r="F79" s="2"/>
      <c r="G79" s="2"/>
      <c r="H79" s="2"/>
      <c r="I79" s="2"/>
      <c r="J79" s="2"/>
      <c r="K79" s="2"/>
      <c r="L79" s="2"/>
      <c r="M79" s="2"/>
      <c r="N79" s="2"/>
      <c r="O79" s="2"/>
      <c r="P79" s="2"/>
      <c r="Q79" s="2"/>
      <c r="R79" s="2"/>
      <c r="S79" s="2"/>
      <c r="T79" s="2"/>
      <c r="U79" s="2"/>
      <c r="Z79" s="209"/>
      <c r="AA79" s="209"/>
      <c r="AB79" s="209"/>
      <c r="AC79" s="209"/>
    </row>
    <row r="80" spans="1:29" ht="15.75" customHeight="1" thickBot="1">
      <c r="A80" s="54" t="s">
        <v>3</v>
      </c>
      <c r="B80" s="55" t="s">
        <v>4</v>
      </c>
      <c r="C80" s="56" t="s">
        <v>5</v>
      </c>
      <c r="D80" s="56">
        <f t="shared" ref="D80:T80" si="64">D$3</f>
        <v>2008</v>
      </c>
      <c r="E80" s="56">
        <f t="shared" si="64"/>
        <v>2009</v>
      </c>
      <c r="F80" s="56">
        <f t="shared" si="64"/>
        <v>2010</v>
      </c>
      <c r="G80" s="56">
        <f t="shared" si="64"/>
        <v>2011</v>
      </c>
      <c r="H80" s="56">
        <f t="shared" si="64"/>
        <v>2012</v>
      </c>
      <c r="I80" s="56">
        <f t="shared" si="64"/>
        <v>2013</v>
      </c>
      <c r="J80" s="56">
        <f t="shared" si="64"/>
        <v>2014</v>
      </c>
      <c r="K80" s="56">
        <f t="shared" si="64"/>
        <v>2015</v>
      </c>
      <c r="L80" s="56">
        <f t="shared" si="64"/>
        <v>2016</v>
      </c>
      <c r="M80" s="56">
        <f t="shared" si="64"/>
        <v>2017</v>
      </c>
      <c r="N80" s="56">
        <f t="shared" si="64"/>
        <v>2018</v>
      </c>
      <c r="O80" s="56">
        <f t="shared" si="64"/>
        <v>2019</v>
      </c>
      <c r="P80" s="56">
        <f t="shared" si="64"/>
        <v>2020</v>
      </c>
      <c r="Q80" s="56">
        <f t="shared" si="64"/>
        <v>2021</v>
      </c>
      <c r="R80" s="56">
        <f t="shared" si="64"/>
        <v>2022</v>
      </c>
      <c r="S80" s="56">
        <f t="shared" si="64"/>
        <v>2023</v>
      </c>
      <c r="T80" s="56">
        <f t="shared" si="64"/>
        <v>2024</v>
      </c>
      <c r="U80" s="2"/>
      <c r="Z80" s="209"/>
      <c r="AA80" s="209"/>
      <c r="AB80" s="209"/>
      <c r="AC80" s="209"/>
    </row>
    <row r="81" spans="1:29" ht="15.75" customHeight="1">
      <c r="A81" s="9">
        <v>-1</v>
      </c>
      <c r="B81" s="9">
        <f t="shared" ref="B81:T81" si="65">A81-1</f>
        <v>-2</v>
      </c>
      <c r="C81" s="9">
        <f t="shared" si="65"/>
        <v>-3</v>
      </c>
      <c r="D81" s="9">
        <f t="shared" si="65"/>
        <v>-4</v>
      </c>
      <c r="E81" s="9">
        <f t="shared" si="65"/>
        <v>-5</v>
      </c>
      <c r="F81" s="9">
        <f t="shared" si="65"/>
        <v>-6</v>
      </c>
      <c r="G81" s="9">
        <f t="shared" si="65"/>
        <v>-7</v>
      </c>
      <c r="H81" s="9">
        <f t="shared" si="65"/>
        <v>-8</v>
      </c>
      <c r="I81" s="9">
        <f t="shared" si="65"/>
        <v>-9</v>
      </c>
      <c r="J81" s="9">
        <f t="shared" si="65"/>
        <v>-10</v>
      </c>
      <c r="K81" s="9">
        <f t="shared" si="65"/>
        <v>-11</v>
      </c>
      <c r="L81" s="9">
        <f t="shared" si="65"/>
        <v>-12</v>
      </c>
      <c r="M81" s="9">
        <f t="shared" si="65"/>
        <v>-13</v>
      </c>
      <c r="N81" s="9">
        <f t="shared" si="65"/>
        <v>-14</v>
      </c>
      <c r="O81" s="9">
        <f t="shared" si="65"/>
        <v>-15</v>
      </c>
      <c r="P81" s="9">
        <f t="shared" si="65"/>
        <v>-16</v>
      </c>
      <c r="Q81" s="9">
        <f t="shared" si="65"/>
        <v>-17</v>
      </c>
      <c r="R81" s="9">
        <f t="shared" si="65"/>
        <v>-18</v>
      </c>
      <c r="S81" s="9">
        <f t="shared" si="65"/>
        <v>-19</v>
      </c>
      <c r="T81" s="9">
        <f t="shared" si="65"/>
        <v>-20</v>
      </c>
      <c r="U81" s="2"/>
      <c r="Z81" s="209"/>
      <c r="AA81" s="209"/>
      <c r="AB81" s="209"/>
      <c r="AC81" s="209"/>
    </row>
    <row r="82" spans="1:29" ht="15.75" customHeight="1">
      <c r="A82" s="14">
        <v>1</v>
      </c>
      <c r="B82" s="15" t="s">
        <v>55</v>
      </c>
      <c r="C82" s="14" t="s">
        <v>85</v>
      </c>
      <c r="D82" s="18">
        <f t="shared" ref="D82:Q82" si="66">D56</f>
        <v>346755.9732536152</v>
      </c>
      <c r="E82" s="18">
        <f t="shared" si="66"/>
        <v>419576.10489413992</v>
      </c>
      <c r="F82" s="18">
        <f t="shared" si="66"/>
        <v>481225.65282587375</v>
      </c>
      <c r="G82" s="18">
        <f t="shared" si="66"/>
        <v>592531.02282761747</v>
      </c>
      <c r="H82" s="18">
        <f t="shared" si="66"/>
        <v>508454.9246937412</v>
      </c>
      <c r="I82" s="18">
        <f t="shared" si="66"/>
        <v>501441.21785047761</v>
      </c>
      <c r="J82" s="18">
        <f t="shared" si="66"/>
        <v>451366.40756360645</v>
      </c>
      <c r="K82" s="18">
        <f t="shared" si="66"/>
        <v>466851.18858370994</v>
      </c>
      <c r="L82" s="18">
        <f t="shared" si="66"/>
        <v>501048.64108314336</v>
      </c>
      <c r="M82" s="18">
        <f t="shared" si="66"/>
        <v>695270.67521374207</v>
      </c>
      <c r="N82" s="18">
        <f t="shared" si="66"/>
        <v>653875.47563261469</v>
      </c>
      <c r="O82" s="18">
        <f t="shared" si="66"/>
        <v>508793.31190509215</v>
      </c>
      <c r="P82" s="18">
        <f t="shared" si="66"/>
        <v>423078.86682664219</v>
      </c>
      <c r="Q82" s="18">
        <f t="shared" si="66"/>
        <v>827296.51848370326</v>
      </c>
      <c r="R82" s="18">
        <f t="shared" ref="R82:S82" si="67">R56</f>
        <v>1588863.2078205927</v>
      </c>
      <c r="S82" s="18">
        <f t="shared" si="67"/>
        <v>1213077.4515425663</v>
      </c>
      <c r="T82" s="18">
        <f t="shared" ref="T82" si="68">T56</f>
        <v>856605.19219618407</v>
      </c>
      <c r="U82" s="2"/>
      <c r="Z82" s="209"/>
      <c r="AA82" s="209"/>
      <c r="AB82" s="209"/>
      <c r="AC82" s="209"/>
    </row>
    <row r="83" spans="1:29" ht="15.75" customHeight="1">
      <c r="A83" s="14">
        <f t="shared" ref="A83:A90" si="69">A82+1</f>
        <v>2</v>
      </c>
      <c r="B83" s="15" t="s">
        <v>56</v>
      </c>
      <c r="C83" s="14" t="s">
        <v>86</v>
      </c>
      <c r="D83" s="18">
        <f t="shared" ref="D83:Q83" si="70">D55</f>
        <v>239.86910816000002</v>
      </c>
      <c r="E83" s="18">
        <f t="shared" si="70"/>
        <v>253.96946078599993</v>
      </c>
      <c r="F83" s="18">
        <f t="shared" si="70"/>
        <v>280.60756566700002</v>
      </c>
      <c r="G83" s="18">
        <f t="shared" si="70"/>
        <v>353.27093700266073</v>
      </c>
      <c r="H83" s="18">
        <f t="shared" si="70"/>
        <v>412.13065920549985</v>
      </c>
      <c r="I83" s="18">
        <f t="shared" si="70"/>
        <v>474.60092068350087</v>
      </c>
      <c r="J83" s="18">
        <f t="shared" si="70"/>
        <v>458.09670701213213</v>
      </c>
      <c r="K83" s="18">
        <f t="shared" si="70"/>
        <v>461.56607939793963</v>
      </c>
      <c r="L83" s="18">
        <f t="shared" si="70"/>
        <v>456.19745447326659</v>
      </c>
      <c r="M83" s="18">
        <f t="shared" si="70"/>
        <v>461.24818447865101</v>
      </c>
      <c r="N83" s="18">
        <f t="shared" si="70"/>
        <v>557.77294024163405</v>
      </c>
      <c r="O83" s="18">
        <f t="shared" si="70"/>
        <v>616.15959390917601</v>
      </c>
      <c r="P83" s="18">
        <f t="shared" si="70"/>
        <v>563.72825460000001</v>
      </c>
      <c r="Q83" s="18">
        <f t="shared" si="70"/>
        <v>613.99025631999996</v>
      </c>
      <c r="R83" s="18">
        <f t="shared" ref="R83:S83" si="71">R55</f>
        <v>687.43238365500008</v>
      </c>
      <c r="S83" s="18">
        <f t="shared" si="71"/>
        <v>775.18185510000023</v>
      </c>
      <c r="T83" s="18">
        <f t="shared" ref="T83" si="72">T55</f>
        <v>836.13400000000013</v>
      </c>
      <c r="U83" s="2"/>
      <c r="Z83" s="209"/>
      <c r="AA83" s="209"/>
      <c r="AB83" s="209"/>
      <c r="AC83" s="209"/>
    </row>
    <row r="84" spans="1:29" ht="15.75" customHeight="1">
      <c r="A84" s="14">
        <f t="shared" si="69"/>
        <v>3</v>
      </c>
      <c r="B84" s="15" t="s">
        <v>57</v>
      </c>
      <c r="C84" s="14" t="s">
        <v>58</v>
      </c>
      <c r="D84" s="18">
        <f t="shared" ref="D84:Q84" si="73">D82*D83/1000</f>
        <v>83176.046053497499</v>
      </c>
      <c r="E84" s="18">
        <f t="shared" si="73"/>
        <v>106559.51711865487</v>
      </c>
      <c r="F84" s="18">
        <f t="shared" si="73"/>
        <v>135035.55897598132</v>
      </c>
      <c r="G84" s="18">
        <f t="shared" si="73"/>
        <v>209323.98963745736</v>
      </c>
      <c r="H84" s="18">
        <f t="shared" si="73"/>
        <v>209549.86329031436</v>
      </c>
      <c r="I84" s="18">
        <f t="shared" si="73"/>
        <v>237984.46366049259</v>
      </c>
      <c r="J84" s="18">
        <f t="shared" si="73"/>
        <v>206769.46496078404</v>
      </c>
      <c r="K84" s="18">
        <f t="shared" si="73"/>
        <v>215482.67277685113</v>
      </c>
      <c r="L84" s="18">
        <f t="shared" si="73"/>
        <v>228577.11462941937</v>
      </c>
      <c r="M84" s="18">
        <f t="shared" si="73"/>
        <v>320692.33666358434</v>
      </c>
      <c r="N84" s="18">
        <f t="shared" si="73"/>
        <v>364714.04659550043</v>
      </c>
      <c r="O84" s="18">
        <f t="shared" si="73"/>
        <v>313497.88044714631</v>
      </c>
      <c r="P84" s="18">
        <f t="shared" si="73"/>
        <v>238501.51115432885</v>
      </c>
      <c r="Q84" s="18">
        <f t="shared" si="73"/>
        <v>507952.00143645256</v>
      </c>
      <c r="R84" s="18">
        <f t="shared" ref="R84:S84" si="74">R82*R83/1000</f>
        <v>1092236.0222538398</v>
      </c>
      <c r="S84" s="18">
        <f t="shared" si="74"/>
        <v>940355.62926674727</v>
      </c>
      <c r="T84" s="18">
        <f t="shared" ref="T84" si="75">T82*T83/1000</f>
        <v>716236.72577176429</v>
      </c>
      <c r="U84" s="2"/>
      <c r="Z84" s="209"/>
      <c r="AA84" s="209"/>
      <c r="AB84" s="209"/>
      <c r="AC84" s="209"/>
    </row>
    <row r="85" spans="1:29" ht="15.75" customHeight="1">
      <c r="A85" s="14">
        <f t="shared" si="69"/>
        <v>4</v>
      </c>
      <c r="B85" s="21" t="s">
        <v>59</v>
      </c>
      <c r="C85" s="14" t="s">
        <v>60</v>
      </c>
      <c r="D85" s="18">
        <f t="shared" ref="D85:M85" si="76">D74/D83</f>
        <v>0</v>
      </c>
      <c r="E85" s="18">
        <f t="shared" si="76"/>
        <v>83.206231007460147</v>
      </c>
      <c r="F85" s="18">
        <f t="shared" si="76"/>
        <v>75.307454995983178</v>
      </c>
      <c r="G85" s="18">
        <f t="shared" si="76"/>
        <v>79.308715035307245</v>
      </c>
      <c r="H85" s="18">
        <f t="shared" si="76"/>
        <v>70.314128361293456</v>
      </c>
      <c r="I85" s="18">
        <f t="shared" si="76"/>
        <v>66.070558697696413</v>
      </c>
      <c r="J85" s="18">
        <f t="shared" si="76"/>
        <v>70.694112191342015</v>
      </c>
      <c r="K85" s="18">
        <f t="shared" si="76"/>
        <v>69.900457247820924</v>
      </c>
      <c r="L85" s="18">
        <f t="shared" si="76"/>
        <v>62.379326585364829</v>
      </c>
      <c r="M85" s="18">
        <f t="shared" si="76"/>
        <v>52.552965660772053</v>
      </c>
      <c r="N85" s="18">
        <f t="shared" ref="N85:T85" si="77">AVERAGE(J74/J83,K74/K83,L74/L83,M74/M83,N74/N83)</f>
        <v>64.71075549540879</v>
      </c>
      <c r="O85" s="18">
        <f t="shared" si="77"/>
        <v>62.778076680190644</v>
      </c>
      <c r="P85" s="18">
        <f t="shared" si="77"/>
        <v>62.56542615448965</v>
      </c>
      <c r="Q85" s="18">
        <f t="shared" si="77"/>
        <v>61.906961748650907</v>
      </c>
      <c r="R85" s="18">
        <f t="shared" si="77"/>
        <v>61.59492271387883</v>
      </c>
      <c r="S85" s="18">
        <f t="shared" si="77"/>
        <v>56.171762585587601</v>
      </c>
      <c r="T85" s="18">
        <f t="shared" si="77"/>
        <v>51.609250246518151</v>
      </c>
      <c r="U85" s="2"/>
      <c r="Z85" s="209"/>
      <c r="AA85" s="209"/>
      <c r="AB85" s="209"/>
      <c r="AC85" s="209"/>
    </row>
    <row r="86" spans="1:29" ht="15.75" customHeight="1">
      <c r="A86" s="31">
        <f t="shared" si="69"/>
        <v>5</v>
      </c>
      <c r="B86" s="32" t="s">
        <v>61</v>
      </c>
      <c r="C86" s="31"/>
      <c r="D86" s="33">
        <v>0.1318648305084745</v>
      </c>
      <c r="E86" s="33">
        <v>0.11456120218579237</v>
      </c>
      <c r="F86" s="33">
        <v>9.6083870967741916E-2</v>
      </c>
      <c r="G86" s="33">
        <v>8.4860816326530641E-2</v>
      </c>
      <c r="H86" s="33">
        <v>6.6462195121951215E-2</v>
      </c>
      <c r="I86" s="33">
        <v>7.5548571428571409E-2</v>
      </c>
      <c r="J86" s="33">
        <v>8.6841975308642003E-2</v>
      </c>
      <c r="K86" s="33">
        <v>8.4721074380165282E-2</v>
      </c>
      <c r="L86" s="33">
        <v>7.9230487804878069E-2</v>
      </c>
      <c r="M86" s="33">
        <v>7.6071308016877698E-2</v>
      </c>
      <c r="N86" s="33">
        <f>Bond!M26</f>
        <v>8.3599999999999994E-2</v>
      </c>
      <c r="O86" s="33">
        <f>Bond!N26</f>
        <v>7.6499999999999999E-2</v>
      </c>
      <c r="P86" s="33">
        <f>Bond!O26</f>
        <v>6.4799999999999996E-2</v>
      </c>
      <c r="Q86" s="33">
        <f>Bond!P26</f>
        <v>7.0499999999999993E-2</v>
      </c>
      <c r="R86" s="33">
        <f>Bond!Q26</f>
        <v>7.0900000000000005E-2</v>
      </c>
      <c r="S86" s="33">
        <f>Bond!R26</f>
        <v>6.7699999999999996E-2</v>
      </c>
      <c r="T86" s="33">
        <f>Bond!S26</f>
        <v>7.0900000000000005E-2</v>
      </c>
      <c r="U86" s="13"/>
      <c r="Z86" s="209"/>
      <c r="AA86" s="209"/>
      <c r="AB86" s="209"/>
      <c r="AC86" s="209"/>
    </row>
    <row r="87" spans="1:29" ht="15.75" customHeight="1">
      <c r="A87" s="14">
        <f t="shared" si="69"/>
        <v>6</v>
      </c>
      <c r="B87" s="21" t="s">
        <v>62</v>
      </c>
      <c r="C87" s="14"/>
      <c r="D87" s="16" t="e">
        <f t="shared" ref="D87:Q87" si="78">PV(D86,D85,-1/D85)</f>
        <v>#DIV/0!</v>
      </c>
      <c r="E87" s="16">
        <f t="shared" si="78"/>
        <v>0.10489488015679979</v>
      </c>
      <c r="F87" s="16">
        <f t="shared" si="78"/>
        <v>0.13806308085357977</v>
      </c>
      <c r="G87" s="16">
        <f t="shared" si="78"/>
        <v>0.14835140061561758</v>
      </c>
      <c r="H87" s="16">
        <f t="shared" si="78"/>
        <v>0.21166505356125156</v>
      </c>
      <c r="I87" s="16">
        <f t="shared" si="78"/>
        <v>0.19871000455920942</v>
      </c>
      <c r="J87" s="16">
        <f t="shared" si="78"/>
        <v>0.16243524223954003</v>
      </c>
      <c r="K87" s="16">
        <f t="shared" si="78"/>
        <v>0.168286853987792</v>
      </c>
      <c r="L87" s="16">
        <f t="shared" si="78"/>
        <v>0.20059362165930023</v>
      </c>
      <c r="M87" s="16">
        <f t="shared" si="78"/>
        <v>0.24483238387860642</v>
      </c>
      <c r="N87" s="16">
        <f t="shared" si="78"/>
        <v>0.18382478378587161</v>
      </c>
      <c r="O87" s="16">
        <f t="shared" si="78"/>
        <v>0.20618801665876391</v>
      </c>
      <c r="P87" s="16">
        <f t="shared" si="78"/>
        <v>0.24180188962928181</v>
      </c>
      <c r="Q87" s="16">
        <f t="shared" si="78"/>
        <v>0.22574805421125607</v>
      </c>
      <c r="R87" s="16">
        <f t="shared" ref="R87:S87" si="79">PV(R86,R85,-1/R85)</f>
        <v>0.22561753539376339</v>
      </c>
      <c r="S87" s="16">
        <f t="shared" si="79"/>
        <v>0.25632704693014019</v>
      </c>
      <c r="T87" s="16">
        <f t="shared" ref="T87" si="80">PV(T86,T85,-1/T85)</f>
        <v>0.2653243365869733</v>
      </c>
      <c r="U87" s="2"/>
      <c r="Z87" s="209"/>
      <c r="AA87" s="209"/>
      <c r="AB87" s="209"/>
      <c r="AC87" s="209"/>
    </row>
    <row r="88" spans="1:29" ht="15.75" customHeight="1">
      <c r="A88" s="57">
        <f t="shared" si="69"/>
        <v>7</v>
      </c>
      <c r="B88" s="58" t="s">
        <v>63</v>
      </c>
      <c r="C88" s="57" t="s">
        <v>58</v>
      </c>
      <c r="D88" s="61" t="e">
        <f t="shared" ref="D88:Q88" si="81">D84*D85*D87</f>
        <v>#DIV/0!</v>
      </c>
      <c r="E88" s="61">
        <f t="shared" si="81"/>
        <v>930041.62249053863</v>
      </c>
      <c r="F88" s="61">
        <f t="shared" si="81"/>
        <v>1403988.9115254981</v>
      </c>
      <c r="G88" s="61">
        <f t="shared" si="81"/>
        <v>2462813.741091962</v>
      </c>
      <c r="H88" s="61">
        <f t="shared" si="81"/>
        <v>3118739.7822564389</v>
      </c>
      <c r="I88" s="61">
        <f t="shared" si="81"/>
        <v>3124469.7080187271</v>
      </c>
      <c r="J88" s="61">
        <f t="shared" si="81"/>
        <v>2374378.2709375597</v>
      </c>
      <c r="K88" s="61">
        <f t="shared" si="81"/>
        <v>2534793.3673582519</v>
      </c>
      <c r="L88" s="61">
        <f t="shared" si="81"/>
        <v>2860161.443087176</v>
      </c>
      <c r="M88" s="61">
        <f t="shared" si="81"/>
        <v>4126241.7819370092</v>
      </c>
      <c r="N88" s="61">
        <f t="shared" si="81"/>
        <v>4338434.2909624977</v>
      </c>
      <c r="O88" s="61">
        <f t="shared" si="81"/>
        <v>4057943.8765498921</v>
      </c>
      <c r="P88" s="61">
        <f t="shared" si="81"/>
        <v>3608155.3887086073</v>
      </c>
      <c r="Q88" s="61">
        <f t="shared" si="81"/>
        <v>7098820.2897188431</v>
      </c>
      <c r="R88" s="61">
        <f t="shared" ref="R88:S88" si="82">R84*R85*R87</f>
        <v>15178688.940176306</v>
      </c>
      <c r="S88" s="61">
        <f t="shared" si="82"/>
        <v>13539561.974775651</v>
      </c>
      <c r="T88" s="61">
        <f t="shared" ref="T88" si="83">T84*T85*T87</f>
        <v>9807565.6307109073</v>
      </c>
      <c r="U88" s="13"/>
      <c r="Z88" s="209"/>
      <c r="AA88" s="209"/>
      <c r="AB88" s="209"/>
      <c r="AC88" s="209"/>
    </row>
    <row r="89" spans="1:29" ht="15.75" customHeight="1">
      <c r="A89" s="14">
        <f t="shared" si="69"/>
        <v>8</v>
      </c>
      <c r="B89" s="21" t="s">
        <v>64</v>
      </c>
      <c r="C89" s="14" t="s">
        <v>86</v>
      </c>
      <c r="D89" s="18">
        <f t="shared" ref="D89:Q89" si="84">D74</f>
        <v>0</v>
      </c>
      <c r="E89" s="18">
        <f t="shared" si="84"/>
        <v>21131.841623</v>
      </c>
      <c r="F89" s="18">
        <f t="shared" si="84"/>
        <v>21131.841623</v>
      </c>
      <c r="G89" s="18">
        <f t="shared" si="84"/>
        <v>28017.464072999999</v>
      </c>
      <c r="H89" s="18">
        <f t="shared" si="84"/>
        <v>28978.608073000003</v>
      </c>
      <c r="I89" s="18">
        <f t="shared" si="84"/>
        <v>31357.147988000004</v>
      </c>
      <c r="J89" s="18">
        <f t="shared" si="84"/>
        <v>32384.739999999998</v>
      </c>
      <c r="K89" s="18">
        <f t="shared" si="84"/>
        <v>32263.68</v>
      </c>
      <c r="L89" s="18">
        <f t="shared" si="84"/>
        <v>28457.29</v>
      </c>
      <c r="M89" s="18">
        <f t="shared" si="84"/>
        <v>24239.96</v>
      </c>
      <c r="N89" s="18">
        <f t="shared" si="84"/>
        <v>37943.572836731197</v>
      </c>
      <c r="O89" s="18">
        <f t="shared" si="84"/>
        <v>37604.662489878603</v>
      </c>
      <c r="P89" s="18">
        <f t="shared" si="84"/>
        <v>38805.477211590012</v>
      </c>
      <c r="Q89" s="18">
        <f t="shared" si="84"/>
        <v>36278.84507262455</v>
      </c>
      <c r="R89" s="18">
        <f t="shared" ref="R89:S89" si="85">R74</f>
        <v>35054.081764989998</v>
      </c>
      <c r="S89" s="18">
        <f t="shared" si="85"/>
        <v>31713.554136409992</v>
      </c>
      <c r="T89" s="18">
        <f t="shared" ref="T89" si="86">T74</f>
        <v>31955.5</v>
      </c>
      <c r="U89" s="2"/>
      <c r="Z89" s="209"/>
      <c r="AA89" s="209"/>
      <c r="AB89" s="209"/>
      <c r="AC89" s="209"/>
    </row>
    <row r="90" spans="1:29" ht="15.75" customHeight="1">
      <c r="A90" s="14">
        <f t="shared" si="69"/>
        <v>9</v>
      </c>
      <c r="B90" s="15" t="s">
        <v>65</v>
      </c>
      <c r="C90" s="14" t="s">
        <v>85</v>
      </c>
      <c r="D90" s="18" t="e">
        <f t="shared" ref="D90:Q90" si="87">D88/D89*1000</f>
        <v>#DIV/0!</v>
      </c>
      <c r="E90" s="18">
        <f t="shared" si="87"/>
        <v>44011.38523952767</v>
      </c>
      <c r="F90" s="18">
        <f t="shared" si="87"/>
        <v>66439.496214915314</v>
      </c>
      <c r="G90" s="18">
        <f t="shared" si="87"/>
        <v>87902.807144681516</v>
      </c>
      <c r="H90" s="18">
        <f t="shared" si="87"/>
        <v>107622.13886878287</v>
      </c>
      <c r="I90" s="18">
        <f t="shared" si="87"/>
        <v>99641.386685243924</v>
      </c>
      <c r="J90" s="18">
        <f t="shared" si="87"/>
        <v>73317.811751385365</v>
      </c>
      <c r="K90" s="18">
        <f t="shared" si="87"/>
        <v>78564.917807213933</v>
      </c>
      <c r="L90" s="18">
        <f t="shared" si="87"/>
        <v>100507.16154233857</v>
      </c>
      <c r="M90" s="18">
        <f t="shared" si="87"/>
        <v>170224.77685346879</v>
      </c>
      <c r="N90" s="18">
        <f t="shared" si="87"/>
        <v>114339.10848697636</v>
      </c>
      <c r="O90" s="18">
        <f t="shared" si="87"/>
        <v>107910.65809039235</v>
      </c>
      <c r="P90" s="18">
        <f t="shared" si="87"/>
        <v>92980.569960133391</v>
      </c>
      <c r="Q90" s="18">
        <f t="shared" si="87"/>
        <v>195673.82245791232</v>
      </c>
      <c r="R90" s="18">
        <f t="shared" ref="R90:S90" si="88">R88/R89*1000</f>
        <v>433007.74620021309</v>
      </c>
      <c r="S90" s="18">
        <f t="shared" si="88"/>
        <v>426932.97372277256</v>
      </c>
      <c r="T90" s="18">
        <f t="shared" ref="T90" si="89">T88/T89*1000</f>
        <v>306913.22716624395</v>
      </c>
      <c r="U90" s="2"/>
      <c r="Z90" s="209"/>
      <c r="AA90" s="209"/>
      <c r="AB90" s="209"/>
      <c r="AC90" s="209"/>
    </row>
    <row r="91" spans="1:29" ht="15.75" customHeight="1">
      <c r="A91" s="1"/>
      <c r="B91" s="2"/>
      <c r="C91" s="2"/>
      <c r="D91" s="2"/>
      <c r="E91" s="2"/>
      <c r="F91" s="2"/>
      <c r="G91" s="2"/>
      <c r="H91" s="2"/>
      <c r="I91" s="2"/>
      <c r="J91" s="2"/>
      <c r="K91" s="2"/>
      <c r="L91" s="2"/>
      <c r="M91" s="2"/>
      <c r="N91" s="2"/>
      <c r="O91" s="2"/>
      <c r="P91" s="2"/>
      <c r="Q91" s="2"/>
      <c r="R91" s="2"/>
      <c r="S91" s="2"/>
      <c r="T91" s="2"/>
      <c r="U91" s="2"/>
      <c r="Z91" s="209"/>
      <c r="AA91" s="209"/>
      <c r="AB91" s="209"/>
      <c r="AC91" s="209"/>
    </row>
    <row r="92" spans="1:29" ht="15.75" customHeight="1">
      <c r="A92" s="1"/>
      <c r="B92" s="2"/>
      <c r="C92" s="2"/>
      <c r="D92" s="2"/>
      <c r="E92" s="2"/>
      <c r="F92" s="2"/>
      <c r="G92" s="2"/>
      <c r="H92" s="2"/>
      <c r="I92" s="2"/>
      <c r="J92" s="2"/>
      <c r="K92" s="2"/>
      <c r="L92" s="2"/>
      <c r="M92" s="2"/>
      <c r="N92" s="2"/>
      <c r="O92" s="2"/>
      <c r="P92" s="2"/>
      <c r="Q92" s="2"/>
      <c r="R92" s="2"/>
      <c r="S92" s="2"/>
      <c r="T92" s="2"/>
      <c r="U92" s="2"/>
      <c r="Z92" s="209"/>
      <c r="AA92" s="209"/>
      <c r="AB92" s="209"/>
      <c r="AC92" s="209"/>
    </row>
    <row r="93" spans="1:29" ht="15.75" customHeight="1">
      <c r="A93" s="6" t="s">
        <v>66</v>
      </c>
      <c r="B93" s="2"/>
      <c r="C93" s="2"/>
      <c r="D93" s="2"/>
      <c r="E93" s="2"/>
      <c r="F93" s="2"/>
      <c r="G93" s="2"/>
      <c r="H93" s="2"/>
      <c r="I93" s="2"/>
      <c r="J93" s="2"/>
      <c r="K93" s="2"/>
      <c r="L93" s="2"/>
      <c r="M93" s="2"/>
      <c r="N93" s="2"/>
      <c r="O93" s="2"/>
      <c r="P93" s="2"/>
      <c r="Q93" s="2"/>
      <c r="R93" s="2"/>
      <c r="S93" s="2"/>
      <c r="T93" s="2"/>
      <c r="U93" s="2"/>
      <c r="Z93" s="209"/>
      <c r="AA93" s="209"/>
      <c r="AB93" s="209"/>
      <c r="AC93" s="209"/>
    </row>
    <row r="94" spans="1:29" ht="15.75" customHeight="1" thickBot="1">
      <c r="A94" s="19"/>
      <c r="B94" s="2"/>
      <c r="C94" s="2"/>
      <c r="D94" s="2"/>
      <c r="E94" s="2"/>
      <c r="F94" s="2"/>
      <c r="G94" s="2"/>
      <c r="H94" s="2"/>
      <c r="I94" s="2"/>
      <c r="J94" s="2"/>
      <c r="K94" s="2"/>
      <c r="L94" s="2"/>
      <c r="M94" s="2"/>
      <c r="N94" s="2"/>
      <c r="O94" s="2"/>
      <c r="P94" s="2"/>
      <c r="Q94" s="2"/>
      <c r="R94" s="2"/>
      <c r="S94" s="2"/>
      <c r="T94" s="2"/>
      <c r="U94" s="2"/>
      <c r="Z94" s="209"/>
      <c r="AA94" s="209"/>
      <c r="AB94" s="209"/>
      <c r="AC94" s="209"/>
    </row>
    <row r="95" spans="1:29" ht="15.75" customHeight="1" thickBot="1">
      <c r="A95" s="54" t="s">
        <v>3</v>
      </c>
      <c r="B95" s="55" t="s">
        <v>4</v>
      </c>
      <c r="C95" s="56" t="s">
        <v>5</v>
      </c>
      <c r="D95" s="56">
        <f t="shared" ref="D95:T95" si="90">D$3</f>
        <v>2008</v>
      </c>
      <c r="E95" s="56">
        <f t="shared" si="90"/>
        <v>2009</v>
      </c>
      <c r="F95" s="56">
        <f t="shared" si="90"/>
        <v>2010</v>
      </c>
      <c r="G95" s="56">
        <f t="shared" si="90"/>
        <v>2011</v>
      </c>
      <c r="H95" s="56">
        <f t="shared" si="90"/>
        <v>2012</v>
      </c>
      <c r="I95" s="56">
        <f t="shared" si="90"/>
        <v>2013</v>
      </c>
      <c r="J95" s="56">
        <f t="shared" si="90"/>
        <v>2014</v>
      </c>
      <c r="K95" s="56">
        <f t="shared" si="90"/>
        <v>2015</v>
      </c>
      <c r="L95" s="56">
        <f t="shared" si="90"/>
        <v>2016</v>
      </c>
      <c r="M95" s="56">
        <f t="shared" si="90"/>
        <v>2017</v>
      </c>
      <c r="N95" s="56">
        <f t="shared" si="90"/>
        <v>2018</v>
      </c>
      <c r="O95" s="56">
        <f t="shared" si="90"/>
        <v>2019</v>
      </c>
      <c r="P95" s="56">
        <f t="shared" si="90"/>
        <v>2020</v>
      </c>
      <c r="Q95" s="56">
        <f t="shared" si="90"/>
        <v>2021</v>
      </c>
      <c r="R95" s="56">
        <f t="shared" si="90"/>
        <v>2022</v>
      </c>
      <c r="S95" s="56">
        <f t="shared" si="90"/>
        <v>2023</v>
      </c>
      <c r="T95" s="56">
        <f t="shared" si="90"/>
        <v>2024</v>
      </c>
      <c r="U95" s="2"/>
      <c r="Z95" s="209"/>
      <c r="AA95" s="209"/>
      <c r="AB95" s="209"/>
      <c r="AC95" s="209"/>
    </row>
    <row r="96" spans="1:29" ht="15.75" customHeight="1">
      <c r="A96" s="9">
        <v>-1</v>
      </c>
      <c r="B96" s="9">
        <f t="shared" ref="B96:T96" si="91">A96-1</f>
        <v>-2</v>
      </c>
      <c r="C96" s="9">
        <f t="shared" si="91"/>
        <v>-3</v>
      </c>
      <c r="D96" s="9">
        <f t="shared" si="91"/>
        <v>-4</v>
      </c>
      <c r="E96" s="9">
        <f t="shared" si="91"/>
        <v>-5</v>
      </c>
      <c r="F96" s="9">
        <f t="shared" si="91"/>
        <v>-6</v>
      </c>
      <c r="G96" s="9">
        <f t="shared" si="91"/>
        <v>-7</v>
      </c>
      <c r="H96" s="9">
        <f t="shared" si="91"/>
        <v>-8</v>
      </c>
      <c r="I96" s="9">
        <f t="shared" si="91"/>
        <v>-9</v>
      </c>
      <c r="J96" s="9">
        <f t="shared" si="91"/>
        <v>-10</v>
      </c>
      <c r="K96" s="9">
        <f t="shared" si="91"/>
        <v>-11</v>
      </c>
      <c r="L96" s="9">
        <f t="shared" si="91"/>
        <v>-12</v>
      </c>
      <c r="M96" s="9">
        <f t="shared" si="91"/>
        <v>-13</v>
      </c>
      <c r="N96" s="9">
        <f t="shared" si="91"/>
        <v>-14</v>
      </c>
      <c r="O96" s="9">
        <f t="shared" si="91"/>
        <v>-15</v>
      </c>
      <c r="P96" s="9">
        <f t="shared" si="91"/>
        <v>-16</v>
      </c>
      <c r="Q96" s="9">
        <f t="shared" si="91"/>
        <v>-17</v>
      </c>
      <c r="R96" s="9">
        <f t="shared" si="91"/>
        <v>-18</v>
      </c>
      <c r="S96" s="9">
        <f t="shared" si="91"/>
        <v>-19</v>
      </c>
      <c r="T96" s="9">
        <f t="shared" si="91"/>
        <v>-20</v>
      </c>
      <c r="U96" s="2"/>
      <c r="Z96" s="209"/>
      <c r="AA96" s="209"/>
      <c r="AB96" s="209"/>
      <c r="AC96" s="209"/>
    </row>
    <row r="97" spans="1:29" ht="15.75" customHeight="1">
      <c r="A97" s="31">
        <v>1</v>
      </c>
      <c r="B97" s="32" t="s">
        <v>41</v>
      </c>
      <c r="C97" s="31" t="s">
        <v>58</v>
      </c>
      <c r="D97" s="35"/>
      <c r="E97" s="35" t="e">
        <f t="shared" ref="E97:T97" si="92">D109</f>
        <v>#DIV/0!</v>
      </c>
      <c r="F97" s="35">
        <f t="shared" si="92"/>
        <v>930041.62249053863</v>
      </c>
      <c r="G97" s="35">
        <f t="shared" si="92"/>
        <v>1403988.9115254981</v>
      </c>
      <c r="H97" s="35">
        <f t="shared" si="92"/>
        <v>2462813.741091962</v>
      </c>
      <c r="I97" s="35">
        <f t="shared" si="92"/>
        <v>3118739.7822564389</v>
      </c>
      <c r="J97" s="35">
        <f t="shared" si="92"/>
        <v>3124469.7080187271</v>
      </c>
      <c r="K97" s="35">
        <f t="shared" si="92"/>
        <v>2374378.2709375597</v>
      </c>
      <c r="L97" s="35">
        <f t="shared" si="92"/>
        <v>2534793.3673582519</v>
      </c>
      <c r="M97" s="35">
        <f t="shared" si="92"/>
        <v>2860161.443087176</v>
      </c>
      <c r="N97" s="35">
        <f t="shared" si="92"/>
        <v>4126241.7819370092</v>
      </c>
      <c r="O97" s="35">
        <f t="shared" si="92"/>
        <v>4338434.2909624977</v>
      </c>
      <c r="P97" s="35">
        <f t="shared" si="92"/>
        <v>4057943.8765498921</v>
      </c>
      <c r="Q97" s="35">
        <f t="shared" si="92"/>
        <v>3608155.3887086073</v>
      </c>
      <c r="R97" s="35">
        <f t="shared" si="92"/>
        <v>7098820.2897188431</v>
      </c>
      <c r="S97" s="35">
        <f t="shared" si="92"/>
        <v>15178688.940176306</v>
      </c>
      <c r="T97" s="35">
        <f t="shared" si="92"/>
        <v>13539561.974775651</v>
      </c>
      <c r="U97" s="2"/>
      <c r="Z97" s="209"/>
      <c r="AA97" s="209"/>
      <c r="AB97" s="209"/>
      <c r="AC97" s="209"/>
    </row>
    <row r="98" spans="1:29" ht="15.75" customHeight="1">
      <c r="A98" s="31">
        <v>2</v>
      </c>
      <c r="B98" s="32" t="s">
        <v>43</v>
      </c>
      <c r="C98" s="31" t="s">
        <v>58</v>
      </c>
      <c r="D98" s="35">
        <f t="shared" ref="D98:Q98" si="93">SUM(D99:D101)</f>
        <v>0</v>
      </c>
      <c r="E98" s="35" t="e">
        <f t="shared" si="93"/>
        <v>#DIV/0!</v>
      </c>
      <c r="F98" s="35">
        <f t="shared" si="93"/>
        <v>0</v>
      </c>
      <c r="G98" s="35">
        <f t="shared" si="93"/>
        <v>0</v>
      </c>
      <c r="H98" s="35">
        <f t="shared" si="93"/>
        <v>0</v>
      </c>
      <c r="I98" s="35">
        <f t="shared" si="93"/>
        <v>0</v>
      </c>
      <c r="J98" s="35">
        <f t="shared" si="93"/>
        <v>0</v>
      </c>
      <c r="K98" s="35">
        <f t="shared" si="93"/>
        <v>0</v>
      </c>
      <c r="L98" s="35">
        <f t="shared" si="93"/>
        <v>0</v>
      </c>
      <c r="M98" s="35">
        <f t="shared" si="93"/>
        <v>0</v>
      </c>
      <c r="N98" s="35">
        <f t="shared" si="93"/>
        <v>0</v>
      </c>
      <c r="O98" s="35">
        <f t="shared" si="93"/>
        <v>0</v>
      </c>
      <c r="P98" s="35">
        <f t="shared" si="93"/>
        <v>0</v>
      </c>
      <c r="Q98" s="35">
        <f t="shared" si="93"/>
        <v>0</v>
      </c>
      <c r="R98" s="35">
        <f t="shared" ref="R98:S98" si="94">SUM(R99:R101)</f>
        <v>0</v>
      </c>
      <c r="S98" s="35">
        <f t="shared" si="94"/>
        <v>0</v>
      </c>
      <c r="T98" s="35">
        <f t="shared" ref="T98" si="95">SUM(T99:T101)</f>
        <v>0</v>
      </c>
      <c r="U98" s="2"/>
      <c r="Z98" s="209"/>
      <c r="AA98" s="209"/>
      <c r="AB98" s="209"/>
      <c r="AC98" s="209"/>
    </row>
    <row r="99" spans="1:29" ht="15.75" customHeight="1">
      <c r="A99" s="14">
        <v>2.1</v>
      </c>
      <c r="B99" s="15" t="s">
        <v>44</v>
      </c>
      <c r="C99" s="14" t="s">
        <v>58</v>
      </c>
      <c r="D99" s="18"/>
      <c r="E99" s="18" t="e">
        <f t="shared" ref="E99:T99" si="96">0.5*(D$90+E$90)*E65/1000</f>
        <v>#DIV/0!</v>
      </c>
      <c r="F99" s="18">
        <f t="shared" si="96"/>
        <v>0</v>
      </c>
      <c r="G99" s="18">
        <f t="shared" si="96"/>
        <v>0</v>
      </c>
      <c r="H99" s="18">
        <f t="shared" si="96"/>
        <v>0</v>
      </c>
      <c r="I99" s="18">
        <f t="shared" si="96"/>
        <v>0</v>
      </c>
      <c r="J99" s="18">
        <f t="shared" si="96"/>
        <v>0</v>
      </c>
      <c r="K99" s="18">
        <f t="shared" si="96"/>
        <v>0</v>
      </c>
      <c r="L99" s="18">
        <f t="shared" si="96"/>
        <v>0</v>
      </c>
      <c r="M99" s="18">
        <f t="shared" si="96"/>
        <v>0</v>
      </c>
      <c r="N99" s="18">
        <f t="shared" si="96"/>
        <v>0</v>
      </c>
      <c r="O99" s="18">
        <f t="shared" si="96"/>
        <v>0</v>
      </c>
      <c r="P99" s="18">
        <f t="shared" si="96"/>
        <v>0</v>
      </c>
      <c r="Q99" s="18">
        <f t="shared" si="96"/>
        <v>0</v>
      </c>
      <c r="R99" s="18">
        <f t="shared" si="96"/>
        <v>0</v>
      </c>
      <c r="S99" s="18">
        <f t="shared" si="96"/>
        <v>0</v>
      </c>
      <c r="T99" s="18">
        <f t="shared" si="96"/>
        <v>0</v>
      </c>
      <c r="U99" s="2"/>
      <c r="Z99" s="209"/>
      <c r="AA99" s="209"/>
      <c r="AB99" s="209"/>
      <c r="AC99" s="209"/>
    </row>
    <row r="100" spans="1:29" ht="15.75" customHeight="1">
      <c r="A100" s="14">
        <v>2.2000000000000002</v>
      </c>
      <c r="B100" s="15" t="s">
        <v>45</v>
      </c>
      <c r="C100" s="14" t="s">
        <v>58</v>
      </c>
      <c r="D100" s="18"/>
      <c r="E100" s="18" t="e">
        <f t="shared" ref="E100:T100" si="97">0.5*(D$90+E$90)*E66/1000</f>
        <v>#DIV/0!</v>
      </c>
      <c r="F100" s="18">
        <f t="shared" si="97"/>
        <v>0</v>
      </c>
      <c r="G100" s="18">
        <f t="shared" si="97"/>
        <v>0</v>
      </c>
      <c r="H100" s="18">
        <f t="shared" si="97"/>
        <v>0</v>
      </c>
      <c r="I100" s="18">
        <f t="shared" si="97"/>
        <v>0</v>
      </c>
      <c r="J100" s="18">
        <f t="shared" si="97"/>
        <v>0</v>
      </c>
      <c r="K100" s="18">
        <f t="shared" si="97"/>
        <v>0</v>
      </c>
      <c r="L100" s="18">
        <f t="shared" si="97"/>
        <v>0</v>
      </c>
      <c r="M100" s="18">
        <f t="shared" si="97"/>
        <v>0</v>
      </c>
      <c r="N100" s="18">
        <f t="shared" si="97"/>
        <v>0</v>
      </c>
      <c r="O100" s="18">
        <f t="shared" si="97"/>
        <v>0</v>
      </c>
      <c r="P100" s="18">
        <f t="shared" si="97"/>
        <v>0</v>
      </c>
      <c r="Q100" s="18">
        <f t="shared" si="97"/>
        <v>0</v>
      </c>
      <c r="R100" s="18">
        <f t="shared" si="97"/>
        <v>0</v>
      </c>
      <c r="S100" s="18">
        <f t="shared" si="97"/>
        <v>0</v>
      </c>
      <c r="T100" s="18">
        <f t="shared" si="97"/>
        <v>0</v>
      </c>
      <c r="U100" s="2"/>
      <c r="Z100" s="209"/>
      <c r="AA100" s="209"/>
      <c r="AB100" s="209"/>
      <c r="AC100" s="209"/>
    </row>
    <row r="101" spans="1:29" ht="15.75" customHeight="1">
      <c r="A101" s="14">
        <v>2.2999999999999998</v>
      </c>
      <c r="B101" s="15" t="s">
        <v>46</v>
      </c>
      <c r="C101" s="14" t="s">
        <v>58</v>
      </c>
      <c r="D101" s="18"/>
      <c r="E101" s="18" t="e">
        <f t="shared" ref="E101:T101" si="98">0.5*(D$90+E$90)*E67/1000</f>
        <v>#DIV/0!</v>
      </c>
      <c r="F101" s="18">
        <f t="shared" si="98"/>
        <v>0</v>
      </c>
      <c r="G101" s="18">
        <f t="shared" si="98"/>
        <v>0</v>
      </c>
      <c r="H101" s="18">
        <f t="shared" si="98"/>
        <v>0</v>
      </c>
      <c r="I101" s="18">
        <f t="shared" si="98"/>
        <v>0</v>
      </c>
      <c r="J101" s="18">
        <f t="shared" si="98"/>
        <v>0</v>
      </c>
      <c r="K101" s="18">
        <f t="shared" si="98"/>
        <v>0</v>
      </c>
      <c r="L101" s="18">
        <f t="shared" si="98"/>
        <v>0</v>
      </c>
      <c r="M101" s="18">
        <f t="shared" si="98"/>
        <v>0</v>
      </c>
      <c r="N101" s="18">
        <f t="shared" si="98"/>
        <v>0</v>
      </c>
      <c r="O101" s="18">
        <f t="shared" si="98"/>
        <v>0</v>
      </c>
      <c r="P101" s="18">
        <f t="shared" si="98"/>
        <v>0</v>
      </c>
      <c r="Q101" s="18">
        <f t="shared" si="98"/>
        <v>0</v>
      </c>
      <c r="R101" s="18">
        <f t="shared" si="98"/>
        <v>0</v>
      </c>
      <c r="S101" s="18">
        <f t="shared" si="98"/>
        <v>0</v>
      </c>
      <c r="T101" s="18">
        <f t="shared" si="98"/>
        <v>0</v>
      </c>
      <c r="U101" s="2"/>
      <c r="Z101" s="209"/>
      <c r="AA101" s="209"/>
      <c r="AB101" s="209"/>
      <c r="AC101" s="209"/>
    </row>
    <row r="102" spans="1:29" ht="15.75" customHeight="1">
      <c r="A102" s="31">
        <v>3</v>
      </c>
      <c r="B102" s="32" t="s">
        <v>47</v>
      </c>
      <c r="C102" s="31" t="s">
        <v>58</v>
      </c>
      <c r="D102" s="35">
        <f t="shared" ref="D102:Q102" si="99">SUM(D103:D106)</f>
        <v>0</v>
      </c>
      <c r="E102" s="35" t="e">
        <f t="shared" si="99"/>
        <v>#DIV/0!</v>
      </c>
      <c r="F102" s="35">
        <f t="shared" si="99"/>
        <v>15496.676485352822</v>
      </c>
      <c r="G102" s="35">
        <f t="shared" si="99"/>
        <v>27262.325063496839</v>
      </c>
      <c r="H102" s="35">
        <f t="shared" si="99"/>
        <v>40290.912445824419</v>
      </c>
      <c r="I102" s="35">
        <f t="shared" si="99"/>
        <v>49183.730026024714</v>
      </c>
      <c r="J102" s="35">
        <f t="shared" si="99"/>
        <v>39616.019625638895</v>
      </c>
      <c r="K102" s="35">
        <f t="shared" si="99"/>
        <v>35051.958005310116</v>
      </c>
      <c r="L102" s="35">
        <f t="shared" si="99"/>
        <v>40846.113383250333</v>
      </c>
      <c r="M102" s="35">
        <f t="shared" si="99"/>
        <v>62437.307532726067</v>
      </c>
      <c r="N102" s="35">
        <f t="shared" si="99"/>
        <v>79361.017506461663</v>
      </c>
      <c r="O102" s="35">
        <f t="shared" si="99"/>
        <v>68470.662960360336</v>
      </c>
      <c r="P102" s="35">
        <f t="shared" si="99"/>
        <v>56624.030676686722</v>
      </c>
      <c r="Q102" s="35">
        <f t="shared" si="99"/>
        <v>88615.492194324877</v>
      </c>
      <c r="R102" s="35">
        <f t="shared" ref="R102:S102" si="100">SUM(R103:R106)</f>
        <v>216088.03465130983</v>
      </c>
      <c r="S102" s="35">
        <f t="shared" si="100"/>
        <v>333305.2212729649</v>
      </c>
      <c r="T102" s="35">
        <f t="shared" ref="T102" si="101">SUM(T103:T106)</f>
        <v>306796.87966706848</v>
      </c>
      <c r="U102" s="2"/>
      <c r="Z102" s="209"/>
      <c r="AA102" s="209"/>
      <c r="AB102" s="209"/>
      <c r="AC102" s="209"/>
    </row>
    <row r="103" spans="1:29" ht="15.75" customHeight="1">
      <c r="A103" s="14">
        <v>3.1</v>
      </c>
      <c r="B103" s="15" t="s">
        <v>67</v>
      </c>
      <c r="C103" s="14" t="s">
        <v>58</v>
      </c>
      <c r="D103" s="18"/>
      <c r="E103" s="18" t="e">
        <f t="shared" ref="E103:T103" si="102">0.5*(D$90+E$90)*E69/1000</f>
        <v>#DIV/0!</v>
      </c>
      <c r="F103" s="18">
        <f t="shared" si="102"/>
        <v>15496.676485352822</v>
      </c>
      <c r="G103" s="18">
        <f t="shared" si="102"/>
        <v>27262.325063496839</v>
      </c>
      <c r="H103" s="18">
        <f t="shared" si="102"/>
        <v>40290.912445824419</v>
      </c>
      <c r="I103" s="18">
        <f t="shared" si="102"/>
        <v>49183.730026024714</v>
      </c>
      <c r="J103" s="18">
        <f t="shared" si="102"/>
        <v>39616.019625638895</v>
      </c>
      <c r="K103" s="18">
        <f t="shared" si="102"/>
        <v>35051.958005310116</v>
      </c>
      <c r="L103" s="18">
        <f t="shared" si="102"/>
        <v>40846.113383250333</v>
      </c>
      <c r="M103" s="18">
        <f t="shared" si="102"/>
        <v>62437.307532726067</v>
      </c>
      <c r="N103" s="18">
        <f t="shared" si="102"/>
        <v>79361.017506461663</v>
      </c>
      <c r="O103" s="18">
        <f t="shared" si="102"/>
        <v>68470.662960360336</v>
      </c>
      <c r="P103" s="18">
        <f t="shared" si="102"/>
        <v>56624.030676686722</v>
      </c>
      <c r="Q103" s="18">
        <f t="shared" si="102"/>
        <v>88615.492194324877</v>
      </c>
      <c r="R103" s="18">
        <f t="shared" si="102"/>
        <v>216088.03465130983</v>
      </c>
      <c r="S103" s="18">
        <f t="shared" si="102"/>
        <v>333305.2212729649</v>
      </c>
      <c r="T103" s="18">
        <f t="shared" si="102"/>
        <v>306796.87966706848</v>
      </c>
      <c r="U103" s="2"/>
      <c r="Z103" s="209"/>
      <c r="AA103" s="209"/>
      <c r="AB103" s="209"/>
      <c r="AC103" s="209"/>
    </row>
    <row r="104" spans="1:29" ht="15.75" customHeight="1">
      <c r="A104" s="14">
        <v>3.2</v>
      </c>
      <c r="B104" s="15" t="s">
        <v>49</v>
      </c>
      <c r="C104" s="14" t="s">
        <v>58</v>
      </c>
      <c r="D104" s="18"/>
      <c r="E104" s="18" t="e">
        <f t="shared" ref="E104:T104" si="103">0.5*(D$90+E$90)*E70/1000</f>
        <v>#DIV/0!</v>
      </c>
      <c r="F104" s="18">
        <f t="shared" si="103"/>
        <v>0</v>
      </c>
      <c r="G104" s="18">
        <f t="shared" si="103"/>
        <v>0</v>
      </c>
      <c r="H104" s="18">
        <f t="shared" si="103"/>
        <v>0</v>
      </c>
      <c r="I104" s="18">
        <f t="shared" si="103"/>
        <v>0</v>
      </c>
      <c r="J104" s="18">
        <f t="shared" si="103"/>
        <v>0</v>
      </c>
      <c r="K104" s="18">
        <f t="shared" si="103"/>
        <v>0</v>
      </c>
      <c r="L104" s="18">
        <f t="shared" si="103"/>
        <v>0</v>
      </c>
      <c r="M104" s="18">
        <f t="shared" si="103"/>
        <v>0</v>
      </c>
      <c r="N104" s="18">
        <f t="shared" si="103"/>
        <v>0</v>
      </c>
      <c r="O104" s="18">
        <f t="shared" si="103"/>
        <v>0</v>
      </c>
      <c r="P104" s="18">
        <f t="shared" si="103"/>
        <v>0</v>
      </c>
      <c r="Q104" s="18">
        <f t="shared" si="103"/>
        <v>0</v>
      </c>
      <c r="R104" s="18">
        <f t="shared" si="103"/>
        <v>0</v>
      </c>
      <c r="S104" s="18">
        <f t="shared" si="103"/>
        <v>0</v>
      </c>
      <c r="T104" s="18">
        <f t="shared" si="103"/>
        <v>0</v>
      </c>
      <c r="U104" s="2"/>
      <c r="Z104" s="209"/>
      <c r="AA104" s="209"/>
      <c r="AB104" s="209"/>
      <c r="AC104" s="209"/>
    </row>
    <row r="105" spans="1:29" ht="15.75" customHeight="1">
      <c r="A105" s="14">
        <v>3.3</v>
      </c>
      <c r="B105" s="15" t="s">
        <v>50</v>
      </c>
      <c r="C105" s="14" t="s">
        <v>58</v>
      </c>
      <c r="D105" s="18"/>
      <c r="E105" s="18" t="e">
        <f t="shared" ref="E105:T105" si="104">0.5*(D$90+E$90)*E71/1000</f>
        <v>#DIV/0!</v>
      </c>
      <c r="F105" s="18">
        <f t="shared" si="104"/>
        <v>0</v>
      </c>
      <c r="G105" s="18">
        <f t="shared" si="104"/>
        <v>0</v>
      </c>
      <c r="H105" s="18">
        <f t="shared" si="104"/>
        <v>0</v>
      </c>
      <c r="I105" s="18">
        <f t="shared" si="104"/>
        <v>0</v>
      </c>
      <c r="J105" s="18">
        <f t="shared" si="104"/>
        <v>0</v>
      </c>
      <c r="K105" s="18">
        <f t="shared" si="104"/>
        <v>0</v>
      </c>
      <c r="L105" s="18">
        <f t="shared" si="104"/>
        <v>0</v>
      </c>
      <c r="M105" s="18">
        <f t="shared" si="104"/>
        <v>0</v>
      </c>
      <c r="N105" s="18">
        <f t="shared" si="104"/>
        <v>0</v>
      </c>
      <c r="O105" s="18">
        <f t="shared" si="104"/>
        <v>0</v>
      </c>
      <c r="P105" s="18">
        <f t="shared" si="104"/>
        <v>0</v>
      </c>
      <c r="Q105" s="18">
        <f t="shared" si="104"/>
        <v>0</v>
      </c>
      <c r="R105" s="18">
        <f t="shared" si="104"/>
        <v>0</v>
      </c>
      <c r="S105" s="18">
        <f t="shared" si="104"/>
        <v>0</v>
      </c>
      <c r="T105" s="18">
        <f t="shared" si="104"/>
        <v>0</v>
      </c>
      <c r="U105" s="2"/>
      <c r="Z105" s="209"/>
      <c r="AA105" s="209"/>
      <c r="AB105" s="209"/>
      <c r="AC105" s="209"/>
    </row>
    <row r="106" spans="1:29" ht="15.75" customHeight="1">
      <c r="A106" s="14">
        <v>3.4</v>
      </c>
      <c r="B106" s="15" t="s">
        <v>46</v>
      </c>
      <c r="C106" s="14" t="s">
        <v>58</v>
      </c>
      <c r="D106" s="18"/>
      <c r="E106" s="18" t="e">
        <f t="shared" ref="E106:T106" si="105">0.5*(D$90+E$90)*E72/1000</f>
        <v>#DIV/0!</v>
      </c>
      <c r="F106" s="18">
        <f t="shared" si="105"/>
        <v>0</v>
      </c>
      <c r="G106" s="18">
        <f t="shared" si="105"/>
        <v>0</v>
      </c>
      <c r="H106" s="18">
        <f t="shared" si="105"/>
        <v>0</v>
      </c>
      <c r="I106" s="18">
        <f t="shared" si="105"/>
        <v>0</v>
      </c>
      <c r="J106" s="18">
        <f t="shared" si="105"/>
        <v>0</v>
      </c>
      <c r="K106" s="18">
        <f t="shared" si="105"/>
        <v>0</v>
      </c>
      <c r="L106" s="18">
        <f t="shared" si="105"/>
        <v>0</v>
      </c>
      <c r="M106" s="18">
        <f t="shared" si="105"/>
        <v>0</v>
      </c>
      <c r="N106" s="18">
        <f t="shared" si="105"/>
        <v>0</v>
      </c>
      <c r="O106" s="18">
        <f t="shared" si="105"/>
        <v>0</v>
      </c>
      <c r="P106" s="18">
        <f t="shared" si="105"/>
        <v>0</v>
      </c>
      <c r="Q106" s="18">
        <f t="shared" si="105"/>
        <v>0</v>
      </c>
      <c r="R106" s="18">
        <f t="shared" si="105"/>
        <v>0</v>
      </c>
      <c r="S106" s="18">
        <f t="shared" si="105"/>
        <v>0</v>
      </c>
      <c r="T106" s="18">
        <f t="shared" si="105"/>
        <v>0</v>
      </c>
      <c r="U106" s="2"/>
      <c r="Z106" s="209"/>
      <c r="AA106" s="209"/>
      <c r="AB106" s="209"/>
      <c r="AC106" s="209"/>
    </row>
    <row r="107" spans="1:29" ht="15.75" customHeight="1">
      <c r="A107" s="31">
        <v>4</v>
      </c>
      <c r="B107" s="32" t="s">
        <v>68</v>
      </c>
      <c r="C107" s="31" t="s">
        <v>58</v>
      </c>
      <c r="D107" s="35"/>
      <c r="E107" s="35" t="e">
        <f t="shared" ref="E107:T107" si="106">0.5*(D$90+E$90)*E73/1000</f>
        <v>#DIV/0!</v>
      </c>
      <c r="F107" s="35">
        <f t="shared" si="106"/>
        <v>15496.676485352822</v>
      </c>
      <c r="G107" s="35">
        <f t="shared" si="106"/>
        <v>558633.73956227186</v>
      </c>
      <c r="H107" s="35">
        <f t="shared" si="106"/>
        <v>134254.72680140741</v>
      </c>
      <c r="I107" s="35">
        <f t="shared" si="106"/>
        <v>295676.01425296249</v>
      </c>
      <c r="J107" s="35">
        <f t="shared" si="106"/>
        <v>128481.76498333992</v>
      </c>
      <c r="K107" s="35">
        <f t="shared" si="106"/>
        <v>25858.496385128277</v>
      </c>
      <c r="L107" s="35">
        <f t="shared" si="106"/>
        <v>-299962.97267442121</v>
      </c>
      <c r="M107" s="35">
        <f t="shared" si="106"/>
        <v>-508445.65534466924</v>
      </c>
      <c r="N107" s="35">
        <f t="shared" si="106"/>
        <v>2029137.673517176</v>
      </c>
      <c r="O107" s="35">
        <f t="shared" si="106"/>
        <v>30809.290221038329</v>
      </c>
      <c r="P107" s="35">
        <f t="shared" si="106"/>
        <v>177240.60272956439</v>
      </c>
      <c r="Q107" s="35">
        <f t="shared" si="106"/>
        <v>-276046.24027416651</v>
      </c>
      <c r="R107" s="35">
        <f t="shared" si="106"/>
        <v>-168905.02408799229</v>
      </c>
      <c r="S107" s="35">
        <f t="shared" si="106"/>
        <v>-1103022.6456488927</v>
      </c>
      <c r="T107" s="35">
        <f t="shared" si="106"/>
        <v>395572.40607523837</v>
      </c>
      <c r="U107" s="2"/>
      <c r="Z107" s="209"/>
      <c r="AA107" s="209"/>
      <c r="AB107" s="209"/>
      <c r="AC107" s="209"/>
    </row>
    <row r="108" spans="1:29" ht="15.75" customHeight="1">
      <c r="A108" s="31">
        <v>5</v>
      </c>
      <c r="B108" s="32" t="s">
        <v>69</v>
      </c>
      <c r="C108" s="31" t="s">
        <v>58</v>
      </c>
      <c r="D108" s="35"/>
      <c r="E108" s="35" t="e">
        <f t="shared" ref="E108:T108" si="107">0.5*(D89+E89)*(E90-D90)/1000</f>
        <v>#DIV/0!</v>
      </c>
      <c r="F108" s="35">
        <f t="shared" si="107"/>
        <v>473947.28903495974</v>
      </c>
      <c r="G108" s="35">
        <f t="shared" si="107"/>
        <v>527453.41506768845</v>
      </c>
      <c r="H108" s="35">
        <f t="shared" si="107"/>
        <v>561962.22680889384</v>
      </c>
      <c r="I108" s="35">
        <f t="shared" si="107"/>
        <v>-240762.35846464959</v>
      </c>
      <c r="J108" s="35">
        <f t="shared" si="107"/>
        <v>-838957.18243886845</v>
      </c>
      <c r="K108" s="35">
        <f t="shared" si="107"/>
        <v>169608.55804087437</v>
      </c>
      <c r="L108" s="35">
        <f t="shared" si="107"/>
        <v>666177.16178659548</v>
      </c>
      <c r="M108" s="35">
        <f t="shared" si="107"/>
        <v>1836963.3017272286</v>
      </c>
      <c r="N108" s="35">
        <f t="shared" si="107"/>
        <v>-1737584.1469852261</v>
      </c>
      <c r="O108" s="35">
        <f t="shared" si="107"/>
        <v>-242829.04167328356</v>
      </c>
      <c r="P108" s="35">
        <f t="shared" si="107"/>
        <v>-570405.05989416258</v>
      </c>
      <c r="Q108" s="35">
        <f t="shared" si="107"/>
        <v>3855326.6334787277</v>
      </c>
      <c r="R108" s="35">
        <f t="shared" si="107"/>
        <v>8464861.709196765</v>
      </c>
      <c r="S108" s="35">
        <f t="shared" si="107"/>
        <v>-202799.09847879765</v>
      </c>
      <c r="T108" s="35">
        <f t="shared" si="107"/>
        <v>-3820771.8704729131</v>
      </c>
      <c r="U108" s="2"/>
      <c r="Z108" s="209"/>
      <c r="AA108" s="209"/>
      <c r="AB108" s="209"/>
      <c r="AC108" s="209"/>
    </row>
    <row r="109" spans="1:29" ht="15.75" customHeight="1">
      <c r="A109" s="31">
        <v>6</v>
      </c>
      <c r="B109" s="32" t="s">
        <v>52</v>
      </c>
      <c r="C109" s="31" t="s">
        <v>58</v>
      </c>
      <c r="D109" s="35" t="e">
        <f t="shared" ref="D109:Q109" si="108">D88</f>
        <v>#DIV/0!</v>
      </c>
      <c r="E109" s="35">
        <f t="shared" si="108"/>
        <v>930041.62249053863</v>
      </c>
      <c r="F109" s="35">
        <f t="shared" si="108"/>
        <v>1403988.9115254981</v>
      </c>
      <c r="G109" s="35">
        <f t="shared" si="108"/>
        <v>2462813.741091962</v>
      </c>
      <c r="H109" s="35">
        <f t="shared" si="108"/>
        <v>3118739.7822564389</v>
      </c>
      <c r="I109" s="35">
        <f t="shared" si="108"/>
        <v>3124469.7080187271</v>
      </c>
      <c r="J109" s="35">
        <f t="shared" si="108"/>
        <v>2374378.2709375597</v>
      </c>
      <c r="K109" s="35">
        <f t="shared" si="108"/>
        <v>2534793.3673582519</v>
      </c>
      <c r="L109" s="35">
        <f t="shared" si="108"/>
        <v>2860161.443087176</v>
      </c>
      <c r="M109" s="35">
        <f t="shared" si="108"/>
        <v>4126241.7819370092</v>
      </c>
      <c r="N109" s="35">
        <f t="shared" si="108"/>
        <v>4338434.2909624977</v>
      </c>
      <c r="O109" s="35">
        <f t="shared" si="108"/>
        <v>4057943.8765498921</v>
      </c>
      <c r="P109" s="35">
        <f t="shared" si="108"/>
        <v>3608155.3887086073</v>
      </c>
      <c r="Q109" s="35">
        <f t="shared" si="108"/>
        <v>7098820.2897188431</v>
      </c>
      <c r="R109" s="35">
        <f t="shared" ref="R109:S109" si="109">R88</f>
        <v>15178688.940176306</v>
      </c>
      <c r="S109" s="35">
        <f t="shared" si="109"/>
        <v>13539561.974775651</v>
      </c>
      <c r="T109" s="35">
        <f t="shared" ref="T109" si="110">T88</f>
        <v>9807565.6307109073</v>
      </c>
      <c r="U109" s="2"/>
      <c r="Z109" s="209"/>
      <c r="AA109" s="209"/>
      <c r="AB109" s="209"/>
      <c r="AC109" s="209"/>
    </row>
    <row r="110" spans="1:29" ht="15.75" customHeight="1">
      <c r="A110" s="1"/>
      <c r="B110" s="2"/>
      <c r="C110" s="2"/>
      <c r="D110" s="2"/>
      <c r="E110" s="2"/>
      <c r="F110" s="2"/>
      <c r="G110" s="2"/>
      <c r="H110" s="2"/>
      <c r="I110" s="2"/>
      <c r="J110" s="2"/>
      <c r="K110" s="2"/>
      <c r="L110" s="2"/>
      <c r="M110" s="2"/>
      <c r="N110" s="2"/>
      <c r="O110" s="2"/>
      <c r="P110" s="2"/>
      <c r="Q110" s="2"/>
      <c r="R110" s="2"/>
      <c r="S110" s="2"/>
      <c r="T110" s="2"/>
      <c r="U110" s="2"/>
      <c r="Z110" s="209"/>
      <c r="AA110" s="209"/>
      <c r="AB110" s="209"/>
      <c r="AC110" s="209"/>
    </row>
    <row r="111" spans="1:29" ht="15.75" customHeight="1">
      <c r="A111" s="28"/>
      <c r="B111" s="29" t="s">
        <v>53</v>
      </c>
      <c r="C111" s="30"/>
      <c r="D111" s="2"/>
      <c r="E111" s="2" t="e">
        <f t="shared" ref="E111:Q111" si="111">E97+E98-E102+E107+E108=E109</f>
        <v>#DIV/0!</v>
      </c>
      <c r="F111" s="2" t="b">
        <f t="shared" si="111"/>
        <v>1</v>
      </c>
      <c r="G111" s="2" t="b">
        <f t="shared" si="111"/>
        <v>1</v>
      </c>
      <c r="H111" s="2" t="b">
        <f t="shared" si="111"/>
        <v>1</v>
      </c>
      <c r="I111" s="2" t="b">
        <f t="shared" si="111"/>
        <v>1</v>
      </c>
      <c r="J111" s="2" t="b">
        <f t="shared" si="111"/>
        <v>1</v>
      </c>
      <c r="K111" s="2" t="b">
        <f t="shared" si="111"/>
        <v>1</v>
      </c>
      <c r="L111" s="2" t="b">
        <f t="shared" si="111"/>
        <v>1</v>
      </c>
      <c r="M111" s="2" t="b">
        <f t="shared" si="111"/>
        <v>1</v>
      </c>
      <c r="N111" s="2" t="b">
        <f t="shared" si="111"/>
        <v>1</v>
      </c>
      <c r="O111" s="2" t="b">
        <f t="shared" si="111"/>
        <v>1</v>
      </c>
      <c r="P111" s="2" t="b">
        <f t="shared" si="111"/>
        <v>1</v>
      </c>
      <c r="Q111" s="2" t="b">
        <f t="shared" si="111"/>
        <v>1</v>
      </c>
      <c r="R111" s="2" t="b">
        <f t="shared" ref="R111:S111" si="112">R97+R98-R102+R107+R108=R109</f>
        <v>1</v>
      </c>
      <c r="S111" s="2" t="b">
        <f t="shared" si="112"/>
        <v>1</v>
      </c>
      <c r="T111" s="2" t="b">
        <f t="shared" ref="T111" si="113">T97+T98-T102+T107+T108=T109</f>
        <v>1</v>
      </c>
      <c r="U111" s="2"/>
      <c r="Z111" s="209"/>
      <c r="AA111" s="209"/>
      <c r="AB111" s="209"/>
      <c r="AC111" s="209"/>
    </row>
    <row r="112" spans="1:29" ht="15.75" customHeight="1">
      <c r="A112" s="1"/>
      <c r="B112" s="2"/>
      <c r="C112" s="2"/>
      <c r="D112" s="2"/>
      <c r="E112" s="2"/>
      <c r="F112" s="2"/>
      <c r="G112" s="2"/>
      <c r="H112" s="2"/>
      <c r="I112" s="2"/>
      <c r="J112" s="2"/>
      <c r="K112" s="2"/>
      <c r="L112" s="2"/>
      <c r="M112" s="2"/>
      <c r="N112" s="2"/>
      <c r="O112" s="2"/>
      <c r="P112" s="2"/>
      <c r="Q112" s="2"/>
      <c r="R112" s="2"/>
      <c r="S112" s="2"/>
      <c r="T112" s="2"/>
      <c r="U112" s="2"/>
      <c r="Z112" s="209"/>
      <c r="AA112" s="209"/>
      <c r="AB112" s="209"/>
      <c r="AC112" s="209"/>
    </row>
    <row r="113" spans="1:29" ht="15.75" customHeight="1">
      <c r="A113" s="1"/>
      <c r="B113" s="2"/>
      <c r="C113" s="2"/>
      <c r="D113" s="2"/>
      <c r="E113" s="2"/>
      <c r="F113" s="2"/>
      <c r="G113" s="2"/>
      <c r="H113" s="2"/>
      <c r="I113" s="2"/>
      <c r="J113" s="2"/>
      <c r="K113" s="2"/>
      <c r="L113" s="2"/>
      <c r="M113" s="2"/>
      <c r="N113" s="2"/>
      <c r="O113" s="2"/>
      <c r="P113" s="2"/>
      <c r="Q113" s="2"/>
      <c r="R113" s="2"/>
      <c r="S113" s="2"/>
      <c r="T113" s="2"/>
      <c r="U113" s="2"/>
      <c r="Z113" s="209"/>
      <c r="AA113" s="209"/>
      <c r="AB113" s="209"/>
      <c r="AC113" s="209"/>
    </row>
    <row r="114" spans="1:29" ht="15.75" customHeight="1">
      <c r="A114" s="1"/>
      <c r="B114" s="2"/>
      <c r="C114" s="2"/>
      <c r="D114" s="2"/>
      <c r="E114" s="2"/>
      <c r="F114" s="2"/>
      <c r="G114" s="2"/>
      <c r="H114" s="2"/>
      <c r="I114" s="2"/>
      <c r="J114" s="2"/>
      <c r="K114" s="2"/>
      <c r="L114" s="2"/>
      <c r="M114" s="2"/>
      <c r="N114" s="2"/>
      <c r="O114" s="2"/>
      <c r="P114" s="2"/>
      <c r="Q114" s="2"/>
      <c r="R114" s="2"/>
      <c r="S114" s="2"/>
      <c r="T114" s="2"/>
      <c r="U114" s="2"/>
      <c r="Z114" s="209"/>
      <c r="AA114" s="209"/>
      <c r="AB114" s="209"/>
      <c r="AC114" s="209"/>
    </row>
    <row r="115" spans="1:29" ht="15.75" customHeight="1">
      <c r="A115" s="62"/>
      <c r="B115" s="63" t="s">
        <v>70</v>
      </c>
      <c r="C115" s="64"/>
      <c r="D115" s="65"/>
      <c r="E115" s="65"/>
      <c r="F115" s="65"/>
      <c r="G115" s="65"/>
      <c r="H115" s="65"/>
      <c r="I115" s="65"/>
      <c r="J115" s="65"/>
      <c r="K115" s="65"/>
      <c r="L115" s="65"/>
      <c r="M115" s="65"/>
      <c r="N115" s="65"/>
      <c r="O115" s="65"/>
      <c r="P115" s="65"/>
      <c r="Q115" s="65"/>
      <c r="R115" s="65"/>
      <c r="S115" s="65"/>
      <c r="T115" s="65"/>
      <c r="U115" s="2"/>
      <c r="Z115" s="209"/>
      <c r="AA115" s="209"/>
      <c r="AB115" s="209"/>
      <c r="AC115" s="209"/>
    </row>
    <row r="116" spans="1:29" ht="15.75" customHeight="1">
      <c r="A116" s="1"/>
      <c r="B116" s="2"/>
      <c r="C116" s="2"/>
      <c r="D116" s="2"/>
      <c r="E116" s="2"/>
      <c r="F116" s="2"/>
      <c r="G116" s="2"/>
      <c r="H116" s="2"/>
      <c r="I116" s="2"/>
      <c r="J116" s="2"/>
      <c r="K116" s="2"/>
      <c r="L116" s="2"/>
      <c r="M116" s="2"/>
      <c r="N116" s="2"/>
      <c r="O116" s="2"/>
      <c r="P116" s="2"/>
      <c r="Q116" s="2"/>
      <c r="R116" s="2"/>
      <c r="S116" s="2"/>
      <c r="T116" s="2"/>
      <c r="U116" s="2"/>
      <c r="Z116" s="209"/>
      <c r="AA116" s="209"/>
      <c r="AB116" s="209"/>
      <c r="AC116" s="209"/>
    </row>
    <row r="117" spans="1:29" ht="15.75" customHeight="1">
      <c r="A117" s="6" t="s">
        <v>87</v>
      </c>
      <c r="B117" s="2"/>
      <c r="C117" s="2"/>
      <c r="D117" s="2"/>
      <c r="E117" s="2"/>
      <c r="F117" s="2"/>
      <c r="G117" s="2"/>
      <c r="H117" s="2"/>
      <c r="I117" s="2"/>
      <c r="J117" s="2"/>
      <c r="K117" s="2"/>
      <c r="L117" s="2"/>
      <c r="M117" s="2"/>
      <c r="N117" s="2"/>
      <c r="O117" s="2"/>
      <c r="P117" s="2"/>
      <c r="Q117" s="2"/>
      <c r="R117" s="2"/>
      <c r="S117" s="2"/>
      <c r="T117" s="2"/>
      <c r="U117" s="2"/>
      <c r="Z117" s="209"/>
      <c r="AA117" s="209"/>
      <c r="AB117" s="209"/>
      <c r="AC117" s="209"/>
    </row>
    <row r="118" spans="1:29" ht="15.75" customHeight="1">
      <c r="A118" s="1"/>
      <c r="B118" s="2"/>
      <c r="C118" s="2"/>
      <c r="D118" s="2"/>
      <c r="E118" s="2"/>
      <c r="F118" s="2"/>
      <c r="G118" s="2"/>
      <c r="H118" s="2"/>
      <c r="I118" s="2"/>
      <c r="J118" s="2"/>
      <c r="K118" s="2"/>
      <c r="L118" s="2"/>
      <c r="M118" s="2"/>
      <c r="N118" s="2"/>
      <c r="O118" s="2"/>
      <c r="P118" s="2"/>
      <c r="Q118" s="2"/>
      <c r="R118" s="2"/>
      <c r="S118" s="2"/>
      <c r="T118" s="2"/>
      <c r="U118" s="2"/>
      <c r="Z118" s="209"/>
      <c r="AA118" s="209"/>
      <c r="AB118" s="209"/>
      <c r="AC118" s="209"/>
    </row>
    <row r="119" spans="1:29" ht="15.75" customHeight="1">
      <c r="A119" s="66" t="s">
        <v>3</v>
      </c>
      <c r="B119" s="66" t="s">
        <v>4</v>
      </c>
      <c r="C119" s="66" t="s">
        <v>5</v>
      </c>
      <c r="D119" s="66">
        <f t="shared" ref="D119:T119" si="114">D$3</f>
        <v>2008</v>
      </c>
      <c r="E119" s="66">
        <f t="shared" si="114"/>
        <v>2009</v>
      </c>
      <c r="F119" s="66">
        <f t="shared" si="114"/>
        <v>2010</v>
      </c>
      <c r="G119" s="66">
        <f t="shared" si="114"/>
        <v>2011</v>
      </c>
      <c r="H119" s="66">
        <f t="shared" si="114"/>
        <v>2012</v>
      </c>
      <c r="I119" s="66">
        <f t="shared" si="114"/>
        <v>2013</v>
      </c>
      <c r="J119" s="66">
        <f t="shared" si="114"/>
        <v>2014</v>
      </c>
      <c r="K119" s="66">
        <f t="shared" si="114"/>
        <v>2015</v>
      </c>
      <c r="L119" s="66">
        <f t="shared" si="114"/>
        <v>2016</v>
      </c>
      <c r="M119" s="66">
        <f t="shared" si="114"/>
        <v>2017</v>
      </c>
      <c r="N119" s="66">
        <f t="shared" si="114"/>
        <v>2018</v>
      </c>
      <c r="O119" s="66">
        <f t="shared" si="114"/>
        <v>2019</v>
      </c>
      <c r="P119" s="66">
        <f t="shared" si="114"/>
        <v>2020</v>
      </c>
      <c r="Q119" s="66">
        <f t="shared" si="114"/>
        <v>2021</v>
      </c>
      <c r="R119" s="66">
        <f t="shared" si="114"/>
        <v>2022</v>
      </c>
      <c r="S119" s="66">
        <f t="shared" si="114"/>
        <v>2023</v>
      </c>
      <c r="T119" s="66">
        <f t="shared" si="114"/>
        <v>2024</v>
      </c>
      <c r="U119" s="2"/>
      <c r="Z119" s="209"/>
      <c r="AA119" s="209"/>
      <c r="AB119" s="209"/>
      <c r="AC119" s="209"/>
    </row>
    <row r="120" spans="1:29" ht="15.75" customHeight="1">
      <c r="A120" s="9">
        <v>-1</v>
      </c>
      <c r="B120" s="9">
        <f t="shared" ref="B120:T120" si="115">A120-1</f>
        <v>-2</v>
      </c>
      <c r="C120" s="9">
        <f t="shared" si="115"/>
        <v>-3</v>
      </c>
      <c r="D120" s="9">
        <f t="shared" si="115"/>
        <v>-4</v>
      </c>
      <c r="E120" s="9">
        <f t="shared" si="115"/>
        <v>-5</v>
      </c>
      <c r="F120" s="9">
        <f t="shared" si="115"/>
        <v>-6</v>
      </c>
      <c r="G120" s="9">
        <f t="shared" si="115"/>
        <v>-7</v>
      </c>
      <c r="H120" s="9">
        <f t="shared" si="115"/>
        <v>-8</v>
      </c>
      <c r="I120" s="9">
        <f t="shared" si="115"/>
        <v>-9</v>
      </c>
      <c r="J120" s="9">
        <f t="shared" si="115"/>
        <v>-10</v>
      </c>
      <c r="K120" s="9">
        <f t="shared" si="115"/>
        <v>-11</v>
      </c>
      <c r="L120" s="9">
        <f t="shared" si="115"/>
        <v>-12</v>
      </c>
      <c r="M120" s="9">
        <f t="shared" si="115"/>
        <v>-13</v>
      </c>
      <c r="N120" s="9">
        <f t="shared" si="115"/>
        <v>-14</v>
      </c>
      <c r="O120" s="9">
        <f t="shared" si="115"/>
        <v>-15</v>
      </c>
      <c r="P120" s="9">
        <f t="shared" si="115"/>
        <v>-16</v>
      </c>
      <c r="Q120" s="9">
        <f t="shared" si="115"/>
        <v>-17</v>
      </c>
      <c r="R120" s="9">
        <f t="shared" si="115"/>
        <v>-18</v>
      </c>
      <c r="S120" s="9">
        <f t="shared" si="115"/>
        <v>-19</v>
      </c>
      <c r="T120" s="9">
        <f t="shared" si="115"/>
        <v>-20</v>
      </c>
      <c r="U120" s="2"/>
      <c r="Z120" s="209"/>
      <c r="AA120" s="209"/>
      <c r="AB120" s="209"/>
      <c r="AC120" s="209"/>
    </row>
    <row r="121" spans="1:29" ht="15.75" customHeight="1">
      <c r="A121" s="14">
        <v>1</v>
      </c>
      <c r="B121" s="21" t="s">
        <v>72</v>
      </c>
      <c r="C121" s="14" t="s">
        <v>22</v>
      </c>
      <c r="D121" s="22"/>
      <c r="E121" s="22"/>
      <c r="F121" s="22"/>
      <c r="G121" s="22"/>
      <c r="H121" s="22"/>
      <c r="I121" s="22"/>
      <c r="J121" s="22"/>
      <c r="K121" s="22"/>
      <c r="L121" s="40">
        <v>159709931.58164799</v>
      </c>
      <c r="M121" s="22"/>
      <c r="N121" s="22"/>
      <c r="O121" s="22"/>
      <c r="P121" s="22"/>
      <c r="Q121" s="22"/>
      <c r="R121" s="22"/>
      <c r="S121" s="22"/>
      <c r="T121" s="22"/>
      <c r="U121" s="2"/>
      <c r="Z121" s="209"/>
      <c r="AA121" s="209"/>
      <c r="AB121" s="209"/>
      <c r="AC121" s="209"/>
    </row>
    <row r="122" spans="1:29" ht="15.75" customHeight="1">
      <c r="A122" s="14">
        <v>2</v>
      </c>
      <c r="B122" s="15" t="s">
        <v>26</v>
      </c>
      <c r="C122" s="14" t="s">
        <v>22</v>
      </c>
      <c r="D122" s="22"/>
      <c r="E122" s="22"/>
      <c r="F122" s="22"/>
      <c r="G122" s="22"/>
      <c r="H122" s="22"/>
      <c r="I122" s="22"/>
      <c r="J122" s="22"/>
      <c r="K122" s="22"/>
      <c r="L122" s="41">
        <v>41224873.836152002</v>
      </c>
      <c r="M122" s="22"/>
      <c r="N122" s="22"/>
      <c r="O122" s="22"/>
      <c r="P122" s="22"/>
      <c r="Q122" s="22"/>
      <c r="R122" s="22"/>
      <c r="S122" s="22"/>
      <c r="T122" s="22"/>
      <c r="U122" s="2"/>
      <c r="Z122" s="209"/>
      <c r="AA122" s="209"/>
      <c r="AB122" s="209"/>
      <c r="AC122" s="209"/>
    </row>
    <row r="123" spans="1:29" ht="15.75" customHeight="1">
      <c r="A123" s="14">
        <v>3</v>
      </c>
      <c r="B123" s="21" t="s">
        <v>73</v>
      </c>
      <c r="C123" s="14" t="s">
        <v>22</v>
      </c>
      <c r="D123" s="22"/>
      <c r="E123" s="22"/>
      <c r="F123" s="22"/>
      <c r="G123" s="22"/>
      <c r="H123" s="22"/>
      <c r="I123" s="22"/>
      <c r="J123" s="22"/>
      <c r="K123" s="22"/>
      <c r="L123" s="41">
        <v>89167404.969060004</v>
      </c>
      <c r="M123" s="22"/>
      <c r="N123" s="22"/>
      <c r="O123" s="22"/>
      <c r="P123" s="22"/>
      <c r="Q123" s="22"/>
      <c r="R123" s="22"/>
      <c r="S123" s="22"/>
      <c r="T123" s="22"/>
      <c r="U123" s="2"/>
      <c r="Z123" s="209"/>
      <c r="AA123" s="209"/>
      <c r="AB123" s="209"/>
      <c r="AC123" s="209"/>
    </row>
    <row r="124" spans="1:29" ht="15.75" customHeight="1">
      <c r="A124" s="14">
        <v>4</v>
      </c>
      <c r="B124" s="21" t="s">
        <v>35</v>
      </c>
      <c r="C124" s="14" t="s">
        <v>22</v>
      </c>
      <c r="D124" s="22"/>
      <c r="E124" s="22"/>
      <c r="F124" s="22"/>
      <c r="G124" s="22"/>
      <c r="H124" s="22"/>
      <c r="I124" s="22"/>
      <c r="J124" s="22"/>
      <c r="K124" s="22"/>
      <c r="L124" s="41">
        <v>93116570.308464006</v>
      </c>
      <c r="M124" s="22"/>
      <c r="N124" s="22"/>
      <c r="O124" s="22"/>
      <c r="P124" s="22"/>
      <c r="Q124" s="22"/>
      <c r="R124" s="22"/>
      <c r="S124" s="22"/>
      <c r="T124" s="22"/>
      <c r="U124" s="2"/>
      <c r="Z124" s="209"/>
      <c r="AA124" s="209"/>
      <c r="AB124" s="209"/>
      <c r="AC124" s="209"/>
    </row>
    <row r="125" spans="1:29" ht="15.75" customHeight="1">
      <c r="A125" s="14">
        <v>5</v>
      </c>
      <c r="B125" s="21" t="s">
        <v>74</v>
      </c>
      <c r="C125" s="14" t="s">
        <v>22</v>
      </c>
      <c r="D125" s="22"/>
      <c r="E125" s="22"/>
      <c r="F125" s="22"/>
      <c r="G125" s="22"/>
      <c r="H125" s="22"/>
      <c r="I125" s="22"/>
      <c r="J125" s="22"/>
      <c r="K125" s="22"/>
      <c r="L125" s="41">
        <v>1141843.04106502</v>
      </c>
      <c r="M125" s="22"/>
      <c r="N125" s="22"/>
      <c r="O125" s="22"/>
      <c r="P125" s="22"/>
      <c r="Q125" s="22"/>
      <c r="R125" s="22"/>
      <c r="S125" s="22"/>
      <c r="T125" s="22"/>
      <c r="U125" s="2"/>
      <c r="Z125" s="209"/>
      <c r="AA125" s="209"/>
      <c r="AB125" s="209"/>
      <c r="AC125" s="209"/>
    </row>
    <row r="126" spans="1:29" ht="15.75" customHeight="1">
      <c r="A126" s="14">
        <v>6</v>
      </c>
      <c r="B126" s="21" t="s">
        <v>75</v>
      </c>
      <c r="C126" s="14" t="s">
        <v>22</v>
      </c>
      <c r="D126" s="22"/>
      <c r="E126" s="22"/>
      <c r="F126" s="22"/>
      <c r="G126" s="22"/>
      <c r="H126" s="22"/>
      <c r="I126" s="22"/>
      <c r="J126" s="22"/>
      <c r="K126" s="22"/>
      <c r="L126" s="41">
        <v>0</v>
      </c>
      <c r="M126" s="22"/>
      <c r="N126" s="22"/>
      <c r="O126" s="22"/>
      <c r="P126" s="22"/>
      <c r="Q126" s="22"/>
      <c r="R126" s="22"/>
      <c r="S126" s="22"/>
      <c r="T126" s="22"/>
      <c r="U126" s="2"/>
      <c r="Z126" s="209"/>
      <c r="AA126" s="209"/>
      <c r="AB126" s="209"/>
      <c r="AC126" s="209"/>
    </row>
    <row r="127" spans="1:29" ht="15.75" customHeight="1">
      <c r="A127" s="31">
        <v>7</v>
      </c>
      <c r="B127" s="42" t="s">
        <v>29</v>
      </c>
      <c r="C127" s="31" t="s">
        <v>22</v>
      </c>
      <c r="D127" s="43"/>
      <c r="E127" s="43"/>
      <c r="F127" s="43"/>
      <c r="G127" s="43"/>
      <c r="H127" s="43"/>
      <c r="I127" s="43"/>
      <c r="J127" s="43"/>
      <c r="K127" s="43"/>
      <c r="L127" s="44">
        <f>SUM(L121:L126)</f>
        <v>384360623.73638904</v>
      </c>
      <c r="M127" s="43"/>
      <c r="N127" s="43"/>
      <c r="O127" s="43"/>
      <c r="P127" s="43"/>
      <c r="Q127" s="43"/>
      <c r="R127" s="43"/>
      <c r="S127" s="43"/>
      <c r="T127" s="43"/>
      <c r="U127" s="2"/>
      <c r="Z127" s="209"/>
      <c r="AA127" s="209"/>
      <c r="AB127" s="209"/>
      <c r="AC127" s="209"/>
    </row>
    <row r="128" spans="1:29" ht="15.75" customHeight="1">
      <c r="A128" s="17" t="s">
        <v>76</v>
      </c>
      <c r="B128" s="2"/>
      <c r="C128" s="2"/>
      <c r="D128" s="2"/>
      <c r="E128" s="2"/>
      <c r="F128" s="2"/>
      <c r="G128" s="2"/>
      <c r="H128" s="2"/>
      <c r="I128" s="2"/>
      <c r="J128" s="2"/>
      <c r="K128" s="2"/>
      <c r="L128" s="2"/>
      <c r="M128" s="2"/>
      <c r="N128" s="2"/>
      <c r="O128" s="2"/>
      <c r="P128" s="2"/>
      <c r="Q128" s="2"/>
      <c r="R128" s="2"/>
      <c r="S128" s="2"/>
      <c r="T128" s="2"/>
      <c r="U128" s="2"/>
      <c r="Z128" s="209"/>
      <c r="AA128" s="209"/>
      <c r="AB128" s="209"/>
      <c r="AC128" s="209"/>
    </row>
    <row r="129" spans="1:29" ht="15.75" customHeight="1">
      <c r="A129" s="1"/>
      <c r="B129" s="2"/>
      <c r="C129" s="2"/>
      <c r="D129" s="2"/>
      <c r="E129" s="2"/>
      <c r="F129" s="2"/>
      <c r="G129" s="2"/>
      <c r="H129" s="2"/>
      <c r="I129" s="2"/>
      <c r="J129" s="2"/>
      <c r="K129" s="2"/>
      <c r="L129" s="2"/>
      <c r="M129" s="2"/>
      <c r="N129" s="2"/>
      <c r="O129" s="2"/>
      <c r="P129" s="2"/>
      <c r="Q129" s="2"/>
      <c r="R129" s="2"/>
      <c r="S129" s="2"/>
      <c r="T129" s="2"/>
      <c r="U129" s="2"/>
      <c r="Z129" s="209"/>
      <c r="AA129" s="209"/>
      <c r="AB129" s="209"/>
      <c r="AC129" s="209"/>
    </row>
    <row r="130" spans="1:29" ht="15.75" customHeight="1">
      <c r="A130" s="1"/>
      <c r="B130" s="2"/>
      <c r="C130" s="2"/>
      <c r="D130" s="2"/>
      <c r="E130" s="2"/>
      <c r="F130" s="2"/>
      <c r="G130" s="2"/>
      <c r="H130" s="2"/>
      <c r="I130" s="2"/>
      <c r="J130" s="2"/>
      <c r="K130" s="2"/>
      <c r="L130" s="2"/>
      <c r="M130" s="2"/>
      <c r="N130" s="2"/>
      <c r="O130" s="2"/>
      <c r="P130" s="2"/>
      <c r="Q130" s="2"/>
      <c r="R130" s="2"/>
      <c r="S130" s="2"/>
      <c r="T130" s="2"/>
      <c r="U130" s="2"/>
      <c r="Z130" s="209"/>
      <c r="AA130" s="209"/>
      <c r="AB130" s="209"/>
      <c r="AC130" s="209"/>
    </row>
    <row r="131" spans="1:29" ht="15.75" customHeight="1">
      <c r="A131" s="1"/>
      <c r="B131" s="2"/>
      <c r="C131" s="2"/>
      <c r="D131" s="2"/>
      <c r="E131" s="2"/>
      <c r="F131" s="2"/>
      <c r="G131" s="2"/>
      <c r="H131" s="2"/>
      <c r="I131" s="2"/>
      <c r="J131" s="2"/>
      <c r="K131" s="2"/>
      <c r="L131" s="2"/>
      <c r="M131" s="2"/>
      <c r="N131" s="2"/>
      <c r="O131" s="2"/>
      <c r="P131" s="2"/>
      <c r="Q131" s="2"/>
      <c r="R131" s="2"/>
      <c r="S131" s="2"/>
      <c r="T131" s="2"/>
      <c r="U131" s="2"/>
      <c r="Z131" s="209"/>
      <c r="AA131" s="209"/>
      <c r="AB131" s="209"/>
      <c r="AC131" s="209"/>
    </row>
    <row r="132" spans="1:29" ht="15.75" customHeight="1">
      <c r="A132" s="1"/>
      <c r="B132" s="2"/>
      <c r="C132" s="2"/>
      <c r="D132" s="2"/>
      <c r="E132" s="2"/>
      <c r="F132" s="2"/>
      <c r="G132" s="2"/>
      <c r="H132" s="2"/>
      <c r="I132" s="2"/>
      <c r="J132" s="2"/>
      <c r="K132" s="2"/>
      <c r="L132" s="2"/>
      <c r="M132" s="2"/>
      <c r="N132" s="2"/>
      <c r="O132" s="2"/>
      <c r="P132" s="2"/>
      <c r="Q132" s="2"/>
      <c r="R132" s="2"/>
      <c r="S132" s="2"/>
      <c r="T132" s="2"/>
      <c r="U132" s="2"/>
      <c r="Z132" s="209"/>
      <c r="AA132" s="209"/>
      <c r="AB132" s="209"/>
      <c r="AC132" s="209"/>
    </row>
    <row r="133" spans="1:29" ht="15.75" customHeight="1">
      <c r="A133" s="1"/>
      <c r="B133" s="2"/>
      <c r="C133" s="2"/>
      <c r="D133" s="2"/>
      <c r="E133" s="2"/>
      <c r="F133" s="2"/>
      <c r="G133" s="2"/>
      <c r="H133" s="2"/>
      <c r="I133" s="2"/>
      <c r="J133" s="2"/>
      <c r="K133" s="2"/>
      <c r="L133" s="2"/>
      <c r="M133" s="2"/>
      <c r="N133" s="2"/>
      <c r="O133" s="2"/>
      <c r="P133" s="2"/>
      <c r="Q133" s="2"/>
      <c r="R133" s="2"/>
      <c r="S133" s="2"/>
      <c r="T133" s="2"/>
      <c r="U133" s="2"/>
      <c r="Z133" s="209"/>
      <c r="AA133" s="209"/>
      <c r="AB133" s="209"/>
      <c r="AC133" s="209"/>
    </row>
    <row r="134" spans="1:29" ht="15.75" customHeight="1">
      <c r="A134" s="1"/>
      <c r="B134" s="2"/>
      <c r="C134" s="2"/>
      <c r="D134" s="2"/>
      <c r="E134" s="2"/>
      <c r="F134" s="2"/>
      <c r="G134" s="2"/>
      <c r="H134" s="2"/>
      <c r="I134" s="2"/>
      <c r="J134" s="2"/>
      <c r="K134" s="2"/>
      <c r="L134" s="2"/>
      <c r="M134" s="2"/>
      <c r="N134" s="2"/>
      <c r="O134" s="2"/>
      <c r="P134" s="2"/>
      <c r="Q134" s="2"/>
      <c r="R134" s="2"/>
      <c r="S134" s="2"/>
      <c r="T134" s="2"/>
      <c r="U134" s="2"/>
      <c r="Z134" s="209"/>
      <c r="AA134" s="209"/>
      <c r="AB134" s="209"/>
      <c r="AC134" s="209"/>
    </row>
    <row r="135" spans="1:29" ht="15.75" customHeight="1">
      <c r="A135" s="1"/>
      <c r="B135" s="2"/>
      <c r="C135" s="2"/>
      <c r="D135" s="2"/>
      <c r="E135" s="2"/>
      <c r="F135" s="2"/>
      <c r="G135" s="2"/>
      <c r="H135" s="2"/>
      <c r="I135" s="2"/>
      <c r="J135" s="2"/>
      <c r="K135" s="2"/>
      <c r="L135" s="2"/>
      <c r="M135" s="2"/>
      <c r="N135" s="2"/>
      <c r="O135" s="2"/>
      <c r="P135" s="2"/>
      <c r="Q135" s="2"/>
      <c r="R135" s="2"/>
      <c r="S135" s="2"/>
      <c r="T135" s="2"/>
      <c r="U135" s="2"/>
      <c r="Z135" s="209"/>
      <c r="AA135" s="209"/>
      <c r="AB135" s="209"/>
      <c r="AC135" s="209"/>
    </row>
    <row r="136" spans="1:29" ht="15.75" customHeight="1">
      <c r="A136" s="1"/>
      <c r="B136" s="2"/>
      <c r="C136" s="2"/>
      <c r="D136" s="2"/>
      <c r="E136" s="2"/>
      <c r="F136" s="2"/>
      <c r="G136" s="2"/>
      <c r="H136" s="2"/>
      <c r="I136" s="2"/>
      <c r="J136" s="2"/>
      <c r="K136" s="2"/>
      <c r="L136" s="2"/>
      <c r="M136" s="2"/>
      <c r="N136" s="2"/>
      <c r="O136" s="2"/>
      <c r="P136" s="2"/>
      <c r="Q136" s="2"/>
      <c r="R136" s="2"/>
      <c r="S136" s="2"/>
      <c r="T136" s="2"/>
      <c r="U136" s="2"/>
      <c r="Z136" s="209"/>
      <c r="AA136" s="209"/>
      <c r="AB136" s="209"/>
      <c r="AC136" s="209"/>
    </row>
    <row r="137" spans="1:29" ht="15.75" customHeight="1">
      <c r="A137" s="1"/>
      <c r="B137" s="2"/>
      <c r="C137" s="2"/>
      <c r="D137" s="2"/>
      <c r="E137" s="2"/>
      <c r="F137" s="2"/>
      <c r="G137" s="2"/>
      <c r="H137" s="2"/>
      <c r="I137" s="2"/>
      <c r="J137" s="2"/>
      <c r="K137" s="2"/>
      <c r="L137" s="2"/>
      <c r="M137" s="2"/>
      <c r="N137" s="2"/>
      <c r="O137" s="2"/>
      <c r="P137" s="2"/>
      <c r="Q137" s="2"/>
      <c r="R137" s="2"/>
      <c r="S137" s="2"/>
      <c r="T137" s="2"/>
      <c r="U137" s="2"/>
      <c r="Z137" s="209"/>
      <c r="AA137" s="209"/>
      <c r="AB137" s="209"/>
      <c r="AC137" s="209"/>
    </row>
    <row r="138" spans="1:29" ht="15.75" customHeight="1">
      <c r="A138" s="1"/>
      <c r="B138" s="2"/>
      <c r="C138" s="2"/>
      <c r="D138" s="2"/>
      <c r="E138" s="2"/>
      <c r="F138" s="2"/>
      <c r="G138" s="2"/>
      <c r="H138" s="2"/>
      <c r="I138" s="2"/>
      <c r="J138" s="2"/>
      <c r="K138" s="2"/>
      <c r="L138" s="2"/>
      <c r="M138" s="2"/>
      <c r="N138" s="2"/>
      <c r="O138" s="2"/>
      <c r="P138" s="2"/>
      <c r="Q138" s="2"/>
      <c r="R138" s="2"/>
      <c r="S138" s="2"/>
      <c r="T138" s="2"/>
      <c r="U138" s="2"/>
      <c r="Z138" s="209"/>
      <c r="AA138" s="209"/>
      <c r="AB138" s="209"/>
      <c r="AC138" s="209"/>
    </row>
    <row r="139" spans="1:29" ht="15.75" customHeight="1">
      <c r="A139" s="1"/>
      <c r="B139" s="2"/>
      <c r="C139" s="2"/>
      <c r="D139" s="2"/>
      <c r="E139" s="2"/>
      <c r="F139" s="2"/>
      <c r="G139" s="2"/>
      <c r="H139" s="2"/>
      <c r="I139" s="2"/>
      <c r="J139" s="2"/>
      <c r="K139" s="2"/>
      <c r="L139" s="2"/>
      <c r="M139" s="2"/>
      <c r="N139" s="2"/>
      <c r="O139" s="2"/>
      <c r="P139" s="2"/>
      <c r="Q139" s="2"/>
      <c r="R139" s="2"/>
      <c r="S139" s="2"/>
      <c r="T139" s="2"/>
      <c r="U139" s="2"/>
      <c r="Z139" s="209"/>
      <c r="AA139" s="209"/>
      <c r="AB139" s="209"/>
      <c r="AC139" s="209"/>
    </row>
    <row r="140" spans="1:29" ht="15.75" customHeight="1">
      <c r="A140" s="1"/>
      <c r="B140" s="2"/>
      <c r="C140" s="2"/>
      <c r="D140" s="2"/>
      <c r="E140" s="2"/>
      <c r="F140" s="2"/>
      <c r="G140" s="2"/>
      <c r="H140" s="2"/>
      <c r="I140" s="2"/>
      <c r="J140" s="2"/>
      <c r="K140" s="2"/>
      <c r="L140" s="2"/>
      <c r="M140" s="2"/>
      <c r="N140" s="2"/>
      <c r="O140" s="2"/>
      <c r="P140" s="2"/>
      <c r="Q140" s="2"/>
      <c r="R140" s="2"/>
      <c r="S140" s="2"/>
      <c r="T140" s="2"/>
      <c r="U140" s="2"/>
      <c r="Z140" s="209"/>
      <c r="AA140" s="209"/>
      <c r="AB140" s="209"/>
      <c r="AC140" s="209"/>
    </row>
    <row r="141" spans="1:29" ht="15.75" customHeight="1">
      <c r="A141" s="1"/>
      <c r="B141" s="2"/>
      <c r="C141" s="2"/>
      <c r="D141" s="2"/>
      <c r="E141" s="2"/>
      <c r="F141" s="2"/>
      <c r="G141" s="2"/>
      <c r="H141" s="2"/>
      <c r="I141" s="2"/>
      <c r="J141" s="2"/>
      <c r="K141" s="2"/>
      <c r="L141" s="2"/>
      <c r="M141" s="2"/>
      <c r="N141" s="2"/>
      <c r="O141" s="2"/>
      <c r="P141" s="2"/>
      <c r="Q141" s="2"/>
      <c r="R141" s="2"/>
      <c r="S141" s="2"/>
      <c r="T141" s="2"/>
      <c r="U141" s="2"/>
      <c r="Z141" s="209"/>
      <c r="AA141" s="209"/>
      <c r="AB141" s="209"/>
      <c r="AC141" s="209"/>
    </row>
    <row r="142" spans="1:29" ht="15.75" customHeight="1">
      <c r="A142" s="1"/>
      <c r="B142" s="2"/>
      <c r="C142" s="2"/>
      <c r="D142" s="2"/>
      <c r="E142" s="2"/>
      <c r="F142" s="2"/>
      <c r="G142" s="2"/>
      <c r="H142" s="2"/>
      <c r="I142" s="2"/>
      <c r="J142" s="2"/>
      <c r="K142" s="2"/>
      <c r="L142" s="2"/>
      <c r="M142" s="2"/>
      <c r="N142" s="2"/>
      <c r="O142" s="2"/>
      <c r="P142" s="2"/>
      <c r="Q142" s="2"/>
      <c r="R142" s="2"/>
      <c r="S142" s="2"/>
      <c r="T142" s="2"/>
      <c r="U142" s="2"/>
      <c r="Z142" s="209"/>
      <c r="AA142" s="209"/>
      <c r="AB142" s="209"/>
      <c r="AC142" s="209"/>
    </row>
    <row r="143" spans="1:29" ht="15.75" customHeight="1">
      <c r="A143" s="1"/>
      <c r="B143" s="2"/>
      <c r="C143" s="2"/>
      <c r="D143" s="2"/>
      <c r="E143" s="2"/>
      <c r="F143" s="2"/>
      <c r="G143" s="2"/>
      <c r="H143" s="2"/>
      <c r="I143" s="2"/>
      <c r="J143" s="2"/>
      <c r="K143" s="2"/>
      <c r="L143" s="2"/>
      <c r="M143" s="2"/>
      <c r="N143" s="2"/>
      <c r="O143" s="2"/>
      <c r="P143" s="2"/>
      <c r="Q143" s="2"/>
      <c r="R143" s="2"/>
      <c r="S143" s="2"/>
      <c r="T143" s="2"/>
      <c r="U143" s="2"/>
      <c r="Z143" s="209"/>
      <c r="AA143" s="209"/>
      <c r="AB143" s="209"/>
      <c r="AC143" s="209"/>
    </row>
    <row r="144" spans="1:29" ht="15.75" customHeight="1">
      <c r="A144" s="1"/>
      <c r="B144" s="2"/>
      <c r="C144" s="2"/>
      <c r="D144" s="2"/>
      <c r="E144" s="2"/>
      <c r="F144" s="2"/>
      <c r="G144" s="2"/>
      <c r="H144" s="2"/>
      <c r="I144" s="2"/>
      <c r="J144" s="2"/>
      <c r="K144" s="2"/>
      <c r="L144" s="2"/>
      <c r="M144" s="2"/>
      <c r="N144" s="2"/>
      <c r="O144" s="2"/>
      <c r="P144" s="2"/>
      <c r="Q144" s="2"/>
      <c r="R144" s="2"/>
      <c r="S144" s="2"/>
      <c r="T144" s="2"/>
      <c r="U144" s="2"/>
      <c r="Z144" s="209"/>
      <c r="AA144" s="209"/>
      <c r="AB144" s="209"/>
      <c r="AC144" s="209"/>
    </row>
    <row r="145" spans="1:29" ht="15.75" customHeight="1">
      <c r="A145" s="1"/>
      <c r="B145" s="2"/>
      <c r="C145" s="2"/>
      <c r="D145" s="2"/>
      <c r="E145" s="2"/>
      <c r="F145" s="2"/>
      <c r="G145" s="2"/>
      <c r="H145" s="2"/>
      <c r="I145" s="2"/>
      <c r="J145" s="2"/>
      <c r="K145" s="2"/>
      <c r="L145" s="2"/>
      <c r="M145" s="2"/>
      <c r="N145" s="2"/>
      <c r="O145" s="2"/>
      <c r="P145" s="2"/>
      <c r="Q145" s="2"/>
      <c r="R145" s="2"/>
      <c r="S145" s="2"/>
      <c r="T145" s="2"/>
      <c r="U145" s="2"/>
      <c r="Z145" s="209"/>
      <c r="AA145" s="209"/>
      <c r="AB145" s="209"/>
      <c r="AC145" s="209"/>
    </row>
    <row r="146" spans="1:29" ht="15.75" customHeight="1">
      <c r="A146" s="1"/>
      <c r="B146" s="2"/>
      <c r="C146" s="2"/>
      <c r="D146" s="2"/>
      <c r="E146" s="2"/>
      <c r="F146" s="2"/>
      <c r="G146" s="2"/>
      <c r="H146" s="2"/>
      <c r="I146" s="2"/>
      <c r="J146" s="2"/>
      <c r="K146" s="2"/>
      <c r="L146" s="2"/>
      <c r="M146" s="2"/>
      <c r="N146" s="2"/>
      <c r="O146" s="2"/>
      <c r="P146" s="2"/>
      <c r="Q146" s="2"/>
      <c r="R146" s="2"/>
      <c r="S146" s="2"/>
      <c r="T146" s="2"/>
      <c r="U146" s="2"/>
      <c r="Z146" s="209"/>
      <c r="AA146" s="209"/>
      <c r="AB146" s="209"/>
      <c r="AC146" s="209"/>
    </row>
    <row r="147" spans="1:29" ht="15.75" customHeight="1">
      <c r="A147" s="1"/>
      <c r="B147" s="2"/>
      <c r="C147" s="2"/>
      <c r="D147" s="2"/>
      <c r="E147" s="2"/>
      <c r="F147" s="2"/>
      <c r="G147" s="2"/>
      <c r="H147" s="2"/>
      <c r="I147" s="2"/>
      <c r="J147" s="2"/>
      <c r="K147" s="2"/>
      <c r="L147" s="2"/>
      <c r="M147" s="2"/>
      <c r="N147" s="2"/>
      <c r="O147" s="2"/>
      <c r="P147" s="2"/>
      <c r="Q147" s="2"/>
      <c r="R147" s="2"/>
      <c r="S147" s="2"/>
      <c r="T147" s="2"/>
      <c r="U147" s="2"/>
      <c r="Z147" s="209"/>
      <c r="AA147" s="209"/>
      <c r="AB147" s="209"/>
      <c r="AC147" s="209"/>
    </row>
    <row r="148" spans="1:29" ht="15.75" customHeight="1">
      <c r="A148" s="1"/>
      <c r="B148" s="2"/>
      <c r="C148" s="2"/>
      <c r="D148" s="2"/>
      <c r="E148" s="2"/>
      <c r="F148" s="2"/>
      <c r="G148" s="2"/>
      <c r="H148" s="2"/>
      <c r="I148" s="2"/>
      <c r="J148" s="2"/>
      <c r="K148" s="2"/>
      <c r="L148" s="2"/>
      <c r="M148" s="2"/>
      <c r="N148" s="2"/>
      <c r="O148" s="2"/>
      <c r="P148" s="2"/>
      <c r="Q148" s="2"/>
      <c r="R148" s="2"/>
      <c r="S148" s="2"/>
      <c r="T148" s="2"/>
      <c r="U148" s="2"/>
      <c r="Z148" s="209"/>
      <c r="AA148" s="209"/>
      <c r="AB148" s="209"/>
      <c r="AC148" s="209"/>
    </row>
    <row r="149" spans="1:29" ht="15.75" customHeight="1">
      <c r="A149" s="1"/>
      <c r="B149" s="2"/>
      <c r="C149" s="2"/>
      <c r="D149" s="2"/>
      <c r="E149" s="2"/>
      <c r="F149" s="2"/>
      <c r="G149" s="2"/>
      <c r="H149" s="2"/>
      <c r="I149" s="2"/>
      <c r="J149" s="2"/>
      <c r="K149" s="2"/>
      <c r="L149" s="2"/>
      <c r="M149" s="2"/>
      <c r="N149" s="2"/>
      <c r="O149" s="2"/>
      <c r="P149" s="2"/>
      <c r="Q149" s="2"/>
      <c r="R149" s="2"/>
      <c r="S149" s="2"/>
      <c r="T149" s="2"/>
      <c r="U149" s="2"/>
      <c r="Z149" s="209"/>
      <c r="AA149" s="209"/>
      <c r="AB149" s="209"/>
      <c r="AC149" s="209"/>
    </row>
    <row r="150" spans="1:29" ht="15.75" customHeight="1">
      <c r="A150" s="1"/>
      <c r="B150" s="2"/>
      <c r="C150" s="2"/>
      <c r="D150" s="2"/>
      <c r="E150" s="2"/>
      <c r="F150" s="2"/>
      <c r="G150" s="2"/>
      <c r="H150" s="2"/>
      <c r="I150" s="2"/>
      <c r="J150" s="2"/>
      <c r="K150" s="2"/>
      <c r="L150" s="2"/>
      <c r="M150" s="2"/>
      <c r="N150" s="2"/>
      <c r="O150" s="2"/>
      <c r="P150" s="2"/>
      <c r="Q150" s="2"/>
      <c r="R150" s="2"/>
      <c r="S150" s="2"/>
      <c r="T150" s="2"/>
      <c r="U150" s="2"/>
      <c r="Z150" s="209"/>
      <c r="AA150" s="209"/>
      <c r="AB150" s="209"/>
      <c r="AC150" s="209"/>
    </row>
    <row r="151" spans="1:29" ht="15.75" customHeight="1">
      <c r="A151" s="1"/>
      <c r="B151" s="2"/>
      <c r="C151" s="2"/>
      <c r="D151" s="2"/>
      <c r="E151" s="2"/>
      <c r="F151" s="2"/>
      <c r="G151" s="2"/>
      <c r="H151" s="2"/>
      <c r="I151" s="2"/>
      <c r="J151" s="2"/>
      <c r="K151" s="2"/>
      <c r="L151" s="2"/>
      <c r="M151" s="2"/>
      <c r="N151" s="2"/>
      <c r="O151" s="2"/>
      <c r="P151" s="2"/>
      <c r="Q151" s="2"/>
      <c r="R151" s="2"/>
      <c r="S151" s="2"/>
      <c r="T151" s="2"/>
      <c r="U151" s="2"/>
      <c r="Z151" s="209"/>
      <c r="AA151" s="209"/>
      <c r="AB151" s="209"/>
      <c r="AC151" s="209"/>
    </row>
    <row r="152" spans="1:29" ht="15.75" customHeight="1">
      <c r="A152" s="1"/>
      <c r="B152" s="2"/>
      <c r="C152" s="2"/>
      <c r="D152" s="2"/>
      <c r="E152" s="2"/>
      <c r="F152" s="2"/>
      <c r="G152" s="2"/>
      <c r="H152" s="2"/>
      <c r="I152" s="2"/>
      <c r="J152" s="2"/>
      <c r="K152" s="2"/>
      <c r="L152" s="2"/>
      <c r="M152" s="2"/>
      <c r="N152" s="2"/>
      <c r="O152" s="2"/>
      <c r="P152" s="2"/>
      <c r="Q152" s="2"/>
      <c r="R152" s="2"/>
      <c r="S152" s="2"/>
      <c r="T152" s="2"/>
      <c r="U152" s="2"/>
      <c r="Z152" s="209"/>
      <c r="AA152" s="209"/>
      <c r="AB152" s="209"/>
      <c r="AC152" s="209"/>
    </row>
    <row r="153" spans="1:29" ht="15.75" customHeight="1">
      <c r="A153" s="1"/>
      <c r="B153" s="2"/>
      <c r="C153" s="2"/>
      <c r="D153" s="2"/>
      <c r="E153" s="2"/>
      <c r="F153" s="2"/>
      <c r="G153" s="2"/>
      <c r="H153" s="2"/>
      <c r="I153" s="2"/>
      <c r="J153" s="2"/>
      <c r="K153" s="2"/>
      <c r="L153" s="2"/>
      <c r="M153" s="2"/>
      <c r="N153" s="2"/>
      <c r="O153" s="2"/>
      <c r="P153" s="2"/>
      <c r="Q153" s="2"/>
      <c r="R153" s="2"/>
      <c r="S153" s="2"/>
      <c r="T153" s="2"/>
      <c r="U153" s="2"/>
      <c r="Z153" s="209"/>
      <c r="AA153" s="209"/>
      <c r="AB153" s="209"/>
      <c r="AC153" s="209"/>
    </row>
    <row r="154" spans="1:29" ht="15.75" customHeight="1">
      <c r="A154" s="1"/>
      <c r="B154" s="2"/>
      <c r="C154" s="2"/>
      <c r="D154" s="2"/>
      <c r="E154" s="2"/>
      <c r="F154" s="2"/>
      <c r="G154" s="2"/>
      <c r="H154" s="2"/>
      <c r="I154" s="2"/>
      <c r="J154" s="2"/>
      <c r="K154" s="2"/>
      <c r="L154" s="2"/>
      <c r="M154" s="2"/>
      <c r="N154" s="2"/>
      <c r="O154" s="2"/>
      <c r="P154" s="2"/>
      <c r="Q154" s="2"/>
      <c r="R154" s="2"/>
      <c r="S154" s="2"/>
      <c r="T154" s="2"/>
      <c r="U154" s="2"/>
      <c r="Z154" s="209"/>
      <c r="AA154" s="209"/>
      <c r="AB154" s="209"/>
      <c r="AC154" s="209"/>
    </row>
    <row r="155" spans="1:29" ht="15.75" customHeight="1">
      <c r="A155" s="1"/>
      <c r="B155" s="2"/>
      <c r="C155" s="2"/>
      <c r="D155" s="2"/>
      <c r="E155" s="2"/>
      <c r="F155" s="2"/>
      <c r="G155" s="2"/>
      <c r="H155" s="2"/>
      <c r="I155" s="2"/>
      <c r="J155" s="2"/>
      <c r="K155" s="2"/>
      <c r="L155" s="2"/>
      <c r="M155" s="2"/>
      <c r="N155" s="2"/>
      <c r="O155" s="2"/>
      <c r="P155" s="2"/>
      <c r="Q155" s="2"/>
      <c r="R155" s="2"/>
      <c r="S155" s="2"/>
      <c r="T155" s="2"/>
      <c r="U155" s="2"/>
      <c r="Z155" s="209"/>
      <c r="AA155" s="209"/>
      <c r="AB155" s="209"/>
      <c r="AC155" s="209"/>
    </row>
    <row r="156" spans="1:29" ht="15.75" customHeight="1">
      <c r="A156" s="1"/>
      <c r="B156" s="2"/>
      <c r="C156" s="2"/>
      <c r="D156" s="2"/>
      <c r="E156" s="2"/>
      <c r="F156" s="2"/>
      <c r="G156" s="2"/>
      <c r="H156" s="2"/>
      <c r="I156" s="2"/>
      <c r="J156" s="2"/>
      <c r="K156" s="2"/>
      <c r="L156" s="2"/>
      <c r="M156" s="2"/>
      <c r="N156" s="2"/>
      <c r="O156" s="2"/>
      <c r="P156" s="2"/>
      <c r="Q156" s="2"/>
      <c r="R156" s="2"/>
      <c r="S156" s="2"/>
      <c r="T156" s="2"/>
      <c r="U156" s="2"/>
      <c r="Z156" s="209"/>
      <c r="AA156" s="209"/>
      <c r="AB156" s="209"/>
      <c r="AC156" s="209"/>
    </row>
    <row r="157" spans="1:29" ht="15.75" customHeight="1">
      <c r="A157" s="1"/>
      <c r="B157" s="2"/>
      <c r="C157" s="2"/>
      <c r="D157" s="2"/>
      <c r="E157" s="2"/>
      <c r="F157" s="2"/>
      <c r="G157" s="2"/>
      <c r="H157" s="2"/>
      <c r="I157" s="2"/>
      <c r="J157" s="2"/>
      <c r="K157" s="2"/>
      <c r="L157" s="2"/>
      <c r="M157" s="2"/>
      <c r="N157" s="2"/>
      <c r="O157" s="2"/>
      <c r="P157" s="2"/>
      <c r="Q157" s="2"/>
      <c r="R157" s="2"/>
      <c r="S157" s="2"/>
      <c r="T157" s="2"/>
      <c r="U157" s="2"/>
      <c r="Z157" s="209"/>
      <c r="AA157" s="209"/>
      <c r="AB157" s="209"/>
      <c r="AC157" s="209"/>
    </row>
    <row r="158" spans="1:29" ht="15.75" customHeight="1">
      <c r="A158" s="1"/>
      <c r="B158" s="2"/>
      <c r="C158" s="2"/>
      <c r="D158" s="2"/>
      <c r="E158" s="2"/>
      <c r="F158" s="2"/>
      <c r="G158" s="2"/>
      <c r="H158" s="2"/>
      <c r="I158" s="2"/>
      <c r="J158" s="2"/>
      <c r="K158" s="2"/>
      <c r="L158" s="2"/>
      <c r="M158" s="2"/>
      <c r="N158" s="2"/>
      <c r="O158" s="2"/>
      <c r="P158" s="2"/>
      <c r="Q158" s="2"/>
      <c r="R158" s="2"/>
      <c r="S158" s="2"/>
      <c r="T158" s="2"/>
      <c r="U158" s="2"/>
      <c r="Z158" s="209"/>
      <c r="AA158" s="209"/>
      <c r="AB158" s="209"/>
      <c r="AC158" s="209"/>
    </row>
    <row r="159" spans="1:29" ht="15.75" customHeight="1">
      <c r="A159" s="1"/>
      <c r="B159" s="2"/>
      <c r="C159" s="2"/>
      <c r="D159" s="2"/>
      <c r="E159" s="2"/>
      <c r="F159" s="2"/>
      <c r="G159" s="2"/>
      <c r="H159" s="2"/>
      <c r="I159" s="2"/>
      <c r="J159" s="2"/>
      <c r="K159" s="2"/>
      <c r="L159" s="2"/>
      <c r="M159" s="2"/>
      <c r="N159" s="2"/>
      <c r="O159" s="2"/>
      <c r="P159" s="2"/>
      <c r="Q159" s="2"/>
      <c r="R159" s="2"/>
      <c r="S159" s="2"/>
      <c r="T159" s="2"/>
      <c r="U159" s="2"/>
      <c r="Z159" s="209"/>
      <c r="AA159" s="209"/>
      <c r="AB159" s="209"/>
      <c r="AC159" s="209"/>
    </row>
    <row r="160" spans="1:29" ht="15.75" customHeight="1">
      <c r="A160" s="1"/>
      <c r="B160" s="2"/>
      <c r="C160" s="2"/>
      <c r="D160" s="2"/>
      <c r="E160" s="2"/>
      <c r="F160" s="2"/>
      <c r="G160" s="2"/>
      <c r="H160" s="2"/>
      <c r="I160" s="2"/>
      <c r="J160" s="2"/>
      <c r="K160" s="2"/>
      <c r="L160" s="2"/>
      <c r="M160" s="2"/>
      <c r="N160" s="2"/>
      <c r="O160" s="2"/>
      <c r="P160" s="2"/>
      <c r="Q160" s="2"/>
      <c r="R160" s="2"/>
      <c r="S160" s="2"/>
      <c r="T160" s="2"/>
      <c r="U160" s="2"/>
      <c r="Z160" s="209"/>
      <c r="AA160" s="209"/>
      <c r="AB160" s="209"/>
      <c r="AC160" s="209"/>
    </row>
    <row r="161" spans="1:29" ht="15.75" customHeight="1">
      <c r="A161" s="1"/>
      <c r="B161" s="2"/>
      <c r="C161" s="2"/>
      <c r="D161" s="2"/>
      <c r="E161" s="2"/>
      <c r="F161" s="2"/>
      <c r="G161" s="2"/>
      <c r="H161" s="2"/>
      <c r="I161" s="2"/>
      <c r="J161" s="2"/>
      <c r="K161" s="2"/>
      <c r="L161" s="2"/>
      <c r="M161" s="2"/>
      <c r="N161" s="2"/>
      <c r="O161" s="2"/>
      <c r="P161" s="2"/>
      <c r="Q161" s="2"/>
      <c r="R161" s="2"/>
      <c r="S161" s="2"/>
      <c r="T161" s="2"/>
      <c r="U161" s="2"/>
      <c r="Z161" s="209"/>
      <c r="AA161" s="209"/>
      <c r="AB161" s="209"/>
      <c r="AC161" s="209"/>
    </row>
    <row r="162" spans="1:29" ht="15.75" customHeight="1">
      <c r="A162" s="1"/>
      <c r="B162" s="2"/>
      <c r="C162" s="2"/>
      <c r="D162" s="2"/>
      <c r="E162" s="2"/>
      <c r="F162" s="2"/>
      <c r="G162" s="2"/>
      <c r="H162" s="2"/>
      <c r="I162" s="2"/>
      <c r="J162" s="2"/>
      <c r="K162" s="2"/>
      <c r="L162" s="2"/>
      <c r="M162" s="2"/>
      <c r="N162" s="2"/>
      <c r="O162" s="2"/>
      <c r="P162" s="2"/>
      <c r="Q162" s="2"/>
      <c r="R162" s="2"/>
      <c r="S162" s="2"/>
      <c r="T162" s="2"/>
      <c r="U162" s="2"/>
      <c r="Z162" s="209"/>
      <c r="AA162" s="209"/>
      <c r="AB162" s="209"/>
      <c r="AC162" s="209"/>
    </row>
    <row r="163" spans="1:29" ht="15.75" customHeight="1">
      <c r="A163" s="1"/>
      <c r="B163" s="2"/>
      <c r="C163" s="2"/>
      <c r="D163" s="2"/>
      <c r="E163" s="2"/>
      <c r="F163" s="2"/>
      <c r="G163" s="2"/>
      <c r="H163" s="2"/>
      <c r="I163" s="2"/>
      <c r="J163" s="2"/>
      <c r="K163" s="2"/>
      <c r="L163" s="2"/>
      <c r="M163" s="2"/>
      <c r="N163" s="2"/>
      <c r="O163" s="2"/>
      <c r="P163" s="2"/>
      <c r="Q163" s="2"/>
      <c r="R163" s="2"/>
      <c r="S163" s="2"/>
      <c r="T163" s="2"/>
      <c r="U163" s="2"/>
      <c r="Z163" s="209"/>
      <c r="AA163" s="209"/>
      <c r="AB163" s="209"/>
      <c r="AC163" s="209"/>
    </row>
    <row r="164" spans="1:29" ht="15.75" customHeight="1">
      <c r="A164" s="1"/>
      <c r="B164" s="2"/>
      <c r="C164" s="2"/>
      <c r="D164" s="2"/>
      <c r="E164" s="2"/>
      <c r="F164" s="2"/>
      <c r="G164" s="2"/>
      <c r="H164" s="2"/>
      <c r="I164" s="2"/>
      <c r="J164" s="2"/>
      <c r="K164" s="2"/>
      <c r="L164" s="2"/>
      <c r="M164" s="2"/>
      <c r="N164" s="2"/>
      <c r="O164" s="2"/>
      <c r="P164" s="2"/>
      <c r="Q164" s="2"/>
      <c r="R164" s="2"/>
      <c r="S164" s="2"/>
      <c r="T164" s="2"/>
      <c r="U164" s="2"/>
      <c r="Z164" s="209"/>
      <c r="AA164" s="209"/>
      <c r="AB164" s="209"/>
      <c r="AC164" s="209"/>
    </row>
    <row r="165" spans="1:29" ht="15.75" customHeight="1">
      <c r="A165" s="1"/>
      <c r="B165" s="2"/>
      <c r="C165" s="2"/>
      <c r="D165" s="2"/>
      <c r="E165" s="2"/>
      <c r="F165" s="2"/>
      <c r="G165" s="2"/>
      <c r="H165" s="2"/>
      <c r="I165" s="2"/>
      <c r="J165" s="2"/>
      <c r="K165" s="2"/>
      <c r="L165" s="2"/>
      <c r="M165" s="2"/>
      <c r="N165" s="2"/>
      <c r="O165" s="2"/>
      <c r="P165" s="2"/>
      <c r="Q165" s="2"/>
      <c r="R165" s="2"/>
      <c r="S165" s="2"/>
      <c r="T165" s="2"/>
      <c r="U165" s="2"/>
      <c r="Z165" s="209"/>
      <c r="AA165" s="209"/>
      <c r="AB165" s="209"/>
      <c r="AC165" s="209"/>
    </row>
    <row r="166" spans="1:29" ht="15.75" customHeight="1">
      <c r="A166" s="1"/>
      <c r="B166" s="2"/>
      <c r="C166" s="2"/>
      <c r="D166" s="2"/>
      <c r="E166" s="2"/>
      <c r="F166" s="2"/>
      <c r="G166" s="2"/>
      <c r="H166" s="2"/>
      <c r="I166" s="2"/>
      <c r="J166" s="2"/>
      <c r="K166" s="2"/>
      <c r="L166" s="2"/>
      <c r="M166" s="2"/>
      <c r="N166" s="2"/>
      <c r="O166" s="2"/>
      <c r="P166" s="2"/>
      <c r="Q166" s="2"/>
      <c r="R166" s="2"/>
      <c r="S166" s="2"/>
      <c r="T166" s="2"/>
      <c r="U166" s="2"/>
      <c r="Z166" s="209"/>
      <c r="AA166" s="209"/>
      <c r="AB166" s="209"/>
      <c r="AC166" s="209"/>
    </row>
    <row r="167" spans="1:29" ht="15.75" customHeight="1">
      <c r="A167" s="1"/>
      <c r="B167" s="2"/>
      <c r="C167" s="2"/>
      <c r="D167" s="2"/>
      <c r="E167" s="2"/>
      <c r="F167" s="2"/>
      <c r="G167" s="2"/>
      <c r="H167" s="2"/>
      <c r="I167" s="2"/>
      <c r="J167" s="2"/>
      <c r="K167" s="2"/>
      <c r="L167" s="2"/>
      <c r="M167" s="2"/>
      <c r="N167" s="2"/>
      <c r="O167" s="2"/>
      <c r="P167" s="2"/>
      <c r="Q167" s="2"/>
      <c r="R167" s="2"/>
      <c r="S167" s="2"/>
      <c r="T167" s="2"/>
      <c r="U167" s="2"/>
      <c r="Z167" s="209"/>
      <c r="AA167" s="209"/>
      <c r="AB167" s="209"/>
      <c r="AC167" s="209"/>
    </row>
    <row r="168" spans="1:29" ht="15.75" customHeight="1">
      <c r="A168" s="1"/>
      <c r="B168" s="2"/>
      <c r="C168" s="2"/>
      <c r="D168" s="2"/>
      <c r="E168" s="2"/>
      <c r="F168" s="2"/>
      <c r="G168" s="2"/>
      <c r="H168" s="2"/>
      <c r="I168" s="2"/>
      <c r="J168" s="2"/>
      <c r="K168" s="2"/>
      <c r="L168" s="2"/>
      <c r="M168" s="2"/>
      <c r="N168" s="2"/>
      <c r="O168" s="2"/>
      <c r="P168" s="2"/>
      <c r="Q168" s="2"/>
      <c r="R168" s="2"/>
      <c r="S168" s="2"/>
      <c r="T168" s="2"/>
      <c r="U168" s="2"/>
      <c r="Z168" s="209"/>
      <c r="AA168" s="209"/>
      <c r="AB168" s="209"/>
      <c r="AC168" s="209"/>
    </row>
    <row r="169" spans="1:29" ht="15.75" customHeight="1">
      <c r="A169" s="1"/>
      <c r="B169" s="2"/>
      <c r="C169" s="2"/>
      <c r="D169" s="2"/>
      <c r="E169" s="2"/>
      <c r="F169" s="2"/>
      <c r="G169" s="2"/>
      <c r="H169" s="2"/>
      <c r="I169" s="2"/>
      <c r="J169" s="2"/>
      <c r="K169" s="2"/>
      <c r="L169" s="2"/>
      <c r="M169" s="2"/>
      <c r="N169" s="2"/>
      <c r="O169" s="2"/>
      <c r="P169" s="2"/>
      <c r="Q169" s="2"/>
      <c r="R169" s="2"/>
      <c r="S169" s="2"/>
      <c r="T169" s="2"/>
      <c r="U169" s="2"/>
      <c r="Z169" s="209"/>
      <c r="AA169" s="209"/>
      <c r="AB169" s="209"/>
      <c r="AC169" s="209"/>
    </row>
    <row r="170" spans="1:29" ht="15.75" customHeight="1">
      <c r="A170" s="1"/>
      <c r="B170" s="2"/>
      <c r="C170" s="2"/>
      <c r="D170" s="2"/>
      <c r="E170" s="2"/>
      <c r="F170" s="2"/>
      <c r="G170" s="2"/>
      <c r="H170" s="2"/>
      <c r="I170" s="2"/>
      <c r="J170" s="2"/>
      <c r="K170" s="2"/>
      <c r="L170" s="2"/>
      <c r="M170" s="2"/>
      <c r="N170" s="2"/>
      <c r="O170" s="2"/>
      <c r="P170" s="2"/>
      <c r="Q170" s="2"/>
      <c r="R170" s="2"/>
      <c r="S170" s="2"/>
      <c r="T170" s="2"/>
      <c r="U170" s="2"/>
      <c r="Z170" s="209"/>
      <c r="AA170" s="209"/>
      <c r="AB170" s="209"/>
      <c r="AC170" s="209"/>
    </row>
    <row r="171" spans="1:29" ht="15.75" customHeight="1">
      <c r="A171" s="1"/>
      <c r="B171" s="2"/>
      <c r="C171" s="2"/>
      <c r="D171" s="2"/>
      <c r="E171" s="2"/>
      <c r="F171" s="2"/>
      <c r="G171" s="2"/>
      <c r="H171" s="2"/>
      <c r="I171" s="2"/>
      <c r="J171" s="2"/>
      <c r="K171" s="2"/>
      <c r="L171" s="2"/>
      <c r="M171" s="2"/>
      <c r="N171" s="2"/>
      <c r="O171" s="2"/>
      <c r="P171" s="2"/>
      <c r="Q171" s="2"/>
      <c r="R171" s="2"/>
      <c r="S171" s="2"/>
      <c r="T171" s="2"/>
      <c r="U171" s="2"/>
      <c r="Z171" s="209"/>
      <c r="AA171" s="209"/>
      <c r="AB171" s="209"/>
      <c r="AC171" s="209"/>
    </row>
    <row r="172" spans="1:29" ht="15.75" customHeight="1">
      <c r="A172" s="1"/>
      <c r="B172" s="2"/>
      <c r="C172" s="2"/>
      <c r="D172" s="2"/>
      <c r="E172" s="2"/>
      <c r="F172" s="2"/>
      <c r="G172" s="2"/>
      <c r="H172" s="2"/>
      <c r="I172" s="2"/>
      <c r="J172" s="2"/>
      <c r="K172" s="2"/>
      <c r="L172" s="2"/>
      <c r="M172" s="2"/>
      <c r="N172" s="2"/>
      <c r="O172" s="2"/>
      <c r="P172" s="2"/>
      <c r="Q172" s="2"/>
      <c r="R172" s="2"/>
      <c r="S172" s="2"/>
      <c r="T172" s="2"/>
      <c r="U172" s="2"/>
      <c r="Z172" s="209"/>
      <c r="AA172" s="209"/>
      <c r="AB172" s="209"/>
      <c r="AC172" s="209"/>
    </row>
    <row r="173" spans="1:29" ht="15.75" customHeight="1">
      <c r="A173" s="1"/>
      <c r="B173" s="2"/>
      <c r="C173" s="2"/>
      <c r="D173" s="2"/>
      <c r="E173" s="2"/>
      <c r="F173" s="2"/>
      <c r="G173" s="2"/>
      <c r="H173" s="2"/>
      <c r="I173" s="2"/>
      <c r="J173" s="2"/>
      <c r="K173" s="2"/>
      <c r="L173" s="2"/>
      <c r="M173" s="2"/>
      <c r="N173" s="2"/>
      <c r="O173" s="2"/>
      <c r="P173" s="2"/>
      <c r="Q173" s="2"/>
      <c r="R173" s="2"/>
      <c r="S173" s="2"/>
      <c r="T173" s="2"/>
      <c r="U173" s="2"/>
      <c r="Z173" s="209"/>
      <c r="AA173" s="209"/>
      <c r="AB173" s="209"/>
      <c r="AC173" s="209"/>
    </row>
    <row r="174" spans="1:29" ht="15.75" customHeight="1">
      <c r="A174" s="1"/>
      <c r="B174" s="2"/>
      <c r="C174" s="2"/>
      <c r="D174" s="2"/>
      <c r="E174" s="2"/>
      <c r="F174" s="2"/>
      <c r="G174" s="2"/>
      <c r="H174" s="2"/>
      <c r="I174" s="2"/>
      <c r="J174" s="2"/>
      <c r="K174" s="2"/>
      <c r="L174" s="2"/>
      <c r="M174" s="2"/>
      <c r="N174" s="2"/>
      <c r="O174" s="2"/>
      <c r="P174" s="2"/>
      <c r="Q174" s="2"/>
      <c r="R174" s="2"/>
      <c r="S174" s="2"/>
      <c r="T174" s="2"/>
      <c r="U174" s="2"/>
      <c r="Z174" s="209"/>
      <c r="AA174" s="209"/>
      <c r="AB174" s="209"/>
      <c r="AC174" s="209"/>
    </row>
    <row r="175" spans="1:29" ht="15.75" customHeight="1">
      <c r="A175" s="1"/>
      <c r="B175" s="2"/>
      <c r="C175" s="2"/>
      <c r="D175" s="2"/>
      <c r="E175" s="2"/>
      <c r="F175" s="2"/>
      <c r="G175" s="2"/>
      <c r="H175" s="2"/>
      <c r="I175" s="2"/>
      <c r="J175" s="2"/>
      <c r="K175" s="2"/>
      <c r="L175" s="2"/>
      <c r="M175" s="2"/>
      <c r="N175" s="2"/>
      <c r="O175" s="2"/>
      <c r="P175" s="2"/>
      <c r="Q175" s="2"/>
      <c r="R175" s="2"/>
      <c r="S175" s="2"/>
      <c r="T175" s="2"/>
      <c r="U175" s="2"/>
      <c r="Z175" s="209"/>
      <c r="AA175" s="209"/>
      <c r="AB175" s="209"/>
      <c r="AC175" s="209"/>
    </row>
    <row r="176" spans="1:29" ht="15.75" customHeight="1">
      <c r="A176" s="1"/>
      <c r="B176" s="2"/>
      <c r="C176" s="2"/>
      <c r="D176" s="2"/>
      <c r="E176" s="2"/>
      <c r="F176" s="2"/>
      <c r="G176" s="2"/>
      <c r="H176" s="2"/>
      <c r="I176" s="2"/>
      <c r="J176" s="2"/>
      <c r="K176" s="2"/>
      <c r="L176" s="2"/>
      <c r="M176" s="2"/>
      <c r="N176" s="2"/>
      <c r="O176" s="2"/>
      <c r="P176" s="2"/>
      <c r="Q176" s="2"/>
      <c r="R176" s="2"/>
      <c r="S176" s="2"/>
      <c r="T176" s="2"/>
      <c r="U176" s="2"/>
      <c r="Z176" s="209"/>
      <c r="AA176" s="209"/>
      <c r="AB176" s="209"/>
      <c r="AC176" s="209"/>
    </row>
    <row r="177" spans="1:29" ht="15.75" customHeight="1">
      <c r="A177" s="1"/>
      <c r="B177" s="2"/>
      <c r="C177" s="2"/>
      <c r="D177" s="2"/>
      <c r="E177" s="2"/>
      <c r="F177" s="2"/>
      <c r="G177" s="2"/>
      <c r="H177" s="2"/>
      <c r="I177" s="2"/>
      <c r="J177" s="2"/>
      <c r="K177" s="2"/>
      <c r="L177" s="2"/>
      <c r="M177" s="2"/>
      <c r="N177" s="2"/>
      <c r="O177" s="2"/>
      <c r="P177" s="2"/>
      <c r="Q177" s="2"/>
      <c r="R177" s="2"/>
      <c r="S177" s="2"/>
      <c r="T177" s="2"/>
      <c r="U177" s="2"/>
      <c r="Z177" s="209"/>
      <c r="AA177" s="209"/>
      <c r="AB177" s="209"/>
      <c r="AC177" s="209"/>
    </row>
    <row r="178" spans="1:29" ht="15.75" customHeight="1">
      <c r="A178" s="1"/>
      <c r="B178" s="2"/>
      <c r="C178" s="2"/>
      <c r="D178" s="2"/>
      <c r="E178" s="2"/>
      <c r="F178" s="2"/>
      <c r="G178" s="2"/>
      <c r="H178" s="2"/>
      <c r="I178" s="2"/>
      <c r="J178" s="2"/>
      <c r="K178" s="2"/>
      <c r="L178" s="2"/>
      <c r="M178" s="2"/>
      <c r="N178" s="2"/>
      <c r="O178" s="2"/>
      <c r="P178" s="2"/>
      <c r="Q178" s="2"/>
      <c r="R178" s="2"/>
      <c r="S178" s="2"/>
      <c r="T178" s="2"/>
      <c r="U178" s="2"/>
      <c r="Z178" s="209"/>
      <c r="AA178" s="209"/>
      <c r="AB178" s="209"/>
      <c r="AC178" s="209"/>
    </row>
    <row r="179" spans="1:29" ht="15.75" customHeight="1">
      <c r="A179" s="1"/>
      <c r="B179" s="2"/>
      <c r="C179" s="2"/>
      <c r="D179" s="2"/>
      <c r="E179" s="2"/>
      <c r="F179" s="2"/>
      <c r="G179" s="2"/>
      <c r="H179" s="2"/>
      <c r="I179" s="2"/>
      <c r="J179" s="2"/>
      <c r="K179" s="2"/>
      <c r="L179" s="2"/>
      <c r="M179" s="2"/>
      <c r="N179" s="2"/>
      <c r="O179" s="2"/>
      <c r="P179" s="2"/>
      <c r="Q179" s="2"/>
      <c r="R179" s="2"/>
      <c r="S179" s="2"/>
      <c r="T179" s="2"/>
      <c r="U179" s="2"/>
      <c r="Z179" s="209"/>
      <c r="AA179" s="209"/>
      <c r="AB179" s="209"/>
      <c r="AC179" s="209"/>
    </row>
    <row r="180" spans="1:29" ht="15.75" customHeight="1">
      <c r="A180" s="1"/>
      <c r="B180" s="2"/>
      <c r="C180" s="2"/>
      <c r="D180" s="2"/>
      <c r="E180" s="2"/>
      <c r="F180" s="2"/>
      <c r="G180" s="2"/>
      <c r="H180" s="2"/>
      <c r="I180" s="2"/>
      <c r="J180" s="2"/>
      <c r="K180" s="2"/>
      <c r="L180" s="2"/>
      <c r="M180" s="2"/>
      <c r="N180" s="2"/>
      <c r="O180" s="2"/>
      <c r="P180" s="2"/>
      <c r="Q180" s="2"/>
      <c r="R180" s="2"/>
      <c r="S180" s="2"/>
      <c r="T180" s="2"/>
      <c r="U180" s="2"/>
      <c r="Z180" s="209"/>
      <c r="AA180" s="209"/>
      <c r="AB180" s="209"/>
      <c r="AC180" s="209"/>
    </row>
    <row r="181" spans="1:29" ht="15.75" customHeight="1">
      <c r="A181" s="1"/>
      <c r="B181" s="2"/>
      <c r="C181" s="2"/>
      <c r="D181" s="2"/>
      <c r="E181" s="2"/>
      <c r="F181" s="2"/>
      <c r="G181" s="2"/>
      <c r="H181" s="2"/>
      <c r="I181" s="2"/>
      <c r="J181" s="2"/>
      <c r="K181" s="2"/>
      <c r="L181" s="2"/>
      <c r="M181" s="2"/>
      <c r="N181" s="2"/>
      <c r="O181" s="2"/>
      <c r="P181" s="2"/>
      <c r="Q181" s="2"/>
      <c r="R181" s="2"/>
      <c r="S181" s="2"/>
      <c r="T181" s="2"/>
      <c r="U181" s="2"/>
    </row>
    <row r="182" spans="1:29" ht="15.75" customHeight="1">
      <c r="A182" s="1"/>
      <c r="B182" s="2"/>
      <c r="C182" s="2"/>
      <c r="D182" s="2"/>
      <c r="E182" s="2"/>
      <c r="F182" s="2"/>
      <c r="G182" s="2"/>
      <c r="H182" s="2"/>
      <c r="I182" s="2"/>
      <c r="J182" s="2"/>
      <c r="K182" s="2"/>
      <c r="L182" s="2"/>
      <c r="M182" s="2"/>
      <c r="N182" s="2"/>
      <c r="O182" s="2"/>
      <c r="P182" s="2"/>
      <c r="Q182" s="2"/>
      <c r="R182" s="2"/>
      <c r="S182" s="2"/>
      <c r="T182" s="2"/>
      <c r="U182" s="2"/>
    </row>
    <row r="183" spans="1:29" ht="15.75" customHeight="1">
      <c r="A183" s="1"/>
      <c r="B183" s="2"/>
      <c r="C183" s="2"/>
      <c r="D183" s="2"/>
      <c r="E183" s="2"/>
      <c r="F183" s="2"/>
      <c r="G183" s="2"/>
      <c r="H183" s="2"/>
      <c r="I183" s="2"/>
      <c r="J183" s="2"/>
      <c r="K183" s="2"/>
      <c r="L183" s="2"/>
      <c r="M183" s="2"/>
      <c r="N183" s="2"/>
      <c r="O183" s="2"/>
      <c r="P183" s="2"/>
      <c r="Q183" s="2"/>
      <c r="R183" s="2"/>
      <c r="S183" s="2"/>
      <c r="T183" s="2"/>
      <c r="U183" s="2"/>
    </row>
    <row r="184" spans="1:29" ht="15.75" customHeight="1">
      <c r="A184" s="1"/>
      <c r="B184" s="2"/>
      <c r="C184" s="2"/>
      <c r="D184" s="2"/>
      <c r="E184" s="2"/>
      <c r="F184" s="2"/>
      <c r="G184" s="2"/>
      <c r="H184" s="2"/>
      <c r="I184" s="2"/>
      <c r="J184" s="2"/>
      <c r="K184" s="2"/>
      <c r="L184" s="2"/>
      <c r="M184" s="2"/>
      <c r="N184" s="2"/>
      <c r="O184" s="2"/>
      <c r="P184" s="2"/>
      <c r="Q184" s="2"/>
      <c r="R184" s="2"/>
      <c r="S184" s="2"/>
      <c r="T184" s="2"/>
      <c r="U184" s="2"/>
    </row>
    <row r="185" spans="1:29" ht="15.75" customHeight="1">
      <c r="A185" s="1"/>
      <c r="B185" s="2"/>
      <c r="C185" s="2"/>
      <c r="D185" s="2"/>
      <c r="E185" s="2"/>
      <c r="F185" s="2"/>
      <c r="G185" s="2"/>
      <c r="H185" s="2"/>
      <c r="I185" s="2"/>
      <c r="J185" s="2"/>
      <c r="K185" s="2"/>
      <c r="L185" s="2"/>
      <c r="M185" s="2"/>
      <c r="N185" s="2"/>
      <c r="O185" s="2"/>
      <c r="P185" s="2"/>
      <c r="Q185" s="2"/>
      <c r="R185" s="2"/>
      <c r="S185" s="2"/>
      <c r="T185" s="2"/>
      <c r="U185" s="2"/>
    </row>
    <row r="186" spans="1:29" ht="15.75" customHeight="1">
      <c r="A186" s="1"/>
      <c r="B186" s="2"/>
      <c r="C186" s="2"/>
      <c r="D186" s="2"/>
      <c r="E186" s="2"/>
      <c r="F186" s="2"/>
      <c r="G186" s="2"/>
      <c r="H186" s="2"/>
      <c r="I186" s="2"/>
      <c r="J186" s="2"/>
      <c r="K186" s="2"/>
      <c r="L186" s="2"/>
      <c r="M186" s="2"/>
      <c r="N186" s="2"/>
      <c r="O186" s="2"/>
      <c r="P186" s="2"/>
      <c r="Q186" s="2"/>
      <c r="R186" s="2"/>
      <c r="S186" s="2"/>
      <c r="T186" s="2"/>
      <c r="U186" s="2"/>
    </row>
    <row r="187" spans="1:29" ht="15.75" customHeight="1">
      <c r="A187" s="1"/>
      <c r="B187" s="2"/>
      <c r="C187" s="2"/>
      <c r="D187" s="2"/>
      <c r="E187" s="2"/>
      <c r="F187" s="2"/>
      <c r="G187" s="2"/>
      <c r="H187" s="2"/>
      <c r="I187" s="2"/>
      <c r="J187" s="2"/>
      <c r="K187" s="2"/>
      <c r="L187" s="2"/>
      <c r="M187" s="2"/>
      <c r="N187" s="2"/>
      <c r="O187" s="2"/>
      <c r="P187" s="2"/>
      <c r="Q187" s="2"/>
      <c r="R187" s="2"/>
      <c r="S187" s="2"/>
      <c r="T187" s="2"/>
      <c r="U187" s="2"/>
    </row>
    <row r="188" spans="1:29" ht="15.75" customHeight="1">
      <c r="A188" s="1"/>
      <c r="B188" s="2"/>
      <c r="C188" s="2"/>
      <c r="D188" s="2"/>
      <c r="E188" s="2"/>
      <c r="F188" s="2"/>
      <c r="G188" s="2"/>
      <c r="H188" s="2"/>
      <c r="I188" s="2"/>
      <c r="J188" s="2"/>
      <c r="K188" s="2"/>
      <c r="L188" s="2"/>
      <c r="M188" s="2"/>
      <c r="N188" s="2"/>
      <c r="O188" s="2"/>
      <c r="P188" s="2"/>
      <c r="Q188" s="2"/>
      <c r="R188" s="2"/>
      <c r="S188" s="2"/>
      <c r="T188" s="2"/>
      <c r="U188" s="2"/>
    </row>
    <row r="189" spans="1:29" ht="15.75" customHeight="1">
      <c r="A189" s="1"/>
      <c r="B189" s="2"/>
      <c r="C189" s="2"/>
      <c r="D189" s="2"/>
      <c r="E189" s="2"/>
      <c r="F189" s="2"/>
      <c r="G189" s="2"/>
      <c r="H189" s="2"/>
      <c r="I189" s="2"/>
      <c r="J189" s="2"/>
      <c r="K189" s="2"/>
      <c r="L189" s="2"/>
      <c r="M189" s="2"/>
      <c r="N189" s="2"/>
      <c r="O189" s="2"/>
      <c r="P189" s="2"/>
      <c r="Q189" s="2"/>
      <c r="R189" s="2"/>
      <c r="S189" s="2"/>
      <c r="T189" s="2"/>
      <c r="U189" s="2"/>
    </row>
    <row r="190" spans="1:29" ht="15.75" customHeight="1">
      <c r="A190" s="1"/>
      <c r="B190" s="2"/>
      <c r="C190" s="2"/>
      <c r="D190" s="2"/>
      <c r="E190" s="2"/>
      <c r="F190" s="2"/>
      <c r="G190" s="2"/>
      <c r="H190" s="2"/>
      <c r="I190" s="2"/>
      <c r="J190" s="2"/>
      <c r="K190" s="2"/>
      <c r="L190" s="2"/>
      <c r="M190" s="2"/>
      <c r="N190" s="2"/>
      <c r="O190" s="2"/>
      <c r="P190" s="2"/>
      <c r="Q190" s="2"/>
      <c r="R190" s="2"/>
      <c r="S190" s="2"/>
      <c r="T190" s="2"/>
      <c r="U190" s="2"/>
    </row>
    <row r="191" spans="1:29" ht="15.75" customHeight="1">
      <c r="A191" s="1"/>
      <c r="B191" s="2"/>
      <c r="C191" s="2"/>
      <c r="D191" s="2"/>
      <c r="E191" s="2"/>
      <c r="F191" s="2"/>
      <c r="G191" s="2"/>
      <c r="H191" s="2"/>
      <c r="I191" s="2"/>
      <c r="J191" s="2"/>
      <c r="K191" s="2"/>
      <c r="L191" s="2"/>
      <c r="M191" s="2"/>
      <c r="N191" s="2"/>
      <c r="O191" s="2"/>
      <c r="P191" s="2"/>
      <c r="Q191" s="2"/>
      <c r="R191" s="2"/>
      <c r="S191" s="2"/>
      <c r="T191" s="2"/>
      <c r="U191" s="2"/>
    </row>
    <row r="192" spans="1:29" ht="15.75" customHeight="1">
      <c r="A192" s="1"/>
      <c r="B192" s="2"/>
      <c r="C192" s="2"/>
      <c r="D192" s="2"/>
      <c r="E192" s="2"/>
      <c r="F192" s="2"/>
      <c r="G192" s="2"/>
      <c r="H192" s="2"/>
      <c r="I192" s="2"/>
      <c r="J192" s="2"/>
      <c r="K192" s="2"/>
      <c r="L192" s="2"/>
      <c r="M192" s="2"/>
      <c r="N192" s="2"/>
      <c r="O192" s="2"/>
      <c r="P192" s="2"/>
      <c r="Q192" s="2"/>
      <c r="R192" s="2"/>
      <c r="S192" s="2"/>
      <c r="T192" s="2"/>
      <c r="U192" s="2"/>
    </row>
    <row r="193" spans="1:21" ht="15.75" customHeight="1">
      <c r="A193" s="1"/>
      <c r="B193" s="2"/>
      <c r="C193" s="2"/>
      <c r="D193" s="2"/>
      <c r="E193" s="2"/>
      <c r="F193" s="2"/>
      <c r="G193" s="2"/>
      <c r="H193" s="2"/>
      <c r="I193" s="2"/>
      <c r="J193" s="2"/>
      <c r="K193" s="2"/>
      <c r="L193" s="2"/>
      <c r="M193" s="2"/>
      <c r="N193" s="2"/>
      <c r="O193" s="2"/>
      <c r="P193" s="2"/>
      <c r="Q193" s="2"/>
      <c r="R193" s="2"/>
      <c r="S193" s="2"/>
      <c r="T193" s="2"/>
      <c r="U193" s="2"/>
    </row>
    <row r="194" spans="1:21" ht="15.75" customHeight="1">
      <c r="A194" s="1"/>
      <c r="B194" s="2"/>
      <c r="C194" s="2"/>
      <c r="D194" s="2"/>
      <c r="E194" s="2"/>
      <c r="F194" s="2"/>
      <c r="G194" s="2"/>
      <c r="H194" s="2"/>
      <c r="I194" s="2"/>
      <c r="J194" s="2"/>
      <c r="K194" s="2"/>
      <c r="L194" s="2"/>
      <c r="M194" s="2"/>
      <c r="N194" s="2"/>
      <c r="O194" s="2"/>
      <c r="P194" s="2"/>
      <c r="Q194" s="2"/>
      <c r="R194" s="2"/>
      <c r="S194" s="2"/>
      <c r="T194" s="2"/>
      <c r="U194" s="2"/>
    </row>
    <row r="195" spans="1:21" ht="15.75" customHeight="1">
      <c r="A195" s="1"/>
      <c r="B195" s="2"/>
      <c r="C195" s="2"/>
      <c r="D195" s="2"/>
      <c r="E195" s="2"/>
      <c r="F195" s="2"/>
      <c r="G195" s="2"/>
      <c r="H195" s="2"/>
      <c r="I195" s="2"/>
      <c r="J195" s="2"/>
      <c r="K195" s="2"/>
      <c r="L195" s="2"/>
      <c r="M195" s="2"/>
      <c r="N195" s="2"/>
      <c r="O195" s="2"/>
      <c r="P195" s="2"/>
      <c r="Q195" s="2"/>
      <c r="R195" s="2"/>
      <c r="S195" s="2"/>
      <c r="T195" s="2"/>
      <c r="U195" s="2"/>
    </row>
    <row r="196" spans="1:21" ht="15.75" customHeight="1">
      <c r="A196" s="1"/>
      <c r="B196" s="2"/>
      <c r="C196" s="2"/>
      <c r="D196" s="2"/>
      <c r="E196" s="2"/>
      <c r="F196" s="2"/>
      <c r="G196" s="2"/>
      <c r="H196" s="2"/>
      <c r="I196" s="2"/>
      <c r="J196" s="2"/>
      <c r="K196" s="2"/>
      <c r="L196" s="2"/>
      <c r="M196" s="2"/>
      <c r="N196" s="2"/>
      <c r="O196" s="2"/>
      <c r="P196" s="2"/>
      <c r="Q196" s="2"/>
      <c r="R196" s="2"/>
      <c r="S196" s="2"/>
      <c r="T196" s="2"/>
      <c r="U196" s="2"/>
    </row>
    <row r="197" spans="1:21" ht="15.75" customHeight="1">
      <c r="A197" s="1"/>
      <c r="B197" s="2"/>
      <c r="C197" s="2"/>
      <c r="D197" s="2"/>
      <c r="E197" s="2"/>
      <c r="F197" s="2"/>
      <c r="G197" s="2"/>
      <c r="H197" s="2"/>
      <c r="I197" s="2"/>
      <c r="J197" s="2"/>
      <c r="K197" s="2"/>
      <c r="L197" s="2"/>
      <c r="M197" s="2"/>
      <c r="N197" s="2"/>
      <c r="O197" s="2"/>
      <c r="P197" s="2"/>
      <c r="Q197" s="2"/>
      <c r="R197" s="2"/>
      <c r="S197" s="2"/>
      <c r="T197" s="2"/>
      <c r="U197" s="2"/>
    </row>
    <row r="198" spans="1:21" ht="15.75" customHeight="1">
      <c r="A198" s="1"/>
      <c r="B198" s="2"/>
      <c r="C198" s="2"/>
      <c r="D198" s="2"/>
      <c r="E198" s="2"/>
      <c r="F198" s="2"/>
      <c r="G198" s="2"/>
      <c r="H198" s="2"/>
      <c r="I198" s="2"/>
      <c r="J198" s="2"/>
      <c r="K198" s="2"/>
      <c r="L198" s="2"/>
      <c r="M198" s="2"/>
      <c r="N198" s="2"/>
      <c r="O198" s="2"/>
      <c r="P198" s="2"/>
      <c r="Q198" s="2"/>
      <c r="R198" s="2"/>
      <c r="S198" s="2"/>
      <c r="T198" s="2"/>
      <c r="U198" s="2"/>
    </row>
    <row r="199" spans="1:21" ht="15.75" customHeight="1">
      <c r="A199" s="1"/>
      <c r="B199" s="2"/>
      <c r="C199" s="2"/>
      <c r="D199" s="2"/>
      <c r="E199" s="2"/>
      <c r="F199" s="2"/>
      <c r="G199" s="2"/>
      <c r="H199" s="2"/>
      <c r="I199" s="2"/>
      <c r="J199" s="2"/>
      <c r="K199" s="2"/>
      <c r="L199" s="2"/>
      <c r="M199" s="2"/>
      <c r="N199" s="2"/>
      <c r="O199" s="2"/>
      <c r="P199" s="2"/>
      <c r="Q199" s="2"/>
      <c r="R199" s="2"/>
      <c r="S199" s="2"/>
      <c r="T199" s="2"/>
      <c r="U199" s="2"/>
    </row>
    <row r="200" spans="1:21" ht="15.75" customHeight="1">
      <c r="A200" s="1"/>
      <c r="B200" s="2"/>
      <c r="C200" s="2"/>
      <c r="D200" s="2"/>
      <c r="E200" s="2"/>
      <c r="F200" s="2"/>
      <c r="G200" s="2"/>
      <c r="H200" s="2"/>
      <c r="I200" s="2"/>
      <c r="J200" s="2"/>
      <c r="K200" s="2"/>
      <c r="L200" s="2"/>
      <c r="M200" s="2"/>
      <c r="N200" s="2"/>
      <c r="O200" s="2"/>
      <c r="P200" s="2"/>
      <c r="Q200" s="2"/>
      <c r="R200" s="2"/>
      <c r="S200" s="2"/>
      <c r="T200" s="2"/>
      <c r="U200" s="2"/>
    </row>
    <row r="201" spans="1:21" ht="15.75" customHeight="1">
      <c r="A201" s="1"/>
      <c r="B201" s="2"/>
      <c r="C201" s="2"/>
      <c r="D201" s="2"/>
      <c r="E201" s="2"/>
      <c r="F201" s="2"/>
      <c r="G201" s="2"/>
      <c r="H201" s="2"/>
      <c r="I201" s="2"/>
      <c r="J201" s="2"/>
      <c r="K201" s="2"/>
      <c r="L201" s="2"/>
      <c r="M201" s="2"/>
      <c r="N201" s="2"/>
      <c r="O201" s="2"/>
      <c r="P201" s="2"/>
      <c r="Q201" s="2"/>
      <c r="R201" s="2"/>
      <c r="S201" s="2"/>
      <c r="T201" s="2"/>
      <c r="U201" s="2"/>
    </row>
    <row r="202" spans="1:21" ht="15.75" customHeight="1">
      <c r="A202" s="1"/>
      <c r="B202" s="2"/>
      <c r="C202" s="2"/>
      <c r="D202" s="2"/>
      <c r="E202" s="2"/>
      <c r="F202" s="2"/>
      <c r="G202" s="2"/>
      <c r="H202" s="2"/>
      <c r="I202" s="2"/>
      <c r="J202" s="2"/>
      <c r="K202" s="2"/>
      <c r="L202" s="2"/>
      <c r="M202" s="2"/>
      <c r="N202" s="2"/>
      <c r="O202" s="2"/>
      <c r="P202" s="2"/>
      <c r="Q202" s="2"/>
      <c r="R202" s="2"/>
      <c r="S202" s="2"/>
      <c r="T202" s="2"/>
      <c r="U202" s="2"/>
    </row>
    <row r="203" spans="1:21" ht="15.75" customHeight="1">
      <c r="A203" s="1"/>
      <c r="B203" s="2"/>
      <c r="C203" s="2"/>
      <c r="D203" s="2"/>
      <c r="E203" s="2"/>
      <c r="F203" s="2"/>
      <c r="G203" s="2"/>
      <c r="H203" s="2"/>
      <c r="I203" s="2"/>
      <c r="J203" s="2"/>
      <c r="K203" s="2"/>
      <c r="L203" s="2"/>
      <c r="M203" s="2"/>
      <c r="N203" s="2"/>
      <c r="O203" s="2"/>
      <c r="P203" s="2"/>
      <c r="Q203" s="2"/>
      <c r="R203" s="2"/>
      <c r="S203" s="2"/>
      <c r="T203" s="2"/>
      <c r="U203" s="2"/>
    </row>
    <row r="204" spans="1:21" ht="15.75" customHeight="1">
      <c r="A204" s="1"/>
      <c r="B204" s="2"/>
      <c r="C204" s="2"/>
      <c r="D204" s="2"/>
      <c r="E204" s="2"/>
      <c r="F204" s="2"/>
      <c r="G204" s="2"/>
      <c r="H204" s="2"/>
      <c r="I204" s="2"/>
      <c r="J204" s="2"/>
      <c r="K204" s="2"/>
      <c r="L204" s="2"/>
      <c r="M204" s="2"/>
      <c r="N204" s="2"/>
      <c r="O204" s="2"/>
      <c r="P204" s="2"/>
      <c r="Q204" s="2"/>
      <c r="R204" s="2"/>
      <c r="S204" s="2"/>
      <c r="T204" s="2"/>
      <c r="U204" s="2"/>
    </row>
    <row r="205" spans="1:21" ht="15.75" customHeight="1">
      <c r="A205" s="1"/>
      <c r="B205" s="2"/>
      <c r="C205" s="2"/>
      <c r="D205" s="2"/>
      <c r="E205" s="2"/>
      <c r="F205" s="2"/>
      <c r="G205" s="2"/>
      <c r="H205" s="2"/>
      <c r="I205" s="2"/>
      <c r="J205" s="2"/>
      <c r="K205" s="2"/>
      <c r="L205" s="2"/>
      <c r="M205" s="2"/>
      <c r="N205" s="2"/>
      <c r="O205" s="2"/>
      <c r="P205" s="2"/>
      <c r="Q205" s="2"/>
      <c r="R205" s="2"/>
      <c r="S205" s="2"/>
      <c r="T205" s="2"/>
      <c r="U205" s="2"/>
    </row>
    <row r="206" spans="1:21" ht="15.75" customHeight="1">
      <c r="A206" s="1"/>
      <c r="B206" s="2"/>
      <c r="C206" s="2"/>
      <c r="D206" s="2"/>
      <c r="E206" s="2"/>
      <c r="F206" s="2"/>
      <c r="G206" s="2"/>
      <c r="H206" s="2"/>
      <c r="I206" s="2"/>
      <c r="J206" s="2"/>
      <c r="K206" s="2"/>
      <c r="L206" s="2"/>
      <c r="M206" s="2"/>
      <c r="N206" s="2"/>
      <c r="O206" s="2"/>
      <c r="P206" s="2"/>
      <c r="Q206" s="2"/>
      <c r="R206" s="2"/>
      <c r="S206" s="2"/>
      <c r="T206" s="2"/>
      <c r="U206" s="2"/>
    </row>
    <row r="207" spans="1:21" ht="15.75" customHeight="1">
      <c r="A207" s="1"/>
      <c r="B207" s="2"/>
      <c r="C207" s="2"/>
      <c r="D207" s="2"/>
      <c r="E207" s="2"/>
      <c r="F207" s="2"/>
      <c r="G207" s="2"/>
      <c r="H207" s="2"/>
      <c r="I207" s="2"/>
      <c r="J207" s="2"/>
      <c r="K207" s="2"/>
      <c r="L207" s="2"/>
      <c r="M207" s="2"/>
      <c r="N207" s="2"/>
      <c r="O207" s="2"/>
      <c r="P207" s="2"/>
      <c r="Q207" s="2"/>
      <c r="R207" s="2"/>
      <c r="S207" s="2"/>
      <c r="T207" s="2"/>
      <c r="U207" s="2"/>
    </row>
    <row r="208" spans="1:21" ht="15.75" customHeight="1">
      <c r="A208" s="1"/>
      <c r="B208" s="2"/>
      <c r="C208" s="2"/>
      <c r="D208" s="2"/>
      <c r="E208" s="2"/>
      <c r="F208" s="2"/>
      <c r="G208" s="2"/>
      <c r="H208" s="2"/>
      <c r="I208" s="2"/>
      <c r="J208" s="2"/>
      <c r="K208" s="2"/>
      <c r="L208" s="2"/>
      <c r="M208" s="2"/>
      <c r="N208" s="2"/>
      <c r="O208" s="2"/>
      <c r="P208" s="2"/>
      <c r="Q208" s="2"/>
      <c r="R208" s="2"/>
      <c r="S208" s="2"/>
      <c r="T208" s="2"/>
      <c r="U208" s="2"/>
    </row>
    <row r="209" spans="1:21" ht="15.75" customHeight="1">
      <c r="A209" s="1"/>
      <c r="B209" s="2"/>
      <c r="C209" s="2"/>
      <c r="D209" s="2"/>
      <c r="E209" s="2"/>
      <c r="F209" s="2"/>
      <c r="G209" s="2"/>
      <c r="H209" s="2"/>
      <c r="I209" s="2"/>
      <c r="J209" s="2"/>
      <c r="K209" s="2"/>
      <c r="L209" s="2"/>
      <c r="M209" s="2"/>
      <c r="N209" s="2"/>
      <c r="O209" s="2"/>
      <c r="P209" s="2"/>
      <c r="Q209" s="2"/>
      <c r="R209" s="2"/>
      <c r="S209" s="2"/>
      <c r="T209" s="2"/>
      <c r="U209" s="2"/>
    </row>
    <row r="210" spans="1:21" ht="15.75" customHeight="1">
      <c r="A210" s="1"/>
      <c r="B210" s="2"/>
      <c r="C210" s="2"/>
      <c r="D210" s="2"/>
      <c r="E210" s="2"/>
      <c r="F210" s="2"/>
      <c r="G210" s="2"/>
      <c r="H210" s="2"/>
      <c r="I210" s="2"/>
      <c r="J210" s="2"/>
      <c r="K210" s="2"/>
      <c r="L210" s="2"/>
      <c r="M210" s="2"/>
      <c r="N210" s="2"/>
      <c r="O210" s="2"/>
      <c r="P210" s="2"/>
      <c r="Q210" s="2"/>
      <c r="R210" s="2"/>
      <c r="S210" s="2"/>
      <c r="T210" s="2"/>
      <c r="U210" s="2"/>
    </row>
    <row r="211" spans="1:21" ht="15.75" customHeight="1">
      <c r="A211" s="1"/>
      <c r="B211" s="2"/>
      <c r="C211" s="2"/>
      <c r="D211" s="2"/>
      <c r="E211" s="2"/>
      <c r="F211" s="2"/>
      <c r="G211" s="2"/>
      <c r="H211" s="2"/>
      <c r="I211" s="2"/>
      <c r="J211" s="2"/>
      <c r="K211" s="2"/>
      <c r="L211" s="2"/>
      <c r="M211" s="2"/>
      <c r="N211" s="2"/>
      <c r="O211" s="2"/>
      <c r="P211" s="2"/>
      <c r="Q211" s="2"/>
      <c r="R211" s="2"/>
      <c r="S211" s="2"/>
      <c r="T211" s="2"/>
      <c r="U211" s="2"/>
    </row>
    <row r="212" spans="1:21" ht="15.75" customHeight="1">
      <c r="A212" s="1"/>
      <c r="B212" s="2"/>
      <c r="C212" s="2"/>
      <c r="D212" s="2"/>
      <c r="E212" s="2"/>
      <c r="F212" s="2"/>
      <c r="G212" s="2"/>
      <c r="H212" s="2"/>
      <c r="I212" s="2"/>
      <c r="J212" s="2"/>
      <c r="K212" s="2"/>
      <c r="L212" s="2"/>
      <c r="M212" s="2"/>
      <c r="N212" s="2"/>
      <c r="O212" s="2"/>
      <c r="P212" s="2"/>
      <c r="Q212" s="2"/>
      <c r="R212" s="2"/>
      <c r="S212" s="2"/>
      <c r="T212" s="2"/>
      <c r="U212" s="2"/>
    </row>
    <row r="213" spans="1:21" ht="15.75" customHeight="1">
      <c r="A213" s="1"/>
      <c r="B213" s="2"/>
      <c r="C213" s="2"/>
      <c r="D213" s="2"/>
      <c r="E213" s="2"/>
      <c r="F213" s="2"/>
      <c r="G213" s="2"/>
      <c r="H213" s="2"/>
      <c r="I213" s="2"/>
      <c r="J213" s="2"/>
      <c r="K213" s="2"/>
      <c r="L213" s="2"/>
      <c r="M213" s="2"/>
      <c r="N213" s="2"/>
      <c r="O213" s="2"/>
      <c r="P213" s="2"/>
      <c r="Q213" s="2"/>
      <c r="R213" s="2"/>
      <c r="S213" s="2"/>
      <c r="T213" s="2"/>
      <c r="U213" s="2"/>
    </row>
    <row r="214" spans="1:21" ht="15.75" customHeight="1">
      <c r="A214" s="1"/>
      <c r="B214" s="2"/>
      <c r="C214" s="2"/>
      <c r="D214" s="2"/>
      <c r="E214" s="2"/>
      <c r="F214" s="2"/>
      <c r="G214" s="2"/>
      <c r="H214" s="2"/>
      <c r="I214" s="2"/>
      <c r="J214" s="2"/>
      <c r="K214" s="2"/>
      <c r="L214" s="2"/>
      <c r="M214" s="2"/>
      <c r="N214" s="2"/>
      <c r="O214" s="2"/>
      <c r="P214" s="2"/>
      <c r="Q214" s="2"/>
      <c r="R214" s="2"/>
      <c r="S214" s="2"/>
      <c r="T214" s="2"/>
      <c r="U214" s="2"/>
    </row>
    <row r="215" spans="1:21" ht="15.75" customHeight="1">
      <c r="A215" s="1"/>
      <c r="B215" s="2"/>
      <c r="C215" s="2"/>
      <c r="D215" s="2"/>
      <c r="E215" s="2"/>
      <c r="F215" s="2"/>
      <c r="G215" s="2"/>
      <c r="H215" s="2"/>
      <c r="I215" s="2"/>
      <c r="J215" s="2"/>
      <c r="K215" s="2"/>
      <c r="L215" s="2"/>
      <c r="M215" s="2"/>
      <c r="N215" s="2"/>
      <c r="O215" s="2"/>
      <c r="P215" s="2"/>
      <c r="Q215" s="2"/>
      <c r="R215" s="2"/>
      <c r="S215" s="2"/>
      <c r="T215" s="2"/>
      <c r="U215" s="2"/>
    </row>
    <row r="216" spans="1:21" ht="15.75" customHeight="1">
      <c r="A216" s="1"/>
      <c r="B216" s="2"/>
      <c r="C216" s="2"/>
      <c r="D216" s="2"/>
      <c r="E216" s="2"/>
      <c r="F216" s="2"/>
      <c r="G216" s="2"/>
      <c r="H216" s="2"/>
      <c r="I216" s="2"/>
      <c r="J216" s="2"/>
      <c r="K216" s="2"/>
      <c r="L216" s="2"/>
      <c r="M216" s="2"/>
      <c r="N216" s="2"/>
      <c r="O216" s="2"/>
      <c r="P216" s="2"/>
      <c r="Q216" s="2"/>
      <c r="R216" s="2"/>
      <c r="S216" s="2"/>
      <c r="T216" s="2"/>
      <c r="U216" s="2"/>
    </row>
    <row r="217" spans="1:21" ht="15.75" customHeight="1">
      <c r="A217" s="1"/>
      <c r="B217" s="2"/>
      <c r="C217" s="2"/>
      <c r="D217" s="2"/>
      <c r="E217" s="2"/>
      <c r="F217" s="2"/>
      <c r="G217" s="2"/>
      <c r="H217" s="2"/>
      <c r="I217" s="2"/>
      <c r="J217" s="2"/>
      <c r="K217" s="2"/>
      <c r="L217" s="2"/>
      <c r="M217" s="2"/>
      <c r="N217" s="2"/>
      <c r="O217" s="2"/>
      <c r="P217" s="2"/>
      <c r="Q217" s="2"/>
      <c r="R217" s="2"/>
      <c r="S217" s="2"/>
      <c r="T217" s="2"/>
      <c r="U217" s="2"/>
    </row>
    <row r="218" spans="1:21" ht="15.75" customHeight="1">
      <c r="A218" s="1"/>
      <c r="B218" s="2"/>
      <c r="C218" s="2"/>
      <c r="D218" s="2"/>
      <c r="E218" s="2"/>
      <c r="F218" s="2"/>
      <c r="G218" s="2"/>
      <c r="H218" s="2"/>
      <c r="I218" s="2"/>
      <c r="J218" s="2"/>
      <c r="K218" s="2"/>
      <c r="L218" s="2"/>
      <c r="M218" s="2"/>
      <c r="N218" s="2"/>
      <c r="O218" s="2"/>
      <c r="P218" s="2"/>
      <c r="Q218" s="2"/>
      <c r="R218" s="2"/>
      <c r="S218" s="2"/>
      <c r="T218" s="2"/>
      <c r="U218" s="2"/>
    </row>
    <row r="219" spans="1:21" ht="15.75" customHeight="1">
      <c r="A219" s="1"/>
      <c r="B219" s="2"/>
      <c r="C219" s="2"/>
      <c r="D219" s="2"/>
      <c r="E219" s="2"/>
      <c r="F219" s="2"/>
      <c r="G219" s="2"/>
      <c r="H219" s="2"/>
      <c r="I219" s="2"/>
      <c r="J219" s="2"/>
      <c r="K219" s="2"/>
      <c r="L219" s="2"/>
      <c r="M219" s="2"/>
      <c r="N219" s="2"/>
      <c r="O219" s="2"/>
      <c r="P219" s="2"/>
      <c r="Q219" s="2"/>
      <c r="R219" s="2"/>
      <c r="S219" s="2"/>
      <c r="T219" s="2"/>
      <c r="U219" s="2"/>
    </row>
    <row r="220" spans="1:21" ht="15.75" customHeight="1">
      <c r="A220" s="1"/>
      <c r="B220" s="2"/>
      <c r="C220" s="2"/>
      <c r="D220" s="2"/>
      <c r="E220" s="2"/>
      <c r="F220" s="2"/>
      <c r="G220" s="2"/>
      <c r="H220" s="2"/>
      <c r="I220" s="2"/>
      <c r="J220" s="2"/>
      <c r="K220" s="2"/>
      <c r="L220" s="2"/>
      <c r="M220" s="2"/>
      <c r="N220" s="2"/>
      <c r="O220" s="2"/>
      <c r="P220" s="2"/>
      <c r="Q220" s="2"/>
      <c r="R220" s="2"/>
      <c r="S220" s="2"/>
      <c r="T220" s="2"/>
      <c r="U220" s="2"/>
    </row>
    <row r="221" spans="1:21" ht="15.75" customHeight="1">
      <c r="A221" s="1"/>
      <c r="B221" s="2"/>
      <c r="C221" s="2"/>
      <c r="D221" s="2"/>
      <c r="E221" s="2"/>
      <c r="F221" s="2"/>
      <c r="G221" s="2"/>
      <c r="H221" s="2"/>
      <c r="I221" s="2"/>
      <c r="J221" s="2"/>
      <c r="K221" s="2"/>
      <c r="L221" s="2"/>
      <c r="M221" s="2"/>
      <c r="N221" s="2"/>
      <c r="O221" s="2"/>
      <c r="P221" s="2"/>
      <c r="Q221" s="2"/>
      <c r="R221" s="2"/>
      <c r="S221" s="2"/>
      <c r="T221" s="2"/>
      <c r="U221" s="2"/>
    </row>
    <row r="222" spans="1:21" ht="15.75" customHeight="1">
      <c r="A222" s="1"/>
      <c r="B222" s="2"/>
      <c r="C222" s="2"/>
      <c r="D222" s="2"/>
      <c r="E222" s="2"/>
      <c r="F222" s="2"/>
      <c r="G222" s="2"/>
      <c r="H222" s="2"/>
      <c r="I222" s="2"/>
      <c r="J222" s="2"/>
      <c r="K222" s="2"/>
      <c r="L222" s="2"/>
      <c r="M222" s="2"/>
      <c r="N222" s="2"/>
      <c r="O222" s="2"/>
      <c r="P222" s="2"/>
      <c r="Q222" s="2"/>
      <c r="R222" s="2"/>
      <c r="S222" s="2"/>
      <c r="T222" s="2"/>
      <c r="U222" s="2"/>
    </row>
    <row r="223" spans="1:21" ht="15.75" customHeight="1">
      <c r="A223" s="1"/>
      <c r="B223" s="2"/>
      <c r="C223" s="2"/>
      <c r="D223" s="2"/>
      <c r="E223" s="2"/>
      <c r="F223" s="2"/>
      <c r="G223" s="2"/>
      <c r="H223" s="2"/>
      <c r="I223" s="2"/>
      <c r="J223" s="2"/>
      <c r="K223" s="2"/>
      <c r="L223" s="2"/>
      <c r="M223" s="2"/>
      <c r="N223" s="2"/>
      <c r="O223" s="2"/>
      <c r="P223" s="2"/>
      <c r="Q223" s="2"/>
      <c r="R223" s="2"/>
      <c r="S223" s="2"/>
      <c r="T223" s="2"/>
      <c r="U223" s="2"/>
    </row>
    <row r="224" spans="1:21" ht="15.75" customHeight="1">
      <c r="A224" s="1"/>
      <c r="B224" s="2"/>
      <c r="C224" s="2"/>
      <c r="D224" s="2"/>
      <c r="E224" s="2"/>
      <c r="F224" s="2"/>
      <c r="G224" s="2"/>
      <c r="H224" s="2"/>
      <c r="I224" s="2"/>
      <c r="J224" s="2"/>
      <c r="K224" s="2"/>
      <c r="L224" s="2"/>
      <c r="M224" s="2"/>
      <c r="N224" s="2"/>
      <c r="O224" s="2"/>
      <c r="P224" s="2"/>
      <c r="Q224" s="2"/>
      <c r="R224" s="2"/>
      <c r="S224" s="2"/>
      <c r="T224" s="2"/>
      <c r="U224" s="2"/>
    </row>
    <row r="225" spans="1:21" ht="15.75" customHeight="1">
      <c r="A225" s="1"/>
      <c r="B225" s="2"/>
      <c r="C225" s="2"/>
      <c r="D225" s="2"/>
      <c r="E225" s="2"/>
      <c r="F225" s="2"/>
      <c r="G225" s="2"/>
      <c r="H225" s="2"/>
      <c r="I225" s="2"/>
      <c r="J225" s="2"/>
      <c r="K225" s="2"/>
      <c r="L225" s="2"/>
      <c r="M225" s="2"/>
      <c r="N225" s="2"/>
      <c r="O225" s="2"/>
      <c r="P225" s="2"/>
      <c r="Q225" s="2"/>
      <c r="R225" s="2"/>
      <c r="S225" s="2"/>
      <c r="T225" s="2"/>
      <c r="U225" s="2"/>
    </row>
    <row r="226" spans="1:21" ht="15.75" customHeight="1">
      <c r="A226" s="1"/>
      <c r="B226" s="2"/>
      <c r="C226" s="2"/>
      <c r="D226" s="2"/>
      <c r="E226" s="2"/>
      <c r="F226" s="2"/>
      <c r="G226" s="2"/>
      <c r="H226" s="2"/>
      <c r="I226" s="2"/>
      <c r="J226" s="2"/>
      <c r="K226" s="2"/>
      <c r="L226" s="2"/>
      <c r="M226" s="2"/>
      <c r="N226" s="2"/>
      <c r="O226" s="2"/>
      <c r="P226" s="2"/>
      <c r="Q226" s="2"/>
      <c r="R226" s="2"/>
      <c r="S226" s="2"/>
      <c r="T226" s="2"/>
      <c r="U226" s="2"/>
    </row>
    <row r="227" spans="1:21" ht="15.75" customHeight="1">
      <c r="A227" s="1"/>
      <c r="B227" s="2"/>
      <c r="C227" s="2"/>
      <c r="D227" s="2"/>
      <c r="E227" s="2"/>
      <c r="F227" s="2"/>
      <c r="G227" s="2"/>
      <c r="H227" s="2"/>
      <c r="I227" s="2"/>
      <c r="J227" s="2"/>
      <c r="K227" s="2"/>
      <c r="L227" s="2"/>
      <c r="M227" s="2"/>
      <c r="N227" s="2"/>
      <c r="O227" s="2"/>
      <c r="P227" s="2"/>
      <c r="Q227" s="2"/>
      <c r="R227" s="2"/>
      <c r="S227" s="2"/>
      <c r="T227" s="2"/>
      <c r="U227" s="2"/>
    </row>
    <row r="228" spans="1:21" ht="15.75" customHeight="1">
      <c r="A228" s="1"/>
      <c r="B228" s="2"/>
      <c r="C228" s="2"/>
      <c r="D228" s="2"/>
      <c r="E228" s="2"/>
      <c r="F228" s="2"/>
      <c r="G228" s="2"/>
      <c r="H228" s="2"/>
      <c r="I228" s="2"/>
      <c r="J228" s="2"/>
      <c r="K228" s="2"/>
      <c r="L228" s="2"/>
      <c r="M228" s="2"/>
      <c r="N228" s="2"/>
      <c r="O228" s="2"/>
      <c r="P228" s="2"/>
      <c r="Q228" s="2"/>
      <c r="R228" s="2"/>
      <c r="S228" s="2"/>
      <c r="T228" s="2"/>
      <c r="U228" s="2"/>
    </row>
    <row r="229" spans="1:21" ht="15.75" customHeight="1">
      <c r="A229" s="1"/>
      <c r="B229" s="2"/>
      <c r="C229" s="2"/>
      <c r="D229" s="2"/>
      <c r="E229" s="2"/>
      <c r="F229" s="2"/>
      <c r="G229" s="2"/>
      <c r="H229" s="2"/>
      <c r="I229" s="2"/>
      <c r="J229" s="2"/>
      <c r="K229" s="2"/>
      <c r="L229" s="2"/>
      <c r="M229" s="2"/>
      <c r="N229" s="2"/>
      <c r="O229" s="2"/>
      <c r="P229" s="2"/>
      <c r="Q229" s="2"/>
      <c r="R229" s="2"/>
      <c r="S229" s="2"/>
      <c r="T229" s="2"/>
      <c r="U229" s="2"/>
    </row>
    <row r="230" spans="1:21" ht="15.75" customHeight="1">
      <c r="A230" s="1"/>
      <c r="B230" s="2"/>
      <c r="C230" s="2"/>
      <c r="D230" s="2"/>
      <c r="E230" s="2"/>
      <c r="F230" s="2"/>
      <c r="G230" s="2"/>
      <c r="H230" s="2"/>
      <c r="I230" s="2"/>
      <c r="J230" s="2"/>
      <c r="K230" s="2"/>
      <c r="L230" s="2"/>
      <c r="M230" s="2"/>
      <c r="N230" s="2"/>
      <c r="O230" s="2"/>
      <c r="P230" s="2"/>
      <c r="Q230" s="2"/>
      <c r="R230" s="2"/>
      <c r="S230" s="2"/>
      <c r="T230" s="2"/>
      <c r="U230" s="2"/>
    </row>
    <row r="231" spans="1:21" ht="15.75" customHeight="1">
      <c r="A231" s="1"/>
      <c r="B231" s="2"/>
      <c r="C231" s="2"/>
      <c r="D231" s="2"/>
      <c r="E231" s="2"/>
      <c r="F231" s="2"/>
      <c r="G231" s="2"/>
      <c r="H231" s="2"/>
      <c r="I231" s="2"/>
      <c r="J231" s="2"/>
      <c r="K231" s="2"/>
      <c r="L231" s="2"/>
      <c r="M231" s="2"/>
      <c r="N231" s="2"/>
      <c r="O231" s="2"/>
      <c r="P231" s="2"/>
      <c r="Q231" s="2"/>
      <c r="R231" s="2"/>
      <c r="S231" s="2"/>
      <c r="T231" s="2"/>
      <c r="U231" s="2"/>
    </row>
    <row r="232" spans="1:21" ht="15.75" customHeight="1">
      <c r="A232" s="1"/>
      <c r="B232" s="2"/>
      <c r="C232" s="2"/>
      <c r="D232" s="2"/>
      <c r="E232" s="2"/>
      <c r="F232" s="2"/>
      <c r="G232" s="2"/>
      <c r="H232" s="2"/>
      <c r="I232" s="2"/>
      <c r="J232" s="2"/>
      <c r="K232" s="2"/>
      <c r="L232" s="2"/>
      <c r="M232" s="2"/>
      <c r="N232" s="2"/>
      <c r="O232" s="2"/>
      <c r="P232" s="2"/>
      <c r="Q232" s="2"/>
      <c r="R232" s="2"/>
      <c r="S232" s="2"/>
      <c r="T232" s="2"/>
      <c r="U232" s="2"/>
    </row>
    <row r="233" spans="1:21" ht="15.75" customHeight="1">
      <c r="A233" s="1"/>
      <c r="B233" s="2"/>
      <c r="C233" s="2"/>
      <c r="D233" s="2"/>
      <c r="E233" s="2"/>
      <c r="F233" s="2"/>
      <c r="G233" s="2"/>
      <c r="H233" s="2"/>
      <c r="I233" s="2"/>
      <c r="J233" s="2"/>
      <c r="K233" s="2"/>
      <c r="L233" s="2"/>
      <c r="M233" s="2"/>
      <c r="N233" s="2"/>
      <c r="O233" s="2"/>
      <c r="P233" s="2"/>
      <c r="Q233" s="2"/>
      <c r="R233" s="2"/>
      <c r="S233" s="2"/>
      <c r="T233" s="2"/>
      <c r="U233" s="2"/>
    </row>
    <row r="234" spans="1:21" ht="15.75" customHeight="1">
      <c r="A234" s="1"/>
      <c r="B234" s="2"/>
      <c r="C234" s="2"/>
      <c r="D234" s="2"/>
      <c r="E234" s="2"/>
      <c r="F234" s="2"/>
      <c r="G234" s="2"/>
      <c r="H234" s="2"/>
      <c r="I234" s="2"/>
      <c r="J234" s="2"/>
      <c r="K234" s="2"/>
      <c r="L234" s="2"/>
      <c r="M234" s="2"/>
      <c r="N234" s="2"/>
      <c r="O234" s="2"/>
      <c r="P234" s="2"/>
      <c r="Q234" s="2"/>
      <c r="R234" s="2"/>
      <c r="S234" s="2"/>
      <c r="T234" s="2"/>
      <c r="U234" s="2"/>
    </row>
    <row r="235" spans="1:21" ht="15.75" customHeight="1">
      <c r="A235" s="1"/>
      <c r="B235" s="2"/>
      <c r="C235" s="2"/>
      <c r="D235" s="2"/>
      <c r="E235" s="2"/>
      <c r="F235" s="2"/>
      <c r="G235" s="2"/>
      <c r="H235" s="2"/>
      <c r="I235" s="2"/>
      <c r="J235" s="2"/>
      <c r="K235" s="2"/>
      <c r="L235" s="2"/>
      <c r="M235" s="2"/>
      <c r="N235" s="2"/>
      <c r="O235" s="2"/>
      <c r="P235" s="2"/>
      <c r="Q235" s="2"/>
      <c r="R235" s="2"/>
      <c r="S235" s="2"/>
      <c r="T235" s="2"/>
      <c r="U235" s="2"/>
    </row>
    <row r="236" spans="1:21" ht="15.75" customHeight="1">
      <c r="A236" s="1"/>
      <c r="B236" s="2"/>
      <c r="C236" s="2"/>
      <c r="D236" s="2"/>
      <c r="E236" s="2"/>
      <c r="F236" s="2"/>
      <c r="G236" s="2"/>
      <c r="H236" s="2"/>
      <c r="I236" s="2"/>
      <c r="J236" s="2"/>
      <c r="K236" s="2"/>
      <c r="L236" s="2"/>
      <c r="M236" s="2"/>
      <c r="N236" s="2"/>
      <c r="O236" s="2"/>
      <c r="P236" s="2"/>
      <c r="Q236" s="2"/>
      <c r="R236" s="2"/>
      <c r="S236" s="2"/>
      <c r="T236" s="2"/>
      <c r="U236" s="2"/>
    </row>
    <row r="237" spans="1:21" ht="15.75" customHeight="1">
      <c r="A237" s="1"/>
      <c r="B237" s="2"/>
      <c r="C237" s="2"/>
      <c r="D237" s="2"/>
      <c r="E237" s="2"/>
      <c r="F237" s="2"/>
      <c r="G237" s="2"/>
      <c r="H237" s="2"/>
      <c r="I237" s="2"/>
      <c r="J237" s="2"/>
      <c r="K237" s="2"/>
      <c r="L237" s="2"/>
      <c r="M237" s="2"/>
      <c r="N237" s="2"/>
      <c r="O237" s="2"/>
      <c r="P237" s="2"/>
      <c r="Q237" s="2"/>
      <c r="R237" s="2"/>
      <c r="S237" s="2"/>
      <c r="T237" s="2"/>
      <c r="U237" s="2"/>
    </row>
    <row r="238" spans="1:21" ht="15.75" customHeight="1">
      <c r="A238" s="1"/>
      <c r="B238" s="2"/>
      <c r="C238" s="2"/>
      <c r="D238" s="2"/>
      <c r="E238" s="2"/>
      <c r="F238" s="2"/>
      <c r="G238" s="2"/>
      <c r="H238" s="2"/>
      <c r="I238" s="2"/>
      <c r="J238" s="2"/>
      <c r="K238" s="2"/>
      <c r="L238" s="2"/>
      <c r="M238" s="2"/>
      <c r="N238" s="2"/>
      <c r="O238" s="2"/>
      <c r="P238" s="2"/>
      <c r="Q238" s="2"/>
      <c r="R238" s="2"/>
      <c r="S238" s="2"/>
      <c r="T238" s="2"/>
      <c r="U238" s="2"/>
    </row>
    <row r="239" spans="1:21" ht="15.75" customHeight="1">
      <c r="A239" s="1"/>
      <c r="B239" s="2"/>
      <c r="C239" s="2"/>
      <c r="D239" s="2"/>
      <c r="E239" s="2"/>
      <c r="F239" s="2"/>
      <c r="G239" s="2"/>
      <c r="H239" s="2"/>
      <c r="I239" s="2"/>
      <c r="J239" s="2"/>
      <c r="K239" s="2"/>
      <c r="L239" s="2"/>
      <c r="M239" s="2"/>
      <c r="N239" s="2"/>
      <c r="O239" s="2"/>
      <c r="P239" s="2"/>
      <c r="Q239" s="2"/>
      <c r="R239" s="2"/>
      <c r="S239" s="2"/>
      <c r="T239" s="2"/>
      <c r="U239" s="2"/>
    </row>
    <row r="240" spans="1:21" ht="15.75" customHeight="1">
      <c r="A240" s="1"/>
      <c r="B240" s="2"/>
      <c r="C240" s="2"/>
      <c r="D240" s="2"/>
      <c r="E240" s="2"/>
      <c r="F240" s="2"/>
      <c r="G240" s="2"/>
      <c r="H240" s="2"/>
      <c r="I240" s="2"/>
      <c r="J240" s="2"/>
      <c r="K240" s="2"/>
      <c r="L240" s="2"/>
      <c r="M240" s="2"/>
      <c r="N240" s="2"/>
      <c r="O240" s="2"/>
      <c r="P240" s="2"/>
      <c r="Q240" s="2"/>
      <c r="R240" s="2"/>
      <c r="S240" s="2"/>
      <c r="T240" s="2"/>
      <c r="U240" s="2"/>
    </row>
    <row r="241" spans="1:21" ht="15.75" customHeight="1">
      <c r="A241" s="1"/>
      <c r="B241" s="2"/>
      <c r="C241" s="2"/>
      <c r="D241" s="2"/>
      <c r="E241" s="2"/>
      <c r="F241" s="2"/>
      <c r="G241" s="2"/>
      <c r="H241" s="2"/>
      <c r="I241" s="2"/>
      <c r="J241" s="2"/>
      <c r="K241" s="2"/>
      <c r="L241" s="2"/>
      <c r="M241" s="2"/>
      <c r="N241" s="2"/>
      <c r="O241" s="2"/>
      <c r="P241" s="2"/>
      <c r="Q241" s="2"/>
      <c r="R241" s="2"/>
      <c r="S241" s="2"/>
      <c r="T241" s="2"/>
      <c r="U241" s="2"/>
    </row>
    <row r="242" spans="1:21" ht="15.75" customHeight="1">
      <c r="A242" s="1"/>
      <c r="B242" s="2"/>
      <c r="C242" s="2"/>
      <c r="D242" s="2"/>
      <c r="E242" s="2"/>
      <c r="F242" s="2"/>
      <c r="G242" s="2"/>
      <c r="H242" s="2"/>
      <c r="I242" s="2"/>
      <c r="J242" s="2"/>
      <c r="K242" s="2"/>
      <c r="L242" s="2"/>
      <c r="M242" s="2"/>
      <c r="N242" s="2"/>
      <c r="O242" s="2"/>
      <c r="P242" s="2"/>
      <c r="Q242" s="2"/>
      <c r="R242" s="2"/>
      <c r="S242" s="2"/>
      <c r="T242" s="2"/>
      <c r="U242" s="2"/>
    </row>
    <row r="243" spans="1:21" ht="15.75" customHeight="1">
      <c r="A243" s="1"/>
      <c r="B243" s="2"/>
      <c r="C243" s="2"/>
      <c r="D243" s="2"/>
      <c r="E243" s="2"/>
      <c r="F243" s="2"/>
      <c r="G243" s="2"/>
      <c r="H243" s="2"/>
      <c r="I243" s="2"/>
      <c r="J243" s="2"/>
      <c r="K243" s="2"/>
      <c r="L243" s="2"/>
      <c r="M243" s="2"/>
      <c r="N243" s="2"/>
      <c r="O243" s="2"/>
      <c r="P243" s="2"/>
      <c r="Q243" s="2"/>
      <c r="R243" s="2"/>
      <c r="S243" s="2"/>
      <c r="T243" s="2"/>
      <c r="U243" s="2"/>
    </row>
    <row r="244" spans="1:21" ht="15.75" customHeight="1">
      <c r="A244" s="1"/>
      <c r="B244" s="2"/>
      <c r="C244" s="2"/>
      <c r="D244" s="2"/>
      <c r="E244" s="2"/>
      <c r="F244" s="2"/>
      <c r="G244" s="2"/>
      <c r="H244" s="2"/>
      <c r="I244" s="2"/>
      <c r="J244" s="2"/>
      <c r="K244" s="2"/>
      <c r="L244" s="2"/>
      <c r="M244" s="2"/>
      <c r="N244" s="2"/>
      <c r="O244" s="2"/>
      <c r="P244" s="2"/>
      <c r="Q244" s="2"/>
      <c r="R244" s="2"/>
      <c r="S244" s="2"/>
      <c r="T244" s="2"/>
      <c r="U244" s="2"/>
    </row>
    <row r="245" spans="1:21" ht="15.75" customHeight="1">
      <c r="A245" s="1"/>
      <c r="B245" s="2"/>
      <c r="C245" s="2"/>
      <c r="D245" s="2"/>
      <c r="E245" s="2"/>
      <c r="F245" s="2"/>
      <c r="G245" s="2"/>
      <c r="H245" s="2"/>
      <c r="I245" s="2"/>
      <c r="J245" s="2"/>
      <c r="K245" s="2"/>
      <c r="L245" s="2"/>
      <c r="M245" s="2"/>
      <c r="N245" s="2"/>
      <c r="O245" s="2"/>
      <c r="P245" s="2"/>
      <c r="Q245" s="2"/>
      <c r="R245" s="2"/>
      <c r="S245" s="2"/>
      <c r="T245" s="2"/>
      <c r="U245" s="2"/>
    </row>
    <row r="246" spans="1:21" ht="15.75" customHeight="1">
      <c r="A246" s="1"/>
      <c r="B246" s="2"/>
      <c r="C246" s="2"/>
      <c r="D246" s="2"/>
      <c r="E246" s="2"/>
      <c r="F246" s="2"/>
      <c r="G246" s="2"/>
      <c r="H246" s="2"/>
      <c r="I246" s="2"/>
      <c r="J246" s="2"/>
      <c r="K246" s="2"/>
      <c r="L246" s="2"/>
      <c r="M246" s="2"/>
      <c r="N246" s="2"/>
      <c r="O246" s="2"/>
      <c r="P246" s="2"/>
      <c r="Q246" s="2"/>
      <c r="R246" s="2"/>
      <c r="S246" s="2"/>
      <c r="T246" s="2"/>
      <c r="U246" s="2"/>
    </row>
    <row r="247" spans="1:21" ht="15.75" customHeight="1">
      <c r="A247" s="1"/>
      <c r="B247" s="2"/>
      <c r="C247" s="2"/>
      <c r="D247" s="2"/>
      <c r="E247" s="2"/>
      <c r="F247" s="2"/>
      <c r="G247" s="2"/>
      <c r="H247" s="2"/>
      <c r="I247" s="2"/>
      <c r="J247" s="2"/>
      <c r="K247" s="2"/>
      <c r="L247" s="2"/>
      <c r="M247" s="2"/>
      <c r="N247" s="2"/>
      <c r="O247" s="2"/>
      <c r="P247" s="2"/>
      <c r="Q247" s="2"/>
      <c r="R247" s="2"/>
      <c r="S247" s="2"/>
      <c r="T247" s="2"/>
      <c r="U247" s="2"/>
    </row>
    <row r="248" spans="1:21" ht="15.75" customHeight="1">
      <c r="A248" s="1"/>
      <c r="B248" s="2"/>
      <c r="C248" s="2"/>
      <c r="D248" s="2"/>
      <c r="E248" s="2"/>
      <c r="F248" s="2"/>
      <c r="G248" s="2"/>
      <c r="H248" s="2"/>
      <c r="I248" s="2"/>
      <c r="J248" s="2"/>
      <c r="K248" s="2"/>
      <c r="L248" s="2"/>
      <c r="M248" s="2"/>
      <c r="N248" s="2"/>
      <c r="O248" s="2"/>
      <c r="P248" s="2"/>
      <c r="Q248" s="2"/>
      <c r="R248" s="2"/>
      <c r="S248" s="2"/>
      <c r="T248" s="2"/>
      <c r="U248" s="2"/>
    </row>
    <row r="249" spans="1:21" ht="15.75" customHeight="1">
      <c r="A249" s="1"/>
      <c r="B249" s="2"/>
      <c r="C249" s="2"/>
      <c r="D249" s="2"/>
      <c r="E249" s="2"/>
      <c r="F249" s="2"/>
      <c r="G249" s="2"/>
      <c r="H249" s="2"/>
      <c r="I249" s="2"/>
      <c r="J249" s="2"/>
      <c r="K249" s="2"/>
      <c r="L249" s="2"/>
      <c r="M249" s="2"/>
      <c r="N249" s="2"/>
      <c r="O249" s="2"/>
      <c r="P249" s="2"/>
      <c r="Q249" s="2"/>
      <c r="R249" s="2"/>
      <c r="S249" s="2"/>
      <c r="T249" s="2"/>
      <c r="U249" s="2"/>
    </row>
    <row r="250" spans="1:21" ht="15.75" customHeight="1">
      <c r="A250" s="1"/>
      <c r="B250" s="2"/>
      <c r="C250" s="2"/>
      <c r="D250" s="2"/>
      <c r="E250" s="2"/>
      <c r="F250" s="2"/>
      <c r="G250" s="2"/>
      <c r="H250" s="2"/>
      <c r="I250" s="2"/>
      <c r="J250" s="2"/>
      <c r="K250" s="2"/>
      <c r="L250" s="2"/>
      <c r="M250" s="2"/>
      <c r="N250" s="2"/>
      <c r="O250" s="2"/>
      <c r="P250" s="2"/>
      <c r="Q250" s="2"/>
      <c r="R250" s="2"/>
      <c r="S250" s="2"/>
      <c r="T250" s="2"/>
      <c r="U250" s="2"/>
    </row>
    <row r="251" spans="1:21" ht="15.75" customHeight="1">
      <c r="A251" s="1"/>
      <c r="B251" s="2"/>
      <c r="C251" s="2"/>
      <c r="D251" s="2"/>
      <c r="E251" s="2"/>
      <c r="F251" s="2"/>
      <c r="G251" s="2"/>
      <c r="H251" s="2"/>
      <c r="I251" s="2"/>
      <c r="J251" s="2"/>
      <c r="K251" s="2"/>
      <c r="L251" s="2"/>
      <c r="M251" s="2"/>
      <c r="N251" s="2"/>
      <c r="O251" s="2"/>
      <c r="P251" s="2"/>
      <c r="Q251" s="2"/>
      <c r="R251" s="2"/>
      <c r="S251" s="2"/>
      <c r="T251" s="2"/>
      <c r="U251" s="2"/>
    </row>
    <row r="252" spans="1:21" ht="15.75" customHeight="1">
      <c r="A252" s="1"/>
      <c r="B252" s="2"/>
      <c r="C252" s="2"/>
      <c r="D252" s="2"/>
      <c r="E252" s="2"/>
      <c r="F252" s="2"/>
      <c r="G252" s="2"/>
      <c r="H252" s="2"/>
      <c r="I252" s="2"/>
      <c r="J252" s="2"/>
      <c r="K252" s="2"/>
      <c r="L252" s="2"/>
      <c r="M252" s="2"/>
      <c r="N252" s="2"/>
      <c r="O252" s="2"/>
      <c r="P252" s="2"/>
      <c r="Q252" s="2"/>
      <c r="R252" s="2"/>
      <c r="S252" s="2"/>
      <c r="T252" s="2"/>
      <c r="U252" s="2"/>
    </row>
    <row r="253" spans="1:21" ht="15.75" customHeight="1">
      <c r="A253" s="1"/>
      <c r="B253" s="2"/>
      <c r="C253" s="2"/>
      <c r="D253" s="2"/>
      <c r="E253" s="2"/>
      <c r="F253" s="2"/>
      <c r="G253" s="2"/>
      <c r="H253" s="2"/>
      <c r="I253" s="2"/>
      <c r="J253" s="2"/>
      <c r="K253" s="2"/>
      <c r="L253" s="2"/>
      <c r="M253" s="2"/>
      <c r="N253" s="2"/>
      <c r="O253" s="2"/>
      <c r="P253" s="2"/>
      <c r="Q253" s="2"/>
      <c r="R253" s="2"/>
      <c r="S253" s="2"/>
      <c r="T253" s="2"/>
      <c r="U253" s="2"/>
    </row>
    <row r="254" spans="1:21" ht="15.75" customHeight="1">
      <c r="A254" s="1"/>
      <c r="B254" s="2"/>
      <c r="C254" s="2"/>
      <c r="D254" s="2"/>
      <c r="E254" s="2"/>
      <c r="F254" s="2"/>
      <c r="G254" s="2"/>
      <c r="H254" s="2"/>
      <c r="I254" s="2"/>
      <c r="J254" s="2"/>
      <c r="K254" s="2"/>
      <c r="L254" s="2"/>
      <c r="M254" s="2"/>
      <c r="N254" s="2"/>
      <c r="O254" s="2"/>
      <c r="P254" s="2"/>
      <c r="Q254" s="2"/>
      <c r="R254" s="2"/>
      <c r="S254" s="2"/>
      <c r="T254" s="2"/>
      <c r="U254" s="2"/>
    </row>
    <row r="255" spans="1:21" ht="15.75" customHeight="1">
      <c r="A255" s="1"/>
      <c r="B255" s="2"/>
      <c r="C255" s="2"/>
      <c r="D255" s="2"/>
      <c r="E255" s="2"/>
      <c r="F255" s="2"/>
      <c r="G255" s="2"/>
      <c r="H255" s="2"/>
      <c r="I255" s="2"/>
      <c r="J255" s="2"/>
      <c r="K255" s="2"/>
      <c r="L255" s="2"/>
      <c r="M255" s="2"/>
      <c r="N255" s="2"/>
      <c r="O255" s="2"/>
      <c r="P255" s="2"/>
      <c r="Q255" s="2"/>
      <c r="R255" s="2"/>
      <c r="S255" s="2"/>
      <c r="T255" s="2"/>
      <c r="U255" s="2"/>
    </row>
    <row r="256" spans="1:21" ht="15.75" customHeight="1">
      <c r="A256" s="1"/>
      <c r="B256" s="2"/>
      <c r="C256" s="2"/>
      <c r="D256" s="2"/>
      <c r="E256" s="2"/>
      <c r="F256" s="2"/>
      <c r="G256" s="2"/>
      <c r="H256" s="2"/>
      <c r="I256" s="2"/>
      <c r="J256" s="2"/>
      <c r="K256" s="2"/>
      <c r="L256" s="2"/>
      <c r="M256" s="2"/>
      <c r="N256" s="2"/>
      <c r="O256" s="2"/>
      <c r="P256" s="2"/>
      <c r="Q256" s="2"/>
      <c r="R256" s="2"/>
      <c r="S256" s="2"/>
      <c r="T256" s="2"/>
      <c r="U256" s="2"/>
    </row>
    <row r="257" spans="1:21" ht="15.75" customHeight="1">
      <c r="A257" s="1"/>
      <c r="B257" s="2"/>
      <c r="C257" s="2"/>
      <c r="D257" s="2"/>
      <c r="E257" s="2"/>
      <c r="F257" s="2"/>
      <c r="G257" s="2"/>
      <c r="H257" s="2"/>
      <c r="I257" s="2"/>
      <c r="J257" s="2"/>
      <c r="K257" s="2"/>
      <c r="L257" s="2"/>
      <c r="M257" s="2"/>
      <c r="N257" s="2"/>
      <c r="O257" s="2"/>
      <c r="P257" s="2"/>
      <c r="Q257" s="2"/>
      <c r="R257" s="2"/>
      <c r="S257" s="2"/>
      <c r="T257" s="2"/>
      <c r="U257" s="2"/>
    </row>
    <row r="258" spans="1:21" ht="15.75" customHeight="1">
      <c r="A258" s="1"/>
      <c r="B258" s="2"/>
      <c r="C258" s="2"/>
      <c r="D258" s="2"/>
      <c r="E258" s="2"/>
      <c r="F258" s="2"/>
      <c r="G258" s="2"/>
      <c r="H258" s="2"/>
      <c r="I258" s="2"/>
      <c r="J258" s="2"/>
      <c r="K258" s="2"/>
      <c r="L258" s="2"/>
      <c r="M258" s="2"/>
      <c r="N258" s="2"/>
      <c r="O258" s="2"/>
      <c r="P258" s="2"/>
      <c r="Q258" s="2"/>
      <c r="R258" s="2"/>
      <c r="S258" s="2"/>
      <c r="T258" s="2"/>
      <c r="U258" s="2"/>
    </row>
    <row r="259" spans="1:21" ht="15.75" customHeight="1">
      <c r="A259" s="1"/>
      <c r="B259" s="2"/>
      <c r="C259" s="2"/>
      <c r="D259" s="2"/>
      <c r="E259" s="2"/>
      <c r="F259" s="2"/>
      <c r="G259" s="2"/>
      <c r="H259" s="2"/>
      <c r="I259" s="2"/>
      <c r="J259" s="2"/>
      <c r="K259" s="2"/>
      <c r="L259" s="2"/>
      <c r="M259" s="2"/>
      <c r="N259" s="2"/>
      <c r="O259" s="2"/>
      <c r="P259" s="2"/>
      <c r="Q259" s="2"/>
      <c r="R259" s="2"/>
      <c r="S259" s="2"/>
      <c r="T259" s="2"/>
      <c r="U259" s="2"/>
    </row>
    <row r="260" spans="1:21" ht="15.75" customHeight="1">
      <c r="A260" s="1"/>
      <c r="B260" s="2"/>
      <c r="C260" s="2"/>
      <c r="D260" s="2"/>
      <c r="E260" s="2"/>
      <c r="F260" s="2"/>
      <c r="G260" s="2"/>
      <c r="H260" s="2"/>
      <c r="I260" s="2"/>
      <c r="J260" s="2"/>
      <c r="K260" s="2"/>
      <c r="L260" s="2"/>
      <c r="M260" s="2"/>
      <c r="N260" s="2"/>
      <c r="O260" s="2"/>
      <c r="P260" s="2"/>
      <c r="Q260" s="2"/>
      <c r="R260" s="2"/>
      <c r="S260" s="2"/>
      <c r="T260" s="2"/>
      <c r="U260" s="2"/>
    </row>
    <row r="261" spans="1:21" ht="15.75" customHeight="1">
      <c r="A261" s="1"/>
      <c r="B261" s="2"/>
      <c r="C261" s="2"/>
      <c r="D261" s="2"/>
      <c r="E261" s="2"/>
      <c r="F261" s="2"/>
      <c r="G261" s="2"/>
      <c r="H261" s="2"/>
      <c r="I261" s="2"/>
      <c r="J261" s="2"/>
      <c r="K261" s="2"/>
      <c r="L261" s="2"/>
      <c r="M261" s="2"/>
      <c r="N261" s="2"/>
      <c r="O261" s="2"/>
      <c r="P261" s="2"/>
      <c r="Q261" s="2"/>
      <c r="R261" s="2"/>
      <c r="S261" s="2"/>
      <c r="T261" s="2"/>
      <c r="U261" s="2"/>
    </row>
    <row r="262" spans="1:21" ht="15.75" customHeight="1">
      <c r="A262" s="1"/>
      <c r="B262" s="2"/>
      <c r="C262" s="2"/>
      <c r="D262" s="2"/>
      <c r="E262" s="2"/>
      <c r="F262" s="2"/>
      <c r="G262" s="2"/>
      <c r="H262" s="2"/>
      <c r="I262" s="2"/>
      <c r="J262" s="2"/>
      <c r="K262" s="2"/>
      <c r="L262" s="2"/>
      <c r="M262" s="2"/>
      <c r="N262" s="2"/>
      <c r="O262" s="2"/>
      <c r="P262" s="2"/>
      <c r="Q262" s="2"/>
      <c r="R262" s="2"/>
      <c r="S262" s="2"/>
      <c r="T262" s="2"/>
      <c r="U262" s="2"/>
    </row>
    <row r="263" spans="1:21" ht="15.75" customHeight="1">
      <c r="A263" s="1"/>
      <c r="B263" s="2"/>
      <c r="C263" s="2"/>
      <c r="D263" s="2"/>
      <c r="E263" s="2"/>
      <c r="F263" s="2"/>
      <c r="G263" s="2"/>
      <c r="H263" s="2"/>
      <c r="I263" s="2"/>
      <c r="J263" s="2"/>
      <c r="K263" s="2"/>
      <c r="L263" s="2"/>
      <c r="M263" s="2"/>
      <c r="N263" s="2"/>
      <c r="O263" s="2"/>
      <c r="P263" s="2"/>
      <c r="Q263" s="2"/>
      <c r="R263" s="2"/>
      <c r="S263" s="2"/>
      <c r="T263" s="2"/>
      <c r="U263" s="2"/>
    </row>
    <row r="264" spans="1:21" ht="15.75" customHeight="1">
      <c r="A264" s="1"/>
      <c r="B264" s="2"/>
      <c r="C264" s="2"/>
      <c r="D264" s="2"/>
      <c r="E264" s="2"/>
      <c r="F264" s="2"/>
      <c r="G264" s="2"/>
      <c r="H264" s="2"/>
      <c r="I264" s="2"/>
      <c r="J264" s="2"/>
      <c r="K264" s="2"/>
      <c r="L264" s="2"/>
      <c r="M264" s="2"/>
      <c r="N264" s="2"/>
      <c r="O264" s="2"/>
      <c r="P264" s="2"/>
      <c r="Q264" s="2"/>
      <c r="R264" s="2"/>
      <c r="S264" s="2"/>
      <c r="T264" s="2"/>
      <c r="U264" s="2"/>
    </row>
    <row r="265" spans="1:21" ht="15.75" customHeight="1">
      <c r="A265" s="1"/>
      <c r="B265" s="2"/>
      <c r="C265" s="2"/>
      <c r="D265" s="2"/>
      <c r="E265" s="2"/>
      <c r="F265" s="2"/>
      <c r="G265" s="2"/>
      <c r="H265" s="2"/>
      <c r="I265" s="2"/>
      <c r="J265" s="2"/>
      <c r="K265" s="2"/>
      <c r="L265" s="2"/>
      <c r="M265" s="2"/>
      <c r="N265" s="2"/>
      <c r="O265" s="2"/>
      <c r="P265" s="2"/>
      <c r="Q265" s="2"/>
      <c r="R265" s="2"/>
      <c r="S265" s="2"/>
      <c r="T265" s="2"/>
      <c r="U265" s="2"/>
    </row>
    <row r="266" spans="1:21" ht="15.75" customHeight="1">
      <c r="A266" s="1"/>
      <c r="B266" s="2"/>
      <c r="C266" s="2"/>
      <c r="D266" s="2"/>
      <c r="E266" s="2"/>
      <c r="F266" s="2"/>
      <c r="G266" s="2"/>
      <c r="H266" s="2"/>
      <c r="I266" s="2"/>
      <c r="J266" s="2"/>
      <c r="K266" s="2"/>
      <c r="L266" s="2"/>
      <c r="M266" s="2"/>
      <c r="N266" s="2"/>
      <c r="O266" s="2"/>
      <c r="P266" s="2"/>
      <c r="Q266" s="2"/>
      <c r="R266" s="2"/>
      <c r="S266" s="2"/>
      <c r="T266" s="2"/>
      <c r="U266" s="2"/>
    </row>
    <row r="267" spans="1:21" ht="15.75" customHeight="1">
      <c r="A267" s="1"/>
      <c r="B267" s="2"/>
      <c r="C267" s="2"/>
      <c r="D267" s="2"/>
      <c r="E267" s="2"/>
      <c r="F267" s="2"/>
      <c r="G267" s="2"/>
      <c r="H267" s="2"/>
      <c r="I267" s="2"/>
      <c r="J267" s="2"/>
      <c r="K267" s="2"/>
      <c r="L267" s="2"/>
      <c r="M267" s="2"/>
      <c r="N267" s="2"/>
      <c r="O267" s="2"/>
      <c r="P267" s="2"/>
      <c r="Q267" s="2"/>
      <c r="R267" s="2"/>
      <c r="S267" s="2"/>
      <c r="T267" s="2"/>
      <c r="U267" s="2"/>
    </row>
    <row r="268" spans="1:21" ht="15.75" customHeight="1">
      <c r="A268" s="1"/>
      <c r="B268" s="2"/>
      <c r="C268" s="2"/>
      <c r="D268" s="2"/>
      <c r="E268" s="2"/>
      <c r="F268" s="2"/>
      <c r="G268" s="2"/>
      <c r="H268" s="2"/>
      <c r="I268" s="2"/>
      <c r="J268" s="2"/>
      <c r="K268" s="2"/>
      <c r="L268" s="2"/>
      <c r="M268" s="2"/>
      <c r="N268" s="2"/>
      <c r="O268" s="2"/>
      <c r="P268" s="2"/>
      <c r="Q268" s="2"/>
      <c r="R268" s="2"/>
      <c r="S268" s="2"/>
      <c r="T268" s="2"/>
      <c r="U268" s="2"/>
    </row>
    <row r="269" spans="1:21" ht="15.75" customHeight="1">
      <c r="A269" s="1"/>
      <c r="B269" s="2"/>
      <c r="C269" s="2"/>
      <c r="D269" s="2"/>
      <c r="E269" s="2"/>
      <c r="F269" s="2"/>
      <c r="G269" s="2"/>
      <c r="H269" s="2"/>
      <c r="I269" s="2"/>
      <c r="J269" s="2"/>
      <c r="K269" s="2"/>
      <c r="L269" s="2"/>
      <c r="M269" s="2"/>
      <c r="N269" s="2"/>
      <c r="O269" s="2"/>
      <c r="P269" s="2"/>
      <c r="Q269" s="2"/>
      <c r="R269" s="2"/>
      <c r="S269" s="2"/>
      <c r="T269" s="2"/>
      <c r="U269" s="2"/>
    </row>
    <row r="270" spans="1:21" ht="15.75" customHeight="1">
      <c r="A270" s="1"/>
      <c r="B270" s="2"/>
      <c r="C270" s="2"/>
      <c r="D270" s="2"/>
      <c r="E270" s="2"/>
      <c r="F270" s="2"/>
      <c r="G270" s="2"/>
      <c r="H270" s="2"/>
      <c r="I270" s="2"/>
      <c r="J270" s="2"/>
      <c r="K270" s="2"/>
      <c r="L270" s="2"/>
      <c r="M270" s="2"/>
      <c r="N270" s="2"/>
      <c r="O270" s="2"/>
      <c r="P270" s="2"/>
      <c r="Q270" s="2"/>
      <c r="R270" s="2"/>
      <c r="S270" s="2"/>
      <c r="T270" s="2"/>
      <c r="U270" s="2"/>
    </row>
    <row r="271" spans="1:21" ht="15.75" customHeight="1">
      <c r="A271" s="1"/>
      <c r="B271" s="2"/>
      <c r="C271" s="2"/>
      <c r="D271" s="2"/>
      <c r="E271" s="2"/>
      <c r="F271" s="2"/>
      <c r="G271" s="2"/>
      <c r="H271" s="2"/>
      <c r="I271" s="2"/>
      <c r="J271" s="2"/>
      <c r="K271" s="2"/>
      <c r="L271" s="2"/>
      <c r="M271" s="2"/>
      <c r="N271" s="2"/>
      <c r="O271" s="2"/>
      <c r="P271" s="2"/>
      <c r="Q271" s="2"/>
      <c r="R271" s="2"/>
      <c r="S271" s="2"/>
      <c r="T271" s="2"/>
      <c r="U271" s="2"/>
    </row>
    <row r="272" spans="1:21" ht="15.75" customHeight="1">
      <c r="A272" s="1"/>
      <c r="B272" s="2"/>
      <c r="C272" s="2"/>
      <c r="D272" s="2"/>
      <c r="E272" s="2"/>
      <c r="F272" s="2"/>
      <c r="G272" s="2"/>
      <c r="H272" s="2"/>
      <c r="I272" s="2"/>
      <c r="J272" s="2"/>
      <c r="K272" s="2"/>
      <c r="L272" s="2"/>
      <c r="M272" s="2"/>
      <c r="N272" s="2"/>
      <c r="O272" s="2"/>
      <c r="P272" s="2"/>
      <c r="Q272" s="2"/>
      <c r="R272" s="2"/>
      <c r="S272" s="2"/>
      <c r="T272" s="2"/>
      <c r="U272" s="2"/>
    </row>
    <row r="273" spans="1:21" ht="15.75" customHeight="1">
      <c r="A273" s="1"/>
      <c r="B273" s="2"/>
      <c r="C273" s="2"/>
      <c r="D273" s="2"/>
      <c r="E273" s="2"/>
      <c r="F273" s="2"/>
      <c r="G273" s="2"/>
      <c r="H273" s="2"/>
      <c r="I273" s="2"/>
      <c r="J273" s="2"/>
      <c r="K273" s="2"/>
      <c r="L273" s="2"/>
      <c r="M273" s="2"/>
      <c r="N273" s="2"/>
      <c r="O273" s="2"/>
      <c r="P273" s="2"/>
      <c r="Q273" s="2"/>
      <c r="R273" s="2"/>
      <c r="S273" s="2"/>
      <c r="T273" s="2"/>
      <c r="U273" s="2"/>
    </row>
    <row r="274" spans="1:21" ht="15.75" customHeight="1">
      <c r="A274" s="1"/>
      <c r="B274" s="2"/>
      <c r="C274" s="2"/>
      <c r="D274" s="2"/>
      <c r="E274" s="2"/>
      <c r="F274" s="2"/>
      <c r="G274" s="2"/>
      <c r="H274" s="2"/>
      <c r="I274" s="2"/>
      <c r="J274" s="2"/>
      <c r="K274" s="2"/>
      <c r="L274" s="2"/>
      <c r="M274" s="2"/>
      <c r="N274" s="2"/>
      <c r="O274" s="2"/>
      <c r="P274" s="2"/>
      <c r="Q274" s="2"/>
      <c r="R274" s="2"/>
      <c r="S274" s="2"/>
      <c r="T274" s="2"/>
      <c r="U274" s="2"/>
    </row>
    <row r="275" spans="1:21" ht="15.75" customHeight="1">
      <c r="A275" s="1"/>
      <c r="B275" s="2"/>
      <c r="C275" s="2"/>
      <c r="D275" s="2"/>
      <c r="E275" s="2"/>
      <c r="F275" s="2"/>
      <c r="G275" s="2"/>
      <c r="H275" s="2"/>
      <c r="I275" s="2"/>
      <c r="J275" s="2"/>
      <c r="K275" s="2"/>
      <c r="L275" s="2"/>
      <c r="M275" s="2"/>
      <c r="N275" s="2"/>
      <c r="O275" s="2"/>
      <c r="P275" s="2"/>
      <c r="Q275" s="2"/>
      <c r="R275" s="2"/>
      <c r="S275" s="2"/>
      <c r="T275" s="2"/>
      <c r="U275" s="2"/>
    </row>
    <row r="276" spans="1:21" ht="15.75" customHeight="1">
      <c r="A276" s="1"/>
      <c r="B276" s="2"/>
      <c r="C276" s="2"/>
      <c r="D276" s="2"/>
      <c r="E276" s="2"/>
      <c r="F276" s="2"/>
      <c r="G276" s="2"/>
      <c r="H276" s="2"/>
      <c r="I276" s="2"/>
      <c r="J276" s="2"/>
      <c r="K276" s="2"/>
      <c r="L276" s="2"/>
      <c r="M276" s="2"/>
      <c r="N276" s="2"/>
      <c r="O276" s="2"/>
      <c r="P276" s="2"/>
      <c r="Q276" s="2"/>
      <c r="R276" s="2"/>
      <c r="S276" s="2"/>
      <c r="T276" s="2"/>
      <c r="U276" s="2"/>
    </row>
    <row r="277" spans="1:21" ht="15.75" customHeight="1">
      <c r="A277" s="1"/>
      <c r="B277" s="2"/>
      <c r="C277" s="2"/>
      <c r="D277" s="2"/>
      <c r="E277" s="2"/>
      <c r="F277" s="2"/>
      <c r="G277" s="2"/>
      <c r="H277" s="2"/>
      <c r="I277" s="2"/>
      <c r="J277" s="2"/>
      <c r="K277" s="2"/>
      <c r="L277" s="2"/>
      <c r="M277" s="2"/>
      <c r="N277" s="2"/>
      <c r="O277" s="2"/>
      <c r="P277" s="2"/>
      <c r="Q277" s="2"/>
      <c r="R277" s="2"/>
      <c r="S277" s="2"/>
      <c r="T277" s="2"/>
      <c r="U277" s="2"/>
    </row>
    <row r="278" spans="1:21" ht="15.75" customHeight="1">
      <c r="A278" s="1"/>
      <c r="B278" s="2"/>
      <c r="C278" s="2"/>
      <c r="D278" s="2"/>
      <c r="E278" s="2"/>
      <c r="F278" s="2"/>
      <c r="G278" s="2"/>
      <c r="H278" s="2"/>
      <c r="I278" s="2"/>
      <c r="J278" s="2"/>
      <c r="K278" s="2"/>
      <c r="L278" s="2"/>
      <c r="M278" s="2"/>
      <c r="N278" s="2"/>
      <c r="O278" s="2"/>
      <c r="P278" s="2"/>
      <c r="Q278" s="2"/>
      <c r="R278" s="2"/>
      <c r="S278" s="2"/>
      <c r="T278" s="2"/>
      <c r="U278" s="2"/>
    </row>
    <row r="279" spans="1:21" ht="15.75" customHeight="1">
      <c r="A279" s="1"/>
      <c r="B279" s="2"/>
      <c r="C279" s="2"/>
      <c r="D279" s="2"/>
      <c r="E279" s="2"/>
      <c r="F279" s="2"/>
      <c r="G279" s="2"/>
      <c r="H279" s="2"/>
      <c r="I279" s="2"/>
      <c r="J279" s="2"/>
      <c r="K279" s="2"/>
      <c r="L279" s="2"/>
      <c r="M279" s="2"/>
      <c r="N279" s="2"/>
      <c r="O279" s="2"/>
      <c r="P279" s="2"/>
      <c r="Q279" s="2"/>
      <c r="R279" s="2"/>
      <c r="S279" s="2"/>
      <c r="T279" s="2"/>
      <c r="U279" s="2"/>
    </row>
    <row r="280" spans="1:21" ht="15.75" customHeight="1">
      <c r="A280" s="1"/>
      <c r="B280" s="2"/>
      <c r="C280" s="2"/>
      <c r="D280" s="2"/>
      <c r="E280" s="2"/>
      <c r="F280" s="2"/>
      <c r="G280" s="2"/>
      <c r="H280" s="2"/>
      <c r="I280" s="2"/>
      <c r="J280" s="2"/>
      <c r="K280" s="2"/>
      <c r="L280" s="2"/>
      <c r="M280" s="2"/>
      <c r="N280" s="2"/>
      <c r="O280" s="2"/>
      <c r="P280" s="2"/>
      <c r="Q280" s="2"/>
      <c r="R280" s="2"/>
      <c r="S280" s="2"/>
      <c r="T280" s="2"/>
      <c r="U280" s="2"/>
    </row>
    <row r="281" spans="1:21" ht="15.75" customHeight="1">
      <c r="A281" s="1"/>
      <c r="B281" s="2"/>
      <c r="C281" s="2"/>
      <c r="D281" s="2"/>
      <c r="E281" s="2"/>
      <c r="F281" s="2"/>
      <c r="G281" s="2"/>
      <c r="H281" s="2"/>
      <c r="I281" s="2"/>
      <c r="J281" s="2"/>
      <c r="K281" s="2"/>
      <c r="L281" s="2"/>
      <c r="M281" s="2"/>
      <c r="N281" s="2"/>
      <c r="O281" s="2"/>
      <c r="P281" s="2"/>
      <c r="Q281" s="2"/>
      <c r="R281" s="2"/>
      <c r="S281" s="2"/>
      <c r="T281" s="2"/>
      <c r="U281" s="2"/>
    </row>
    <row r="282" spans="1:21" ht="15.75" customHeight="1">
      <c r="A282" s="1"/>
      <c r="B282" s="2"/>
      <c r="C282" s="2"/>
      <c r="D282" s="2"/>
      <c r="E282" s="2"/>
      <c r="F282" s="2"/>
      <c r="G282" s="2"/>
      <c r="H282" s="2"/>
      <c r="I282" s="2"/>
      <c r="J282" s="2"/>
      <c r="K282" s="2"/>
      <c r="L282" s="2"/>
      <c r="M282" s="2"/>
      <c r="N282" s="2"/>
      <c r="O282" s="2"/>
      <c r="P282" s="2"/>
      <c r="Q282" s="2"/>
      <c r="R282" s="2"/>
      <c r="S282" s="2"/>
      <c r="T282" s="2"/>
      <c r="U282" s="2"/>
    </row>
    <row r="283" spans="1:21" ht="15.75" customHeight="1">
      <c r="A283" s="1"/>
      <c r="B283" s="2"/>
      <c r="C283" s="2"/>
      <c r="D283" s="2"/>
      <c r="E283" s="2"/>
      <c r="F283" s="2"/>
      <c r="G283" s="2"/>
      <c r="H283" s="2"/>
      <c r="I283" s="2"/>
      <c r="J283" s="2"/>
      <c r="K283" s="2"/>
      <c r="L283" s="2"/>
      <c r="M283" s="2"/>
      <c r="N283" s="2"/>
      <c r="O283" s="2"/>
      <c r="P283" s="2"/>
      <c r="Q283" s="2"/>
      <c r="R283" s="2"/>
      <c r="S283" s="2"/>
      <c r="T283" s="2"/>
      <c r="U283" s="2"/>
    </row>
    <row r="284" spans="1:21" ht="15.75" customHeight="1">
      <c r="A284" s="1"/>
      <c r="B284" s="2"/>
      <c r="C284" s="2"/>
      <c r="D284" s="2"/>
      <c r="E284" s="2"/>
      <c r="F284" s="2"/>
      <c r="G284" s="2"/>
      <c r="H284" s="2"/>
      <c r="I284" s="2"/>
      <c r="J284" s="2"/>
      <c r="K284" s="2"/>
      <c r="L284" s="2"/>
      <c r="M284" s="2"/>
      <c r="N284" s="2"/>
      <c r="O284" s="2"/>
      <c r="P284" s="2"/>
      <c r="Q284" s="2"/>
      <c r="R284" s="2"/>
      <c r="S284" s="2"/>
      <c r="T284" s="2"/>
      <c r="U284" s="2"/>
    </row>
    <row r="285" spans="1:21" ht="15.75" customHeight="1">
      <c r="A285" s="1"/>
      <c r="B285" s="2"/>
      <c r="C285" s="2"/>
      <c r="D285" s="2"/>
      <c r="E285" s="2"/>
      <c r="F285" s="2"/>
      <c r="G285" s="2"/>
      <c r="H285" s="2"/>
      <c r="I285" s="2"/>
      <c r="J285" s="2"/>
      <c r="K285" s="2"/>
      <c r="L285" s="2"/>
      <c r="M285" s="2"/>
      <c r="N285" s="2"/>
      <c r="O285" s="2"/>
      <c r="P285" s="2"/>
      <c r="Q285" s="2"/>
      <c r="R285" s="2"/>
      <c r="S285" s="2"/>
      <c r="T285" s="2"/>
      <c r="U285" s="2"/>
    </row>
    <row r="286" spans="1:21" ht="15.75" customHeight="1">
      <c r="A286" s="1"/>
      <c r="B286" s="2"/>
      <c r="C286" s="2"/>
      <c r="D286" s="2"/>
      <c r="E286" s="2"/>
      <c r="F286" s="2"/>
      <c r="G286" s="2"/>
      <c r="H286" s="2"/>
      <c r="I286" s="2"/>
      <c r="J286" s="2"/>
      <c r="K286" s="2"/>
      <c r="L286" s="2"/>
      <c r="M286" s="2"/>
      <c r="N286" s="2"/>
      <c r="O286" s="2"/>
      <c r="P286" s="2"/>
      <c r="Q286" s="2"/>
      <c r="R286" s="2"/>
      <c r="S286" s="2"/>
      <c r="T286" s="2"/>
      <c r="U286" s="2"/>
    </row>
    <row r="287" spans="1:21" ht="15.75" customHeight="1">
      <c r="A287" s="1"/>
      <c r="B287" s="2"/>
      <c r="C287" s="2"/>
      <c r="D287" s="2"/>
      <c r="E287" s="2"/>
      <c r="F287" s="2"/>
      <c r="G287" s="2"/>
      <c r="H287" s="2"/>
      <c r="I287" s="2"/>
      <c r="J287" s="2"/>
      <c r="K287" s="2"/>
      <c r="L287" s="2"/>
      <c r="M287" s="2"/>
      <c r="N287" s="2"/>
      <c r="O287" s="2"/>
      <c r="P287" s="2"/>
      <c r="Q287" s="2"/>
      <c r="R287" s="2"/>
      <c r="S287" s="2"/>
      <c r="T287" s="2"/>
      <c r="U287" s="2"/>
    </row>
    <row r="288" spans="1:21" ht="15.75" customHeight="1">
      <c r="A288" s="1"/>
      <c r="B288" s="2"/>
      <c r="C288" s="2"/>
      <c r="D288" s="2"/>
      <c r="E288" s="2"/>
      <c r="F288" s="2"/>
      <c r="G288" s="2"/>
      <c r="H288" s="2"/>
      <c r="I288" s="2"/>
      <c r="J288" s="2"/>
      <c r="K288" s="2"/>
      <c r="L288" s="2"/>
      <c r="M288" s="2"/>
      <c r="N288" s="2"/>
      <c r="O288" s="2"/>
      <c r="P288" s="2"/>
      <c r="Q288" s="2"/>
      <c r="R288" s="2"/>
      <c r="S288" s="2"/>
      <c r="T288" s="2"/>
      <c r="U288" s="2"/>
    </row>
    <row r="289" spans="1:21" ht="15.75" customHeight="1">
      <c r="A289" s="1"/>
      <c r="B289" s="2"/>
      <c r="C289" s="2"/>
      <c r="D289" s="2"/>
      <c r="E289" s="2"/>
      <c r="F289" s="2"/>
      <c r="G289" s="2"/>
      <c r="H289" s="2"/>
      <c r="I289" s="2"/>
      <c r="J289" s="2"/>
      <c r="K289" s="2"/>
      <c r="L289" s="2"/>
      <c r="M289" s="2"/>
      <c r="N289" s="2"/>
      <c r="O289" s="2"/>
      <c r="P289" s="2"/>
      <c r="Q289" s="2"/>
      <c r="R289" s="2"/>
      <c r="S289" s="2"/>
      <c r="T289" s="2"/>
      <c r="U289" s="2"/>
    </row>
    <row r="290" spans="1:21" ht="15.75" customHeight="1">
      <c r="A290" s="1"/>
      <c r="B290" s="2"/>
      <c r="C290" s="2"/>
      <c r="D290" s="2"/>
      <c r="E290" s="2"/>
      <c r="F290" s="2"/>
      <c r="G290" s="2"/>
      <c r="H290" s="2"/>
      <c r="I290" s="2"/>
      <c r="J290" s="2"/>
      <c r="K290" s="2"/>
      <c r="L290" s="2"/>
      <c r="M290" s="2"/>
      <c r="N290" s="2"/>
      <c r="O290" s="2"/>
      <c r="P290" s="2"/>
      <c r="Q290" s="2"/>
      <c r="R290" s="2"/>
      <c r="S290" s="2"/>
      <c r="T290" s="2"/>
      <c r="U290" s="2"/>
    </row>
    <row r="291" spans="1:21" ht="15.75" customHeight="1">
      <c r="A291" s="1"/>
      <c r="B291" s="2"/>
      <c r="C291" s="2"/>
      <c r="D291" s="2"/>
      <c r="E291" s="2"/>
      <c r="F291" s="2"/>
      <c r="G291" s="2"/>
      <c r="H291" s="2"/>
      <c r="I291" s="2"/>
      <c r="J291" s="2"/>
      <c r="K291" s="2"/>
      <c r="L291" s="2"/>
      <c r="M291" s="2"/>
      <c r="N291" s="2"/>
      <c r="O291" s="2"/>
      <c r="P291" s="2"/>
      <c r="Q291" s="2"/>
      <c r="R291" s="2"/>
      <c r="S291" s="2"/>
      <c r="T291" s="2"/>
      <c r="U291" s="2"/>
    </row>
    <row r="292" spans="1:21" ht="15.75" customHeight="1">
      <c r="A292" s="1"/>
      <c r="B292" s="2"/>
      <c r="C292" s="2"/>
      <c r="D292" s="2"/>
      <c r="E292" s="2"/>
      <c r="F292" s="2"/>
      <c r="G292" s="2"/>
      <c r="H292" s="2"/>
      <c r="I292" s="2"/>
      <c r="J292" s="2"/>
      <c r="K292" s="2"/>
      <c r="L292" s="2"/>
      <c r="M292" s="2"/>
      <c r="N292" s="2"/>
      <c r="O292" s="2"/>
      <c r="P292" s="2"/>
      <c r="Q292" s="2"/>
      <c r="R292" s="2"/>
      <c r="S292" s="2"/>
      <c r="T292" s="2"/>
      <c r="U292" s="2"/>
    </row>
    <row r="293" spans="1:21" ht="15.75" customHeight="1">
      <c r="A293" s="1"/>
      <c r="B293" s="2"/>
      <c r="C293" s="2"/>
      <c r="D293" s="2"/>
      <c r="E293" s="2"/>
      <c r="F293" s="2"/>
      <c r="G293" s="2"/>
      <c r="H293" s="2"/>
      <c r="I293" s="2"/>
      <c r="J293" s="2"/>
      <c r="K293" s="2"/>
      <c r="L293" s="2"/>
      <c r="M293" s="2"/>
      <c r="N293" s="2"/>
      <c r="O293" s="2"/>
      <c r="P293" s="2"/>
      <c r="Q293" s="2"/>
      <c r="R293" s="2"/>
      <c r="S293" s="2"/>
      <c r="T293" s="2"/>
      <c r="U293" s="2"/>
    </row>
    <row r="294" spans="1:21" ht="15.75" customHeight="1">
      <c r="A294" s="1"/>
      <c r="B294" s="2"/>
      <c r="C294" s="2"/>
      <c r="D294" s="2"/>
      <c r="E294" s="2"/>
      <c r="F294" s="2"/>
      <c r="G294" s="2"/>
      <c r="H294" s="2"/>
      <c r="I294" s="2"/>
      <c r="J294" s="2"/>
      <c r="K294" s="2"/>
      <c r="L294" s="2"/>
      <c r="M294" s="2"/>
      <c r="N294" s="2"/>
      <c r="O294" s="2"/>
      <c r="P294" s="2"/>
      <c r="Q294" s="2"/>
      <c r="R294" s="2"/>
      <c r="S294" s="2"/>
      <c r="T294" s="2"/>
      <c r="U294" s="2"/>
    </row>
    <row r="295" spans="1:21" ht="15.75" customHeight="1">
      <c r="A295" s="1"/>
      <c r="B295" s="2"/>
      <c r="C295" s="2"/>
      <c r="D295" s="2"/>
      <c r="E295" s="2"/>
      <c r="F295" s="2"/>
      <c r="G295" s="2"/>
      <c r="H295" s="2"/>
      <c r="I295" s="2"/>
      <c r="J295" s="2"/>
      <c r="K295" s="2"/>
      <c r="L295" s="2"/>
      <c r="M295" s="2"/>
      <c r="N295" s="2"/>
      <c r="O295" s="2"/>
      <c r="P295" s="2"/>
      <c r="Q295" s="2"/>
      <c r="R295" s="2"/>
      <c r="S295" s="2"/>
      <c r="T295" s="2"/>
      <c r="U295" s="2"/>
    </row>
    <row r="296" spans="1:21" ht="15.75" customHeight="1">
      <c r="A296" s="1"/>
      <c r="B296" s="2"/>
      <c r="C296" s="2"/>
      <c r="D296" s="2"/>
      <c r="E296" s="2"/>
      <c r="F296" s="2"/>
      <c r="G296" s="2"/>
      <c r="H296" s="2"/>
      <c r="I296" s="2"/>
      <c r="J296" s="2"/>
      <c r="K296" s="2"/>
      <c r="L296" s="2"/>
      <c r="M296" s="2"/>
      <c r="N296" s="2"/>
      <c r="O296" s="2"/>
      <c r="P296" s="2"/>
      <c r="Q296" s="2"/>
      <c r="R296" s="2"/>
      <c r="S296" s="2"/>
      <c r="T296" s="2"/>
      <c r="U296" s="2"/>
    </row>
    <row r="297" spans="1:21" ht="15.75" customHeight="1">
      <c r="A297" s="1"/>
      <c r="B297" s="2"/>
      <c r="C297" s="2"/>
      <c r="D297" s="2"/>
      <c r="E297" s="2"/>
      <c r="F297" s="2"/>
      <c r="G297" s="2"/>
      <c r="H297" s="2"/>
      <c r="I297" s="2"/>
      <c r="J297" s="2"/>
      <c r="K297" s="2"/>
      <c r="L297" s="2"/>
      <c r="M297" s="2"/>
      <c r="N297" s="2"/>
      <c r="O297" s="2"/>
      <c r="P297" s="2"/>
      <c r="Q297" s="2"/>
      <c r="R297" s="2"/>
      <c r="S297" s="2"/>
      <c r="T297" s="2"/>
      <c r="U297" s="2"/>
    </row>
    <row r="298" spans="1:21" ht="15.75" customHeight="1">
      <c r="A298" s="1"/>
      <c r="B298" s="2"/>
      <c r="C298" s="2"/>
      <c r="D298" s="2"/>
      <c r="E298" s="2"/>
      <c r="F298" s="2"/>
      <c r="G298" s="2"/>
      <c r="H298" s="2"/>
      <c r="I298" s="2"/>
      <c r="J298" s="2"/>
      <c r="K298" s="2"/>
      <c r="L298" s="2"/>
      <c r="M298" s="2"/>
      <c r="N298" s="2"/>
      <c r="O298" s="2"/>
      <c r="P298" s="2"/>
      <c r="Q298" s="2"/>
      <c r="R298" s="2"/>
      <c r="S298" s="2"/>
      <c r="T298" s="2"/>
      <c r="U298" s="2"/>
    </row>
    <row r="299" spans="1:21" ht="15.75" customHeight="1">
      <c r="A299" s="1"/>
      <c r="B299" s="2"/>
      <c r="C299" s="2"/>
      <c r="D299" s="2"/>
      <c r="E299" s="2"/>
      <c r="F299" s="2"/>
      <c r="G299" s="2"/>
      <c r="H299" s="2"/>
      <c r="I299" s="2"/>
      <c r="J299" s="2"/>
      <c r="K299" s="2"/>
      <c r="L299" s="2"/>
      <c r="M299" s="2"/>
      <c r="N299" s="2"/>
      <c r="O299" s="2"/>
      <c r="P299" s="2"/>
      <c r="Q299" s="2"/>
      <c r="R299" s="2"/>
      <c r="S299" s="2"/>
      <c r="T299" s="2"/>
      <c r="U299" s="2"/>
    </row>
    <row r="300" spans="1:21" ht="15.75" customHeight="1">
      <c r="A300" s="1"/>
      <c r="B300" s="2"/>
      <c r="C300" s="2"/>
      <c r="D300" s="2"/>
      <c r="E300" s="2"/>
      <c r="F300" s="2"/>
      <c r="G300" s="2"/>
      <c r="H300" s="2"/>
      <c r="I300" s="2"/>
      <c r="J300" s="2"/>
      <c r="K300" s="2"/>
      <c r="L300" s="2"/>
      <c r="M300" s="2"/>
      <c r="N300" s="2"/>
      <c r="O300" s="2"/>
      <c r="P300" s="2"/>
      <c r="Q300" s="2"/>
      <c r="R300" s="2"/>
      <c r="S300" s="2"/>
      <c r="T300" s="2"/>
      <c r="U300" s="2"/>
    </row>
    <row r="301" spans="1:21" ht="15.75" customHeight="1">
      <c r="A301" s="1"/>
      <c r="B301" s="2"/>
      <c r="C301" s="2"/>
      <c r="D301" s="2"/>
      <c r="E301" s="2"/>
      <c r="F301" s="2"/>
      <c r="G301" s="2"/>
      <c r="H301" s="2"/>
      <c r="I301" s="2"/>
      <c r="J301" s="2"/>
      <c r="K301" s="2"/>
      <c r="L301" s="2"/>
      <c r="M301" s="2"/>
      <c r="N301" s="2"/>
      <c r="O301" s="2"/>
      <c r="P301" s="2"/>
      <c r="Q301" s="2"/>
      <c r="R301" s="2"/>
      <c r="S301" s="2"/>
      <c r="T301" s="2"/>
      <c r="U301" s="2"/>
    </row>
    <row r="302" spans="1:21" ht="15.75" customHeight="1">
      <c r="A302" s="1"/>
      <c r="B302" s="2"/>
      <c r="C302" s="2"/>
      <c r="D302" s="2"/>
      <c r="E302" s="2"/>
      <c r="F302" s="2"/>
      <c r="G302" s="2"/>
      <c r="H302" s="2"/>
      <c r="I302" s="2"/>
      <c r="J302" s="2"/>
      <c r="K302" s="2"/>
      <c r="L302" s="2"/>
      <c r="M302" s="2"/>
      <c r="N302" s="2"/>
      <c r="O302" s="2"/>
      <c r="P302" s="2"/>
      <c r="Q302" s="2"/>
      <c r="R302" s="2"/>
      <c r="S302" s="2"/>
      <c r="T302" s="2"/>
      <c r="U302" s="2"/>
    </row>
    <row r="303" spans="1:21" ht="15.75" customHeight="1">
      <c r="A303" s="1"/>
      <c r="B303" s="2"/>
      <c r="C303" s="2"/>
      <c r="D303" s="2"/>
      <c r="E303" s="2"/>
      <c r="F303" s="2"/>
      <c r="G303" s="2"/>
      <c r="H303" s="2"/>
      <c r="I303" s="2"/>
      <c r="J303" s="2"/>
      <c r="K303" s="2"/>
      <c r="L303" s="2"/>
      <c r="M303" s="2"/>
      <c r="N303" s="2"/>
      <c r="O303" s="2"/>
      <c r="P303" s="2"/>
      <c r="Q303" s="2"/>
      <c r="R303" s="2"/>
      <c r="S303" s="2"/>
      <c r="T303" s="2"/>
      <c r="U303" s="2"/>
    </row>
    <row r="304" spans="1:21" ht="15.75" customHeight="1">
      <c r="A304" s="1"/>
      <c r="B304" s="2"/>
      <c r="C304" s="2"/>
      <c r="D304" s="2"/>
      <c r="E304" s="2"/>
      <c r="F304" s="2"/>
      <c r="G304" s="2"/>
      <c r="H304" s="2"/>
      <c r="I304" s="2"/>
      <c r="J304" s="2"/>
      <c r="K304" s="2"/>
      <c r="L304" s="2"/>
      <c r="M304" s="2"/>
      <c r="N304" s="2"/>
      <c r="O304" s="2"/>
      <c r="P304" s="2"/>
      <c r="Q304" s="2"/>
      <c r="R304" s="2"/>
      <c r="S304" s="2"/>
      <c r="T304" s="2"/>
      <c r="U304" s="2"/>
    </row>
    <row r="305" spans="1:21" ht="15.75" customHeight="1">
      <c r="A305" s="1"/>
      <c r="B305" s="2"/>
      <c r="C305" s="2"/>
      <c r="D305" s="2"/>
      <c r="E305" s="2"/>
      <c r="F305" s="2"/>
      <c r="G305" s="2"/>
      <c r="H305" s="2"/>
      <c r="I305" s="2"/>
      <c r="J305" s="2"/>
      <c r="K305" s="2"/>
      <c r="L305" s="2"/>
      <c r="M305" s="2"/>
      <c r="N305" s="2"/>
      <c r="O305" s="2"/>
      <c r="P305" s="2"/>
      <c r="Q305" s="2"/>
      <c r="R305" s="2"/>
      <c r="S305" s="2"/>
      <c r="T305" s="2"/>
      <c r="U305" s="2"/>
    </row>
    <row r="306" spans="1:21" ht="15.75" customHeight="1">
      <c r="A306" s="1"/>
      <c r="B306" s="2"/>
      <c r="C306" s="2"/>
      <c r="D306" s="2"/>
      <c r="E306" s="2"/>
      <c r="F306" s="2"/>
      <c r="G306" s="2"/>
      <c r="H306" s="2"/>
      <c r="I306" s="2"/>
      <c r="J306" s="2"/>
      <c r="K306" s="2"/>
      <c r="L306" s="2"/>
      <c r="M306" s="2"/>
      <c r="N306" s="2"/>
      <c r="O306" s="2"/>
      <c r="P306" s="2"/>
      <c r="Q306" s="2"/>
      <c r="R306" s="2"/>
      <c r="S306" s="2"/>
      <c r="T306" s="2"/>
      <c r="U306" s="2"/>
    </row>
    <row r="307" spans="1:21" ht="15.75" customHeight="1">
      <c r="A307" s="1"/>
      <c r="B307" s="2"/>
      <c r="C307" s="2"/>
      <c r="D307" s="2"/>
      <c r="E307" s="2"/>
      <c r="F307" s="2"/>
      <c r="G307" s="2"/>
      <c r="H307" s="2"/>
      <c r="I307" s="2"/>
      <c r="J307" s="2"/>
      <c r="K307" s="2"/>
      <c r="L307" s="2"/>
      <c r="M307" s="2"/>
      <c r="N307" s="2"/>
      <c r="O307" s="2"/>
      <c r="P307" s="2"/>
      <c r="Q307" s="2"/>
      <c r="R307" s="2"/>
      <c r="S307" s="2"/>
      <c r="T307" s="2"/>
      <c r="U307" s="2"/>
    </row>
    <row r="308" spans="1:21" ht="15.75" customHeight="1">
      <c r="A308" s="1"/>
      <c r="B308" s="2"/>
      <c r="C308" s="2"/>
      <c r="D308" s="2"/>
      <c r="E308" s="2"/>
      <c r="F308" s="2"/>
      <c r="G308" s="2"/>
      <c r="H308" s="2"/>
      <c r="I308" s="2"/>
      <c r="J308" s="2"/>
      <c r="K308" s="2"/>
      <c r="L308" s="2"/>
      <c r="M308" s="2"/>
      <c r="N308" s="2"/>
      <c r="O308" s="2"/>
      <c r="P308" s="2"/>
      <c r="Q308" s="2"/>
      <c r="R308" s="2"/>
      <c r="S308" s="2"/>
      <c r="T308" s="2"/>
      <c r="U308" s="2"/>
    </row>
    <row r="309" spans="1:21" ht="15.75" customHeight="1">
      <c r="A309" s="1"/>
      <c r="B309" s="2"/>
      <c r="C309" s="2"/>
      <c r="D309" s="2"/>
      <c r="E309" s="2"/>
      <c r="F309" s="2"/>
      <c r="G309" s="2"/>
      <c r="H309" s="2"/>
      <c r="I309" s="2"/>
      <c r="J309" s="2"/>
      <c r="K309" s="2"/>
      <c r="L309" s="2"/>
      <c r="M309" s="2"/>
      <c r="N309" s="2"/>
      <c r="O309" s="2"/>
      <c r="P309" s="2"/>
      <c r="Q309" s="2"/>
      <c r="R309" s="2"/>
      <c r="S309" s="2"/>
      <c r="T309" s="2"/>
      <c r="U309" s="2"/>
    </row>
    <row r="310" spans="1:21" ht="15.75" customHeight="1">
      <c r="A310" s="1"/>
      <c r="B310" s="2"/>
      <c r="C310" s="2"/>
      <c r="D310" s="2"/>
      <c r="E310" s="2"/>
      <c r="F310" s="2"/>
      <c r="G310" s="2"/>
      <c r="H310" s="2"/>
      <c r="I310" s="2"/>
      <c r="J310" s="2"/>
      <c r="K310" s="2"/>
      <c r="L310" s="2"/>
      <c r="M310" s="2"/>
      <c r="N310" s="2"/>
      <c r="O310" s="2"/>
      <c r="P310" s="2"/>
      <c r="Q310" s="2"/>
      <c r="R310" s="2"/>
      <c r="S310" s="2"/>
      <c r="T310" s="2"/>
      <c r="U310" s="2"/>
    </row>
    <row r="311" spans="1:21" ht="15.75" customHeight="1">
      <c r="A311" s="1"/>
      <c r="B311" s="2"/>
      <c r="C311" s="2"/>
      <c r="D311" s="2"/>
      <c r="E311" s="2"/>
      <c r="F311" s="2"/>
      <c r="G311" s="2"/>
      <c r="H311" s="2"/>
      <c r="I311" s="2"/>
      <c r="J311" s="2"/>
      <c r="K311" s="2"/>
      <c r="L311" s="2"/>
      <c r="M311" s="2"/>
      <c r="N311" s="2"/>
      <c r="O311" s="2"/>
      <c r="P311" s="2"/>
      <c r="Q311" s="2"/>
      <c r="R311" s="2"/>
      <c r="S311" s="2"/>
      <c r="T311" s="2"/>
      <c r="U311" s="2"/>
    </row>
    <row r="312" spans="1:21" ht="15.75" customHeight="1">
      <c r="A312" s="1"/>
      <c r="B312" s="2"/>
      <c r="C312" s="2"/>
      <c r="D312" s="2"/>
      <c r="E312" s="2"/>
      <c r="F312" s="2"/>
      <c r="G312" s="2"/>
      <c r="H312" s="2"/>
      <c r="I312" s="2"/>
      <c r="J312" s="2"/>
      <c r="K312" s="2"/>
      <c r="L312" s="2"/>
      <c r="M312" s="2"/>
      <c r="N312" s="2"/>
      <c r="O312" s="2"/>
      <c r="P312" s="2"/>
      <c r="Q312" s="2"/>
      <c r="R312" s="2"/>
      <c r="S312" s="2"/>
      <c r="T312" s="2"/>
      <c r="U312" s="2"/>
    </row>
    <row r="313" spans="1:21" ht="15.75" customHeight="1">
      <c r="A313" s="1"/>
      <c r="B313" s="2"/>
      <c r="C313" s="2"/>
      <c r="D313" s="2"/>
      <c r="E313" s="2"/>
      <c r="F313" s="2"/>
      <c r="G313" s="2"/>
      <c r="H313" s="2"/>
      <c r="I313" s="2"/>
      <c r="J313" s="2"/>
      <c r="K313" s="2"/>
      <c r="L313" s="2"/>
      <c r="M313" s="2"/>
      <c r="N313" s="2"/>
      <c r="O313" s="2"/>
      <c r="P313" s="2"/>
      <c r="Q313" s="2"/>
      <c r="R313" s="2"/>
      <c r="S313" s="2"/>
      <c r="T313" s="2"/>
      <c r="U313" s="2"/>
    </row>
    <row r="314" spans="1:21" ht="15.75" customHeight="1">
      <c r="A314" s="1"/>
      <c r="B314" s="2"/>
      <c r="C314" s="2"/>
      <c r="D314" s="2"/>
      <c r="E314" s="2"/>
      <c r="F314" s="2"/>
      <c r="G314" s="2"/>
      <c r="H314" s="2"/>
      <c r="I314" s="2"/>
      <c r="J314" s="2"/>
      <c r="K314" s="2"/>
      <c r="L314" s="2"/>
      <c r="M314" s="2"/>
      <c r="N314" s="2"/>
      <c r="O314" s="2"/>
      <c r="P314" s="2"/>
      <c r="Q314" s="2"/>
      <c r="R314" s="2"/>
      <c r="S314" s="2"/>
      <c r="T314" s="2"/>
      <c r="U314" s="2"/>
    </row>
    <row r="315" spans="1:21" ht="15.75" customHeight="1">
      <c r="A315" s="1"/>
      <c r="B315" s="2"/>
      <c r="C315" s="2"/>
      <c r="D315" s="2"/>
      <c r="E315" s="2"/>
      <c r="F315" s="2"/>
      <c r="G315" s="2"/>
      <c r="H315" s="2"/>
      <c r="I315" s="2"/>
      <c r="J315" s="2"/>
      <c r="K315" s="2"/>
      <c r="L315" s="2"/>
      <c r="M315" s="2"/>
      <c r="N315" s="2"/>
      <c r="O315" s="2"/>
      <c r="P315" s="2"/>
      <c r="Q315" s="2"/>
      <c r="R315" s="2"/>
      <c r="S315" s="2"/>
      <c r="T315" s="2"/>
      <c r="U315" s="2"/>
    </row>
    <row r="316" spans="1:21" ht="15.75" customHeight="1">
      <c r="A316" s="1"/>
      <c r="B316" s="2"/>
      <c r="C316" s="2"/>
      <c r="D316" s="2"/>
      <c r="E316" s="2"/>
      <c r="F316" s="2"/>
      <c r="G316" s="2"/>
      <c r="H316" s="2"/>
      <c r="I316" s="2"/>
      <c r="J316" s="2"/>
      <c r="K316" s="2"/>
      <c r="L316" s="2"/>
      <c r="M316" s="2"/>
      <c r="N316" s="2"/>
      <c r="O316" s="2"/>
      <c r="P316" s="2"/>
      <c r="Q316" s="2"/>
      <c r="R316" s="2"/>
      <c r="S316" s="2"/>
      <c r="T316" s="2"/>
      <c r="U316" s="2"/>
    </row>
    <row r="317" spans="1:21" ht="15.75" customHeight="1">
      <c r="A317" s="1"/>
      <c r="B317" s="2"/>
      <c r="C317" s="2"/>
      <c r="D317" s="2"/>
      <c r="E317" s="2"/>
      <c r="F317" s="2"/>
      <c r="G317" s="2"/>
      <c r="H317" s="2"/>
      <c r="I317" s="2"/>
      <c r="J317" s="2"/>
      <c r="K317" s="2"/>
      <c r="L317" s="2"/>
      <c r="M317" s="2"/>
      <c r="N317" s="2"/>
      <c r="O317" s="2"/>
      <c r="P317" s="2"/>
      <c r="Q317" s="2"/>
      <c r="R317" s="2"/>
      <c r="S317" s="2"/>
      <c r="T317" s="2"/>
      <c r="U317" s="2"/>
    </row>
    <row r="318" spans="1:21" ht="15.75" customHeight="1">
      <c r="A318" s="1"/>
      <c r="B318" s="2"/>
      <c r="C318" s="2"/>
      <c r="D318" s="2"/>
      <c r="E318" s="2"/>
      <c r="F318" s="2"/>
      <c r="G318" s="2"/>
      <c r="H318" s="2"/>
      <c r="I318" s="2"/>
      <c r="J318" s="2"/>
      <c r="K318" s="2"/>
      <c r="L318" s="2"/>
      <c r="M318" s="2"/>
      <c r="N318" s="2"/>
      <c r="O318" s="2"/>
      <c r="P318" s="2"/>
      <c r="Q318" s="2"/>
      <c r="R318" s="2"/>
      <c r="S318" s="2"/>
      <c r="T318" s="2"/>
      <c r="U318" s="2"/>
    </row>
    <row r="319" spans="1:21" ht="15.75" customHeight="1">
      <c r="A319" s="1"/>
      <c r="B319" s="2"/>
      <c r="C319" s="2"/>
      <c r="D319" s="2"/>
      <c r="E319" s="2"/>
      <c r="F319" s="2"/>
      <c r="G319" s="2"/>
      <c r="H319" s="2"/>
      <c r="I319" s="2"/>
      <c r="J319" s="2"/>
      <c r="K319" s="2"/>
      <c r="L319" s="2"/>
      <c r="M319" s="2"/>
      <c r="N319" s="2"/>
      <c r="O319" s="2"/>
      <c r="P319" s="2"/>
      <c r="Q319" s="2"/>
      <c r="R319" s="2"/>
      <c r="S319" s="2"/>
      <c r="T319" s="2"/>
      <c r="U319" s="2"/>
    </row>
    <row r="320" spans="1:21" ht="15.75" customHeight="1">
      <c r="A320" s="1"/>
      <c r="B320" s="2"/>
      <c r="C320" s="2"/>
      <c r="D320" s="2"/>
      <c r="E320" s="2"/>
      <c r="F320" s="2"/>
      <c r="G320" s="2"/>
      <c r="H320" s="2"/>
      <c r="I320" s="2"/>
      <c r="J320" s="2"/>
      <c r="K320" s="2"/>
      <c r="L320" s="2"/>
      <c r="M320" s="2"/>
      <c r="N320" s="2"/>
      <c r="O320" s="2"/>
      <c r="P320" s="2"/>
      <c r="Q320" s="2"/>
      <c r="R320" s="2"/>
      <c r="S320" s="2"/>
      <c r="T320" s="2"/>
      <c r="U320" s="2"/>
    </row>
    <row r="321" spans="1:21" ht="15.75" customHeight="1">
      <c r="A321" s="1"/>
      <c r="B321" s="2"/>
      <c r="C321" s="2"/>
      <c r="D321" s="2"/>
      <c r="E321" s="2"/>
      <c r="F321" s="2"/>
      <c r="G321" s="2"/>
      <c r="H321" s="2"/>
      <c r="I321" s="2"/>
      <c r="J321" s="2"/>
      <c r="K321" s="2"/>
      <c r="L321" s="2"/>
      <c r="M321" s="2"/>
      <c r="N321" s="2"/>
      <c r="O321" s="2"/>
      <c r="P321" s="2"/>
      <c r="Q321" s="2"/>
      <c r="R321" s="2"/>
      <c r="S321" s="2"/>
      <c r="T321" s="2"/>
      <c r="U321" s="2"/>
    </row>
    <row r="322" spans="1:21" ht="15.75" customHeight="1">
      <c r="A322" s="1"/>
      <c r="B322" s="2"/>
      <c r="C322" s="2"/>
      <c r="D322" s="2"/>
      <c r="E322" s="2"/>
      <c r="F322" s="2"/>
      <c r="G322" s="2"/>
      <c r="H322" s="2"/>
      <c r="I322" s="2"/>
      <c r="J322" s="2"/>
      <c r="K322" s="2"/>
      <c r="L322" s="2"/>
      <c r="M322" s="2"/>
      <c r="N322" s="2"/>
      <c r="O322" s="2"/>
      <c r="P322" s="2"/>
      <c r="Q322" s="2"/>
      <c r="R322" s="2"/>
      <c r="S322" s="2"/>
      <c r="T322" s="2"/>
      <c r="U322" s="2"/>
    </row>
    <row r="323" spans="1:21" ht="15.75" customHeight="1">
      <c r="A323" s="1"/>
      <c r="B323" s="2"/>
      <c r="C323" s="2"/>
      <c r="D323" s="2"/>
      <c r="E323" s="2"/>
      <c r="F323" s="2"/>
      <c r="G323" s="2"/>
      <c r="H323" s="2"/>
      <c r="I323" s="2"/>
      <c r="J323" s="2"/>
      <c r="K323" s="2"/>
      <c r="L323" s="2"/>
      <c r="M323" s="2"/>
      <c r="N323" s="2"/>
      <c r="O323" s="2"/>
      <c r="P323" s="2"/>
      <c r="Q323" s="2"/>
      <c r="R323" s="2"/>
      <c r="S323" s="2"/>
      <c r="T323" s="2"/>
      <c r="U323" s="2"/>
    </row>
    <row r="324" spans="1:21" ht="15.75" customHeight="1">
      <c r="A324" s="1"/>
      <c r="B324" s="2"/>
      <c r="C324" s="2"/>
      <c r="D324" s="2"/>
      <c r="E324" s="2"/>
      <c r="F324" s="2"/>
      <c r="G324" s="2"/>
      <c r="H324" s="2"/>
      <c r="I324" s="2"/>
      <c r="J324" s="2"/>
      <c r="K324" s="2"/>
      <c r="L324" s="2"/>
      <c r="M324" s="2"/>
      <c r="N324" s="2"/>
      <c r="O324" s="2"/>
      <c r="P324" s="2"/>
      <c r="Q324" s="2"/>
      <c r="R324" s="2"/>
      <c r="S324" s="2"/>
      <c r="T324" s="2"/>
      <c r="U324" s="2"/>
    </row>
    <row r="325" spans="1:21" ht="15.75" customHeight="1">
      <c r="A325" s="1"/>
      <c r="B325" s="2"/>
      <c r="C325" s="2"/>
      <c r="D325" s="2"/>
      <c r="E325" s="2"/>
      <c r="F325" s="2"/>
      <c r="G325" s="2"/>
      <c r="H325" s="2"/>
      <c r="I325" s="2"/>
      <c r="J325" s="2"/>
      <c r="K325" s="2"/>
      <c r="L325" s="2"/>
      <c r="M325" s="2"/>
      <c r="N325" s="2"/>
      <c r="O325" s="2"/>
      <c r="P325" s="2"/>
      <c r="Q325" s="2"/>
      <c r="R325" s="2"/>
      <c r="S325" s="2"/>
      <c r="T325" s="2"/>
      <c r="U325" s="2"/>
    </row>
    <row r="326" spans="1:21" ht="15.75" customHeight="1">
      <c r="A326" s="1"/>
      <c r="B326" s="2"/>
      <c r="C326" s="2"/>
      <c r="D326" s="2"/>
      <c r="E326" s="2"/>
      <c r="F326" s="2"/>
      <c r="G326" s="2"/>
      <c r="H326" s="2"/>
      <c r="I326" s="2"/>
      <c r="J326" s="2"/>
      <c r="K326" s="2"/>
      <c r="L326" s="2"/>
      <c r="M326" s="2"/>
      <c r="N326" s="2"/>
      <c r="O326" s="2"/>
      <c r="P326" s="2"/>
      <c r="Q326" s="2"/>
      <c r="R326" s="2"/>
      <c r="S326" s="2"/>
      <c r="T326" s="2"/>
      <c r="U326" s="2"/>
    </row>
    <row r="327" spans="1:21" ht="15.75" customHeight="1">
      <c r="A327" s="1"/>
      <c r="B327" s="2"/>
      <c r="C327" s="2"/>
      <c r="D327" s="2"/>
      <c r="E327" s="2"/>
      <c r="F327" s="2"/>
      <c r="G327" s="2"/>
      <c r="H327" s="2"/>
      <c r="I327" s="2"/>
      <c r="J327" s="2"/>
      <c r="K327" s="2"/>
      <c r="L327" s="2"/>
      <c r="M327" s="2"/>
      <c r="N327" s="2"/>
      <c r="O327" s="2"/>
      <c r="P327" s="2"/>
      <c r="Q327" s="2"/>
      <c r="R327" s="2"/>
      <c r="S327" s="2"/>
      <c r="T327" s="2"/>
      <c r="U327" s="2"/>
    </row>
    <row r="328" spans="1:21" ht="15.75" customHeight="1">
      <c r="A328" s="1"/>
      <c r="B328" s="2"/>
      <c r="C328" s="2"/>
      <c r="D328" s="2"/>
      <c r="E328" s="2"/>
      <c r="F328" s="2"/>
      <c r="G328" s="2"/>
      <c r="H328" s="2"/>
      <c r="I328" s="2"/>
      <c r="J328" s="2"/>
      <c r="K328" s="2"/>
      <c r="L328" s="2"/>
      <c r="M328" s="2"/>
      <c r="N328" s="2"/>
      <c r="O328" s="2"/>
      <c r="P328" s="2"/>
      <c r="Q328" s="2"/>
      <c r="R328" s="2"/>
      <c r="S328" s="2"/>
      <c r="T328" s="2"/>
      <c r="U328" s="2"/>
    </row>
    <row r="329" spans="1:21" ht="15.75" customHeight="1">
      <c r="A329" s="1"/>
      <c r="B329" s="2"/>
      <c r="C329" s="2"/>
      <c r="D329" s="2"/>
      <c r="E329" s="2"/>
      <c r="F329" s="2"/>
      <c r="G329" s="2"/>
      <c r="H329" s="2"/>
      <c r="I329" s="2"/>
      <c r="J329" s="2"/>
      <c r="K329" s="2"/>
      <c r="L329" s="2"/>
      <c r="M329" s="2"/>
      <c r="N329" s="2"/>
      <c r="O329" s="2"/>
      <c r="P329" s="2"/>
      <c r="Q329" s="2"/>
      <c r="R329" s="2"/>
      <c r="S329" s="2"/>
      <c r="T329" s="2"/>
      <c r="U329" s="2"/>
    </row>
    <row r="330" spans="1:21" ht="15.75" customHeight="1">
      <c r="A330" s="1"/>
      <c r="B330" s="2"/>
      <c r="C330" s="2"/>
      <c r="D330" s="2"/>
      <c r="E330" s="2"/>
      <c r="F330" s="2"/>
      <c r="G330" s="2"/>
      <c r="H330" s="2"/>
      <c r="I330" s="2"/>
      <c r="J330" s="2"/>
      <c r="K330" s="2"/>
      <c r="L330" s="2"/>
      <c r="M330" s="2"/>
      <c r="N330" s="2"/>
      <c r="O330" s="2"/>
      <c r="P330" s="2"/>
      <c r="Q330" s="2"/>
      <c r="R330" s="2"/>
      <c r="S330" s="2"/>
      <c r="T330" s="2"/>
      <c r="U330" s="2"/>
    </row>
    <row r="331" spans="1:21" ht="15.75" customHeight="1">
      <c r="A331" s="1"/>
      <c r="B331" s="2"/>
      <c r="C331" s="2"/>
      <c r="D331" s="2"/>
      <c r="E331" s="2"/>
      <c r="F331" s="2"/>
      <c r="G331" s="2"/>
      <c r="H331" s="2"/>
      <c r="I331" s="2"/>
      <c r="J331" s="2"/>
      <c r="K331" s="2"/>
      <c r="L331" s="2"/>
      <c r="M331" s="2"/>
      <c r="N331" s="2"/>
      <c r="O331" s="2"/>
      <c r="P331" s="2"/>
      <c r="Q331" s="2"/>
      <c r="R331" s="2"/>
      <c r="S331" s="2"/>
      <c r="T331" s="2"/>
      <c r="U331" s="2"/>
    </row>
    <row r="332" spans="1:21" ht="15.75" customHeight="1">
      <c r="A332" s="1"/>
      <c r="B332" s="2"/>
      <c r="C332" s="2"/>
      <c r="D332" s="2"/>
      <c r="E332" s="2"/>
      <c r="F332" s="2"/>
      <c r="G332" s="2"/>
      <c r="H332" s="2"/>
      <c r="I332" s="2"/>
      <c r="J332" s="2"/>
      <c r="K332" s="2"/>
      <c r="L332" s="2"/>
      <c r="M332" s="2"/>
      <c r="N332" s="2"/>
      <c r="O332" s="2"/>
      <c r="P332" s="2"/>
      <c r="Q332" s="2"/>
      <c r="R332" s="2"/>
      <c r="S332" s="2"/>
      <c r="T332" s="2"/>
      <c r="U332" s="2"/>
    </row>
    <row r="333" spans="1:21" ht="15.75" customHeight="1">
      <c r="A333" s="1"/>
      <c r="B333" s="2"/>
      <c r="C333" s="2"/>
      <c r="D333" s="2"/>
      <c r="E333" s="2"/>
      <c r="F333" s="2"/>
      <c r="G333" s="2"/>
      <c r="H333" s="2"/>
      <c r="I333" s="2"/>
      <c r="J333" s="2"/>
      <c r="K333" s="2"/>
      <c r="L333" s="2"/>
      <c r="M333" s="2"/>
      <c r="N333" s="2"/>
      <c r="O333" s="2"/>
      <c r="P333" s="2"/>
      <c r="Q333" s="2"/>
      <c r="R333" s="2"/>
      <c r="S333" s="2"/>
      <c r="T333" s="2"/>
      <c r="U333" s="2"/>
    </row>
    <row r="334" spans="1:21" ht="15.75" customHeight="1">
      <c r="A334" s="1"/>
      <c r="B334" s="2"/>
      <c r="C334" s="2"/>
      <c r="D334" s="2"/>
      <c r="E334" s="2"/>
      <c r="F334" s="2"/>
      <c r="G334" s="2"/>
      <c r="H334" s="2"/>
      <c r="I334" s="2"/>
      <c r="J334" s="2"/>
      <c r="K334" s="2"/>
      <c r="L334" s="2"/>
      <c r="M334" s="2"/>
      <c r="N334" s="2"/>
      <c r="O334" s="2"/>
      <c r="P334" s="2"/>
      <c r="Q334" s="2"/>
      <c r="R334" s="2"/>
      <c r="S334" s="2"/>
      <c r="T334" s="2"/>
      <c r="U334" s="2"/>
    </row>
    <row r="335" spans="1:21" ht="15.75" customHeight="1">
      <c r="A335" s="1"/>
      <c r="B335" s="2"/>
      <c r="C335" s="2"/>
      <c r="D335" s="2"/>
      <c r="E335" s="2"/>
      <c r="F335" s="2"/>
      <c r="G335" s="2"/>
      <c r="H335" s="2"/>
      <c r="I335" s="2"/>
      <c r="J335" s="2"/>
      <c r="K335" s="2"/>
      <c r="L335" s="2"/>
      <c r="M335" s="2"/>
      <c r="N335" s="2"/>
      <c r="O335" s="2"/>
      <c r="P335" s="2"/>
      <c r="Q335" s="2"/>
      <c r="R335" s="2"/>
      <c r="S335" s="2"/>
      <c r="T335" s="2"/>
      <c r="U335" s="2"/>
    </row>
    <row r="336" spans="1:21" ht="15.75" customHeight="1">
      <c r="A336" s="1"/>
      <c r="B336" s="2"/>
      <c r="C336" s="2"/>
      <c r="D336" s="2"/>
      <c r="E336" s="2"/>
      <c r="F336" s="2"/>
      <c r="G336" s="2"/>
      <c r="H336" s="2"/>
      <c r="I336" s="2"/>
      <c r="J336" s="2"/>
      <c r="K336" s="2"/>
      <c r="L336" s="2"/>
      <c r="M336" s="2"/>
      <c r="N336" s="2"/>
      <c r="O336" s="2"/>
      <c r="P336" s="2"/>
      <c r="Q336" s="2"/>
      <c r="R336" s="2"/>
      <c r="S336" s="2"/>
      <c r="T336" s="2"/>
      <c r="U336" s="2"/>
    </row>
    <row r="337" spans="1:21" ht="15.75" customHeight="1">
      <c r="A337" s="1"/>
      <c r="B337" s="2"/>
      <c r="C337" s="2"/>
      <c r="D337" s="2"/>
      <c r="E337" s="2"/>
      <c r="F337" s="2"/>
      <c r="G337" s="2"/>
      <c r="H337" s="2"/>
      <c r="I337" s="2"/>
      <c r="J337" s="2"/>
      <c r="K337" s="2"/>
      <c r="L337" s="2"/>
      <c r="M337" s="2"/>
      <c r="N337" s="2"/>
      <c r="O337" s="2"/>
      <c r="P337" s="2"/>
      <c r="Q337" s="2"/>
      <c r="R337" s="2"/>
      <c r="S337" s="2"/>
      <c r="T337" s="2"/>
      <c r="U337" s="2"/>
    </row>
    <row r="338" spans="1:21" ht="15.75" customHeight="1">
      <c r="A338" s="1"/>
      <c r="B338" s="2"/>
      <c r="C338" s="2"/>
      <c r="D338" s="2"/>
      <c r="E338" s="2"/>
      <c r="F338" s="2"/>
      <c r="G338" s="2"/>
      <c r="H338" s="2"/>
      <c r="I338" s="2"/>
      <c r="J338" s="2"/>
      <c r="K338" s="2"/>
      <c r="L338" s="2"/>
      <c r="M338" s="2"/>
      <c r="N338" s="2"/>
      <c r="O338" s="2"/>
      <c r="P338" s="2"/>
      <c r="Q338" s="2"/>
      <c r="R338" s="2"/>
      <c r="S338" s="2"/>
      <c r="T338" s="2"/>
      <c r="U338" s="2"/>
    </row>
    <row r="339" spans="1:21" ht="15.75" customHeight="1">
      <c r="A339" s="1"/>
      <c r="B339" s="2"/>
      <c r="C339" s="2"/>
      <c r="D339" s="2"/>
      <c r="E339" s="2"/>
      <c r="F339" s="2"/>
      <c r="G339" s="2"/>
      <c r="H339" s="2"/>
      <c r="I339" s="2"/>
      <c r="J339" s="2"/>
      <c r="K339" s="2"/>
      <c r="L339" s="2"/>
      <c r="M339" s="2"/>
      <c r="N339" s="2"/>
      <c r="O339" s="2"/>
      <c r="P339" s="2"/>
      <c r="Q339" s="2"/>
      <c r="R339" s="2"/>
      <c r="S339" s="2"/>
      <c r="T339" s="2"/>
      <c r="U339" s="2"/>
    </row>
    <row r="340" spans="1:21" ht="15.75" customHeight="1">
      <c r="A340" s="1"/>
      <c r="B340" s="2"/>
      <c r="C340" s="2"/>
      <c r="D340" s="2"/>
      <c r="E340" s="2"/>
      <c r="F340" s="2"/>
      <c r="G340" s="2"/>
      <c r="H340" s="2"/>
      <c r="I340" s="2"/>
      <c r="J340" s="2"/>
      <c r="K340" s="2"/>
      <c r="L340" s="2"/>
      <c r="M340" s="2"/>
      <c r="N340" s="2"/>
      <c r="O340" s="2"/>
      <c r="P340" s="2"/>
      <c r="Q340" s="2"/>
      <c r="R340" s="2"/>
      <c r="S340" s="2"/>
      <c r="T340" s="2"/>
      <c r="U340" s="2"/>
    </row>
    <row r="341" spans="1:21" ht="15.75" customHeight="1">
      <c r="A341" s="1"/>
      <c r="B341" s="2"/>
      <c r="C341" s="2"/>
      <c r="D341" s="2"/>
      <c r="E341" s="2"/>
      <c r="F341" s="2"/>
      <c r="G341" s="2"/>
      <c r="H341" s="2"/>
      <c r="I341" s="2"/>
      <c r="J341" s="2"/>
      <c r="K341" s="2"/>
      <c r="L341" s="2"/>
      <c r="M341" s="2"/>
      <c r="N341" s="2"/>
      <c r="O341" s="2"/>
      <c r="P341" s="2"/>
      <c r="Q341" s="2"/>
      <c r="R341" s="2"/>
      <c r="S341" s="2"/>
      <c r="T341" s="2"/>
      <c r="U341" s="2"/>
    </row>
    <row r="342" spans="1:21" ht="15.75" customHeight="1">
      <c r="A342" s="1"/>
      <c r="B342" s="2"/>
      <c r="C342" s="2"/>
      <c r="D342" s="2"/>
      <c r="E342" s="2"/>
      <c r="F342" s="2"/>
      <c r="G342" s="2"/>
      <c r="H342" s="2"/>
      <c r="I342" s="2"/>
      <c r="J342" s="2"/>
      <c r="K342" s="2"/>
      <c r="L342" s="2"/>
      <c r="M342" s="2"/>
      <c r="N342" s="2"/>
      <c r="O342" s="2"/>
      <c r="P342" s="2"/>
      <c r="Q342" s="2"/>
      <c r="R342" s="2"/>
      <c r="S342" s="2"/>
      <c r="T342" s="2"/>
      <c r="U342" s="2"/>
    </row>
    <row r="343" spans="1:21" ht="15.75" customHeight="1">
      <c r="A343" s="1"/>
      <c r="B343" s="2"/>
      <c r="C343" s="2"/>
      <c r="D343" s="2"/>
      <c r="E343" s="2"/>
      <c r="F343" s="2"/>
      <c r="G343" s="2"/>
      <c r="H343" s="2"/>
      <c r="I343" s="2"/>
      <c r="J343" s="2"/>
      <c r="K343" s="2"/>
      <c r="L343" s="2"/>
      <c r="M343" s="2"/>
      <c r="N343" s="2"/>
      <c r="O343" s="2"/>
      <c r="P343" s="2"/>
      <c r="Q343" s="2"/>
      <c r="R343" s="2"/>
      <c r="S343" s="2"/>
      <c r="T343" s="2"/>
      <c r="U343" s="2"/>
    </row>
    <row r="344" spans="1:21" ht="15.75" customHeight="1">
      <c r="A344" s="1"/>
      <c r="B344" s="2"/>
      <c r="C344" s="2"/>
      <c r="D344" s="2"/>
      <c r="E344" s="2"/>
      <c r="F344" s="2"/>
      <c r="G344" s="2"/>
      <c r="H344" s="2"/>
      <c r="I344" s="2"/>
      <c r="J344" s="2"/>
      <c r="K344" s="2"/>
      <c r="L344" s="2"/>
      <c r="M344" s="2"/>
      <c r="N344" s="2"/>
      <c r="O344" s="2"/>
      <c r="P344" s="2"/>
      <c r="Q344" s="2"/>
      <c r="R344" s="2"/>
      <c r="S344" s="2"/>
      <c r="T344" s="2"/>
      <c r="U344" s="2"/>
    </row>
    <row r="345" spans="1:21" ht="15.75" customHeight="1">
      <c r="A345" s="1"/>
      <c r="B345" s="2"/>
      <c r="C345" s="2"/>
      <c r="D345" s="2"/>
      <c r="E345" s="2"/>
      <c r="F345" s="2"/>
      <c r="G345" s="2"/>
      <c r="H345" s="2"/>
      <c r="I345" s="2"/>
      <c r="J345" s="2"/>
      <c r="K345" s="2"/>
      <c r="L345" s="2"/>
      <c r="M345" s="2"/>
      <c r="N345" s="2"/>
      <c r="O345" s="2"/>
      <c r="P345" s="2"/>
      <c r="Q345" s="2"/>
      <c r="R345" s="2"/>
      <c r="S345" s="2"/>
      <c r="T345" s="2"/>
      <c r="U345" s="2"/>
    </row>
    <row r="346" spans="1:21" ht="15.75" customHeight="1">
      <c r="A346" s="1"/>
      <c r="B346" s="2"/>
      <c r="C346" s="2"/>
      <c r="D346" s="2"/>
      <c r="E346" s="2"/>
      <c r="F346" s="2"/>
      <c r="G346" s="2"/>
      <c r="H346" s="2"/>
      <c r="I346" s="2"/>
      <c r="J346" s="2"/>
      <c r="K346" s="2"/>
      <c r="L346" s="2"/>
      <c r="M346" s="2"/>
      <c r="N346" s="2"/>
      <c r="O346" s="2"/>
      <c r="P346" s="2"/>
      <c r="Q346" s="2"/>
      <c r="R346" s="2"/>
      <c r="S346" s="2"/>
      <c r="T346" s="2"/>
      <c r="U346" s="2"/>
    </row>
    <row r="347" spans="1:21" ht="15.75" customHeight="1">
      <c r="A347" s="1"/>
      <c r="B347" s="2"/>
      <c r="C347" s="2"/>
      <c r="D347" s="2"/>
      <c r="E347" s="2"/>
      <c r="F347" s="2"/>
      <c r="G347" s="2"/>
      <c r="H347" s="2"/>
      <c r="I347" s="2"/>
      <c r="J347" s="2"/>
      <c r="K347" s="2"/>
      <c r="L347" s="2"/>
      <c r="M347" s="2"/>
      <c r="N347" s="2"/>
      <c r="O347" s="2"/>
      <c r="P347" s="2"/>
      <c r="Q347" s="2"/>
      <c r="R347" s="2"/>
      <c r="S347" s="2"/>
      <c r="T347" s="2"/>
      <c r="U347" s="2"/>
    </row>
    <row r="348" spans="1:21" ht="15.75" customHeight="1">
      <c r="A348" s="1"/>
      <c r="B348" s="2"/>
      <c r="C348" s="2"/>
      <c r="D348" s="2"/>
      <c r="E348" s="2"/>
      <c r="F348" s="2"/>
      <c r="G348" s="2"/>
      <c r="H348" s="2"/>
      <c r="I348" s="2"/>
      <c r="J348" s="2"/>
      <c r="K348" s="2"/>
      <c r="L348" s="2"/>
      <c r="M348" s="2"/>
      <c r="N348" s="2"/>
      <c r="O348" s="2"/>
      <c r="P348" s="2"/>
      <c r="Q348" s="2"/>
      <c r="R348" s="2"/>
      <c r="S348" s="2"/>
      <c r="T348" s="2"/>
      <c r="U348" s="2"/>
    </row>
    <row r="349" spans="1:21" ht="15.75" customHeight="1">
      <c r="A349" s="1"/>
      <c r="B349" s="2"/>
      <c r="C349" s="2"/>
      <c r="D349" s="2"/>
      <c r="E349" s="2"/>
      <c r="F349" s="2"/>
      <c r="G349" s="2"/>
      <c r="H349" s="2"/>
      <c r="I349" s="2"/>
      <c r="J349" s="2"/>
      <c r="K349" s="2"/>
      <c r="L349" s="2"/>
      <c r="M349" s="2"/>
      <c r="N349" s="2"/>
      <c r="O349" s="2"/>
      <c r="P349" s="2"/>
      <c r="Q349" s="2"/>
      <c r="R349" s="2"/>
      <c r="S349" s="2"/>
      <c r="T349" s="2"/>
      <c r="U349" s="2"/>
    </row>
    <row r="350" spans="1:21" ht="15.75" customHeight="1">
      <c r="A350" s="1"/>
      <c r="B350" s="2"/>
      <c r="C350" s="2"/>
      <c r="D350" s="2"/>
      <c r="E350" s="2"/>
      <c r="F350" s="2"/>
      <c r="G350" s="2"/>
      <c r="H350" s="2"/>
      <c r="I350" s="2"/>
      <c r="J350" s="2"/>
      <c r="K350" s="2"/>
      <c r="L350" s="2"/>
      <c r="M350" s="2"/>
      <c r="N350" s="2"/>
      <c r="O350" s="2"/>
      <c r="P350" s="2"/>
      <c r="Q350" s="2"/>
      <c r="R350" s="2"/>
      <c r="S350" s="2"/>
      <c r="T350" s="2"/>
      <c r="U350" s="2"/>
    </row>
    <row r="351" spans="1:21" ht="15.75" customHeight="1">
      <c r="A351" s="1"/>
      <c r="B351" s="2"/>
      <c r="C351" s="2"/>
      <c r="D351" s="2"/>
      <c r="E351" s="2"/>
      <c r="F351" s="2"/>
      <c r="G351" s="2"/>
      <c r="H351" s="2"/>
      <c r="I351" s="2"/>
      <c r="J351" s="2"/>
      <c r="K351" s="2"/>
      <c r="L351" s="2"/>
      <c r="M351" s="2"/>
      <c r="N351" s="2"/>
      <c r="O351" s="2"/>
      <c r="P351" s="2"/>
      <c r="Q351" s="2"/>
      <c r="R351" s="2"/>
      <c r="S351" s="2"/>
      <c r="T351" s="2"/>
      <c r="U351" s="2"/>
    </row>
    <row r="352" spans="1:21" ht="15.75" customHeight="1">
      <c r="A352" s="1"/>
      <c r="B352" s="2"/>
      <c r="C352" s="2"/>
      <c r="D352" s="2"/>
      <c r="E352" s="2"/>
      <c r="F352" s="2"/>
      <c r="G352" s="2"/>
      <c r="H352" s="2"/>
      <c r="I352" s="2"/>
      <c r="J352" s="2"/>
      <c r="K352" s="2"/>
      <c r="L352" s="2"/>
      <c r="M352" s="2"/>
      <c r="N352" s="2"/>
      <c r="O352" s="2"/>
      <c r="P352" s="2"/>
      <c r="Q352" s="2"/>
      <c r="R352" s="2"/>
      <c r="S352" s="2"/>
      <c r="T352" s="2"/>
      <c r="U352" s="2"/>
    </row>
    <row r="353" spans="1:21" ht="15.75" customHeight="1">
      <c r="A353" s="1"/>
      <c r="B353" s="2"/>
      <c r="C353" s="2"/>
      <c r="D353" s="2"/>
      <c r="E353" s="2"/>
      <c r="F353" s="2"/>
      <c r="G353" s="2"/>
      <c r="H353" s="2"/>
      <c r="I353" s="2"/>
      <c r="J353" s="2"/>
      <c r="K353" s="2"/>
      <c r="L353" s="2"/>
      <c r="M353" s="2"/>
      <c r="N353" s="2"/>
      <c r="O353" s="2"/>
      <c r="P353" s="2"/>
      <c r="Q353" s="2"/>
      <c r="R353" s="2"/>
      <c r="S353" s="2"/>
      <c r="T353" s="2"/>
      <c r="U353" s="2"/>
    </row>
    <row r="354" spans="1:21" ht="15.75" customHeight="1">
      <c r="A354" s="1"/>
      <c r="B354" s="2"/>
      <c r="C354" s="2"/>
      <c r="D354" s="2"/>
      <c r="E354" s="2"/>
      <c r="F354" s="2"/>
      <c r="G354" s="2"/>
      <c r="H354" s="2"/>
      <c r="I354" s="2"/>
      <c r="J354" s="2"/>
      <c r="K354" s="2"/>
      <c r="L354" s="2"/>
      <c r="M354" s="2"/>
      <c r="N354" s="2"/>
      <c r="O354" s="2"/>
      <c r="P354" s="2"/>
      <c r="Q354" s="2"/>
      <c r="R354" s="2"/>
      <c r="S354" s="2"/>
      <c r="T354" s="2"/>
      <c r="U354" s="2"/>
    </row>
    <row r="355" spans="1:21" ht="15.75" customHeight="1">
      <c r="A355" s="1"/>
      <c r="B355" s="2"/>
      <c r="C355" s="2"/>
      <c r="D355" s="2"/>
      <c r="E355" s="2"/>
      <c r="F355" s="2"/>
      <c r="G355" s="2"/>
      <c r="H355" s="2"/>
      <c r="I355" s="2"/>
      <c r="J355" s="2"/>
      <c r="K355" s="2"/>
      <c r="L355" s="2"/>
      <c r="M355" s="2"/>
      <c r="N355" s="2"/>
      <c r="O355" s="2"/>
      <c r="P355" s="2"/>
      <c r="Q355" s="2"/>
      <c r="R355" s="2"/>
      <c r="S355" s="2"/>
      <c r="T355" s="2"/>
      <c r="U355" s="2"/>
    </row>
    <row r="356" spans="1:21" ht="15.75" customHeight="1">
      <c r="A356" s="1"/>
      <c r="B356" s="2"/>
      <c r="C356" s="2"/>
      <c r="D356" s="2"/>
      <c r="E356" s="2"/>
      <c r="F356" s="2"/>
      <c r="G356" s="2"/>
      <c r="H356" s="2"/>
      <c r="I356" s="2"/>
      <c r="J356" s="2"/>
      <c r="K356" s="2"/>
      <c r="L356" s="2"/>
      <c r="M356" s="2"/>
      <c r="N356" s="2"/>
      <c r="O356" s="2"/>
      <c r="P356" s="2"/>
      <c r="Q356" s="2"/>
      <c r="R356" s="2"/>
      <c r="S356" s="2"/>
      <c r="T356" s="2"/>
      <c r="U356" s="2"/>
    </row>
    <row r="357" spans="1:21" ht="15.75" customHeight="1">
      <c r="A357" s="1"/>
      <c r="B357" s="2"/>
      <c r="C357" s="2"/>
      <c r="D357" s="2"/>
      <c r="E357" s="2"/>
      <c r="F357" s="2"/>
      <c r="G357" s="2"/>
      <c r="H357" s="2"/>
      <c r="I357" s="2"/>
      <c r="J357" s="2"/>
      <c r="K357" s="2"/>
      <c r="L357" s="2"/>
      <c r="M357" s="2"/>
      <c r="N357" s="2"/>
      <c r="O357" s="2"/>
      <c r="P357" s="2"/>
      <c r="Q357" s="2"/>
      <c r="R357" s="2"/>
      <c r="S357" s="2"/>
      <c r="T357" s="2"/>
      <c r="U357" s="2"/>
    </row>
    <row r="358" spans="1:21" ht="15.75" customHeight="1">
      <c r="A358" s="1"/>
      <c r="B358" s="2"/>
      <c r="C358" s="2"/>
      <c r="D358" s="2"/>
      <c r="E358" s="2"/>
      <c r="F358" s="2"/>
      <c r="G358" s="2"/>
      <c r="H358" s="2"/>
      <c r="I358" s="2"/>
      <c r="J358" s="2"/>
      <c r="K358" s="2"/>
      <c r="L358" s="2"/>
      <c r="M358" s="2"/>
      <c r="N358" s="2"/>
      <c r="O358" s="2"/>
      <c r="P358" s="2"/>
      <c r="Q358" s="2"/>
      <c r="R358" s="2"/>
      <c r="S358" s="2"/>
      <c r="T358" s="2"/>
      <c r="U358" s="2"/>
    </row>
    <row r="359" spans="1:21" ht="15.75" customHeight="1">
      <c r="A359" s="1"/>
      <c r="B359" s="2"/>
      <c r="C359" s="2"/>
      <c r="D359" s="2"/>
      <c r="E359" s="2"/>
      <c r="F359" s="2"/>
      <c r="G359" s="2"/>
      <c r="H359" s="2"/>
      <c r="I359" s="2"/>
      <c r="J359" s="2"/>
      <c r="K359" s="2"/>
      <c r="L359" s="2"/>
      <c r="M359" s="2"/>
      <c r="N359" s="2"/>
      <c r="O359" s="2"/>
      <c r="P359" s="2"/>
      <c r="Q359" s="2"/>
      <c r="R359" s="2"/>
      <c r="S359" s="2"/>
      <c r="T359" s="2"/>
      <c r="U359" s="2"/>
    </row>
    <row r="360" spans="1:21" ht="15.75" customHeight="1">
      <c r="A360" s="1"/>
      <c r="B360" s="2"/>
      <c r="C360" s="2"/>
      <c r="D360" s="2"/>
      <c r="E360" s="2"/>
      <c r="F360" s="2"/>
      <c r="G360" s="2"/>
      <c r="H360" s="2"/>
      <c r="I360" s="2"/>
      <c r="J360" s="2"/>
      <c r="K360" s="2"/>
      <c r="L360" s="2"/>
      <c r="M360" s="2"/>
      <c r="N360" s="2"/>
      <c r="O360" s="2"/>
      <c r="P360" s="2"/>
      <c r="Q360" s="2"/>
      <c r="R360" s="2"/>
      <c r="S360" s="2"/>
      <c r="T360" s="2"/>
      <c r="U360" s="2"/>
    </row>
    <row r="361" spans="1:21" ht="15.75" customHeight="1">
      <c r="A361" s="1"/>
      <c r="B361" s="2"/>
      <c r="C361" s="2"/>
      <c r="D361" s="2"/>
      <c r="E361" s="2"/>
      <c r="F361" s="2"/>
      <c r="G361" s="2"/>
      <c r="H361" s="2"/>
      <c r="I361" s="2"/>
      <c r="J361" s="2"/>
      <c r="K361" s="2"/>
      <c r="L361" s="2"/>
      <c r="M361" s="2"/>
      <c r="N361" s="2"/>
      <c r="O361" s="2"/>
      <c r="P361" s="2"/>
      <c r="Q361" s="2"/>
      <c r="R361" s="2"/>
      <c r="S361" s="2"/>
      <c r="T361" s="2"/>
      <c r="U361" s="2"/>
    </row>
    <row r="362" spans="1:21" ht="15.75" customHeight="1">
      <c r="A362" s="1"/>
      <c r="B362" s="2"/>
      <c r="C362" s="2"/>
      <c r="D362" s="2"/>
      <c r="E362" s="2"/>
      <c r="F362" s="2"/>
      <c r="G362" s="2"/>
      <c r="H362" s="2"/>
      <c r="I362" s="2"/>
      <c r="J362" s="2"/>
      <c r="K362" s="2"/>
      <c r="L362" s="2"/>
      <c r="M362" s="2"/>
      <c r="N362" s="2"/>
      <c r="O362" s="2"/>
      <c r="P362" s="2"/>
      <c r="Q362" s="2"/>
      <c r="R362" s="2"/>
      <c r="S362" s="2"/>
      <c r="T362" s="2"/>
      <c r="U362" s="2"/>
    </row>
    <row r="363" spans="1:21" ht="15.75" customHeight="1">
      <c r="A363" s="1"/>
      <c r="B363" s="2"/>
      <c r="C363" s="2"/>
      <c r="D363" s="2"/>
      <c r="E363" s="2"/>
      <c r="F363" s="2"/>
      <c r="G363" s="2"/>
      <c r="H363" s="2"/>
      <c r="I363" s="2"/>
      <c r="J363" s="2"/>
      <c r="K363" s="2"/>
      <c r="L363" s="2"/>
      <c r="M363" s="2"/>
      <c r="N363" s="2"/>
      <c r="O363" s="2"/>
      <c r="P363" s="2"/>
      <c r="Q363" s="2"/>
      <c r="R363" s="2"/>
      <c r="S363" s="2"/>
      <c r="T363" s="2"/>
      <c r="U363" s="2"/>
    </row>
    <row r="364" spans="1:21" ht="15.75" customHeight="1">
      <c r="A364" s="1"/>
      <c r="B364" s="2"/>
      <c r="C364" s="2"/>
      <c r="D364" s="2"/>
      <c r="E364" s="2"/>
      <c r="F364" s="2"/>
      <c r="G364" s="2"/>
      <c r="H364" s="2"/>
      <c r="I364" s="2"/>
      <c r="J364" s="2"/>
      <c r="K364" s="2"/>
      <c r="L364" s="2"/>
      <c r="M364" s="2"/>
      <c r="N364" s="2"/>
      <c r="O364" s="2"/>
      <c r="P364" s="2"/>
      <c r="Q364" s="2"/>
      <c r="R364" s="2"/>
      <c r="S364" s="2"/>
      <c r="T364" s="2"/>
      <c r="U364" s="2"/>
    </row>
    <row r="365" spans="1:21" ht="15.75" customHeight="1">
      <c r="A365" s="1"/>
      <c r="B365" s="2"/>
      <c r="C365" s="2"/>
      <c r="D365" s="2"/>
      <c r="E365" s="2"/>
      <c r="F365" s="2"/>
      <c r="G365" s="2"/>
      <c r="H365" s="2"/>
      <c r="I365" s="2"/>
      <c r="J365" s="2"/>
      <c r="K365" s="2"/>
      <c r="L365" s="2"/>
      <c r="M365" s="2"/>
      <c r="N365" s="2"/>
      <c r="O365" s="2"/>
      <c r="P365" s="2"/>
      <c r="Q365" s="2"/>
      <c r="R365" s="2"/>
      <c r="S365" s="2"/>
      <c r="T365" s="2"/>
      <c r="U365" s="2"/>
    </row>
    <row r="366" spans="1:21" ht="15.75" customHeight="1">
      <c r="A366" s="1"/>
      <c r="B366" s="2"/>
      <c r="C366" s="2"/>
      <c r="D366" s="2"/>
      <c r="E366" s="2"/>
      <c r="F366" s="2"/>
      <c r="G366" s="2"/>
      <c r="H366" s="2"/>
      <c r="I366" s="2"/>
      <c r="J366" s="2"/>
      <c r="K366" s="2"/>
      <c r="L366" s="2"/>
      <c r="M366" s="2"/>
      <c r="N366" s="2"/>
      <c r="O366" s="2"/>
      <c r="P366" s="2"/>
      <c r="Q366" s="2"/>
      <c r="R366" s="2"/>
      <c r="S366" s="2"/>
      <c r="T366" s="2"/>
      <c r="U366" s="2"/>
    </row>
    <row r="367" spans="1:21" ht="15.75" customHeight="1">
      <c r="A367" s="1"/>
      <c r="B367" s="2"/>
      <c r="C367" s="2"/>
      <c r="D367" s="2"/>
      <c r="E367" s="2"/>
      <c r="F367" s="2"/>
      <c r="G367" s="2"/>
      <c r="H367" s="2"/>
      <c r="I367" s="2"/>
      <c r="J367" s="2"/>
      <c r="K367" s="2"/>
      <c r="L367" s="2"/>
      <c r="M367" s="2"/>
      <c r="N367" s="2"/>
      <c r="O367" s="2"/>
      <c r="P367" s="2"/>
      <c r="Q367" s="2"/>
      <c r="R367" s="2"/>
      <c r="S367" s="2"/>
      <c r="T367" s="2"/>
      <c r="U367" s="2"/>
    </row>
    <row r="368" spans="1:21" ht="15.75" customHeight="1">
      <c r="A368" s="1"/>
      <c r="B368" s="2"/>
      <c r="C368" s="2"/>
      <c r="D368" s="2"/>
      <c r="E368" s="2"/>
      <c r="F368" s="2"/>
      <c r="G368" s="2"/>
      <c r="H368" s="2"/>
      <c r="I368" s="2"/>
      <c r="J368" s="2"/>
      <c r="K368" s="2"/>
      <c r="L368" s="2"/>
      <c r="M368" s="2"/>
      <c r="N368" s="2"/>
      <c r="O368" s="2"/>
      <c r="P368" s="2"/>
      <c r="Q368" s="2"/>
      <c r="R368" s="2"/>
      <c r="S368" s="2"/>
      <c r="T368" s="2"/>
      <c r="U368" s="2"/>
    </row>
    <row r="369" spans="1:21" ht="15.75" customHeight="1">
      <c r="A369" s="1"/>
      <c r="B369" s="2"/>
      <c r="C369" s="2"/>
      <c r="D369" s="2"/>
      <c r="E369" s="2"/>
      <c r="F369" s="2"/>
      <c r="G369" s="2"/>
      <c r="H369" s="2"/>
      <c r="I369" s="2"/>
      <c r="J369" s="2"/>
      <c r="K369" s="2"/>
      <c r="L369" s="2"/>
      <c r="M369" s="2"/>
      <c r="N369" s="2"/>
      <c r="O369" s="2"/>
      <c r="P369" s="2"/>
      <c r="Q369" s="2"/>
      <c r="R369" s="2"/>
      <c r="S369" s="2"/>
      <c r="T369" s="2"/>
      <c r="U369" s="2"/>
    </row>
    <row r="370" spans="1:21" ht="15.75" customHeight="1">
      <c r="A370" s="1"/>
      <c r="B370" s="2"/>
      <c r="C370" s="2"/>
      <c r="D370" s="2"/>
      <c r="E370" s="2"/>
      <c r="F370" s="2"/>
      <c r="G370" s="2"/>
      <c r="H370" s="2"/>
      <c r="I370" s="2"/>
      <c r="J370" s="2"/>
      <c r="K370" s="2"/>
      <c r="L370" s="2"/>
      <c r="M370" s="2"/>
      <c r="N370" s="2"/>
      <c r="O370" s="2"/>
      <c r="P370" s="2"/>
      <c r="Q370" s="2"/>
      <c r="R370" s="2"/>
      <c r="S370" s="2"/>
      <c r="T370" s="2"/>
      <c r="U370" s="2"/>
    </row>
    <row r="371" spans="1:21" ht="15.75" customHeight="1">
      <c r="A371" s="1"/>
      <c r="B371" s="2"/>
      <c r="C371" s="2"/>
      <c r="D371" s="2"/>
      <c r="E371" s="2"/>
      <c r="F371" s="2"/>
      <c r="G371" s="2"/>
      <c r="H371" s="2"/>
      <c r="I371" s="2"/>
      <c r="J371" s="2"/>
      <c r="K371" s="2"/>
      <c r="L371" s="2"/>
      <c r="M371" s="2"/>
      <c r="N371" s="2"/>
      <c r="O371" s="2"/>
      <c r="P371" s="2"/>
      <c r="Q371" s="2"/>
      <c r="R371" s="2"/>
      <c r="S371" s="2"/>
      <c r="T371" s="2"/>
      <c r="U371" s="2"/>
    </row>
    <row r="372" spans="1:21" ht="15.75" customHeight="1">
      <c r="A372" s="1"/>
      <c r="B372" s="2"/>
      <c r="C372" s="2"/>
      <c r="D372" s="2"/>
      <c r="E372" s="2"/>
      <c r="F372" s="2"/>
      <c r="G372" s="2"/>
      <c r="H372" s="2"/>
      <c r="I372" s="2"/>
      <c r="J372" s="2"/>
      <c r="K372" s="2"/>
      <c r="L372" s="2"/>
      <c r="M372" s="2"/>
      <c r="N372" s="2"/>
      <c r="O372" s="2"/>
      <c r="P372" s="2"/>
      <c r="Q372" s="2"/>
      <c r="R372" s="2"/>
      <c r="S372" s="2"/>
      <c r="T372" s="2"/>
      <c r="U372" s="2"/>
    </row>
    <row r="373" spans="1:21" ht="15.75" customHeight="1">
      <c r="A373" s="1"/>
      <c r="B373" s="2"/>
      <c r="C373" s="2"/>
      <c r="D373" s="2"/>
      <c r="E373" s="2"/>
      <c r="F373" s="2"/>
      <c r="G373" s="2"/>
      <c r="H373" s="2"/>
      <c r="I373" s="2"/>
      <c r="J373" s="2"/>
      <c r="K373" s="2"/>
      <c r="L373" s="2"/>
      <c r="M373" s="2"/>
      <c r="N373" s="2"/>
      <c r="O373" s="2"/>
      <c r="P373" s="2"/>
      <c r="Q373" s="2"/>
      <c r="R373" s="2"/>
      <c r="S373" s="2"/>
      <c r="T373" s="2"/>
      <c r="U373" s="2"/>
    </row>
    <row r="374" spans="1:21" ht="15.75" customHeight="1">
      <c r="A374" s="1"/>
      <c r="B374" s="2"/>
      <c r="C374" s="2"/>
      <c r="D374" s="2"/>
      <c r="E374" s="2"/>
      <c r="F374" s="2"/>
      <c r="G374" s="2"/>
      <c r="H374" s="2"/>
      <c r="I374" s="2"/>
      <c r="J374" s="2"/>
      <c r="K374" s="2"/>
      <c r="L374" s="2"/>
      <c r="M374" s="2"/>
      <c r="N374" s="2"/>
      <c r="O374" s="2"/>
      <c r="P374" s="2"/>
      <c r="Q374" s="2"/>
      <c r="R374" s="2"/>
      <c r="S374" s="2"/>
      <c r="T374" s="2"/>
      <c r="U374" s="2"/>
    </row>
    <row r="375" spans="1:21" ht="15.75" customHeight="1">
      <c r="A375" s="1"/>
      <c r="B375" s="2"/>
      <c r="C375" s="2"/>
      <c r="D375" s="2"/>
      <c r="E375" s="2"/>
      <c r="F375" s="2"/>
      <c r="G375" s="2"/>
      <c r="H375" s="2"/>
      <c r="I375" s="2"/>
      <c r="J375" s="2"/>
      <c r="K375" s="2"/>
      <c r="L375" s="2"/>
      <c r="M375" s="2"/>
      <c r="N375" s="2"/>
      <c r="O375" s="2"/>
      <c r="P375" s="2"/>
      <c r="Q375" s="2"/>
      <c r="R375" s="2"/>
      <c r="S375" s="2"/>
      <c r="T375" s="2"/>
      <c r="U375" s="2"/>
    </row>
    <row r="376" spans="1:21" ht="15.75" customHeight="1">
      <c r="A376" s="1"/>
      <c r="B376" s="2"/>
      <c r="C376" s="2"/>
      <c r="D376" s="2"/>
      <c r="E376" s="2"/>
      <c r="F376" s="2"/>
      <c r="G376" s="2"/>
      <c r="H376" s="2"/>
      <c r="I376" s="2"/>
      <c r="J376" s="2"/>
      <c r="K376" s="2"/>
      <c r="L376" s="2"/>
      <c r="M376" s="2"/>
      <c r="N376" s="2"/>
      <c r="O376" s="2"/>
      <c r="P376" s="2"/>
      <c r="Q376" s="2"/>
      <c r="R376" s="2"/>
      <c r="S376" s="2"/>
      <c r="T376" s="2"/>
      <c r="U376" s="2"/>
    </row>
    <row r="377" spans="1:21" ht="15.75" customHeight="1">
      <c r="A377" s="1"/>
      <c r="B377" s="2"/>
      <c r="C377" s="2"/>
      <c r="D377" s="2"/>
      <c r="E377" s="2"/>
      <c r="F377" s="2"/>
      <c r="G377" s="2"/>
      <c r="H377" s="2"/>
      <c r="I377" s="2"/>
      <c r="J377" s="2"/>
      <c r="K377" s="2"/>
      <c r="L377" s="2"/>
      <c r="M377" s="2"/>
      <c r="N377" s="2"/>
      <c r="O377" s="2"/>
      <c r="P377" s="2"/>
      <c r="Q377" s="2"/>
      <c r="R377" s="2"/>
      <c r="S377" s="2"/>
      <c r="T377" s="2"/>
      <c r="U377" s="2"/>
    </row>
    <row r="378" spans="1:21" ht="15.75" customHeight="1">
      <c r="A378" s="1"/>
      <c r="B378" s="2"/>
      <c r="C378" s="2"/>
      <c r="D378" s="2"/>
      <c r="E378" s="2"/>
      <c r="F378" s="2"/>
      <c r="G378" s="2"/>
      <c r="H378" s="2"/>
      <c r="I378" s="2"/>
      <c r="J378" s="2"/>
      <c r="K378" s="2"/>
      <c r="L378" s="2"/>
      <c r="M378" s="2"/>
      <c r="N378" s="2"/>
      <c r="O378" s="2"/>
      <c r="P378" s="2"/>
      <c r="Q378" s="2"/>
      <c r="R378" s="2"/>
      <c r="S378" s="2"/>
      <c r="T378" s="2"/>
      <c r="U378" s="2"/>
    </row>
    <row r="379" spans="1:21" ht="15.75" customHeight="1">
      <c r="A379" s="1"/>
      <c r="B379" s="2"/>
      <c r="C379" s="2"/>
      <c r="D379" s="2"/>
      <c r="E379" s="2"/>
      <c r="F379" s="2"/>
      <c r="G379" s="2"/>
      <c r="H379" s="2"/>
      <c r="I379" s="2"/>
      <c r="J379" s="2"/>
      <c r="K379" s="2"/>
      <c r="L379" s="2"/>
      <c r="M379" s="2"/>
      <c r="N379" s="2"/>
      <c r="O379" s="2"/>
      <c r="P379" s="2"/>
      <c r="Q379" s="2"/>
      <c r="R379" s="2"/>
      <c r="S379" s="2"/>
      <c r="T379" s="2"/>
      <c r="U379" s="2"/>
    </row>
    <row r="380" spans="1:21" ht="15.75" customHeight="1">
      <c r="A380" s="1"/>
      <c r="B380" s="2"/>
      <c r="C380" s="2"/>
      <c r="D380" s="2"/>
      <c r="E380" s="2"/>
      <c r="F380" s="2"/>
      <c r="G380" s="2"/>
      <c r="H380" s="2"/>
      <c r="I380" s="2"/>
      <c r="J380" s="2"/>
      <c r="K380" s="2"/>
      <c r="L380" s="2"/>
      <c r="M380" s="2"/>
      <c r="N380" s="2"/>
      <c r="O380" s="2"/>
      <c r="P380" s="2"/>
      <c r="Q380" s="2"/>
      <c r="R380" s="2"/>
      <c r="S380" s="2"/>
      <c r="T380" s="2"/>
      <c r="U380" s="2"/>
    </row>
    <row r="381" spans="1:21" ht="15.75" customHeight="1">
      <c r="A381" s="1"/>
      <c r="B381" s="2"/>
      <c r="C381" s="2"/>
      <c r="D381" s="2"/>
      <c r="E381" s="2"/>
      <c r="F381" s="2"/>
      <c r="G381" s="2"/>
      <c r="H381" s="2"/>
      <c r="I381" s="2"/>
      <c r="J381" s="2"/>
      <c r="K381" s="2"/>
      <c r="L381" s="2"/>
      <c r="M381" s="2"/>
      <c r="N381" s="2"/>
      <c r="O381" s="2"/>
      <c r="P381" s="2"/>
      <c r="Q381" s="2"/>
      <c r="R381" s="2"/>
      <c r="S381" s="2"/>
      <c r="T381" s="2"/>
      <c r="U381" s="2"/>
    </row>
    <row r="382" spans="1:21" ht="15.75" customHeight="1">
      <c r="A382" s="1"/>
      <c r="B382" s="2"/>
      <c r="C382" s="2"/>
      <c r="D382" s="2"/>
      <c r="E382" s="2"/>
      <c r="F382" s="2"/>
      <c r="G382" s="2"/>
      <c r="H382" s="2"/>
      <c r="I382" s="2"/>
      <c r="J382" s="2"/>
      <c r="K382" s="2"/>
      <c r="L382" s="2"/>
      <c r="M382" s="2"/>
      <c r="N382" s="2"/>
      <c r="O382" s="2"/>
      <c r="P382" s="2"/>
      <c r="Q382" s="2"/>
      <c r="R382" s="2"/>
      <c r="S382" s="2"/>
      <c r="T382" s="2"/>
      <c r="U382" s="2"/>
    </row>
    <row r="383" spans="1:21" ht="15.75" customHeight="1">
      <c r="A383" s="1"/>
      <c r="B383" s="2"/>
      <c r="C383" s="2"/>
      <c r="D383" s="2"/>
      <c r="E383" s="2"/>
      <c r="F383" s="2"/>
      <c r="G383" s="2"/>
      <c r="H383" s="2"/>
      <c r="I383" s="2"/>
      <c r="J383" s="2"/>
      <c r="K383" s="2"/>
      <c r="L383" s="2"/>
      <c r="M383" s="2"/>
      <c r="N383" s="2"/>
      <c r="O383" s="2"/>
      <c r="P383" s="2"/>
      <c r="Q383" s="2"/>
      <c r="R383" s="2"/>
      <c r="S383" s="2"/>
      <c r="T383" s="2"/>
      <c r="U383" s="2"/>
    </row>
    <row r="384" spans="1:21" ht="15.75" customHeight="1">
      <c r="A384" s="1"/>
      <c r="B384" s="2"/>
      <c r="C384" s="2"/>
      <c r="D384" s="2"/>
      <c r="E384" s="2"/>
      <c r="F384" s="2"/>
      <c r="G384" s="2"/>
      <c r="H384" s="2"/>
      <c r="I384" s="2"/>
      <c r="J384" s="2"/>
      <c r="K384" s="2"/>
      <c r="L384" s="2"/>
      <c r="M384" s="2"/>
      <c r="N384" s="2"/>
      <c r="O384" s="2"/>
      <c r="P384" s="2"/>
      <c r="Q384" s="2"/>
      <c r="R384" s="2"/>
      <c r="S384" s="2"/>
      <c r="T384" s="2"/>
      <c r="U384" s="2"/>
    </row>
    <row r="385" spans="1:21" ht="15.75" customHeight="1">
      <c r="A385" s="1"/>
      <c r="B385" s="2"/>
      <c r="C385" s="2"/>
      <c r="D385" s="2"/>
      <c r="E385" s="2"/>
      <c r="F385" s="2"/>
      <c r="G385" s="2"/>
      <c r="H385" s="2"/>
      <c r="I385" s="2"/>
      <c r="J385" s="2"/>
      <c r="K385" s="2"/>
      <c r="L385" s="2"/>
      <c r="M385" s="2"/>
      <c r="N385" s="2"/>
      <c r="O385" s="2"/>
      <c r="P385" s="2"/>
      <c r="Q385" s="2"/>
      <c r="R385" s="2"/>
      <c r="S385" s="2"/>
      <c r="T385" s="2"/>
      <c r="U385" s="2"/>
    </row>
    <row r="386" spans="1:21" ht="15.75" customHeight="1">
      <c r="A386" s="1"/>
      <c r="B386" s="2"/>
      <c r="C386" s="2"/>
      <c r="D386" s="2"/>
      <c r="E386" s="2"/>
      <c r="F386" s="2"/>
      <c r="G386" s="2"/>
      <c r="H386" s="2"/>
      <c r="I386" s="2"/>
      <c r="J386" s="2"/>
      <c r="K386" s="2"/>
      <c r="L386" s="2"/>
      <c r="M386" s="2"/>
      <c r="N386" s="2"/>
      <c r="O386" s="2"/>
      <c r="P386" s="2"/>
      <c r="Q386" s="2"/>
      <c r="R386" s="2"/>
      <c r="S386" s="2"/>
      <c r="T386" s="2"/>
      <c r="U386" s="2"/>
    </row>
    <row r="387" spans="1:21" ht="15.75" customHeight="1">
      <c r="A387" s="1"/>
      <c r="B387" s="2"/>
      <c r="C387" s="2"/>
      <c r="D387" s="2"/>
      <c r="E387" s="2"/>
      <c r="F387" s="2"/>
      <c r="G387" s="2"/>
      <c r="H387" s="2"/>
      <c r="I387" s="2"/>
      <c r="J387" s="2"/>
      <c r="K387" s="2"/>
      <c r="L387" s="2"/>
      <c r="M387" s="2"/>
      <c r="N387" s="2"/>
      <c r="O387" s="2"/>
      <c r="P387" s="2"/>
      <c r="Q387" s="2"/>
      <c r="R387" s="2"/>
      <c r="S387" s="2"/>
      <c r="T387" s="2"/>
      <c r="U387" s="2"/>
    </row>
    <row r="388" spans="1:21" ht="15.75" customHeight="1">
      <c r="A388" s="1"/>
      <c r="B388" s="2"/>
      <c r="C388" s="2"/>
      <c r="D388" s="2"/>
      <c r="E388" s="2"/>
      <c r="F388" s="2"/>
      <c r="G388" s="2"/>
      <c r="H388" s="2"/>
      <c r="I388" s="2"/>
      <c r="J388" s="2"/>
      <c r="K388" s="2"/>
      <c r="L388" s="2"/>
      <c r="M388" s="2"/>
      <c r="N388" s="2"/>
      <c r="O388" s="2"/>
      <c r="P388" s="2"/>
      <c r="Q388" s="2"/>
      <c r="R388" s="2"/>
      <c r="S388" s="2"/>
      <c r="T388" s="2"/>
      <c r="U388" s="2"/>
    </row>
    <row r="389" spans="1:21" ht="15.75" customHeight="1">
      <c r="A389" s="1"/>
      <c r="B389" s="2"/>
      <c r="C389" s="2"/>
      <c r="D389" s="2"/>
      <c r="E389" s="2"/>
      <c r="F389" s="2"/>
      <c r="G389" s="2"/>
      <c r="H389" s="2"/>
      <c r="I389" s="2"/>
      <c r="J389" s="2"/>
      <c r="K389" s="2"/>
      <c r="L389" s="2"/>
      <c r="M389" s="2"/>
      <c r="N389" s="2"/>
      <c r="O389" s="2"/>
      <c r="P389" s="2"/>
      <c r="Q389" s="2"/>
      <c r="R389" s="2"/>
      <c r="S389" s="2"/>
      <c r="T389" s="2"/>
      <c r="U389" s="2"/>
    </row>
    <row r="390" spans="1:21" ht="15.75" customHeight="1">
      <c r="A390" s="1"/>
      <c r="B390" s="2"/>
      <c r="C390" s="2"/>
      <c r="D390" s="2"/>
      <c r="E390" s="2"/>
      <c r="F390" s="2"/>
      <c r="G390" s="2"/>
      <c r="H390" s="2"/>
      <c r="I390" s="2"/>
      <c r="J390" s="2"/>
      <c r="K390" s="2"/>
      <c r="L390" s="2"/>
      <c r="M390" s="2"/>
      <c r="N390" s="2"/>
      <c r="O390" s="2"/>
      <c r="P390" s="2"/>
      <c r="Q390" s="2"/>
      <c r="R390" s="2"/>
      <c r="S390" s="2"/>
      <c r="T390" s="2"/>
      <c r="U390" s="2"/>
    </row>
    <row r="391" spans="1:21" ht="15.75" customHeight="1">
      <c r="A391" s="1"/>
      <c r="B391" s="2"/>
      <c r="C391" s="2"/>
      <c r="D391" s="2"/>
      <c r="E391" s="2"/>
      <c r="F391" s="2"/>
      <c r="G391" s="2"/>
      <c r="H391" s="2"/>
      <c r="I391" s="2"/>
      <c r="J391" s="2"/>
      <c r="K391" s="2"/>
      <c r="L391" s="2"/>
      <c r="M391" s="2"/>
      <c r="N391" s="2"/>
      <c r="O391" s="2"/>
      <c r="P391" s="2"/>
      <c r="Q391" s="2"/>
      <c r="R391" s="2"/>
      <c r="S391" s="2"/>
      <c r="T391" s="2"/>
      <c r="U391" s="2"/>
    </row>
    <row r="392" spans="1:21" ht="15.75" customHeight="1">
      <c r="A392" s="1"/>
      <c r="B392" s="2"/>
      <c r="C392" s="2"/>
      <c r="D392" s="2"/>
      <c r="E392" s="2"/>
      <c r="F392" s="2"/>
      <c r="G392" s="2"/>
      <c r="H392" s="2"/>
      <c r="I392" s="2"/>
      <c r="J392" s="2"/>
      <c r="K392" s="2"/>
      <c r="L392" s="2"/>
      <c r="M392" s="2"/>
      <c r="N392" s="2"/>
      <c r="O392" s="2"/>
      <c r="P392" s="2"/>
      <c r="Q392" s="2"/>
      <c r="R392" s="2"/>
      <c r="S392" s="2"/>
      <c r="T392" s="2"/>
      <c r="U392" s="2"/>
    </row>
    <row r="393" spans="1:21" ht="15.75" customHeight="1">
      <c r="A393" s="1"/>
      <c r="B393" s="2"/>
      <c r="C393" s="2"/>
      <c r="D393" s="2"/>
      <c r="E393" s="2"/>
      <c r="F393" s="2"/>
      <c r="G393" s="2"/>
      <c r="H393" s="2"/>
      <c r="I393" s="2"/>
      <c r="J393" s="2"/>
      <c r="K393" s="2"/>
      <c r="L393" s="2"/>
      <c r="M393" s="2"/>
      <c r="N393" s="2"/>
      <c r="O393" s="2"/>
      <c r="P393" s="2"/>
      <c r="Q393" s="2"/>
      <c r="R393" s="2"/>
      <c r="S393" s="2"/>
      <c r="T393" s="2"/>
      <c r="U393" s="2"/>
    </row>
    <row r="394" spans="1:21" ht="15.75" customHeight="1">
      <c r="A394" s="1"/>
      <c r="B394" s="2"/>
      <c r="C394" s="2"/>
      <c r="D394" s="2"/>
      <c r="E394" s="2"/>
      <c r="F394" s="2"/>
      <c r="G394" s="2"/>
      <c r="H394" s="2"/>
      <c r="I394" s="2"/>
      <c r="J394" s="2"/>
      <c r="K394" s="2"/>
      <c r="L394" s="2"/>
      <c r="M394" s="2"/>
      <c r="N394" s="2"/>
      <c r="O394" s="2"/>
      <c r="P394" s="2"/>
      <c r="Q394" s="2"/>
      <c r="R394" s="2"/>
      <c r="S394" s="2"/>
      <c r="T394" s="2"/>
      <c r="U394" s="2"/>
    </row>
    <row r="395" spans="1:21" ht="15.75" customHeight="1">
      <c r="A395" s="1"/>
      <c r="B395" s="2"/>
      <c r="C395" s="2"/>
      <c r="D395" s="2"/>
      <c r="E395" s="2"/>
      <c r="F395" s="2"/>
      <c r="G395" s="2"/>
      <c r="H395" s="2"/>
      <c r="I395" s="2"/>
      <c r="J395" s="2"/>
      <c r="K395" s="2"/>
      <c r="L395" s="2"/>
      <c r="M395" s="2"/>
      <c r="N395" s="2"/>
      <c r="O395" s="2"/>
      <c r="P395" s="2"/>
      <c r="Q395" s="2"/>
      <c r="R395" s="2"/>
      <c r="S395" s="2"/>
      <c r="T395" s="2"/>
      <c r="U395" s="2"/>
    </row>
    <row r="396" spans="1:21" ht="15.75" customHeight="1">
      <c r="A396" s="1"/>
      <c r="B396" s="2"/>
      <c r="C396" s="2"/>
      <c r="D396" s="2"/>
      <c r="E396" s="2"/>
      <c r="F396" s="2"/>
      <c r="G396" s="2"/>
      <c r="H396" s="2"/>
      <c r="I396" s="2"/>
      <c r="J396" s="2"/>
      <c r="K396" s="2"/>
      <c r="L396" s="2"/>
      <c r="M396" s="2"/>
      <c r="N396" s="2"/>
      <c r="O396" s="2"/>
      <c r="P396" s="2"/>
      <c r="Q396" s="2"/>
      <c r="R396" s="2"/>
      <c r="S396" s="2"/>
      <c r="T396" s="2"/>
      <c r="U396" s="2"/>
    </row>
    <row r="397" spans="1:21" ht="15.75" customHeight="1">
      <c r="A397" s="1"/>
      <c r="B397" s="2"/>
      <c r="C397" s="2"/>
      <c r="D397" s="2"/>
      <c r="E397" s="2"/>
      <c r="F397" s="2"/>
      <c r="G397" s="2"/>
      <c r="H397" s="2"/>
      <c r="I397" s="2"/>
      <c r="J397" s="2"/>
      <c r="K397" s="2"/>
      <c r="L397" s="2"/>
      <c r="M397" s="2"/>
      <c r="N397" s="2"/>
      <c r="O397" s="2"/>
      <c r="P397" s="2"/>
      <c r="Q397" s="2"/>
      <c r="R397" s="2"/>
      <c r="S397" s="2"/>
      <c r="T397" s="2"/>
      <c r="U397" s="2"/>
    </row>
    <row r="398" spans="1:21" ht="15.75" customHeight="1">
      <c r="A398" s="1"/>
      <c r="B398" s="2"/>
      <c r="C398" s="2"/>
      <c r="D398" s="2"/>
      <c r="E398" s="2"/>
      <c r="F398" s="2"/>
      <c r="G398" s="2"/>
      <c r="H398" s="2"/>
      <c r="I398" s="2"/>
      <c r="J398" s="2"/>
      <c r="K398" s="2"/>
      <c r="L398" s="2"/>
      <c r="M398" s="2"/>
      <c r="N398" s="2"/>
      <c r="O398" s="2"/>
      <c r="P398" s="2"/>
      <c r="Q398" s="2"/>
      <c r="R398" s="2"/>
      <c r="S398" s="2"/>
      <c r="T398" s="2"/>
      <c r="U398" s="2"/>
    </row>
    <row r="399" spans="1:21" ht="15.75" customHeight="1">
      <c r="A399" s="1"/>
      <c r="B399" s="2"/>
      <c r="C399" s="2"/>
      <c r="D399" s="2"/>
      <c r="E399" s="2"/>
      <c r="F399" s="2"/>
      <c r="G399" s="2"/>
      <c r="H399" s="2"/>
      <c r="I399" s="2"/>
      <c r="J399" s="2"/>
      <c r="K399" s="2"/>
      <c r="L399" s="2"/>
      <c r="M399" s="2"/>
      <c r="N399" s="2"/>
      <c r="O399" s="2"/>
      <c r="P399" s="2"/>
      <c r="Q399" s="2"/>
      <c r="R399" s="2"/>
      <c r="S399" s="2"/>
      <c r="T399" s="2"/>
      <c r="U399" s="2"/>
    </row>
    <row r="400" spans="1:21" ht="15.75" customHeight="1">
      <c r="A400" s="1"/>
      <c r="B400" s="2"/>
      <c r="C400" s="2"/>
      <c r="D400" s="2"/>
      <c r="E400" s="2"/>
      <c r="F400" s="2"/>
      <c r="G400" s="2"/>
      <c r="H400" s="2"/>
      <c r="I400" s="2"/>
      <c r="J400" s="2"/>
      <c r="K400" s="2"/>
      <c r="L400" s="2"/>
      <c r="M400" s="2"/>
      <c r="N400" s="2"/>
      <c r="O400" s="2"/>
      <c r="P400" s="2"/>
      <c r="Q400" s="2"/>
      <c r="R400" s="2"/>
      <c r="S400" s="2"/>
      <c r="T400" s="2"/>
      <c r="U400" s="2"/>
    </row>
    <row r="401" spans="1:21" ht="15.75" customHeight="1">
      <c r="A401" s="1"/>
      <c r="B401" s="2"/>
      <c r="C401" s="2"/>
      <c r="D401" s="2"/>
      <c r="E401" s="2"/>
      <c r="F401" s="2"/>
      <c r="G401" s="2"/>
      <c r="H401" s="2"/>
      <c r="I401" s="2"/>
      <c r="J401" s="2"/>
      <c r="K401" s="2"/>
      <c r="L401" s="2"/>
      <c r="M401" s="2"/>
      <c r="N401" s="2"/>
      <c r="O401" s="2"/>
      <c r="P401" s="2"/>
      <c r="Q401" s="2"/>
      <c r="R401" s="2"/>
      <c r="S401" s="2"/>
      <c r="T401" s="2"/>
      <c r="U401" s="2"/>
    </row>
    <row r="402" spans="1:21" ht="15.75" customHeight="1">
      <c r="A402" s="1"/>
      <c r="B402" s="2"/>
      <c r="C402" s="2"/>
      <c r="D402" s="2"/>
      <c r="E402" s="2"/>
      <c r="F402" s="2"/>
      <c r="G402" s="2"/>
      <c r="H402" s="2"/>
      <c r="I402" s="2"/>
      <c r="J402" s="2"/>
      <c r="K402" s="2"/>
      <c r="L402" s="2"/>
      <c r="M402" s="2"/>
      <c r="N402" s="2"/>
      <c r="O402" s="2"/>
      <c r="P402" s="2"/>
      <c r="Q402" s="2"/>
      <c r="R402" s="2"/>
      <c r="S402" s="2"/>
      <c r="T402" s="2"/>
      <c r="U402" s="2"/>
    </row>
    <row r="403" spans="1:21" ht="15.75" customHeight="1">
      <c r="A403" s="1"/>
      <c r="B403" s="2"/>
      <c r="C403" s="2"/>
      <c r="D403" s="2"/>
      <c r="E403" s="2"/>
      <c r="F403" s="2"/>
      <c r="G403" s="2"/>
      <c r="H403" s="2"/>
      <c r="I403" s="2"/>
      <c r="J403" s="2"/>
      <c r="K403" s="2"/>
      <c r="L403" s="2"/>
      <c r="M403" s="2"/>
      <c r="N403" s="2"/>
      <c r="O403" s="2"/>
      <c r="P403" s="2"/>
      <c r="Q403" s="2"/>
      <c r="R403" s="2"/>
      <c r="S403" s="2"/>
      <c r="T403" s="2"/>
      <c r="U403" s="2"/>
    </row>
    <row r="404" spans="1:21" ht="15.75" customHeight="1">
      <c r="A404" s="1"/>
      <c r="B404" s="2"/>
      <c r="C404" s="2"/>
      <c r="D404" s="2"/>
      <c r="E404" s="2"/>
      <c r="F404" s="2"/>
      <c r="G404" s="2"/>
      <c r="H404" s="2"/>
      <c r="I404" s="2"/>
      <c r="J404" s="2"/>
      <c r="K404" s="2"/>
      <c r="L404" s="2"/>
      <c r="M404" s="2"/>
      <c r="N404" s="2"/>
      <c r="O404" s="2"/>
      <c r="P404" s="2"/>
      <c r="Q404" s="2"/>
      <c r="R404" s="2"/>
      <c r="S404" s="2"/>
      <c r="T404" s="2"/>
      <c r="U404" s="2"/>
    </row>
    <row r="405" spans="1:21" ht="15.75" customHeight="1">
      <c r="A405" s="1"/>
      <c r="B405" s="2"/>
      <c r="C405" s="2"/>
      <c r="D405" s="2"/>
      <c r="E405" s="2"/>
      <c r="F405" s="2"/>
      <c r="G405" s="2"/>
      <c r="H405" s="2"/>
      <c r="I405" s="2"/>
      <c r="J405" s="2"/>
      <c r="K405" s="2"/>
      <c r="L405" s="2"/>
      <c r="M405" s="2"/>
      <c r="N405" s="2"/>
      <c r="O405" s="2"/>
      <c r="P405" s="2"/>
      <c r="Q405" s="2"/>
      <c r="R405" s="2"/>
      <c r="S405" s="2"/>
      <c r="T405" s="2"/>
      <c r="U405" s="2"/>
    </row>
    <row r="406" spans="1:21" ht="15.75" customHeight="1">
      <c r="A406" s="1"/>
      <c r="B406" s="2"/>
      <c r="C406" s="2"/>
      <c r="D406" s="2"/>
      <c r="E406" s="2"/>
      <c r="F406" s="2"/>
      <c r="G406" s="2"/>
      <c r="H406" s="2"/>
      <c r="I406" s="2"/>
      <c r="J406" s="2"/>
      <c r="K406" s="2"/>
      <c r="L406" s="2"/>
      <c r="M406" s="2"/>
      <c r="N406" s="2"/>
      <c r="O406" s="2"/>
      <c r="P406" s="2"/>
      <c r="Q406" s="2"/>
      <c r="R406" s="2"/>
      <c r="S406" s="2"/>
      <c r="T406" s="2"/>
      <c r="U406" s="2"/>
    </row>
    <row r="407" spans="1:21" ht="15.75" customHeight="1">
      <c r="A407" s="1"/>
      <c r="B407" s="2"/>
      <c r="C407" s="2"/>
      <c r="D407" s="2"/>
      <c r="E407" s="2"/>
      <c r="F407" s="2"/>
      <c r="G407" s="2"/>
      <c r="H407" s="2"/>
      <c r="I407" s="2"/>
      <c r="J407" s="2"/>
      <c r="K407" s="2"/>
      <c r="L407" s="2"/>
      <c r="M407" s="2"/>
      <c r="N407" s="2"/>
      <c r="O407" s="2"/>
      <c r="P407" s="2"/>
      <c r="Q407" s="2"/>
      <c r="R407" s="2"/>
      <c r="S407" s="2"/>
      <c r="T407" s="2"/>
      <c r="U407" s="2"/>
    </row>
    <row r="408" spans="1:21" ht="15.75" customHeight="1">
      <c r="A408" s="1"/>
      <c r="B408" s="2"/>
      <c r="C408" s="2"/>
      <c r="D408" s="2"/>
      <c r="E408" s="2"/>
      <c r="F408" s="2"/>
      <c r="G408" s="2"/>
      <c r="H408" s="2"/>
      <c r="I408" s="2"/>
      <c r="J408" s="2"/>
      <c r="K408" s="2"/>
      <c r="L408" s="2"/>
      <c r="M408" s="2"/>
      <c r="N408" s="2"/>
      <c r="O408" s="2"/>
      <c r="P408" s="2"/>
      <c r="Q408" s="2"/>
      <c r="R408" s="2"/>
      <c r="S408" s="2"/>
      <c r="T408" s="2"/>
      <c r="U408" s="2"/>
    </row>
    <row r="409" spans="1:21" ht="15.75" customHeight="1">
      <c r="A409" s="1"/>
      <c r="B409" s="2"/>
      <c r="C409" s="2"/>
      <c r="D409" s="2"/>
      <c r="E409" s="2"/>
      <c r="F409" s="2"/>
      <c r="G409" s="2"/>
      <c r="H409" s="2"/>
      <c r="I409" s="2"/>
      <c r="J409" s="2"/>
      <c r="K409" s="2"/>
      <c r="L409" s="2"/>
      <c r="M409" s="2"/>
      <c r="N409" s="2"/>
      <c r="O409" s="2"/>
      <c r="P409" s="2"/>
      <c r="Q409" s="2"/>
      <c r="R409" s="2"/>
      <c r="S409" s="2"/>
      <c r="T409" s="2"/>
      <c r="U409" s="2"/>
    </row>
    <row r="410" spans="1:21" ht="15.75" customHeight="1">
      <c r="A410" s="1"/>
      <c r="B410" s="2"/>
      <c r="C410" s="2"/>
      <c r="D410" s="2"/>
      <c r="E410" s="2"/>
      <c r="F410" s="2"/>
      <c r="G410" s="2"/>
      <c r="H410" s="2"/>
      <c r="I410" s="2"/>
      <c r="J410" s="2"/>
      <c r="K410" s="2"/>
      <c r="L410" s="2"/>
      <c r="M410" s="2"/>
      <c r="N410" s="2"/>
      <c r="O410" s="2"/>
      <c r="P410" s="2"/>
      <c r="Q410" s="2"/>
      <c r="R410" s="2"/>
      <c r="S410" s="2"/>
      <c r="T410" s="2"/>
      <c r="U410" s="2"/>
    </row>
    <row r="411" spans="1:21" ht="15.75" customHeight="1">
      <c r="A411" s="1"/>
      <c r="B411" s="2"/>
      <c r="C411" s="2"/>
      <c r="D411" s="2"/>
      <c r="E411" s="2"/>
      <c r="F411" s="2"/>
      <c r="G411" s="2"/>
      <c r="H411" s="2"/>
      <c r="I411" s="2"/>
      <c r="J411" s="2"/>
      <c r="K411" s="2"/>
      <c r="L411" s="2"/>
      <c r="M411" s="2"/>
      <c r="N411" s="2"/>
      <c r="O411" s="2"/>
      <c r="P411" s="2"/>
      <c r="Q411" s="2"/>
      <c r="R411" s="2"/>
      <c r="S411" s="2"/>
      <c r="T411" s="2"/>
      <c r="U411" s="2"/>
    </row>
    <row r="412" spans="1:21" ht="15.75" customHeight="1">
      <c r="A412" s="1"/>
      <c r="B412" s="2"/>
      <c r="C412" s="2"/>
      <c r="D412" s="2"/>
      <c r="E412" s="2"/>
      <c r="F412" s="2"/>
      <c r="G412" s="2"/>
      <c r="H412" s="2"/>
      <c r="I412" s="2"/>
      <c r="J412" s="2"/>
      <c r="K412" s="2"/>
      <c r="L412" s="2"/>
      <c r="M412" s="2"/>
      <c r="N412" s="2"/>
      <c r="O412" s="2"/>
      <c r="P412" s="2"/>
      <c r="Q412" s="2"/>
      <c r="R412" s="2"/>
      <c r="S412" s="2"/>
      <c r="T412" s="2"/>
      <c r="U412" s="2"/>
    </row>
    <row r="413" spans="1:21" ht="15.75" customHeight="1">
      <c r="A413" s="1"/>
      <c r="B413" s="2"/>
      <c r="C413" s="2"/>
      <c r="D413" s="2"/>
      <c r="E413" s="2"/>
      <c r="F413" s="2"/>
      <c r="G413" s="2"/>
      <c r="H413" s="2"/>
      <c r="I413" s="2"/>
      <c r="J413" s="2"/>
      <c r="K413" s="2"/>
      <c r="L413" s="2"/>
      <c r="M413" s="2"/>
      <c r="N413" s="2"/>
      <c r="O413" s="2"/>
      <c r="P413" s="2"/>
      <c r="Q413" s="2"/>
      <c r="R413" s="2"/>
      <c r="S413" s="2"/>
      <c r="T413" s="2"/>
      <c r="U413" s="2"/>
    </row>
    <row r="414" spans="1:21" ht="15.75" customHeight="1">
      <c r="A414" s="1"/>
      <c r="B414" s="2"/>
      <c r="C414" s="2"/>
      <c r="D414" s="2"/>
      <c r="E414" s="2"/>
      <c r="F414" s="2"/>
      <c r="G414" s="2"/>
      <c r="H414" s="2"/>
      <c r="I414" s="2"/>
      <c r="J414" s="2"/>
      <c r="K414" s="2"/>
      <c r="L414" s="2"/>
      <c r="M414" s="2"/>
      <c r="N414" s="2"/>
      <c r="O414" s="2"/>
      <c r="P414" s="2"/>
      <c r="Q414" s="2"/>
      <c r="R414" s="2"/>
      <c r="S414" s="2"/>
      <c r="T414" s="2"/>
      <c r="U414" s="2"/>
    </row>
    <row r="415" spans="1:21" ht="15.75" customHeight="1">
      <c r="A415" s="1"/>
      <c r="B415" s="2"/>
      <c r="C415" s="2"/>
      <c r="D415" s="2"/>
      <c r="E415" s="2"/>
      <c r="F415" s="2"/>
      <c r="G415" s="2"/>
      <c r="H415" s="2"/>
      <c r="I415" s="2"/>
      <c r="J415" s="2"/>
      <c r="K415" s="2"/>
      <c r="L415" s="2"/>
      <c r="M415" s="2"/>
      <c r="N415" s="2"/>
      <c r="O415" s="2"/>
      <c r="P415" s="2"/>
      <c r="Q415" s="2"/>
      <c r="R415" s="2"/>
      <c r="S415" s="2"/>
      <c r="T415" s="2"/>
      <c r="U415" s="2"/>
    </row>
    <row r="416" spans="1:21" ht="15.75" customHeight="1">
      <c r="A416" s="1"/>
      <c r="B416" s="2"/>
      <c r="C416" s="2"/>
      <c r="D416" s="2"/>
      <c r="E416" s="2"/>
      <c r="F416" s="2"/>
      <c r="G416" s="2"/>
      <c r="H416" s="2"/>
      <c r="I416" s="2"/>
      <c r="J416" s="2"/>
      <c r="K416" s="2"/>
      <c r="L416" s="2"/>
      <c r="M416" s="2"/>
      <c r="N416" s="2"/>
      <c r="O416" s="2"/>
      <c r="P416" s="2"/>
      <c r="Q416" s="2"/>
      <c r="R416" s="2"/>
      <c r="S416" s="2"/>
      <c r="T416" s="2"/>
      <c r="U416" s="2"/>
    </row>
    <row r="417" spans="1:21" ht="15.75" customHeight="1">
      <c r="A417" s="1"/>
      <c r="B417" s="2"/>
      <c r="C417" s="2"/>
      <c r="D417" s="2"/>
      <c r="E417" s="2"/>
      <c r="F417" s="2"/>
      <c r="G417" s="2"/>
      <c r="H417" s="2"/>
      <c r="I417" s="2"/>
      <c r="J417" s="2"/>
      <c r="K417" s="2"/>
      <c r="L417" s="2"/>
      <c r="M417" s="2"/>
      <c r="N417" s="2"/>
      <c r="O417" s="2"/>
      <c r="P417" s="2"/>
      <c r="Q417" s="2"/>
      <c r="R417" s="2"/>
      <c r="S417" s="2"/>
      <c r="T417" s="2"/>
      <c r="U417" s="2"/>
    </row>
    <row r="418" spans="1:21" ht="15.75" customHeight="1">
      <c r="A418" s="1"/>
      <c r="B418" s="2"/>
      <c r="C418" s="2"/>
      <c r="D418" s="2"/>
      <c r="E418" s="2"/>
      <c r="F418" s="2"/>
      <c r="G418" s="2"/>
      <c r="H418" s="2"/>
      <c r="I418" s="2"/>
      <c r="J418" s="2"/>
      <c r="K418" s="2"/>
      <c r="L418" s="2"/>
      <c r="M418" s="2"/>
      <c r="N418" s="2"/>
      <c r="O418" s="2"/>
      <c r="P418" s="2"/>
      <c r="Q418" s="2"/>
      <c r="R418" s="2"/>
      <c r="S418" s="2"/>
      <c r="T418" s="2"/>
      <c r="U418" s="2"/>
    </row>
    <row r="419" spans="1:21" ht="15.75" customHeight="1">
      <c r="A419" s="1"/>
      <c r="B419" s="2"/>
      <c r="C419" s="2"/>
      <c r="D419" s="2"/>
      <c r="E419" s="2"/>
      <c r="F419" s="2"/>
      <c r="G419" s="2"/>
      <c r="H419" s="2"/>
      <c r="I419" s="2"/>
      <c r="J419" s="2"/>
      <c r="K419" s="2"/>
      <c r="L419" s="2"/>
      <c r="M419" s="2"/>
      <c r="N419" s="2"/>
      <c r="O419" s="2"/>
      <c r="P419" s="2"/>
      <c r="Q419" s="2"/>
      <c r="R419" s="2"/>
      <c r="S419" s="2"/>
      <c r="T419" s="2"/>
      <c r="U419" s="2"/>
    </row>
    <row r="420" spans="1:21" ht="15.75" customHeight="1">
      <c r="A420" s="1"/>
      <c r="B420" s="2"/>
      <c r="C420" s="2"/>
      <c r="D420" s="2"/>
      <c r="E420" s="2"/>
      <c r="F420" s="2"/>
      <c r="G420" s="2"/>
      <c r="H420" s="2"/>
      <c r="I420" s="2"/>
      <c r="J420" s="2"/>
      <c r="K420" s="2"/>
      <c r="L420" s="2"/>
      <c r="M420" s="2"/>
      <c r="N420" s="2"/>
      <c r="O420" s="2"/>
      <c r="P420" s="2"/>
      <c r="Q420" s="2"/>
      <c r="R420" s="2"/>
      <c r="S420" s="2"/>
      <c r="T420" s="2"/>
      <c r="U420" s="2"/>
    </row>
    <row r="421" spans="1:21" ht="15.75" customHeight="1">
      <c r="A421" s="1"/>
      <c r="B421" s="2"/>
      <c r="C421" s="2"/>
      <c r="D421" s="2"/>
      <c r="E421" s="2"/>
      <c r="F421" s="2"/>
      <c r="G421" s="2"/>
      <c r="H421" s="2"/>
      <c r="I421" s="2"/>
      <c r="J421" s="2"/>
      <c r="K421" s="2"/>
      <c r="L421" s="2"/>
      <c r="M421" s="2"/>
      <c r="N421" s="2"/>
      <c r="O421" s="2"/>
      <c r="P421" s="2"/>
      <c r="Q421" s="2"/>
      <c r="R421" s="2"/>
      <c r="S421" s="2"/>
      <c r="T421" s="2"/>
      <c r="U421" s="2"/>
    </row>
    <row r="422" spans="1:21" ht="15.75" customHeight="1">
      <c r="A422" s="1"/>
      <c r="B422" s="2"/>
      <c r="C422" s="2"/>
      <c r="D422" s="2"/>
      <c r="E422" s="2"/>
      <c r="F422" s="2"/>
      <c r="G422" s="2"/>
      <c r="H422" s="2"/>
      <c r="I422" s="2"/>
      <c r="J422" s="2"/>
      <c r="K422" s="2"/>
      <c r="L422" s="2"/>
      <c r="M422" s="2"/>
      <c r="N422" s="2"/>
      <c r="O422" s="2"/>
      <c r="P422" s="2"/>
      <c r="Q422" s="2"/>
      <c r="R422" s="2"/>
      <c r="S422" s="2"/>
      <c r="T422" s="2"/>
      <c r="U422" s="2"/>
    </row>
    <row r="423" spans="1:21" ht="15.75" customHeight="1">
      <c r="A423" s="1"/>
      <c r="B423" s="2"/>
      <c r="C423" s="2"/>
      <c r="D423" s="2"/>
      <c r="E423" s="2"/>
      <c r="F423" s="2"/>
      <c r="G423" s="2"/>
      <c r="H423" s="2"/>
      <c r="I423" s="2"/>
      <c r="J423" s="2"/>
      <c r="K423" s="2"/>
      <c r="L423" s="2"/>
      <c r="M423" s="2"/>
      <c r="N423" s="2"/>
      <c r="O423" s="2"/>
      <c r="P423" s="2"/>
      <c r="Q423" s="2"/>
      <c r="R423" s="2"/>
      <c r="S423" s="2"/>
      <c r="T423" s="2"/>
      <c r="U423" s="2"/>
    </row>
    <row r="424" spans="1:21" ht="15.75" customHeight="1">
      <c r="A424" s="1"/>
      <c r="B424" s="2"/>
      <c r="C424" s="2"/>
      <c r="D424" s="2"/>
      <c r="E424" s="2"/>
      <c r="F424" s="2"/>
      <c r="G424" s="2"/>
      <c r="H424" s="2"/>
      <c r="I424" s="2"/>
      <c r="J424" s="2"/>
      <c r="K424" s="2"/>
      <c r="L424" s="2"/>
      <c r="M424" s="2"/>
      <c r="N424" s="2"/>
      <c r="O424" s="2"/>
      <c r="P424" s="2"/>
      <c r="Q424" s="2"/>
      <c r="R424" s="2"/>
      <c r="S424" s="2"/>
      <c r="T424" s="2"/>
      <c r="U424" s="2"/>
    </row>
    <row r="425" spans="1:21" ht="15.75" customHeight="1">
      <c r="A425" s="1"/>
      <c r="B425" s="2"/>
      <c r="C425" s="2"/>
      <c r="D425" s="2"/>
      <c r="E425" s="2"/>
      <c r="F425" s="2"/>
      <c r="G425" s="2"/>
      <c r="H425" s="2"/>
      <c r="I425" s="2"/>
      <c r="J425" s="2"/>
      <c r="K425" s="2"/>
      <c r="L425" s="2"/>
      <c r="M425" s="2"/>
      <c r="N425" s="2"/>
      <c r="O425" s="2"/>
      <c r="P425" s="2"/>
      <c r="Q425" s="2"/>
      <c r="R425" s="2"/>
      <c r="S425" s="2"/>
      <c r="T425" s="2"/>
      <c r="U425" s="2"/>
    </row>
    <row r="426" spans="1:21" ht="15.75" customHeight="1">
      <c r="A426" s="1"/>
      <c r="B426" s="2"/>
      <c r="C426" s="2"/>
      <c r="D426" s="2"/>
      <c r="E426" s="2"/>
      <c r="F426" s="2"/>
      <c r="G426" s="2"/>
      <c r="H426" s="2"/>
      <c r="I426" s="2"/>
      <c r="J426" s="2"/>
      <c r="K426" s="2"/>
      <c r="L426" s="2"/>
      <c r="M426" s="2"/>
      <c r="N426" s="2"/>
      <c r="O426" s="2"/>
      <c r="P426" s="2"/>
      <c r="Q426" s="2"/>
      <c r="R426" s="2"/>
      <c r="S426" s="2"/>
      <c r="T426" s="2"/>
      <c r="U426" s="2"/>
    </row>
    <row r="427" spans="1:21" ht="15.75" customHeight="1">
      <c r="A427" s="1"/>
      <c r="B427" s="2"/>
      <c r="C427" s="2"/>
      <c r="D427" s="2"/>
      <c r="E427" s="2"/>
      <c r="F427" s="2"/>
      <c r="G427" s="2"/>
      <c r="H427" s="2"/>
      <c r="I427" s="2"/>
      <c r="J427" s="2"/>
      <c r="K427" s="2"/>
      <c r="L427" s="2"/>
      <c r="M427" s="2"/>
      <c r="N427" s="2"/>
      <c r="O427" s="2"/>
      <c r="P427" s="2"/>
      <c r="Q427" s="2"/>
      <c r="R427" s="2"/>
      <c r="S427" s="2"/>
      <c r="T427" s="2"/>
      <c r="U427" s="2"/>
    </row>
    <row r="428" spans="1:21" ht="15.75" customHeight="1">
      <c r="A428" s="1"/>
      <c r="B428" s="2"/>
      <c r="C428" s="2"/>
      <c r="D428" s="2"/>
      <c r="E428" s="2"/>
      <c r="F428" s="2"/>
      <c r="G428" s="2"/>
      <c r="H428" s="2"/>
      <c r="I428" s="2"/>
      <c r="J428" s="2"/>
      <c r="K428" s="2"/>
      <c r="L428" s="2"/>
      <c r="M428" s="2"/>
      <c r="N428" s="2"/>
      <c r="O428" s="2"/>
      <c r="P428" s="2"/>
      <c r="Q428" s="2"/>
      <c r="R428" s="2"/>
      <c r="S428" s="2"/>
      <c r="T428" s="2"/>
      <c r="U428" s="2"/>
    </row>
    <row r="429" spans="1:21" ht="15.75" customHeight="1">
      <c r="A429" s="1"/>
      <c r="B429" s="2"/>
      <c r="C429" s="2"/>
      <c r="D429" s="2"/>
      <c r="E429" s="2"/>
      <c r="F429" s="2"/>
      <c r="G429" s="2"/>
      <c r="H429" s="2"/>
      <c r="I429" s="2"/>
      <c r="J429" s="2"/>
      <c r="K429" s="2"/>
      <c r="L429" s="2"/>
      <c r="M429" s="2"/>
      <c r="N429" s="2"/>
      <c r="O429" s="2"/>
      <c r="P429" s="2"/>
      <c r="Q429" s="2"/>
      <c r="R429" s="2"/>
      <c r="S429" s="2"/>
      <c r="T429" s="2"/>
      <c r="U429" s="2"/>
    </row>
    <row r="430" spans="1:21" ht="15.75" customHeight="1">
      <c r="A430" s="1"/>
      <c r="B430" s="2"/>
      <c r="C430" s="2"/>
      <c r="D430" s="2"/>
      <c r="E430" s="2"/>
      <c r="F430" s="2"/>
      <c r="G430" s="2"/>
      <c r="H430" s="2"/>
      <c r="I430" s="2"/>
      <c r="J430" s="2"/>
      <c r="K430" s="2"/>
      <c r="L430" s="2"/>
      <c r="M430" s="2"/>
      <c r="N430" s="2"/>
      <c r="O430" s="2"/>
      <c r="P430" s="2"/>
      <c r="Q430" s="2"/>
      <c r="R430" s="2"/>
      <c r="S430" s="2"/>
      <c r="T430" s="2"/>
      <c r="U430" s="2"/>
    </row>
    <row r="431" spans="1:21" ht="15.75" customHeight="1">
      <c r="A431" s="1"/>
      <c r="B431" s="2"/>
      <c r="C431" s="2"/>
      <c r="D431" s="2"/>
      <c r="E431" s="2"/>
      <c r="F431" s="2"/>
      <c r="G431" s="2"/>
      <c r="H431" s="2"/>
      <c r="I431" s="2"/>
      <c r="J431" s="2"/>
      <c r="K431" s="2"/>
      <c r="L431" s="2"/>
      <c r="M431" s="2"/>
      <c r="N431" s="2"/>
      <c r="O431" s="2"/>
      <c r="P431" s="2"/>
      <c r="Q431" s="2"/>
      <c r="R431" s="2"/>
      <c r="S431" s="2"/>
      <c r="T431" s="2"/>
      <c r="U431" s="2"/>
    </row>
    <row r="432" spans="1:21" ht="15.75" customHeight="1">
      <c r="A432" s="1"/>
      <c r="B432" s="2"/>
      <c r="C432" s="2"/>
      <c r="D432" s="2"/>
      <c r="E432" s="2"/>
      <c r="F432" s="2"/>
      <c r="G432" s="2"/>
      <c r="H432" s="2"/>
      <c r="I432" s="2"/>
      <c r="J432" s="2"/>
      <c r="K432" s="2"/>
      <c r="L432" s="2"/>
      <c r="M432" s="2"/>
      <c r="N432" s="2"/>
      <c r="O432" s="2"/>
      <c r="P432" s="2"/>
      <c r="Q432" s="2"/>
      <c r="R432" s="2"/>
      <c r="S432" s="2"/>
      <c r="T432" s="2"/>
      <c r="U432" s="2"/>
    </row>
    <row r="433" spans="1:21" ht="15.75" customHeight="1">
      <c r="A433" s="1"/>
      <c r="B433" s="2"/>
      <c r="C433" s="2"/>
      <c r="D433" s="2"/>
      <c r="E433" s="2"/>
      <c r="F433" s="2"/>
      <c r="G433" s="2"/>
      <c r="H433" s="2"/>
      <c r="I433" s="2"/>
      <c r="J433" s="2"/>
      <c r="K433" s="2"/>
      <c r="L433" s="2"/>
      <c r="M433" s="2"/>
      <c r="N433" s="2"/>
      <c r="O433" s="2"/>
      <c r="P433" s="2"/>
      <c r="Q433" s="2"/>
      <c r="R433" s="2"/>
      <c r="S433" s="2"/>
      <c r="T433" s="2"/>
      <c r="U433" s="2"/>
    </row>
    <row r="434" spans="1:21" ht="15.75" customHeight="1">
      <c r="A434" s="1"/>
      <c r="B434" s="2"/>
      <c r="C434" s="2"/>
      <c r="D434" s="2"/>
      <c r="E434" s="2"/>
      <c r="F434" s="2"/>
      <c r="G434" s="2"/>
      <c r="H434" s="2"/>
      <c r="I434" s="2"/>
      <c r="J434" s="2"/>
      <c r="K434" s="2"/>
      <c r="L434" s="2"/>
      <c r="M434" s="2"/>
      <c r="N434" s="2"/>
      <c r="O434" s="2"/>
      <c r="P434" s="2"/>
      <c r="Q434" s="2"/>
      <c r="R434" s="2"/>
      <c r="S434" s="2"/>
      <c r="T434" s="2"/>
      <c r="U434" s="2"/>
    </row>
    <row r="435" spans="1:21" ht="15.75" customHeight="1">
      <c r="A435" s="1"/>
      <c r="B435" s="2"/>
      <c r="C435" s="2"/>
      <c r="D435" s="2"/>
      <c r="E435" s="2"/>
      <c r="F435" s="2"/>
      <c r="G435" s="2"/>
      <c r="H435" s="2"/>
      <c r="I435" s="2"/>
      <c r="J435" s="2"/>
      <c r="K435" s="2"/>
      <c r="L435" s="2"/>
      <c r="M435" s="2"/>
      <c r="N435" s="2"/>
      <c r="O435" s="2"/>
      <c r="P435" s="2"/>
      <c r="Q435" s="2"/>
      <c r="R435" s="2"/>
      <c r="S435" s="2"/>
      <c r="T435" s="2"/>
      <c r="U435" s="2"/>
    </row>
    <row r="436" spans="1:21" ht="15.75" customHeight="1">
      <c r="A436" s="1"/>
      <c r="B436" s="2"/>
      <c r="C436" s="2"/>
      <c r="D436" s="2"/>
      <c r="E436" s="2"/>
      <c r="F436" s="2"/>
      <c r="G436" s="2"/>
      <c r="H436" s="2"/>
      <c r="I436" s="2"/>
      <c r="J436" s="2"/>
      <c r="K436" s="2"/>
      <c r="L436" s="2"/>
      <c r="M436" s="2"/>
      <c r="N436" s="2"/>
      <c r="O436" s="2"/>
      <c r="P436" s="2"/>
      <c r="Q436" s="2"/>
      <c r="R436" s="2"/>
      <c r="S436" s="2"/>
      <c r="T436" s="2"/>
      <c r="U436" s="2"/>
    </row>
    <row r="437" spans="1:21" ht="15.75" customHeight="1">
      <c r="A437" s="1"/>
      <c r="B437" s="2"/>
      <c r="C437" s="2"/>
      <c r="D437" s="2"/>
      <c r="E437" s="2"/>
      <c r="F437" s="2"/>
      <c r="G437" s="2"/>
      <c r="H437" s="2"/>
      <c r="I437" s="2"/>
      <c r="J437" s="2"/>
      <c r="K437" s="2"/>
      <c r="L437" s="2"/>
      <c r="M437" s="2"/>
      <c r="N437" s="2"/>
      <c r="O437" s="2"/>
      <c r="P437" s="2"/>
      <c r="Q437" s="2"/>
      <c r="R437" s="2"/>
      <c r="S437" s="2"/>
      <c r="T437" s="2"/>
      <c r="U437" s="2"/>
    </row>
    <row r="438" spans="1:21" ht="15.75" customHeight="1">
      <c r="A438" s="1"/>
      <c r="B438" s="2"/>
      <c r="C438" s="2"/>
      <c r="D438" s="2"/>
      <c r="E438" s="2"/>
      <c r="F438" s="2"/>
      <c r="G438" s="2"/>
      <c r="H438" s="2"/>
      <c r="I438" s="2"/>
      <c r="J438" s="2"/>
      <c r="K438" s="2"/>
      <c r="L438" s="2"/>
      <c r="M438" s="2"/>
      <c r="N438" s="2"/>
      <c r="O438" s="2"/>
      <c r="P438" s="2"/>
      <c r="Q438" s="2"/>
      <c r="R438" s="2"/>
      <c r="S438" s="2"/>
      <c r="T438" s="2"/>
      <c r="U438" s="2"/>
    </row>
    <row r="439" spans="1:21" ht="15.75" customHeight="1">
      <c r="A439" s="1"/>
      <c r="B439" s="2"/>
      <c r="C439" s="2"/>
      <c r="D439" s="2"/>
      <c r="E439" s="2"/>
      <c r="F439" s="2"/>
      <c r="G439" s="2"/>
      <c r="H439" s="2"/>
      <c r="I439" s="2"/>
      <c r="J439" s="2"/>
      <c r="K439" s="2"/>
      <c r="L439" s="2"/>
      <c r="M439" s="2"/>
      <c r="N439" s="2"/>
      <c r="O439" s="2"/>
      <c r="P439" s="2"/>
      <c r="Q439" s="2"/>
      <c r="R439" s="2"/>
      <c r="S439" s="2"/>
      <c r="T439" s="2"/>
      <c r="U439" s="2"/>
    </row>
    <row r="440" spans="1:21" ht="15.75" customHeight="1">
      <c r="A440" s="1"/>
      <c r="B440" s="2"/>
      <c r="C440" s="2"/>
      <c r="D440" s="2"/>
      <c r="E440" s="2"/>
      <c r="F440" s="2"/>
      <c r="G440" s="2"/>
      <c r="H440" s="2"/>
      <c r="I440" s="2"/>
      <c r="J440" s="2"/>
      <c r="K440" s="2"/>
      <c r="L440" s="2"/>
      <c r="M440" s="2"/>
      <c r="N440" s="2"/>
      <c r="O440" s="2"/>
      <c r="P440" s="2"/>
      <c r="Q440" s="2"/>
      <c r="R440" s="2"/>
      <c r="S440" s="2"/>
      <c r="T440" s="2"/>
      <c r="U440" s="2"/>
    </row>
    <row r="441" spans="1:21" ht="15.75" customHeight="1">
      <c r="A441" s="1"/>
      <c r="B441" s="2"/>
      <c r="C441" s="2"/>
      <c r="D441" s="2"/>
      <c r="E441" s="2"/>
      <c r="F441" s="2"/>
      <c r="G441" s="2"/>
      <c r="H441" s="2"/>
      <c r="I441" s="2"/>
      <c r="J441" s="2"/>
      <c r="K441" s="2"/>
      <c r="L441" s="2"/>
      <c r="M441" s="2"/>
      <c r="N441" s="2"/>
      <c r="O441" s="2"/>
      <c r="P441" s="2"/>
      <c r="Q441" s="2"/>
      <c r="R441" s="2"/>
      <c r="S441" s="2"/>
      <c r="T441" s="2"/>
      <c r="U441" s="2"/>
    </row>
    <row r="442" spans="1:21" ht="15.75" customHeight="1">
      <c r="A442" s="1"/>
      <c r="B442" s="2"/>
      <c r="C442" s="2"/>
      <c r="D442" s="2"/>
      <c r="E442" s="2"/>
      <c r="F442" s="2"/>
      <c r="G442" s="2"/>
      <c r="H442" s="2"/>
      <c r="I442" s="2"/>
      <c r="J442" s="2"/>
      <c r="K442" s="2"/>
      <c r="L442" s="2"/>
      <c r="M442" s="2"/>
      <c r="N442" s="2"/>
      <c r="O442" s="2"/>
      <c r="P442" s="2"/>
      <c r="Q442" s="2"/>
      <c r="R442" s="2"/>
      <c r="S442" s="2"/>
      <c r="T442" s="2"/>
      <c r="U442" s="2"/>
    </row>
    <row r="443" spans="1:21" ht="15.75" customHeight="1">
      <c r="A443" s="1"/>
      <c r="B443" s="2"/>
      <c r="C443" s="2"/>
      <c r="D443" s="2"/>
      <c r="E443" s="2"/>
      <c r="F443" s="2"/>
      <c r="G443" s="2"/>
      <c r="H443" s="2"/>
      <c r="I443" s="2"/>
      <c r="J443" s="2"/>
      <c r="K443" s="2"/>
      <c r="L443" s="2"/>
      <c r="M443" s="2"/>
      <c r="N443" s="2"/>
      <c r="O443" s="2"/>
      <c r="P443" s="2"/>
      <c r="Q443" s="2"/>
      <c r="R443" s="2"/>
      <c r="S443" s="2"/>
      <c r="T443" s="2"/>
      <c r="U443" s="2"/>
    </row>
    <row r="444" spans="1:21" ht="15.75" customHeight="1">
      <c r="A444" s="1"/>
      <c r="B444" s="2"/>
      <c r="C444" s="2"/>
      <c r="D444" s="2"/>
      <c r="E444" s="2"/>
      <c r="F444" s="2"/>
      <c r="G444" s="2"/>
      <c r="H444" s="2"/>
      <c r="I444" s="2"/>
      <c r="J444" s="2"/>
      <c r="K444" s="2"/>
      <c r="L444" s="2"/>
      <c r="M444" s="2"/>
      <c r="N444" s="2"/>
      <c r="O444" s="2"/>
      <c r="P444" s="2"/>
      <c r="Q444" s="2"/>
      <c r="R444" s="2"/>
      <c r="S444" s="2"/>
      <c r="T444" s="2"/>
      <c r="U444" s="2"/>
    </row>
    <row r="445" spans="1:21" ht="15.75" customHeight="1">
      <c r="A445" s="1"/>
      <c r="B445" s="2"/>
      <c r="C445" s="2"/>
      <c r="D445" s="2"/>
      <c r="E445" s="2"/>
      <c r="F445" s="2"/>
      <c r="G445" s="2"/>
      <c r="H445" s="2"/>
      <c r="I445" s="2"/>
      <c r="J445" s="2"/>
      <c r="K445" s="2"/>
      <c r="L445" s="2"/>
      <c r="M445" s="2"/>
      <c r="N445" s="2"/>
      <c r="O445" s="2"/>
      <c r="P445" s="2"/>
      <c r="Q445" s="2"/>
      <c r="R445" s="2"/>
      <c r="S445" s="2"/>
      <c r="T445" s="2"/>
      <c r="U445" s="2"/>
    </row>
    <row r="446" spans="1:21" ht="15.75" customHeight="1">
      <c r="A446" s="1"/>
      <c r="B446" s="2"/>
      <c r="C446" s="2"/>
      <c r="D446" s="2"/>
      <c r="E446" s="2"/>
      <c r="F446" s="2"/>
      <c r="G446" s="2"/>
      <c r="H446" s="2"/>
      <c r="I446" s="2"/>
      <c r="J446" s="2"/>
      <c r="K446" s="2"/>
      <c r="L446" s="2"/>
      <c r="M446" s="2"/>
      <c r="N446" s="2"/>
      <c r="O446" s="2"/>
      <c r="P446" s="2"/>
      <c r="Q446" s="2"/>
      <c r="R446" s="2"/>
      <c r="S446" s="2"/>
      <c r="T446" s="2"/>
      <c r="U446" s="2"/>
    </row>
    <row r="447" spans="1:21" ht="15.75" customHeight="1">
      <c r="A447" s="1"/>
      <c r="B447" s="2"/>
      <c r="C447" s="2"/>
      <c r="D447" s="2"/>
      <c r="E447" s="2"/>
      <c r="F447" s="2"/>
      <c r="G447" s="2"/>
      <c r="H447" s="2"/>
      <c r="I447" s="2"/>
      <c r="J447" s="2"/>
      <c r="K447" s="2"/>
      <c r="L447" s="2"/>
      <c r="M447" s="2"/>
      <c r="N447" s="2"/>
      <c r="O447" s="2"/>
      <c r="P447" s="2"/>
      <c r="Q447" s="2"/>
      <c r="R447" s="2"/>
      <c r="S447" s="2"/>
      <c r="T447" s="2"/>
      <c r="U447" s="2"/>
    </row>
    <row r="448" spans="1:21" ht="15.75" customHeight="1">
      <c r="A448" s="1"/>
      <c r="B448" s="2"/>
      <c r="C448" s="2"/>
      <c r="D448" s="2"/>
      <c r="E448" s="2"/>
      <c r="F448" s="2"/>
      <c r="G448" s="2"/>
      <c r="H448" s="2"/>
      <c r="I448" s="2"/>
      <c r="J448" s="2"/>
      <c r="K448" s="2"/>
      <c r="L448" s="2"/>
      <c r="M448" s="2"/>
      <c r="N448" s="2"/>
      <c r="O448" s="2"/>
      <c r="P448" s="2"/>
      <c r="Q448" s="2"/>
      <c r="R448" s="2"/>
      <c r="S448" s="2"/>
      <c r="T448" s="2"/>
      <c r="U448" s="2"/>
    </row>
    <row r="449" spans="1:21" ht="15.75" customHeight="1">
      <c r="A449" s="1"/>
      <c r="B449" s="2"/>
      <c r="C449" s="2"/>
      <c r="D449" s="2"/>
      <c r="E449" s="2"/>
      <c r="F449" s="2"/>
      <c r="G449" s="2"/>
      <c r="H449" s="2"/>
      <c r="I449" s="2"/>
      <c r="J449" s="2"/>
      <c r="K449" s="2"/>
      <c r="L449" s="2"/>
      <c r="M449" s="2"/>
      <c r="N449" s="2"/>
      <c r="O449" s="2"/>
      <c r="P449" s="2"/>
      <c r="Q449" s="2"/>
      <c r="R449" s="2"/>
      <c r="S449" s="2"/>
      <c r="T449" s="2"/>
      <c r="U449" s="2"/>
    </row>
    <row r="450" spans="1:21" ht="15.75" customHeight="1">
      <c r="A450" s="1"/>
      <c r="B450" s="2"/>
      <c r="C450" s="2"/>
      <c r="D450" s="2"/>
      <c r="E450" s="2"/>
      <c r="F450" s="2"/>
      <c r="G450" s="2"/>
      <c r="H450" s="2"/>
      <c r="I450" s="2"/>
      <c r="J450" s="2"/>
      <c r="K450" s="2"/>
      <c r="L450" s="2"/>
      <c r="M450" s="2"/>
      <c r="N450" s="2"/>
      <c r="O450" s="2"/>
      <c r="P450" s="2"/>
      <c r="Q450" s="2"/>
      <c r="R450" s="2"/>
      <c r="S450" s="2"/>
      <c r="T450" s="2"/>
      <c r="U450" s="2"/>
    </row>
    <row r="451" spans="1:21" ht="15.75" customHeight="1">
      <c r="A451" s="1"/>
      <c r="B451" s="2"/>
      <c r="C451" s="2"/>
      <c r="D451" s="2"/>
      <c r="E451" s="2"/>
      <c r="F451" s="2"/>
      <c r="G451" s="2"/>
      <c r="H451" s="2"/>
      <c r="I451" s="2"/>
      <c r="J451" s="2"/>
      <c r="K451" s="2"/>
      <c r="L451" s="2"/>
      <c r="M451" s="2"/>
      <c r="N451" s="2"/>
      <c r="O451" s="2"/>
      <c r="P451" s="2"/>
      <c r="Q451" s="2"/>
      <c r="R451" s="2"/>
      <c r="S451" s="2"/>
      <c r="T451" s="2"/>
      <c r="U451" s="2"/>
    </row>
    <row r="452" spans="1:21" ht="15.75" customHeight="1">
      <c r="A452" s="1"/>
      <c r="B452" s="2"/>
      <c r="C452" s="2"/>
      <c r="D452" s="2"/>
      <c r="E452" s="2"/>
      <c r="F452" s="2"/>
      <c r="G452" s="2"/>
      <c r="H452" s="2"/>
      <c r="I452" s="2"/>
      <c r="J452" s="2"/>
      <c r="K452" s="2"/>
      <c r="L452" s="2"/>
      <c r="M452" s="2"/>
      <c r="N452" s="2"/>
      <c r="O452" s="2"/>
      <c r="P452" s="2"/>
      <c r="Q452" s="2"/>
      <c r="R452" s="2"/>
      <c r="S452" s="2"/>
      <c r="T452" s="2"/>
      <c r="U452" s="2"/>
    </row>
    <row r="453" spans="1:21" ht="15.75" customHeight="1">
      <c r="A453" s="1"/>
      <c r="B453" s="2"/>
      <c r="C453" s="2"/>
      <c r="D453" s="2"/>
      <c r="E453" s="2"/>
      <c r="F453" s="2"/>
      <c r="G453" s="2"/>
      <c r="H453" s="2"/>
      <c r="I453" s="2"/>
      <c r="J453" s="2"/>
      <c r="K453" s="2"/>
      <c r="L453" s="2"/>
      <c r="M453" s="2"/>
      <c r="N453" s="2"/>
      <c r="O453" s="2"/>
      <c r="P453" s="2"/>
      <c r="Q453" s="2"/>
      <c r="R453" s="2"/>
      <c r="S453" s="2"/>
      <c r="T453" s="2"/>
      <c r="U453" s="2"/>
    </row>
    <row r="454" spans="1:21" ht="15.75" customHeight="1">
      <c r="A454" s="1"/>
      <c r="B454" s="2"/>
      <c r="C454" s="2"/>
      <c r="D454" s="2"/>
      <c r="E454" s="2"/>
      <c r="F454" s="2"/>
      <c r="G454" s="2"/>
      <c r="H454" s="2"/>
      <c r="I454" s="2"/>
      <c r="J454" s="2"/>
      <c r="K454" s="2"/>
      <c r="L454" s="2"/>
      <c r="M454" s="2"/>
      <c r="N454" s="2"/>
      <c r="O454" s="2"/>
      <c r="P454" s="2"/>
      <c r="Q454" s="2"/>
      <c r="R454" s="2"/>
      <c r="S454" s="2"/>
      <c r="T454" s="2"/>
      <c r="U454" s="2"/>
    </row>
    <row r="455" spans="1:21" ht="15.75" customHeight="1">
      <c r="A455" s="1"/>
      <c r="B455" s="2"/>
      <c r="C455" s="2"/>
      <c r="D455" s="2"/>
      <c r="E455" s="2"/>
      <c r="F455" s="2"/>
      <c r="G455" s="2"/>
      <c r="H455" s="2"/>
      <c r="I455" s="2"/>
      <c r="J455" s="2"/>
      <c r="K455" s="2"/>
      <c r="L455" s="2"/>
      <c r="M455" s="2"/>
      <c r="N455" s="2"/>
      <c r="O455" s="2"/>
      <c r="P455" s="2"/>
      <c r="Q455" s="2"/>
      <c r="R455" s="2"/>
      <c r="S455" s="2"/>
      <c r="T455" s="2"/>
      <c r="U455" s="2"/>
    </row>
    <row r="456" spans="1:21" ht="15.75" customHeight="1">
      <c r="A456" s="1"/>
      <c r="B456" s="2"/>
      <c r="C456" s="2"/>
      <c r="D456" s="2"/>
      <c r="E456" s="2"/>
      <c r="F456" s="2"/>
      <c r="G456" s="2"/>
      <c r="H456" s="2"/>
      <c r="I456" s="2"/>
      <c r="J456" s="2"/>
      <c r="K456" s="2"/>
      <c r="L456" s="2"/>
      <c r="M456" s="2"/>
      <c r="N456" s="2"/>
      <c r="O456" s="2"/>
      <c r="P456" s="2"/>
      <c r="Q456" s="2"/>
      <c r="R456" s="2"/>
      <c r="S456" s="2"/>
      <c r="T456" s="2"/>
      <c r="U456" s="2"/>
    </row>
    <row r="457" spans="1:21" ht="15.75" customHeight="1">
      <c r="A457" s="1"/>
      <c r="B457" s="2"/>
      <c r="C457" s="2"/>
      <c r="D457" s="2"/>
      <c r="E457" s="2"/>
      <c r="F457" s="2"/>
      <c r="G457" s="2"/>
      <c r="H457" s="2"/>
      <c r="I457" s="2"/>
      <c r="J457" s="2"/>
      <c r="K457" s="2"/>
      <c r="L457" s="2"/>
      <c r="M457" s="2"/>
      <c r="N457" s="2"/>
      <c r="O457" s="2"/>
      <c r="P457" s="2"/>
      <c r="Q457" s="2"/>
      <c r="R457" s="2"/>
      <c r="S457" s="2"/>
      <c r="T457" s="2"/>
      <c r="U457" s="2"/>
    </row>
    <row r="458" spans="1:21" ht="15.75" customHeight="1">
      <c r="A458" s="1"/>
      <c r="B458" s="2"/>
      <c r="C458" s="2"/>
      <c r="D458" s="2"/>
      <c r="E458" s="2"/>
      <c r="F458" s="2"/>
      <c r="G458" s="2"/>
      <c r="H458" s="2"/>
      <c r="I458" s="2"/>
      <c r="J458" s="2"/>
      <c r="K458" s="2"/>
      <c r="L458" s="2"/>
      <c r="M458" s="2"/>
      <c r="N458" s="2"/>
      <c r="O458" s="2"/>
      <c r="P458" s="2"/>
      <c r="Q458" s="2"/>
      <c r="R458" s="2"/>
      <c r="S458" s="2"/>
      <c r="T458" s="2"/>
      <c r="U458" s="2"/>
    </row>
    <row r="459" spans="1:21" ht="15.75" customHeight="1">
      <c r="A459" s="1"/>
      <c r="B459" s="2"/>
      <c r="C459" s="2"/>
      <c r="D459" s="2"/>
      <c r="E459" s="2"/>
      <c r="F459" s="2"/>
      <c r="G459" s="2"/>
      <c r="H459" s="2"/>
      <c r="I459" s="2"/>
      <c r="J459" s="2"/>
      <c r="K459" s="2"/>
      <c r="L459" s="2"/>
      <c r="M459" s="2"/>
      <c r="N459" s="2"/>
      <c r="O459" s="2"/>
      <c r="P459" s="2"/>
      <c r="Q459" s="2"/>
      <c r="R459" s="2"/>
      <c r="S459" s="2"/>
      <c r="T459" s="2"/>
      <c r="U459" s="2"/>
    </row>
    <row r="460" spans="1:21" ht="15.75" customHeight="1">
      <c r="A460" s="1"/>
      <c r="B460" s="2"/>
      <c r="C460" s="2"/>
      <c r="D460" s="2"/>
      <c r="E460" s="2"/>
      <c r="F460" s="2"/>
      <c r="G460" s="2"/>
      <c r="H460" s="2"/>
      <c r="I460" s="2"/>
      <c r="J460" s="2"/>
      <c r="K460" s="2"/>
      <c r="L460" s="2"/>
      <c r="M460" s="2"/>
      <c r="N460" s="2"/>
      <c r="O460" s="2"/>
      <c r="P460" s="2"/>
      <c r="Q460" s="2"/>
      <c r="R460" s="2"/>
      <c r="S460" s="2"/>
      <c r="T460" s="2"/>
      <c r="U460" s="2"/>
    </row>
    <row r="461" spans="1:21" ht="15.75" customHeight="1">
      <c r="A461" s="1"/>
      <c r="B461" s="2"/>
      <c r="C461" s="2"/>
      <c r="D461" s="2"/>
      <c r="E461" s="2"/>
      <c r="F461" s="2"/>
      <c r="G461" s="2"/>
      <c r="H461" s="2"/>
      <c r="I461" s="2"/>
      <c r="J461" s="2"/>
      <c r="K461" s="2"/>
      <c r="L461" s="2"/>
      <c r="M461" s="2"/>
      <c r="N461" s="2"/>
      <c r="O461" s="2"/>
      <c r="P461" s="2"/>
      <c r="Q461" s="2"/>
      <c r="R461" s="2"/>
      <c r="S461" s="2"/>
      <c r="T461" s="2"/>
      <c r="U461" s="2"/>
    </row>
    <row r="462" spans="1:21" ht="15.75" customHeight="1">
      <c r="A462" s="1"/>
      <c r="B462" s="2"/>
      <c r="C462" s="2"/>
      <c r="D462" s="2"/>
      <c r="E462" s="2"/>
      <c r="F462" s="2"/>
      <c r="G462" s="2"/>
      <c r="H462" s="2"/>
      <c r="I462" s="2"/>
      <c r="J462" s="2"/>
      <c r="K462" s="2"/>
      <c r="L462" s="2"/>
      <c r="M462" s="2"/>
      <c r="N462" s="2"/>
      <c r="O462" s="2"/>
      <c r="P462" s="2"/>
      <c r="Q462" s="2"/>
      <c r="R462" s="2"/>
      <c r="S462" s="2"/>
      <c r="T462" s="2"/>
      <c r="U462" s="2"/>
    </row>
    <row r="463" spans="1:21" ht="15.75" customHeight="1">
      <c r="A463" s="1"/>
      <c r="B463" s="2"/>
      <c r="C463" s="2"/>
      <c r="D463" s="2"/>
      <c r="E463" s="2"/>
      <c r="F463" s="2"/>
      <c r="G463" s="2"/>
      <c r="H463" s="2"/>
      <c r="I463" s="2"/>
      <c r="J463" s="2"/>
      <c r="K463" s="2"/>
      <c r="L463" s="2"/>
      <c r="M463" s="2"/>
      <c r="N463" s="2"/>
      <c r="O463" s="2"/>
      <c r="P463" s="2"/>
      <c r="Q463" s="2"/>
      <c r="R463" s="2"/>
      <c r="S463" s="2"/>
      <c r="T463" s="2"/>
      <c r="U463" s="2"/>
    </row>
    <row r="464" spans="1:21" ht="15.75" customHeight="1">
      <c r="A464" s="1"/>
      <c r="B464" s="2"/>
      <c r="C464" s="2"/>
      <c r="D464" s="2"/>
      <c r="E464" s="2"/>
      <c r="F464" s="2"/>
      <c r="G464" s="2"/>
      <c r="H464" s="2"/>
      <c r="I464" s="2"/>
      <c r="J464" s="2"/>
      <c r="K464" s="2"/>
      <c r="L464" s="2"/>
      <c r="M464" s="2"/>
      <c r="N464" s="2"/>
      <c r="O464" s="2"/>
      <c r="P464" s="2"/>
      <c r="Q464" s="2"/>
      <c r="R464" s="2"/>
      <c r="S464" s="2"/>
      <c r="T464" s="2"/>
      <c r="U464" s="2"/>
    </row>
    <row r="465" spans="1:21" ht="15.75" customHeight="1">
      <c r="A465" s="1"/>
      <c r="B465" s="2"/>
      <c r="C465" s="2"/>
      <c r="D465" s="2"/>
      <c r="E465" s="2"/>
      <c r="F465" s="2"/>
      <c r="G465" s="2"/>
      <c r="H465" s="2"/>
      <c r="I465" s="2"/>
      <c r="J465" s="2"/>
      <c r="K465" s="2"/>
      <c r="L465" s="2"/>
      <c r="M465" s="2"/>
      <c r="N465" s="2"/>
      <c r="O465" s="2"/>
      <c r="P465" s="2"/>
      <c r="Q465" s="2"/>
      <c r="R465" s="2"/>
      <c r="S465" s="2"/>
      <c r="T465" s="2"/>
      <c r="U465" s="2"/>
    </row>
    <row r="466" spans="1:21" ht="15.75" customHeight="1">
      <c r="A466" s="1"/>
      <c r="B466" s="2"/>
      <c r="C466" s="2"/>
      <c r="D466" s="2"/>
      <c r="E466" s="2"/>
      <c r="F466" s="2"/>
      <c r="G466" s="2"/>
      <c r="H466" s="2"/>
      <c r="I466" s="2"/>
      <c r="J466" s="2"/>
      <c r="K466" s="2"/>
      <c r="L466" s="2"/>
      <c r="M466" s="2"/>
      <c r="N466" s="2"/>
      <c r="O466" s="2"/>
      <c r="P466" s="2"/>
      <c r="Q466" s="2"/>
      <c r="R466" s="2"/>
      <c r="S466" s="2"/>
      <c r="T466" s="2"/>
      <c r="U466" s="2"/>
    </row>
    <row r="467" spans="1:21" ht="15.75" customHeight="1">
      <c r="A467" s="1"/>
      <c r="B467" s="2"/>
      <c r="C467" s="2"/>
      <c r="D467" s="2"/>
      <c r="E467" s="2"/>
      <c r="F467" s="2"/>
      <c r="G467" s="2"/>
      <c r="H467" s="2"/>
      <c r="I467" s="2"/>
      <c r="J467" s="2"/>
      <c r="K467" s="2"/>
      <c r="L467" s="2"/>
      <c r="M467" s="2"/>
      <c r="N467" s="2"/>
      <c r="O467" s="2"/>
      <c r="P467" s="2"/>
      <c r="Q467" s="2"/>
      <c r="R467" s="2"/>
      <c r="S467" s="2"/>
      <c r="T467" s="2"/>
      <c r="U467" s="2"/>
    </row>
    <row r="468" spans="1:21" ht="15.75" customHeight="1">
      <c r="A468" s="1"/>
      <c r="B468" s="2"/>
      <c r="C468" s="2"/>
      <c r="D468" s="2"/>
      <c r="E468" s="2"/>
      <c r="F468" s="2"/>
      <c r="G468" s="2"/>
      <c r="H468" s="2"/>
      <c r="I468" s="2"/>
      <c r="J468" s="2"/>
      <c r="K468" s="2"/>
      <c r="L468" s="2"/>
      <c r="M468" s="2"/>
      <c r="N468" s="2"/>
      <c r="O468" s="2"/>
      <c r="P468" s="2"/>
      <c r="Q468" s="2"/>
      <c r="R468" s="2"/>
      <c r="S468" s="2"/>
      <c r="T468" s="2"/>
      <c r="U468" s="2"/>
    </row>
    <row r="469" spans="1:21" ht="15.75" customHeight="1">
      <c r="A469" s="1"/>
      <c r="B469" s="2"/>
      <c r="C469" s="2"/>
      <c r="D469" s="2"/>
      <c r="E469" s="2"/>
      <c r="F469" s="2"/>
      <c r="G469" s="2"/>
      <c r="H469" s="2"/>
      <c r="I469" s="2"/>
      <c r="J469" s="2"/>
      <c r="K469" s="2"/>
      <c r="L469" s="2"/>
      <c r="M469" s="2"/>
      <c r="N469" s="2"/>
      <c r="O469" s="2"/>
      <c r="P469" s="2"/>
      <c r="Q469" s="2"/>
      <c r="R469" s="2"/>
      <c r="S469" s="2"/>
      <c r="T469" s="2"/>
      <c r="U469" s="2"/>
    </row>
    <row r="470" spans="1:21" ht="15.75" customHeight="1">
      <c r="A470" s="1"/>
      <c r="B470" s="2"/>
      <c r="C470" s="2"/>
      <c r="D470" s="2"/>
      <c r="E470" s="2"/>
      <c r="F470" s="2"/>
      <c r="G470" s="2"/>
      <c r="H470" s="2"/>
      <c r="I470" s="2"/>
      <c r="J470" s="2"/>
      <c r="K470" s="2"/>
      <c r="L470" s="2"/>
      <c r="M470" s="2"/>
      <c r="N470" s="2"/>
      <c r="O470" s="2"/>
      <c r="P470" s="2"/>
      <c r="Q470" s="2"/>
      <c r="R470" s="2"/>
      <c r="S470" s="2"/>
      <c r="T470" s="2"/>
      <c r="U470" s="2"/>
    </row>
    <row r="471" spans="1:21" ht="15.75" customHeight="1">
      <c r="A471" s="1"/>
      <c r="B471" s="2"/>
      <c r="C471" s="2"/>
      <c r="D471" s="2"/>
      <c r="E471" s="2"/>
      <c r="F471" s="2"/>
      <c r="G471" s="2"/>
      <c r="H471" s="2"/>
      <c r="I471" s="2"/>
      <c r="J471" s="2"/>
      <c r="K471" s="2"/>
      <c r="L471" s="2"/>
      <c r="M471" s="2"/>
      <c r="N471" s="2"/>
      <c r="O471" s="2"/>
      <c r="P471" s="2"/>
      <c r="Q471" s="2"/>
      <c r="R471" s="2"/>
      <c r="S471" s="2"/>
      <c r="T471" s="2"/>
      <c r="U471" s="2"/>
    </row>
    <row r="472" spans="1:21" ht="15.75" customHeight="1">
      <c r="A472" s="1"/>
      <c r="B472" s="2"/>
      <c r="C472" s="2"/>
      <c r="D472" s="2"/>
      <c r="E472" s="2"/>
      <c r="F472" s="2"/>
      <c r="G472" s="2"/>
      <c r="H472" s="2"/>
      <c r="I472" s="2"/>
      <c r="J472" s="2"/>
      <c r="K472" s="2"/>
      <c r="L472" s="2"/>
      <c r="M472" s="2"/>
      <c r="N472" s="2"/>
      <c r="O472" s="2"/>
      <c r="P472" s="2"/>
      <c r="Q472" s="2"/>
      <c r="R472" s="2"/>
      <c r="S472" s="2"/>
      <c r="T472" s="2"/>
      <c r="U472" s="2"/>
    </row>
    <row r="473" spans="1:21" ht="15.75" customHeight="1">
      <c r="A473" s="1"/>
      <c r="B473" s="2"/>
      <c r="C473" s="2"/>
      <c r="D473" s="2"/>
      <c r="E473" s="2"/>
      <c r="F473" s="2"/>
      <c r="G473" s="2"/>
      <c r="H473" s="2"/>
      <c r="I473" s="2"/>
      <c r="J473" s="2"/>
      <c r="K473" s="2"/>
      <c r="L473" s="2"/>
      <c r="M473" s="2"/>
      <c r="N473" s="2"/>
      <c r="O473" s="2"/>
      <c r="P473" s="2"/>
      <c r="Q473" s="2"/>
      <c r="R473" s="2"/>
      <c r="S473" s="2"/>
      <c r="T473" s="2"/>
      <c r="U473" s="2"/>
    </row>
    <row r="474" spans="1:21" ht="15.75" customHeight="1">
      <c r="A474" s="1"/>
      <c r="B474" s="2"/>
      <c r="C474" s="2"/>
      <c r="D474" s="2"/>
      <c r="E474" s="2"/>
      <c r="F474" s="2"/>
      <c r="G474" s="2"/>
      <c r="H474" s="2"/>
      <c r="I474" s="2"/>
      <c r="J474" s="2"/>
      <c r="K474" s="2"/>
      <c r="L474" s="2"/>
      <c r="M474" s="2"/>
      <c r="N474" s="2"/>
      <c r="O474" s="2"/>
      <c r="P474" s="2"/>
      <c r="Q474" s="2"/>
      <c r="R474" s="2"/>
      <c r="S474" s="2"/>
      <c r="T474" s="2"/>
      <c r="U474" s="2"/>
    </row>
    <row r="475" spans="1:21" ht="15.75" customHeight="1">
      <c r="A475" s="1"/>
      <c r="B475" s="2"/>
      <c r="C475" s="2"/>
      <c r="D475" s="2"/>
      <c r="E475" s="2"/>
      <c r="F475" s="2"/>
      <c r="G475" s="2"/>
      <c r="H475" s="2"/>
      <c r="I475" s="2"/>
      <c r="J475" s="2"/>
      <c r="K475" s="2"/>
      <c r="L475" s="2"/>
      <c r="M475" s="2"/>
      <c r="N475" s="2"/>
      <c r="O475" s="2"/>
      <c r="P475" s="2"/>
      <c r="Q475" s="2"/>
      <c r="R475" s="2"/>
      <c r="S475" s="2"/>
      <c r="T475" s="2"/>
      <c r="U475" s="2"/>
    </row>
    <row r="476" spans="1:21" ht="15.75" customHeight="1">
      <c r="A476" s="1"/>
      <c r="B476" s="2"/>
      <c r="C476" s="2"/>
      <c r="D476" s="2"/>
      <c r="E476" s="2"/>
      <c r="F476" s="2"/>
      <c r="G476" s="2"/>
      <c r="H476" s="2"/>
      <c r="I476" s="2"/>
      <c r="J476" s="2"/>
      <c r="K476" s="2"/>
      <c r="L476" s="2"/>
      <c r="M476" s="2"/>
      <c r="N476" s="2"/>
      <c r="O476" s="2"/>
      <c r="P476" s="2"/>
      <c r="Q476" s="2"/>
      <c r="R476" s="2"/>
      <c r="S476" s="2"/>
      <c r="T476" s="2"/>
      <c r="U476" s="2"/>
    </row>
    <row r="477" spans="1:21" ht="15.75" customHeight="1">
      <c r="A477" s="1"/>
      <c r="B477" s="2"/>
      <c r="C477" s="2"/>
      <c r="D477" s="2"/>
      <c r="E477" s="2"/>
      <c r="F477" s="2"/>
      <c r="G477" s="2"/>
      <c r="H477" s="2"/>
      <c r="I477" s="2"/>
      <c r="J477" s="2"/>
      <c r="K477" s="2"/>
      <c r="L477" s="2"/>
      <c r="M477" s="2"/>
      <c r="N477" s="2"/>
      <c r="O477" s="2"/>
      <c r="P477" s="2"/>
      <c r="Q477" s="2"/>
      <c r="R477" s="2"/>
      <c r="S477" s="2"/>
      <c r="T477" s="2"/>
      <c r="U477" s="2"/>
    </row>
    <row r="478" spans="1:21" ht="15.75" customHeight="1">
      <c r="A478" s="1"/>
      <c r="B478" s="2"/>
      <c r="C478" s="2"/>
      <c r="D478" s="2"/>
      <c r="E478" s="2"/>
      <c r="F478" s="2"/>
      <c r="G478" s="2"/>
      <c r="H478" s="2"/>
      <c r="I478" s="2"/>
      <c r="J478" s="2"/>
      <c r="K478" s="2"/>
      <c r="L478" s="2"/>
      <c r="M478" s="2"/>
      <c r="N478" s="2"/>
      <c r="O478" s="2"/>
      <c r="P478" s="2"/>
      <c r="Q478" s="2"/>
      <c r="R478" s="2"/>
      <c r="S478" s="2"/>
      <c r="T478" s="2"/>
      <c r="U478" s="2"/>
    </row>
    <row r="479" spans="1:21" ht="15.75" customHeight="1">
      <c r="A479" s="1"/>
      <c r="B479" s="2"/>
      <c r="C479" s="2"/>
      <c r="D479" s="2"/>
      <c r="E479" s="2"/>
      <c r="F479" s="2"/>
      <c r="G479" s="2"/>
      <c r="H479" s="2"/>
      <c r="I479" s="2"/>
      <c r="J479" s="2"/>
      <c r="K479" s="2"/>
      <c r="L479" s="2"/>
      <c r="M479" s="2"/>
      <c r="N479" s="2"/>
      <c r="O479" s="2"/>
      <c r="P479" s="2"/>
      <c r="Q479" s="2"/>
      <c r="R479" s="2"/>
      <c r="S479" s="2"/>
      <c r="T479" s="2"/>
      <c r="U479" s="2"/>
    </row>
    <row r="480" spans="1:21" ht="15.75" customHeight="1">
      <c r="A480" s="1"/>
      <c r="B480" s="2"/>
      <c r="C480" s="2"/>
      <c r="D480" s="2"/>
      <c r="E480" s="2"/>
      <c r="F480" s="2"/>
      <c r="G480" s="2"/>
      <c r="H480" s="2"/>
      <c r="I480" s="2"/>
      <c r="J480" s="2"/>
      <c r="K480" s="2"/>
      <c r="L480" s="2"/>
      <c r="M480" s="2"/>
      <c r="N480" s="2"/>
      <c r="O480" s="2"/>
      <c r="P480" s="2"/>
      <c r="Q480" s="2"/>
      <c r="R480" s="2"/>
      <c r="S480" s="2"/>
      <c r="T480" s="2"/>
      <c r="U480" s="2"/>
    </row>
    <row r="481" spans="1:21" ht="15.75" customHeight="1">
      <c r="A481" s="1"/>
      <c r="B481" s="2"/>
      <c r="C481" s="2"/>
      <c r="D481" s="2"/>
      <c r="E481" s="2"/>
      <c r="F481" s="2"/>
      <c r="G481" s="2"/>
      <c r="H481" s="2"/>
      <c r="I481" s="2"/>
      <c r="J481" s="2"/>
      <c r="K481" s="2"/>
      <c r="L481" s="2"/>
      <c r="M481" s="2"/>
      <c r="N481" s="2"/>
      <c r="O481" s="2"/>
      <c r="P481" s="2"/>
      <c r="Q481" s="2"/>
      <c r="R481" s="2"/>
      <c r="S481" s="2"/>
      <c r="T481" s="2"/>
      <c r="U481" s="2"/>
    </row>
    <row r="482" spans="1:21" ht="15.75" customHeight="1">
      <c r="A482" s="1"/>
      <c r="B482" s="2"/>
      <c r="C482" s="2"/>
      <c r="D482" s="2"/>
      <c r="E482" s="2"/>
      <c r="F482" s="2"/>
      <c r="G482" s="2"/>
      <c r="H482" s="2"/>
      <c r="I482" s="2"/>
      <c r="J482" s="2"/>
      <c r="K482" s="2"/>
      <c r="L482" s="2"/>
      <c r="M482" s="2"/>
      <c r="N482" s="2"/>
      <c r="O482" s="2"/>
      <c r="P482" s="2"/>
      <c r="Q482" s="2"/>
      <c r="R482" s="2"/>
      <c r="S482" s="2"/>
      <c r="T482" s="2"/>
      <c r="U482" s="2"/>
    </row>
    <row r="483" spans="1:21" ht="15.75" customHeight="1">
      <c r="A483" s="1"/>
      <c r="B483" s="2"/>
      <c r="C483" s="2"/>
      <c r="D483" s="2"/>
      <c r="E483" s="2"/>
      <c r="F483" s="2"/>
      <c r="G483" s="2"/>
      <c r="H483" s="2"/>
      <c r="I483" s="2"/>
      <c r="J483" s="2"/>
      <c r="K483" s="2"/>
      <c r="L483" s="2"/>
      <c r="M483" s="2"/>
      <c r="N483" s="2"/>
      <c r="O483" s="2"/>
      <c r="P483" s="2"/>
      <c r="Q483" s="2"/>
      <c r="R483" s="2"/>
      <c r="S483" s="2"/>
      <c r="T483" s="2"/>
      <c r="U483" s="2"/>
    </row>
    <row r="484" spans="1:21" ht="15.75" customHeight="1">
      <c r="A484" s="1"/>
      <c r="B484" s="2"/>
      <c r="C484" s="2"/>
      <c r="D484" s="2"/>
      <c r="E484" s="2"/>
      <c r="F484" s="2"/>
      <c r="G484" s="2"/>
      <c r="H484" s="2"/>
      <c r="I484" s="2"/>
      <c r="J484" s="2"/>
      <c r="K484" s="2"/>
      <c r="L484" s="2"/>
      <c r="M484" s="2"/>
      <c r="N484" s="2"/>
      <c r="O484" s="2"/>
      <c r="P484" s="2"/>
      <c r="Q484" s="2"/>
      <c r="R484" s="2"/>
      <c r="S484" s="2"/>
      <c r="T484" s="2"/>
      <c r="U484" s="2"/>
    </row>
    <row r="485" spans="1:21" ht="15.75" customHeight="1">
      <c r="A485" s="1"/>
      <c r="B485" s="2"/>
      <c r="C485" s="2"/>
      <c r="D485" s="2"/>
      <c r="E485" s="2"/>
      <c r="F485" s="2"/>
      <c r="G485" s="2"/>
      <c r="H485" s="2"/>
      <c r="I485" s="2"/>
      <c r="J485" s="2"/>
      <c r="K485" s="2"/>
      <c r="L485" s="2"/>
      <c r="M485" s="2"/>
      <c r="N485" s="2"/>
      <c r="O485" s="2"/>
      <c r="P485" s="2"/>
      <c r="Q485" s="2"/>
      <c r="R485" s="2"/>
      <c r="S485" s="2"/>
      <c r="T485" s="2"/>
      <c r="U485" s="2"/>
    </row>
    <row r="486" spans="1:21" ht="15.75" customHeight="1">
      <c r="A486" s="1"/>
      <c r="B486" s="2"/>
      <c r="C486" s="2"/>
      <c r="D486" s="2"/>
      <c r="E486" s="2"/>
      <c r="F486" s="2"/>
      <c r="G486" s="2"/>
      <c r="H486" s="2"/>
      <c r="I486" s="2"/>
      <c r="J486" s="2"/>
      <c r="K486" s="2"/>
      <c r="L486" s="2"/>
      <c r="M486" s="2"/>
      <c r="N486" s="2"/>
      <c r="O486" s="2"/>
      <c r="P486" s="2"/>
      <c r="Q486" s="2"/>
      <c r="R486" s="2"/>
      <c r="S486" s="2"/>
      <c r="T486" s="2"/>
      <c r="U486" s="2"/>
    </row>
    <row r="487" spans="1:21" ht="15.75" customHeight="1">
      <c r="A487" s="1"/>
      <c r="B487" s="2"/>
      <c r="C487" s="2"/>
      <c r="D487" s="2"/>
      <c r="E487" s="2"/>
      <c r="F487" s="2"/>
      <c r="G487" s="2"/>
      <c r="H487" s="2"/>
      <c r="I487" s="2"/>
      <c r="J487" s="2"/>
      <c r="K487" s="2"/>
      <c r="L487" s="2"/>
      <c r="M487" s="2"/>
      <c r="N487" s="2"/>
      <c r="O487" s="2"/>
      <c r="P487" s="2"/>
      <c r="Q487" s="2"/>
      <c r="R487" s="2"/>
      <c r="S487" s="2"/>
      <c r="T487" s="2"/>
      <c r="U487" s="2"/>
    </row>
    <row r="488" spans="1:21" ht="15.75" customHeight="1">
      <c r="A488" s="1"/>
      <c r="B488" s="2"/>
      <c r="C488" s="2"/>
      <c r="D488" s="2"/>
      <c r="E488" s="2"/>
      <c r="F488" s="2"/>
      <c r="G488" s="2"/>
      <c r="H488" s="2"/>
      <c r="I488" s="2"/>
      <c r="J488" s="2"/>
      <c r="K488" s="2"/>
      <c r="L488" s="2"/>
      <c r="M488" s="2"/>
      <c r="N488" s="2"/>
      <c r="O488" s="2"/>
      <c r="P488" s="2"/>
      <c r="Q488" s="2"/>
      <c r="R488" s="2"/>
      <c r="S488" s="2"/>
      <c r="T488" s="2"/>
      <c r="U488" s="2"/>
    </row>
    <row r="489" spans="1:21" ht="15.75" customHeight="1">
      <c r="A489" s="1"/>
      <c r="B489" s="2"/>
      <c r="C489" s="2"/>
      <c r="D489" s="2"/>
      <c r="E489" s="2"/>
      <c r="F489" s="2"/>
      <c r="G489" s="2"/>
      <c r="H489" s="2"/>
      <c r="I489" s="2"/>
      <c r="J489" s="2"/>
      <c r="K489" s="2"/>
      <c r="L489" s="2"/>
      <c r="M489" s="2"/>
      <c r="N489" s="2"/>
      <c r="O489" s="2"/>
      <c r="P489" s="2"/>
      <c r="Q489" s="2"/>
      <c r="R489" s="2"/>
      <c r="S489" s="2"/>
      <c r="T489" s="2"/>
      <c r="U489" s="2"/>
    </row>
    <row r="490" spans="1:21" ht="15.75" customHeight="1">
      <c r="A490" s="1"/>
      <c r="B490" s="2"/>
      <c r="C490" s="2"/>
      <c r="D490" s="2"/>
      <c r="E490" s="2"/>
      <c r="F490" s="2"/>
      <c r="G490" s="2"/>
      <c r="H490" s="2"/>
      <c r="I490" s="2"/>
      <c r="J490" s="2"/>
      <c r="K490" s="2"/>
      <c r="L490" s="2"/>
      <c r="M490" s="2"/>
      <c r="N490" s="2"/>
      <c r="O490" s="2"/>
      <c r="P490" s="2"/>
      <c r="Q490" s="2"/>
      <c r="R490" s="2"/>
      <c r="S490" s="2"/>
      <c r="T490" s="2"/>
      <c r="U490" s="2"/>
    </row>
    <row r="491" spans="1:21" ht="15.75" customHeight="1">
      <c r="A491" s="1"/>
      <c r="B491" s="2"/>
      <c r="C491" s="2"/>
      <c r="D491" s="2"/>
      <c r="E491" s="2"/>
      <c r="F491" s="2"/>
      <c r="G491" s="2"/>
      <c r="H491" s="2"/>
      <c r="I491" s="2"/>
      <c r="J491" s="2"/>
      <c r="K491" s="2"/>
      <c r="L491" s="2"/>
      <c r="M491" s="2"/>
      <c r="N491" s="2"/>
      <c r="O491" s="2"/>
      <c r="P491" s="2"/>
      <c r="Q491" s="2"/>
      <c r="R491" s="2"/>
      <c r="S491" s="2"/>
      <c r="T491" s="2"/>
      <c r="U491" s="2"/>
    </row>
    <row r="492" spans="1:21" ht="15.75" customHeight="1">
      <c r="A492" s="1"/>
      <c r="B492" s="2"/>
      <c r="C492" s="2"/>
      <c r="D492" s="2"/>
      <c r="E492" s="2"/>
      <c r="F492" s="2"/>
      <c r="G492" s="2"/>
      <c r="H492" s="2"/>
      <c r="I492" s="2"/>
      <c r="J492" s="2"/>
      <c r="K492" s="2"/>
      <c r="L492" s="2"/>
      <c r="M492" s="2"/>
      <c r="N492" s="2"/>
      <c r="O492" s="2"/>
      <c r="P492" s="2"/>
      <c r="Q492" s="2"/>
      <c r="R492" s="2"/>
      <c r="S492" s="2"/>
      <c r="T492" s="2"/>
      <c r="U492" s="2"/>
    </row>
    <row r="493" spans="1:21" ht="15.75" customHeight="1">
      <c r="A493" s="1"/>
      <c r="B493" s="2"/>
      <c r="C493" s="2"/>
      <c r="D493" s="2"/>
      <c r="E493" s="2"/>
      <c r="F493" s="2"/>
      <c r="G493" s="2"/>
      <c r="H493" s="2"/>
      <c r="I493" s="2"/>
      <c r="J493" s="2"/>
      <c r="K493" s="2"/>
      <c r="L493" s="2"/>
      <c r="M493" s="2"/>
      <c r="N493" s="2"/>
      <c r="O493" s="2"/>
      <c r="P493" s="2"/>
      <c r="Q493" s="2"/>
      <c r="R493" s="2"/>
      <c r="S493" s="2"/>
      <c r="T493" s="2"/>
      <c r="U493" s="2"/>
    </row>
    <row r="494" spans="1:21" ht="15.75" customHeight="1">
      <c r="A494" s="1"/>
      <c r="B494" s="2"/>
      <c r="C494" s="2"/>
      <c r="D494" s="2"/>
      <c r="E494" s="2"/>
      <c r="F494" s="2"/>
      <c r="G494" s="2"/>
      <c r="H494" s="2"/>
      <c r="I494" s="2"/>
      <c r="J494" s="2"/>
      <c r="K494" s="2"/>
      <c r="L494" s="2"/>
      <c r="M494" s="2"/>
      <c r="N494" s="2"/>
      <c r="O494" s="2"/>
      <c r="P494" s="2"/>
      <c r="Q494" s="2"/>
      <c r="R494" s="2"/>
      <c r="S494" s="2"/>
      <c r="T494" s="2"/>
      <c r="U494" s="2"/>
    </row>
    <row r="495" spans="1:21" ht="15.75" customHeight="1">
      <c r="A495" s="1"/>
      <c r="B495" s="2"/>
      <c r="C495" s="2"/>
      <c r="D495" s="2"/>
      <c r="E495" s="2"/>
      <c r="F495" s="2"/>
      <c r="G495" s="2"/>
      <c r="H495" s="2"/>
      <c r="I495" s="2"/>
      <c r="J495" s="2"/>
      <c r="K495" s="2"/>
      <c r="L495" s="2"/>
      <c r="M495" s="2"/>
      <c r="N495" s="2"/>
      <c r="O495" s="2"/>
      <c r="P495" s="2"/>
      <c r="Q495" s="2"/>
      <c r="R495" s="2"/>
      <c r="S495" s="2"/>
      <c r="T495" s="2"/>
      <c r="U495" s="2"/>
    </row>
    <row r="496" spans="1:21" ht="15.75" customHeight="1">
      <c r="A496" s="1"/>
      <c r="B496" s="2"/>
      <c r="C496" s="2"/>
      <c r="D496" s="2"/>
      <c r="E496" s="2"/>
      <c r="F496" s="2"/>
      <c r="G496" s="2"/>
      <c r="H496" s="2"/>
      <c r="I496" s="2"/>
      <c r="J496" s="2"/>
      <c r="K496" s="2"/>
      <c r="L496" s="2"/>
      <c r="M496" s="2"/>
      <c r="N496" s="2"/>
      <c r="O496" s="2"/>
      <c r="P496" s="2"/>
      <c r="Q496" s="2"/>
      <c r="R496" s="2"/>
      <c r="S496" s="2"/>
      <c r="T496" s="2"/>
      <c r="U496" s="2"/>
    </row>
    <row r="497" spans="1:21" ht="15.75" customHeight="1">
      <c r="A497" s="1"/>
      <c r="B497" s="2"/>
      <c r="C497" s="2"/>
      <c r="D497" s="2"/>
      <c r="E497" s="2"/>
      <c r="F497" s="2"/>
      <c r="G497" s="2"/>
      <c r="H497" s="2"/>
      <c r="I497" s="2"/>
      <c r="J497" s="2"/>
      <c r="K497" s="2"/>
      <c r="L497" s="2"/>
      <c r="M497" s="2"/>
      <c r="N497" s="2"/>
      <c r="O497" s="2"/>
      <c r="P497" s="2"/>
      <c r="Q497" s="2"/>
      <c r="R497" s="2"/>
      <c r="S497" s="2"/>
      <c r="T497" s="2"/>
      <c r="U497" s="2"/>
    </row>
    <row r="498" spans="1:21" ht="15.75" customHeight="1">
      <c r="A498" s="1"/>
      <c r="B498" s="2"/>
      <c r="C498" s="2"/>
      <c r="D498" s="2"/>
      <c r="E498" s="2"/>
      <c r="F498" s="2"/>
      <c r="G498" s="2"/>
      <c r="H498" s="2"/>
      <c r="I498" s="2"/>
      <c r="J498" s="2"/>
      <c r="K498" s="2"/>
      <c r="L498" s="2"/>
      <c r="M498" s="2"/>
      <c r="N498" s="2"/>
      <c r="O498" s="2"/>
      <c r="P498" s="2"/>
      <c r="Q498" s="2"/>
      <c r="R498" s="2"/>
      <c r="S498" s="2"/>
      <c r="T498" s="2"/>
      <c r="U498" s="2"/>
    </row>
    <row r="499" spans="1:21" ht="15.75" customHeight="1">
      <c r="A499" s="1"/>
      <c r="B499" s="2"/>
      <c r="C499" s="2"/>
      <c r="D499" s="2"/>
      <c r="E499" s="2"/>
      <c r="F499" s="2"/>
      <c r="G499" s="2"/>
      <c r="H499" s="2"/>
      <c r="I499" s="2"/>
      <c r="J499" s="2"/>
      <c r="K499" s="2"/>
      <c r="L499" s="2"/>
      <c r="M499" s="2"/>
      <c r="N499" s="2"/>
      <c r="O499" s="2"/>
      <c r="P499" s="2"/>
      <c r="Q499" s="2"/>
      <c r="R499" s="2"/>
      <c r="S499" s="2"/>
      <c r="T499" s="2"/>
      <c r="U499" s="2"/>
    </row>
    <row r="500" spans="1:21" ht="15.75" customHeight="1">
      <c r="A500" s="1"/>
      <c r="B500" s="2"/>
      <c r="C500" s="2"/>
      <c r="D500" s="2"/>
      <c r="E500" s="2"/>
      <c r="F500" s="2"/>
      <c r="G500" s="2"/>
      <c r="H500" s="2"/>
      <c r="I500" s="2"/>
      <c r="J500" s="2"/>
      <c r="K500" s="2"/>
      <c r="L500" s="2"/>
      <c r="M500" s="2"/>
      <c r="N500" s="2"/>
      <c r="O500" s="2"/>
      <c r="P500" s="2"/>
      <c r="Q500" s="2"/>
      <c r="R500" s="2"/>
      <c r="S500" s="2"/>
      <c r="T500" s="2"/>
      <c r="U500" s="2"/>
    </row>
    <row r="501" spans="1:21" ht="15.75" customHeight="1">
      <c r="A501" s="1"/>
      <c r="B501" s="2"/>
      <c r="C501" s="2"/>
      <c r="D501" s="2"/>
      <c r="E501" s="2"/>
      <c r="F501" s="2"/>
      <c r="G501" s="2"/>
      <c r="H501" s="2"/>
      <c r="I501" s="2"/>
      <c r="J501" s="2"/>
      <c r="K501" s="2"/>
      <c r="L501" s="2"/>
      <c r="M501" s="2"/>
      <c r="N501" s="2"/>
      <c r="O501" s="2"/>
      <c r="P501" s="2"/>
      <c r="Q501" s="2"/>
      <c r="R501" s="2"/>
      <c r="S501" s="2"/>
      <c r="T501" s="2"/>
      <c r="U501" s="2"/>
    </row>
    <row r="502" spans="1:21" ht="15.75" customHeight="1">
      <c r="A502" s="1"/>
      <c r="B502" s="2"/>
      <c r="C502" s="2"/>
      <c r="D502" s="2"/>
      <c r="E502" s="2"/>
      <c r="F502" s="2"/>
      <c r="G502" s="2"/>
      <c r="H502" s="2"/>
      <c r="I502" s="2"/>
      <c r="J502" s="2"/>
      <c r="K502" s="2"/>
      <c r="L502" s="2"/>
      <c r="M502" s="2"/>
      <c r="N502" s="2"/>
      <c r="O502" s="2"/>
      <c r="P502" s="2"/>
      <c r="Q502" s="2"/>
      <c r="R502" s="2"/>
      <c r="S502" s="2"/>
      <c r="T502" s="2"/>
      <c r="U502" s="2"/>
    </row>
    <row r="503" spans="1:21" ht="15.75" customHeight="1">
      <c r="A503" s="1"/>
      <c r="B503" s="2"/>
      <c r="C503" s="2"/>
      <c r="D503" s="2"/>
      <c r="E503" s="2"/>
      <c r="F503" s="2"/>
      <c r="G503" s="2"/>
      <c r="H503" s="2"/>
      <c r="I503" s="2"/>
      <c r="J503" s="2"/>
      <c r="K503" s="2"/>
      <c r="L503" s="2"/>
      <c r="M503" s="2"/>
      <c r="N503" s="2"/>
      <c r="O503" s="2"/>
      <c r="P503" s="2"/>
      <c r="Q503" s="2"/>
      <c r="R503" s="2"/>
      <c r="S503" s="2"/>
      <c r="T503" s="2"/>
      <c r="U503" s="2"/>
    </row>
    <row r="504" spans="1:21" ht="15.75" customHeight="1">
      <c r="A504" s="1"/>
      <c r="B504" s="2"/>
      <c r="C504" s="2"/>
      <c r="D504" s="2"/>
      <c r="E504" s="2"/>
      <c r="F504" s="2"/>
      <c r="G504" s="2"/>
      <c r="H504" s="2"/>
      <c r="I504" s="2"/>
      <c r="J504" s="2"/>
      <c r="K504" s="2"/>
      <c r="L504" s="2"/>
      <c r="M504" s="2"/>
      <c r="N504" s="2"/>
      <c r="O504" s="2"/>
      <c r="P504" s="2"/>
      <c r="Q504" s="2"/>
      <c r="R504" s="2"/>
      <c r="S504" s="2"/>
      <c r="T504" s="2"/>
      <c r="U504" s="2"/>
    </row>
    <row r="505" spans="1:21" ht="15.75" customHeight="1">
      <c r="A505" s="1"/>
      <c r="B505" s="2"/>
      <c r="C505" s="2"/>
      <c r="D505" s="2"/>
      <c r="E505" s="2"/>
      <c r="F505" s="2"/>
      <c r="G505" s="2"/>
      <c r="H505" s="2"/>
      <c r="I505" s="2"/>
      <c r="J505" s="2"/>
      <c r="K505" s="2"/>
      <c r="L505" s="2"/>
      <c r="M505" s="2"/>
      <c r="N505" s="2"/>
      <c r="O505" s="2"/>
      <c r="P505" s="2"/>
      <c r="Q505" s="2"/>
      <c r="R505" s="2"/>
      <c r="S505" s="2"/>
      <c r="T505" s="2"/>
      <c r="U505" s="2"/>
    </row>
    <row r="506" spans="1:21" ht="15.75" customHeight="1">
      <c r="A506" s="1"/>
      <c r="B506" s="2"/>
      <c r="C506" s="2"/>
      <c r="D506" s="2"/>
      <c r="E506" s="2"/>
      <c r="F506" s="2"/>
      <c r="G506" s="2"/>
      <c r="H506" s="2"/>
      <c r="I506" s="2"/>
      <c r="J506" s="2"/>
      <c r="K506" s="2"/>
      <c r="L506" s="2"/>
      <c r="M506" s="2"/>
      <c r="N506" s="2"/>
      <c r="O506" s="2"/>
      <c r="P506" s="2"/>
      <c r="Q506" s="2"/>
      <c r="R506" s="2"/>
      <c r="S506" s="2"/>
      <c r="T506" s="2"/>
      <c r="U506" s="2"/>
    </row>
    <row r="507" spans="1:21" ht="15.75" customHeight="1">
      <c r="A507" s="1"/>
      <c r="B507" s="2"/>
      <c r="C507" s="2"/>
      <c r="D507" s="2"/>
      <c r="E507" s="2"/>
      <c r="F507" s="2"/>
      <c r="G507" s="2"/>
      <c r="H507" s="2"/>
      <c r="I507" s="2"/>
      <c r="J507" s="2"/>
      <c r="K507" s="2"/>
      <c r="L507" s="2"/>
      <c r="M507" s="2"/>
      <c r="N507" s="2"/>
      <c r="O507" s="2"/>
      <c r="P507" s="2"/>
      <c r="Q507" s="2"/>
      <c r="R507" s="2"/>
      <c r="S507" s="2"/>
      <c r="T507" s="2"/>
      <c r="U507" s="2"/>
    </row>
    <row r="508" spans="1:21" ht="15.75" customHeight="1">
      <c r="A508" s="1"/>
      <c r="B508" s="2"/>
      <c r="C508" s="2"/>
      <c r="D508" s="2"/>
      <c r="E508" s="2"/>
      <c r="F508" s="2"/>
      <c r="G508" s="2"/>
      <c r="H508" s="2"/>
      <c r="I508" s="2"/>
      <c r="J508" s="2"/>
      <c r="K508" s="2"/>
      <c r="L508" s="2"/>
      <c r="M508" s="2"/>
      <c r="N508" s="2"/>
      <c r="O508" s="2"/>
      <c r="P508" s="2"/>
      <c r="Q508" s="2"/>
      <c r="R508" s="2"/>
      <c r="S508" s="2"/>
      <c r="T508" s="2"/>
      <c r="U508" s="2"/>
    </row>
    <row r="509" spans="1:21" ht="15.75" customHeight="1">
      <c r="A509" s="1"/>
      <c r="B509" s="2"/>
      <c r="C509" s="2"/>
      <c r="D509" s="2"/>
      <c r="E509" s="2"/>
      <c r="F509" s="2"/>
      <c r="G509" s="2"/>
      <c r="H509" s="2"/>
      <c r="I509" s="2"/>
      <c r="J509" s="2"/>
      <c r="K509" s="2"/>
      <c r="L509" s="2"/>
      <c r="M509" s="2"/>
      <c r="N509" s="2"/>
      <c r="O509" s="2"/>
      <c r="P509" s="2"/>
      <c r="Q509" s="2"/>
      <c r="R509" s="2"/>
      <c r="S509" s="2"/>
      <c r="T509" s="2"/>
      <c r="U509" s="2"/>
    </row>
    <row r="510" spans="1:21" ht="15.75" customHeight="1">
      <c r="A510" s="1"/>
      <c r="B510" s="2"/>
      <c r="C510" s="2"/>
      <c r="D510" s="2"/>
      <c r="E510" s="2"/>
      <c r="F510" s="2"/>
      <c r="G510" s="2"/>
      <c r="H510" s="2"/>
      <c r="I510" s="2"/>
      <c r="J510" s="2"/>
      <c r="K510" s="2"/>
      <c r="L510" s="2"/>
      <c r="M510" s="2"/>
      <c r="N510" s="2"/>
      <c r="O510" s="2"/>
      <c r="P510" s="2"/>
      <c r="Q510" s="2"/>
      <c r="R510" s="2"/>
      <c r="S510" s="2"/>
      <c r="T510" s="2"/>
      <c r="U510" s="2"/>
    </row>
    <row r="511" spans="1:21" ht="15.75" customHeight="1">
      <c r="A511" s="1"/>
      <c r="B511" s="2"/>
      <c r="C511" s="2"/>
      <c r="D511" s="2"/>
      <c r="E511" s="2"/>
      <c r="F511" s="2"/>
      <c r="G511" s="2"/>
      <c r="H511" s="2"/>
      <c r="I511" s="2"/>
      <c r="J511" s="2"/>
      <c r="K511" s="2"/>
      <c r="L511" s="2"/>
      <c r="M511" s="2"/>
      <c r="N511" s="2"/>
      <c r="O511" s="2"/>
      <c r="P511" s="2"/>
      <c r="Q511" s="2"/>
      <c r="R511" s="2"/>
      <c r="S511" s="2"/>
      <c r="T511" s="2"/>
      <c r="U511" s="2"/>
    </row>
    <row r="512" spans="1:21" ht="15.75" customHeight="1">
      <c r="A512" s="1"/>
      <c r="B512" s="2"/>
      <c r="C512" s="2"/>
      <c r="D512" s="2"/>
      <c r="E512" s="2"/>
      <c r="F512" s="2"/>
      <c r="G512" s="2"/>
      <c r="H512" s="2"/>
      <c r="I512" s="2"/>
      <c r="J512" s="2"/>
      <c r="K512" s="2"/>
      <c r="L512" s="2"/>
      <c r="M512" s="2"/>
      <c r="N512" s="2"/>
      <c r="O512" s="2"/>
      <c r="P512" s="2"/>
      <c r="Q512" s="2"/>
      <c r="R512" s="2"/>
      <c r="S512" s="2"/>
      <c r="T512" s="2"/>
      <c r="U512" s="2"/>
    </row>
    <row r="513" spans="1:21" ht="15.75" customHeight="1">
      <c r="A513" s="1"/>
      <c r="B513" s="2"/>
      <c r="C513" s="2"/>
      <c r="D513" s="2"/>
      <c r="E513" s="2"/>
      <c r="F513" s="2"/>
      <c r="G513" s="2"/>
      <c r="H513" s="2"/>
      <c r="I513" s="2"/>
      <c r="J513" s="2"/>
      <c r="K513" s="2"/>
      <c r="L513" s="2"/>
      <c r="M513" s="2"/>
      <c r="N513" s="2"/>
      <c r="O513" s="2"/>
      <c r="P513" s="2"/>
      <c r="Q513" s="2"/>
      <c r="R513" s="2"/>
      <c r="S513" s="2"/>
      <c r="T513" s="2"/>
      <c r="U513" s="2"/>
    </row>
    <row r="514" spans="1:21" ht="15.75" customHeight="1">
      <c r="A514" s="1"/>
      <c r="B514" s="2"/>
      <c r="C514" s="2"/>
      <c r="D514" s="2"/>
      <c r="E514" s="2"/>
      <c r="F514" s="2"/>
      <c r="G514" s="2"/>
      <c r="H514" s="2"/>
      <c r="I514" s="2"/>
      <c r="J514" s="2"/>
      <c r="K514" s="2"/>
      <c r="L514" s="2"/>
      <c r="M514" s="2"/>
      <c r="N514" s="2"/>
      <c r="O514" s="2"/>
      <c r="P514" s="2"/>
      <c r="Q514" s="2"/>
      <c r="R514" s="2"/>
      <c r="S514" s="2"/>
      <c r="T514" s="2"/>
      <c r="U514" s="2"/>
    </row>
    <row r="515" spans="1:21" ht="15.75" customHeight="1">
      <c r="A515" s="1"/>
      <c r="B515" s="2"/>
      <c r="C515" s="2"/>
      <c r="D515" s="2"/>
      <c r="E515" s="2"/>
      <c r="F515" s="2"/>
      <c r="G515" s="2"/>
      <c r="H515" s="2"/>
      <c r="I515" s="2"/>
      <c r="J515" s="2"/>
      <c r="K515" s="2"/>
      <c r="L515" s="2"/>
      <c r="M515" s="2"/>
      <c r="N515" s="2"/>
      <c r="O515" s="2"/>
      <c r="P515" s="2"/>
      <c r="Q515" s="2"/>
      <c r="R515" s="2"/>
      <c r="S515" s="2"/>
      <c r="T515" s="2"/>
      <c r="U515" s="2"/>
    </row>
    <row r="516" spans="1:21" ht="15.75" customHeight="1">
      <c r="A516" s="1"/>
      <c r="B516" s="2"/>
      <c r="C516" s="2"/>
      <c r="D516" s="2"/>
      <c r="E516" s="2"/>
      <c r="F516" s="2"/>
      <c r="G516" s="2"/>
      <c r="H516" s="2"/>
      <c r="I516" s="2"/>
      <c r="J516" s="2"/>
      <c r="K516" s="2"/>
      <c r="L516" s="2"/>
      <c r="M516" s="2"/>
      <c r="N516" s="2"/>
      <c r="O516" s="2"/>
      <c r="P516" s="2"/>
      <c r="Q516" s="2"/>
      <c r="R516" s="2"/>
      <c r="S516" s="2"/>
      <c r="T516" s="2"/>
      <c r="U516" s="2"/>
    </row>
    <row r="517" spans="1:21" ht="15.75" customHeight="1">
      <c r="A517" s="1"/>
      <c r="B517" s="2"/>
      <c r="C517" s="2"/>
      <c r="D517" s="2"/>
      <c r="E517" s="2"/>
      <c r="F517" s="2"/>
      <c r="G517" s="2"/>
      <c r="H517" s="2"/>
      <c r="I517" s="2"/>
      <c r="J517" s="2"/>
      <c r="K517" s="2"/>
      <c r="L517" s="2"/>
      <c r="M517" s="2"/>
      <c r="N517" s="2"/>
      <c r="O517" s="2"/>
      <c r="P517" s="2"/>
      <c r="Q517" s="2"/>
      <c r="R517" s="2"/>
      <c r="S517" s="2"/>
      <c r="T517" s="2"/>
      <c r="U517" s="2"/>
    </row>
    <row r="518" spans="1:21" ht="15.75" customHeight="1">
      <c r="A518" s="1"/>
      <c r="B518" s="2"/>
      <c r="C518" s="2"/>
      <c r="D518" s="2"/>
      <c r="E518" s="2"/>
      <c r="F518" s="2"/>
      <c r="G518" s="2"/>
      <c r="H518" s="2"/>
      <c r="I518" s="2"/>
      <c r="J518" s="2"/>
      <c r="K518" s="2"/>
      <c r="L518" s="2"/>
      <c r="M518" s="2"/>
      <c r="N518" s="2"/>
      <c r="O518" s="2"/>
      <c r="P518" s="2"/>
      <c r="Q518" s="2"/>
      <c r="R518" s="2"/>
      <c r="S518" s="2"/>
      <c r="T518" s="2"/>
      <c r="U518" s="2"/>
    </row>
    <row r="519" spans="1:21" ht="15.75" customHeight="1">
      <c r="A519" s="1"/>
      <c r="B519" s="2"/>
      <c r="C519" s="2"/>
      <c r="D519" s="2"/>
      <c r="E519" s="2"/>
      <c r="F519" s="2"/>
      <c r="G519" s="2"/>
      <c r="H519" s="2"/>
      <c r="I519" s="2"/>
      <c r="J519" s="2"/>
      <c r="K519" s="2"/>
      <c r="L519" s="2"/>
      <c r="M519" s="2"/>
      <c r="N519" s="2"/>
      <c r="O519" s="2"/>
      <c r="P519" s="2"/>
      <c r="Q519" s="2"/>
      <c r="R519" s="2"/>
      <c r="S519" s="2"/>
      <c r="T519" s="2"/>
      <c r="U519" s="2"/>
    </row>
    <row r="520" spans="1:21" ht="15.75" customHeight="1">
      <c r="A520" s="1"/>
      <c r="B520" s="2"/>
      <c r="C520" s="2"/>
      <c r="D520" s="2"/>
      <c r="E520" s="2"/>
      <c r="F520" s="2"/>
      <c r="G520" s="2"/>
      <c r="H520" s="2"/>
      <c r="I520" s="2"/>
      <c r="J520" s="2"/>
      <c r="K520" s="2"/>
      <c r="L520" s="2"/>
      <c r="M520" s="2"/>
      <c r="N520" s="2"/>
      <c r="O520" s="2"/>
      <c r="P520" s="2"/>
      <c r="Q520" s="2"/>
      <c r="R520" s="2"/>
      <c r="S520" s="2"/>
      <c r="T520" s="2"/>
      <c r="U520" s="2"/>
    </row>
    <row r="521" spans="1:21" ht="15.75" customHeight="1">
      <c r="A521" s="1"/>
      <c r="B521" s="2"/>
      <c r="C521" s="2"/>
      <c r="D521" s="2"/>
      <c r="E521" s="2"/>
      <c r="F521" s="2"/>
      <c r="G521" s="2"/>
      <c r="H521" s="2"/>
      <c r="I521" s="2"/>
      <c r="J521" s="2"/>
      <c r="K521" s="2"/>
      <c r="L521" s="2"/>
      <c r="M521" s="2"/>
      <c r="N521" s="2"/>
      <c r="O521" s="2"/>
      <c r="P521" s="2"/>
      <c r="Q521" s="2"/>
      <c r="R521" s="2"/>
      <c r="S521" s="2"/>
      <c r="T521" s="2"/>
      <c r="U521" s="2"/>
    </row>
    <row r="522" spans="1:21" ht="15.75" customHeight="1">
      <c r="A522" s="1"/>
      <c r="B522" s="2"/>
      <c r="C522" s="2"/>
      <c r="D522" s="2"/>
      <c r="E522" s="2"/>
      <c r="F522" s="2"/>
      <c r="G522" s="2"/>
      <c r="H522" s="2"/>
      <c r="I522" s="2"/>
      <c r="J522" s="2"/>
      <c r="K522" s="2"/>
      <c r="L522" s="2"/>
      <c r="M522" s="2"/>
      <c r="N522" s="2"/>
      <c r="O522" s="2"/>
      <c r="P522" s="2"/>
      <c r="Q522" s="2"/>
      <c r="R522" s="2"/>
      <c r="S522" s="2"/>
      <c r="T522" s="2"/>
      <c r="U522" s="2"/>
    </row>
    <row r="523" spans="1:21" ht="15.75" customHeight="1">
      <c r="A523" s="1"/>
      <c r="B523" s="2"/>
      <c r="C523" s="2"/>
      <c r="D523" s="2"/>
      <c r="E523" s="2"/>
      <c r="F523" s="2"/>
      <c r="G523" s="2"/>
      <c r="H523" s="2"/>
      <c r="I523" s="2"/>
      <c r="J523" s="2"/>
      <c r="K523" s="2"/>
      <c r="L523" s="2"/>
      <c r="M523" s="2"/>
      <c r="N523" s="2"/>
      <c r="O523" s="2"/>
      <c r="P523" s="2"/>
      <c r="Q523" s="2"/>
      <c r="R523" s="2"/>
      <c r="S523" s="2"/>
      <c r="T523" s="2"/>
      <c r="U523" s="2"/>
    </row>
    <row r="524" spans="1:21" ht="15.75" customHeight="1">
      <c r="A524" s="1"/>
      <c r="B524" s="2"/>
      <c r="C524" s="2"/>
      <c r="D524" s="2"/>
      <c r="E524" s="2"/>
      <c r="F524" s="2"/>
      <c r="G524" s="2"/>
      <c r="H524" s="2"/>
      <c r="I524" s="2"/>
      <c r="J524" s="2"/>
      <c r="K524" s="2"/>
      <c r="L524" s="2"/>
      <c r="M524" s="2"/>
      <c r="N524" s="2"/>
      <c r="O524" s="2"/>
      <c r="P524" s="2"/>
      <c r="Q524" s="2"/>
      <c r="R524" s="2"/>
      <c r="S524" s="2"/>
      <c r="T524" s="2"/>
      <c r="U524" s="2"/>
    </row>
    <row r="525" spans="1:21" ht="15.75" customHeight="1">
      <c r="A525" s="1"/>
      <c r="B525" s="2"/>
      <c r="C525" s="2"/>
      <c r="D525" s="2"/>
      <c r="E525" s="2"/>
      <c r="F525" s="2"/>
      <c r="G525" s="2"/>
      <c r="H525" s="2"/>
      <c r="I525" s="2"/>
      <c r="J525" s="2"/>
      <c r="K525" s="2"/>
      <c r="L525" s="2"/>
      <c r="M525" s="2"/>
      <c r="N525" s="2"/>
      <c r="O525" s="2"/>
      <c r="P525" s="2"/>
      <c r="Q525" s="2"/>
      <c r="R525" s="2"/>
      <c r="S525" s="2"/>
      <c r="T525" s="2"/>
      <c r="U525" s="2"/>
    </row>
    <row r="526" spans="1:21" ht="15.75" customHeight="1">
      <c r="A526" s="1"/>
      <c r="B526" s="2"/>
      <c r="C526" s="2"/>
      <c r="D526" s="2"/>
      <c r="E526" s="2"/>
      <c r="F526" s="2"/>
      <c r="G526" s="2"/>
      <c r="H526" s="2"/>
      <c r="I526" s="2"/>
      <c r="J526" s="2"/>
      <c r="K526" s="2"/>
      <c r="L526" s="2"/>
      <c r="M526" s="2"/>
      <c r="N526" s="2"/>
      <c r="O526" s="2"/>
      <c r="P526" s="2"/>
      <c r="Q526" s="2"/>
      <c r="R526" s="2"/>
      <c r="S526" s="2"/>
      <c r="T526" s="2"/>
      <c r="U526" s="2"/>
    </row>
    <row r="527" spans="1:21" ht="15.75" customHeight="1">
      <c r="A527" s="1"/>
      <c r="B527" s="2"/>
      <c r="C527" s="2"/>
      <c r="D527" s="2"/>
      <c r="E527" s="2"/>
      <c r="F527" s="2"/>
      <c r="G527" s="2"/>
      <c r="H527" s="2"/>
      <c r="I527" s="2"/>
      <c r="J527" s="2"/>
      <c r="K527" s="2"/>
      <c r="L527" s="2"/>
      <c r="M527" s="2"/>
      <c r="N527" s="2"/>
      <c r="O527" s="2"/>
      <c r="P527" s="2"/>
      <c r="Q527" s="2"/>
      <c r="R527" s="2"/>
      <c r="S527" s="2"/>
      <c r="T527" s="2"/>
      <c r="U527" s="2"/>
    </row>
    <row r="528" spans="1:21" ht="15.75" customHeight="1">
      <c r="A528" s="1"/>
      <c r="B528" s="2"/>
      <c r="C528" s="2"/>
      <c r="D528" s="2"/>
      <c r="E528" s="2"/>
      <c r="F528" s="2"/>
      <c r="G528" s="2"/>
      <c r="H528" s="2"/>
      <c r="I528" s="2"/>
      <c r="J528" s="2"/>
      <c r="K528" s="2"/>
      <c r="L528" s="2"/>
      <c r="M528" s="2"/>
      <c r="N528" s="2"/>
      <c r="O528" s="2"/>
      <c r="P528" s="2"/>
      <c r="Q528" s="2"/>
      <c r="R528" s="2"/>
      <c r="S528" s="2"/>
      <c r="T528" s="2"/>
      <c r="U528" s="2"/>
    </row>
    <row r="529" spans="1:21" ht="15.75" customHeight="1">
      <c r="A529" s="1"/>
      <c r="B529" s="2"/>
      <c r="C529" s="2"/>
      <c r="D529" s="2"/>
      <c r="E529" s="2"/>
      <c r="F529" s="2"/>
      <c r="G529" s="2"/>
      <c r="H529" s="2"/>
      <c r="I529" s="2"/>
      <c r="J529" s="2"/>
      <c r="K529" s="2"/>
      <c r="L529" s="2"/>
      <c r="M529" s="2"/>
      <c r="N529" s="2"/>
      <c r="O529" s="2"/>
      <c r="P529" s="2"/>
      <c r="Q529" s="2"/>
      <c r="R529" s="2"/>
      <c r="S529" s="2"/>
      <c r="T529" s="2"/>
      <c r="U529" s="2"/>
    </row>
    <row r="530" spans="1:21" ht="15.75" customHeight="1">
      <c r="A530" s="1"/>
      <c r="B530" s="2"/>
      <c r="C530" s="2"/>
      <c r="D530" s="2"/>
      <c r="E530" s="2"/>
      <c r="F530" s="2"/>
      <c r="G530" s="2"/>
      <c r="H530" s="2"/>
      <c r="I530" s="2"/>
      <c r="J530" s="2"/>
      <c r="K530" s="2"/>
      <c r="L530" s="2"/>
      <c r="M530" s="2"/>
      <c r="N530" s="2"/>
      <c r="O530" s="2"/>
      <c r="P530" s="2"/>
      <c r="Q530" s="2"/>
      <c r="R530" s="2"/>
      <c r="S530" s="2"/>
      <c r="T530" s="2"/>
      <c r="U530" s="2"/>
    </row>
    <row r="531" spans="1:21" ht="15.75" customHeight="1">
      <c r="A531" s="1"/>
      <c r="B531" s="2"/>
      <c r="C531" s="2"/>
      <c r="D531" s="2"/>
      <c r="E531" s="2"/>
      <c r="F531" s="2"/>
      <c r="G531" s="2"/>
      <c r="H531" s="2"/>
      <c r="I531" s="2"/>
      <c r="J531" s="2"/>
      <c r="K531" s="2"/>
      <c r="L531" s="2"/>
      <c r="M531" s="2"/>
      <c r="N531" s="2"/>
      <c r="O531" s="2"/>
      <c r="P531" s="2"/>
      <c r="Q531" s="2"/>
      <c r="R531" s="2"/>
      <c r="S531" s="2"/>
      <c r="T531" s="2"/>
      <c r="U531" s="2"/>
    </row>
    <row r="532" spans="1:21" ht="15.75" customHeight="1">
      <c r="A532" s="1"/>
      <c r="B532" s="2"/>
      <c r="C532" s="2"/>
      <c r="D532" s="2"/>
      <c r="E532" s="2"/>
      <c r="F532" s="2"/>
      <c r="G532" s="2"/>
      <c r="H532" s="2"/>
      <c r="I532" s="2"/>
      <c r="J532" s="2"/>
      <c r="K532" s="2"/>
      <c r="L532" s="2"/>
      <c r="M532" s="2"/>
      <c r="N532" s="2"/>
      <c r="O532" s="2"/>
      <c r="P532" s="2"/>
      <c r="Q532" s="2"/>
      <c r="R532" s="2"/>
      <c r="S532" s="2"/>
      <c r="T532" s="2"/>
      <c r="U532" s="2"/>
    </row>
    <row r="533" spans="1:21" ht="15.75" customHeight="1">
      <c r="A533" s="1"/>
      <c r="B533" s="2"/>
      <c r="C533" s="2"/>
      <c r="D533" s="2"/>
      <c r="E533" s="2"/>
      <c r="F533" s="2"/>
      <c r="G533" s="2"/>
      <c r="H533" s="2"/>
      <c r="I533" s="2"/>
      <c r="J533" s="2"/>
      <c r="K533" s="2"/>
      <c r="L533" s="2"/>
      <c r="M533" s="2"/>
      <c r="N533" s="2"/>
      <c r="O533" s="2"/>
      <c r="P533" s="2"/>
      <c r="Q533" s="2"/>
      <c r="R533" s="2"/>
      <c r="S533" s="2"/>
      <c r="T533" s="2"/>
      <c r="U533" s="2"/>
    </row>
    <row r="534" spans="1:21" ht="15.75" customHeight="1">
      <c r="A534" s="1"/>
      <c r="B534" s="2"/>
      <c r="C534" s="2"/>
      <c r="D534" s="2"/>
      <c r="E534" s="2"/>
      <c r="F534" s="2"/>
      <c r="G534" s="2"/>
      <c r="H534" s="2"/>
      <c r="I534" s="2"/>
      <c r="J534" s="2"/>
      <c r="K534" s="2"/>
      <c r="L534" s="2"/>
      <c r="M534" s="2"/>
      <c r="N534" s="2"/>
      <c r="O534" s="2"/>
      <c r="P534" s="2"/>
      <c r="Q534" s="2"/>
      <c r="R534" s="2"/>
      <c r="S534" s="2"/>
      <c r="T534" s="2"/>
      <c r="U534" s="2"/>
    </row>
    <row r="535" spans="1:21" ht="15.75" customHeight="1">
      <c r="A535" s="1"/>
      <c r="B535" s="2"/>
      <c r="C535" s="2"/>
      <c r="D535" s="2"/>
      <c r="E535" s="2"/>
      <c r="F535" s="2"/>
      <c r="G535" s="2"/>
      <c r="H535" s="2"/>
      <c r="I535" s="2"/>
      <c r="J535" s="2"/>
      <c r="K535" s="2"/>
      <c r="L535" s="2"/>
      <c r="M535" s="2"/>
      <c r="N535" s="2"/>
      <c r="O535" s="2"/>
      <c r="P535" s="2"/>
      <c r="Q535" s="2"/>
      <c r="R535" s="2"/>
      <c r="S535" s="2"/>
      <c r="T535" s="2"/>
      <c r="U535" s="2"/>
    </row>
    <row r="536" spans="1:21" ht="15.75" customHeight="1">
      <c r="A536" s="1"/>
      <c r="B536" s="2"/>
      <c r="C536" s="2"/>
      <c r="D536" s="2"/>
      <c r="E536" s="2"/>
      <c r="F536" s="2"/>
      <c r="G536" s="2"/>
      <c r="H536" s="2"/>
      <c r="I536" s="2"/>
      <c r="J536" s="2"/>
      <c r="K536" s="2"/>
      <c r="L536" s="2"/>
      <c r="M536" s="2"/>
      <c r="N536" s="2"/>
      <c r="O536" s="2"/>
      <c r="P536" s="2"/>
      <c r="Q536" s="2"/>
      <c r="R536" s="2"/>
      <c r="S536" s="2"/>
      <c r="T536" s="2"/>
      <c r="U536" s="2"/>
    </row>
    <row r="537" spans="1:21" ht="15.75" customHeight="1">
      <c r="A537" s="1"/>
      <c r="B537" s="2"/>
      <c r="C537" s="2"/>
      <c r="D537" s="2"/>
      <c r="E537" s="2"/>
      <c r="F537" s="2"/>
      <c r="G537" s="2"/>
      <c r="H537" s="2"/>
      <c r="I537" s="2"/>
      <c r="J537" s="2"/>
      <c r="K537" s="2"/>
      <c r="L537" s="2"/>
      <c r="M537" s="2"/>
      <c r="N537" s="2"/>
      <c r="O537" s="2"/>
      <c r="P537" s="2"/>
      <c r="Q537" s="2"/>
      <c r="R537" s="2"/>
      <c r="S537" s="2"/>
      <c r="T537" s="2"/>
      <c r="U537" s="2"/>
    </row>
    <row r="538" spans="1:21" ht="15.75" customHeight="1">
      <c r="A538" s="1"/>
      <c r="B538" s="2"/>
      <c r="C538" s="2"/>
      <c r="D538" s="2"/>
      <c r="E538" s="2"/>
      <c r="F538" s="2"/>
      <c r="G538" s="2"/>
      <c r="H538" s="2"/>
      <c r="I538" s="2"/>
      <c r="J538" s="2"/>
      <c r="K538" s="2"/>
      <c r="L538" s="2"/>
      <c r="M538" s="2"/>
      <c r="N538" s="2"/>
      <c r="O538" s="2"/>
      <c r="P538" s="2"/>
      <c r="Q538" s="2"/>
      <c r="R538" s="2"/>
      <c r="S538" s="2"/>
      <c r="T538" s="2"/>
      <c r="U538" s="2"/>
    </row>
    <row r="539" spans="1:21" ht="15.75" customHeight="1">
      <c r="A539" s="1"/>
      <c r="B539" s="2"/>
      <c r="C539" s="2"/>
      <c r="D539" s="2"/>
      <c r="E539" s="2"/>
      <c r="F539" s="2"/>
      <c r="G539" s="2"/>
      <c r="H539" s="2"/>
      <c r="I539" s="2"/>
      <c r="J539" s="2"/>
      <c r="K539" s="2"/>
      <c r="L539" s="2"/>
      <c r="M539" s="2"/>
      <c r="N539" s="2"/>
      <c r="O539" s="2"/>
      <c r="P539" s="2"/>
      <c r="Q539" s="2"/>
      <c r="R539" s="2"/>
      <c r="S539" s="2"/>
      <c r="T539" s="2"/>
      <c r="U539" s="2"/>
    </row>
    <row r="540" spans="1:21" ht="15.75" customHeight="1">
      <c r="A540" s="1"/>
      <c r="B540" s="2"/>
      <c r="C540" s="2"/>
      <c r="D540" s="2"/>
      <c r="E540" s="2"/>
      <c r="F540" s="2"/>
      <c r="G540" s="2"/>
      <c r="H540" s="2"/>
      <c r="I540" s="2"/>
      <c r="J540" s="2"/>
      <c r="K540" s="2"/>
      <c r="L540" s="2"/>
      <c r="M540" s="2"/>
      <c r="N540" s="2"/>
      <c r="O540" s="2"/>
      <c r="P540" s="2"/>
      <c r="Q540" s="2"/>
      <c r="R540" s="2"/>
      <c r="S540" s="2"/>
      <c r="T540" s="2"/>
      <c r="U540" s="2"/>
    </row>
    <row r="541" spans="1:21" ht="15.75" customHeight="1">
      <c r="A541" s="1"/>
      <c r="B541" s="2"/>
      <c r="C541" s="2"/>
      <c r="D541" s="2"/>
      <c r="E541" s="2"/>
      <c r="F541" s="2"/>
      <c r="G541" s="2"/>
      <c r="H541" s="2"/>
      <c r="I541" s="2"/>
      <c r="J541" s="2"/>
      <c r="K541" s="2"/>
      <c r="L541" s="2"/>
      <c r="M541" s="2"/>
      <c r="N541" s="2"/>
      <c r="O541" s="2"/>
      <c r="P541" s="2"/>
      <c r="Q541" s="2"/>
      <c r="R541" s="2"/>
      <c r="S541" s="2"/>
      <c r="T541" s="2"/>
      <c r="U541" s="2"/>
    </row>
    <row r="542" spans="1:21" ht="15.75" customHeight="1">
      <c r="A542" s="1"/>
      <c r="B542" s="2"/>
      <c r="C542" s="2"/>
      <c r="D542" s="2"/>
      <c r="E542" s="2"/>
      <c r="F542" s="2"/>
      <c r="G542" s="2"/>
      <c r="H542" s="2"/>
      <c r="I542" s="2"/>
      <c r="J542" s="2"/>
      <c r="K542" s="2"/>
      <c r="L542" s="2"/>
      <c r="M542" s="2"/>
      <c r="N542" s="2"/>
      <c r="O542" s="2"/>
      <c r="P542" s="2"/>
      <c r="Q542" s="2"/>
      <c r="R542" s="2"/>
      <c r="S542" s="2"/>
      <c r="T542" s="2"/>
      <c r="U542" s="2"/>
    </row>
    <row r="543" spans="1:21" ht="15.75" customHeight="1">
      <c r="A543" s="1"/>
      <c r="B543" s="2"/>
      <c r="C543" s="2"/>
      <c r="D543" s="2"/>
      <c r="E543" s="2"/>
      <c r="F543" s="2"/>
      <c r="G543" s="2"/>
      <c r="H543" s="2"/>
      <c r="I543" s="2"/>
      <c r="J543" s="2"/>
      <c r="K543" s="2"/>
      <c r="L543" s="2"/>
      <c r="M543" s="2"/>
      <c r="N543" s="2"/>
      <c r="O543" s="2"/>
      <c r="P543" s="2"/>
      <c r="Q543" s="2"/>
      <c r="R543" s="2"/>
      <c r="S543" s="2"/>
      <c r="T543" s="2"/>
      <c r="U543" s="2"/>
    </row>
    <row r="544" spans="1:21" ht="15.75" customHeight="1">
      <c r="A544" s="1"/>
      <c r="B544" s="2"/>
      <c r="C544" s="2"/>
      <c r="D544" s="2"/>
      <c r="E544" s="2"/>
      <c r="F544" s="2"/>
      <c r="G544" s="2"/>
      <c r="H544" s="2"/>
      <c r="I544" s="2"/>
      <c r="J544" s="2"/>
      <c r="K544" s="2"/>
      <c r="L544" s="2"/>
      <c r="M544" s="2"/>
      <c r="N544" s="2"/>
      <c r="O544" s="2"/>
      <c r="P544" s="2"/>
      <c r="Q544" s="2"/>
      <c r="R544" s="2"/>
      <c r="S544" s="2"/>
      <c r="T544" s="2"/>
      <c r="U544" s="2"/>
    </row>
    <row r="545" spans="1:21" ht="15.75" customHeight="1">
      <c r="A545" s="1"/>
      <c r="B545" s="2"/>
      <c r="C545" s="2"/>
      <c r="D545" s="2"/>
      <c r="E545" s="2"/>
      <c r="F545" s="2"/>
      <c r="G545" s="2"/>
      <c r="H545" s="2"/>
      <c r="I545" s="2"/>
      <c r="J545" s="2"/>
      <c r="K545" s="2"/>
      <c r="L545" s="2"/>
      <c r="M545" s="2"/>
      <c r="N545" s="2"/>
      <c r="O545" s="2"/>
      <c r="P545" s="2"/>
      <c r="Q545" s="2"/>
      <c r="R545" s="2"/>
      <c r="S545" s="2"/>
      <c r="T545" s="2"/>
      <c r="U545" s="2"/>
    </row>
    <row r="546" spans="1:21" ht="15.75" customHeight="1">
      <c r="A546" s="1"/>
      <c r="B546" s="2"/>
      <c r="C546" s="2"/>
      <c r="D546" s="2"/>
      <c r="E546" s="2"/>
      <c r="F546" s="2"/>
      <c r="G546" s="2"/>
      <c r="H546" s="2"/>
      <c r="I546" s="2"/>
      <c r="J546" s="2"/>
      <c r="K546" s="2"/>
      <c r="L546" s="2"/>
      <c r="M546" s="2"/>
      <c r="N546" s="2"/>
      <c r="O546" s="2"/>
      <c r="P546" s="2"/>
      <c r="Q546" s="2"/>
      <c r="R546" s="2"/>
      <c r="S546" s="2"/>
      <c r="T546" s="2"/>
      <c r="U546" s="2"/>
    </row>
    <row r="547" spans="1:21" ht="15.75" customHeight="1">
      <c r="A547" s="1"/>
      <c r="B547" s="2"/>
      <c r="C547" s="2"/>
      <c r="D547" s="2"/>
      <c r="E547" s="2"/>
      <c r="F547" s="2"/>
      <c r="G547" s="2"/>
      <c r="H547" s="2"/>
      <c r="I547" s="2"/>
      <c r="J547" s="2"/>
      <c r="K547" s="2"/>
      <c r="L547" s="2"/>
      <c r="M547" s="2"/>
      <c r="N547" s="2"/>
      <c r="O547" s="2"/>
      <c r="P547" s="2"/>
      <c r="Q547" s="2"/>
      <c r="R547" s="2"/>
      <c r="S547" s="2"/>
      <c r="T547" s="2"/>
      <c r="U547" s="2"/>
    </row>
    <row r="548" spans="1:21" ht="15.75" customHeight="1">
      <c r="A548" s="1"/>
      <c r="B548" s="2"/>
      <c r="C548" s="2"/>
      <c r="D548" s="2"/>
      <c r="E548" s="2"/>
      <c r="F548" s="2"/>
      <c r="G548" s="2"/>
      <c r="H548" s="2"/>
      <c r="I548" s="2"/>
      <c r="J548" s="2"/>
      <c r="K548" s="2"/>
      <c r="L548" s="2"/>
      <c r="M548" s="2"/>
      <c r="N548" s="2"/>
      <c r="O548" s="2"/>
      <c r="P548" s="2"/>
      <c r="Q548" s="2"/>
      <c r="R548" s="2"/>
      <c r="S548" s="2"/>
      <c r="T548" s="2"/>
      <c r="U548" s="2"/>
    </row>
    <row r="549" spans="1:21" ht="15.75" customHeight="1">
      <c r="A549" s="1"/>
      <c r="B549" s="2"/>
      <c r="C549" s="2"/>
      <c r="D549" s="2"/>
      <c r="E549" s="2"/>
      <c r="F549" s="2"/>
      <c r="G549" s="2"/>
      <c r="H549" s="2"/>
      <c r="I549" s="2"/>
      <c r="J549" s="2"/>
      <c r="K549" s="2"/>
      <c r="L549" s="2"/>
      <c r="M549" s="2"/>
      <c r="N549" s="2"/>
      <c r="O549" s="2"/>
      <c r="P549" s="2"/>
      <c r="Q549" s="2"/>
      <c r="R549" s="2"/>
      <c r="S549" s="2"/>
      <c r="T549" s="2"/>
      <c r="U549" s="2"/>
    </row>
    <row r="550" spans="1:21" ht="15.75" customHeight="1">
      <c r="A550" s="1"/>
      <c r="B550" s="2"/>
      <c r="C550" s="2"/>
      <c r="D550" s="2"/>
      <c r="E550" s="2"/>
      <c r="F550" s="2"/>
      <c r="G550" s="2"/>
      <c r="H550" s="2"/>
      <c r="I550" s="2"/>
      <c r="J550" s="2"/>
      <c r="K550" s="2"/>
      <c r="L550" s="2"/>
      <c r="M550" s="2"/>
      <c r="N550" s="2"/>
      <c r="O550" s="2"/>
      <c r="P550" s="2"/>
      <c r="Q550" s="2"/>
      <c r="R550" s="2"/>
      <c r="S550" s="2"/>
      <c r="T550" s="2"/>
      <c r="U550" s="2"/>
    </row>
    <row r="551" spans="1:21" ht="15.75" customHeight="1">
      <c r="A551" s="1"/>
      <c r="B551" s="2"/>
      <c r="C551" s="2"/>
      <c r="D551" s="2"/>
      <c r="E551" s="2"/>
      <c r="F551" s="2"/>
      <c r="G551" s="2"/>
      <c r="H551" s="2"/>
      <c r="I551" s="2"/>
      <c r="J551" s="2"/>
      <c r="K551" s="2"/>
      <c r="L551" s="2"/>
      <c r="M551" s="2"/>
      <c r="N551" s="2"/>
      <c r="O551" s="2"/>
      <c r="P551" s="2"/>
      <c r="Q551" s="2"/>
      <c r="R551" s="2"/>
      <c r="S551" s="2"/>
      <c r="T551" s="2"/>
      <c r="U551" s="2"/>
    </row>
    <row r="552" spans="1:21" ht="15.75" customHeight="1">
      <c r="A552" s="1"/>
      <c r="B552" s="2"/>
      <c r="C552" s="2"/>
      <c r="D552" s="2"/>
      <c r="E552" s="2"/>
      <c r="F552" s="2"/>
      <c r="G552" s="2"/>
      <c r="H552" s="2"/>
      <c r="I552" s="2"/>
      <c r="J552" s="2"/>
      <c r="K552" s="2"/>
      <c r="L552" s="2"/>
      <c r="M552" s="2"/>
      <c r="N552" s="2"/>
      <c r="O552" s="2"/>
      <c r="P552" s="2"/>
      <c r="Q552" s="2"/>
      <c r="R552" s="2"/>
      <c r="S552" s="2"/>
      <c r="T552" s="2"/>
      <c r="U552" s="2"/>
    </row>
    <row r="553" spans="1:21" ht="15.75" customHeight="1">
      <c r="A553" s="1"/>
      <c r="B553" s="2"/>
      <c r="C553" s="2"/>
      <c r="D553" s="2"/>
      <c r="E553" s="2"/>
      <c r="F553" s="2"/>
      <c r="G553" s="2"/>
      <c r="H553" s="2"/>
      <c r="I553" s="2"/>
      <c r="J553" s="2"/>
      <c r="K553" s="2"/>
      <c r="L553" s="2"/>
      <c r="M553" s="2"/>
      <c r="N553" s="2"/>
      <c r="O553" s="2"/>
      <c r="P553" s="2"/>
      <c r="Q553" s="2"/>
      <c r="R553" s="2"/>
      <c r="S553" s="2"/>
      <c r="T553" s="2"/>
      <c r="U553" s="2"/>
    </row>
    <row r="554" spans="1:21" ht="15.75" customHeight="1">
      <c r="A554" s="1"/>
      <c r="B554" s="2"/>
      <c r="C554" s="2"/>
      <c r="D554" s="2"/>
      <c r="E554" s="2"/>
      <c r="F554" s="2"/>
      <c r="G554" s="2"/>
      <c r="H554" s="2"/>
      <c r="I554" s="2"/>
      <c r="J554" s="2"/>
      <c r="K554" s="2"/>
      <c r="L554" s="2"/>
      <c r="M554" s="2"/>
      <c r="N554" s="2"/>
      <c r="O554" s="2"/>
      <c r="P554" s="2"/>
      <c r="Q554" s="2"/>
      <c r="R554" s="2"/>
      <c r="S554" s="2"/>
      <c r="T554" s="2"/>
      <c r="U554" s="2"/>
    </row>
    <row r="555" spans="1:21" ht="15.75" customHeight="1">
      <c r="A555" s="1"/>
      <c r="B555" s="2"/>
      <c r="C555" s="2"/>
      <c r="D555" s="2"/>
      <c r="E555" s="2"/>
      <c r="F555" s="2"/>
      <c r="G555" s="2"/>
      <c r="H555" s="2"/>
      <c r="I555" s="2"/>
      <c r="J555" s="2"/>
      <c r="K555" s="2"/>
      <c r="L555" s="2"/>
      <c r="M555" s="2"/>
      <c r="N555" s="2"/>
      <c r="O555" s="2"/>
      <c r="P555" s="2"/>
      <c r="Q555" s="2"/>
      <c r="R555" s="2"/>
      <c r="S555" s="2"/>
      <c r="T555" s="2"/>
      <c r="U555" s="2"/>
    </row>
    <row r="556" spans="1:21" ht="15.75" customHeight="1">
      <c r="A556" s="1"/>
      <c r="B556" s="2"/>
      <c r="C556" s="2"/>
      <c r="D556" s="2"/>
      <c r="E556" s="2"/>
      <c r="F556" s="2"/>
      <c r="G556" s="2"/>
      <c r="H556" s="2"/>
      <c r="I556" s="2"/>
      <c r="J556" s="2"/>
      <c r="K556" s="2"/>
      <c r="L556" s="2"/>
      <c r="M556" s="2"/>
      <c r="N556" s="2"/>
      <c r="O556" s="2"/>
      <c r="P556" s="2"/>
      <c r="Q556" s="2"/>
      <c r="R556" s="2"/>
      <c r="S556" s="2"/>
      <c r="T556" s="2"/>
      <c r="U556" s="2"/>
    </row>
    <row r="557" spans="1:21" ht="15.75" customHeight="1">
      <c r="A557" s="1"/>
      <c r="B557" s="2"/>
      <c r="C557" s="2"/>
      <c r="D557" s="2"/>
      <c r="E557" s="2"/>
      <c r="F557" s="2"/>
      <c r="G557" s="2"/>
      <c r="H557" s="2"/>
      <c r="I557" s="2"/>
      <c r="J557" s="2"/>
      <c r="K557" s="2"/>
      <c r="L557" s="2"/>
      <c r="M557" s="2"/>
      <c r="N557" s="2"/>
      <c r="O557" s="2"/>
      <c r="P557" s="2"/>
      <c r="Q557" s="2"/>
      <c r="R557" s="2"/>
      <c r="S557" s="2"/>
      <c r="T557" s="2"/>
      <c r="U557" s="2"/>
    </row>
    <row r="558" spans="1:21" ht="15.75" customHeight="1">
      <c r="A558" s="1"/>
      <c r="B558" s="2"/>
      <c r="C558" s="2"/>
      <c r="D558" s="2"/>
      <c r="E558" s="2"/>
      <c r="F558" s="2"/>
      <c r="G558" s="2"/>
      <c r="H558" s="2"/>
      <c r="I558" s="2"/>
      <c r="J558" s="2"/>
      <c r="K558" s="2"/>
      <c r="L558" s="2"/>
      <c r="M558" s="2"/>
      <c r="N558" s="2"/>
      <c r="O558" s="2"/>
      <c r="P558" s="2"/>
      <c r="Q558" s="2"/>
      <c r="R558" s="2"/>
      <c r="S558" s="2"/>
      <c r="T558" s="2"/>
      <c r="U558" s="2"/>
    </row>
    <row r="559" spans="1:21" ht="15.75" customHeight="1">
      <c r="A559" s="1"/>
      <c r="B559" s="2"/>
      <c r="C559" s="2"/>
      <c r="D559" s="2"/>
      <c r="E559" s="2"/>
      <c r="F559" s="2"/>
      <c r="G559" s="2"/>
      <c r="H559" s="2"/>
      <c r="I559" s="2"/>
      <c r="J559" s="2"/>
      <c r="K559" s="2"/>
      <c r="L559" s="2"/>
      <c r="M559" s="2"/>
      <c r="N559" s="2"/>
      <c r="O559" s="2"/>
      <c r="P559" s="2"/>
      <c r="Q559" s="2"/>
      <c r="R559" s="2"/>
      <c r="S559" s="2"/>
      <c r="T559" s="2"/>
      <c r="U559" s="2"/>
    </row>
    <row r="560" spans="1:21" ht="15.75" customHeight="1">
      <c r="A560" s="1"/>
      <c r="B560" s="2"/>
      <c r="C560" s="2"/>
      <c r="D560" s="2"/>
      <c r="E560" s="2"/>
      <c r="F560" s="2"/>
      <c r="G560" s="2"/>
      <c r="H560" s="2"/>
      <c r="I560" s="2"/>
      <c r="J560" s="2"/>
      <c r="K560" s="2"/>
      <c r="L560" s="2"/>
      <c r="M560" s="2"/>
      <c r="N560" s="2"/>
      <c r="O560" s="2"/>
      <c r="P560" s="2"/>
      <c r="Q560" s="2"/>
      <c r="R560" s="2"/>
      <c r="S560" s="2"/>
      <c r="T560" s="2"/>
      <c r="U560" s="2"/>
    </row>
    <row r="561" spans="1:21" ht="15.75" customHeight="1">
      <c r="A561" s="1"/>
      <c r="B561" s="2"/>
      <c r="C561" s="2"/>
      <c r="D561" s="2"/>
      <c r="E561" s="2"/>
      <c r="F561" s="2"/>
      <c r="G561" s="2"/>
      <c r="H561" s="2"/>
      <c r="I561" s="2"/>
      <c r="J561" s="2"/>
      <c r="K561" s="2"/>
      <c r="L561" s="2"/>
      <c r="M561" s="2"/>
      <c r="N561" s="2"/>
      <c r="O561" s="2"/>
      <c r="P561" s="2"/>
      <c r="Q561" s="2"/>
      <c r="R561" s="2"/>
      <c r="S561" s="2"/>
      <c r="T561" s="2"/>
      <c r="U561" s="2"/>
    </row>
    <row r="562" spans="1:21" ht="15.75" customHeight="1">
      <c r="A562" s="1"/>
      <c r="B562" s="2"/>
      <c r="C562" s="2"/>
      <c r="D562" s="2"/>
      <c r="E562" s="2"/>
      <c r="F562" s="2"/>
      <c r="G562" s="2"/>
      <c r="H562" s="2"/>
      <c r="I562" s="2"/>
      <c r="J562" s="2"/>
      <c r="K562" s="2"/>
      <c r="L562" s="2"/>
      <c r="M562" s="2"/>
      <c r="N562" s="2"/>
      <c r="O562" s="2"/>
      <c r="P562" s="2"/>
      <c r="Q562" s="2"/>
      <c r="R562" s="2"/>
      <c r="S562" s="2"/>
      <c r="T562" s="2"/>
      <c r="U562" s="2"/>
    </row>
    <row r="563" spans="1:21" ht="15.75" customHeight="1">
      <c r="A563" s="1"/>
      <c r="B563" s="2"/>
      <c r="C563" s="2"/>
      <c r="D563" s="2"/>
      <c r="E563" s="2"/>
      <c r="F563" s="2"/>
      <c r="G563" s="2"/>
      <c r="H563" s="2"/>
      <c r="I563" s="2"/>
      <c r="J563" s="2"/>
      <c r="K563" s="2"/>
      <c r="L563" s="2"/>
      <c r="M563" s="2"/>
      <c r="N563" s="2"/>
      <c r="O563" s="2"/>
      <c r="P563" s="2"/>
      <c r="Q563" s="2"/>
      <c r="R563" s="2"/>
      <c r="S563" s="2"/>
      <c r="T563" s="2"/>
      <c r="U563" s="2"/>
    </row>
    <row r="564" spans="1:21" ht="15.75" customHeight="1">
      <c r="A564" s="1"/>
      <c r="B564" s="2"/>
      <c r="C564" s="2"/>
      <c r="D564" s="2"/>
      <c r="E564" s="2"/>
      <c r="F564" s="2"/>
      <c r="G564" s="2"/>
      <c r="H564" s="2"/>
      <c r="I564" s="2"/>
      <c r="J564" s="2"/>
      <c r="K564" s="2"/>
      <c r="L564" s="2"/>
      <c r="M564" s="2"/>
      <c r="N564" s="2"/>
      <c r="O564" s="2"/>
      <c r="P564" s="2"/>
      <c r="Q564" s="2"/>
      <c r="R564" s="2"/>
      <c r="S564" s="2"/>
      <c r="T564" s="2"/>
      <c r="U564" s="2"/>
    </row>
    <row r="565" spans="1:21" ht="15.75" customHeight="1">
      <c r="A565" s="1"/>
      <c r="B565" s="2"/>
      <c r="C565" s="2"/>
      <c r="D565" s="2"/>
      <c r="E565" s="2"/>
      <c r="F565" s="2"/>
      <c r="G565" s="2"/>
      <c r="H565" s="2"/>
      <c r="I565" s="2"/>
      <c r="J565" s="2"/>
      <c r="K565" s="2"/>
      <c r="L565" s="2"/>
      <c r="M565" s="2"/>
      <c r="N565" s="2"/>
      <c r="O565" s="2"/>
      <c r="P565" s="2"/>
      <c r="Q565" s="2"/>
      <c r="R565" s="2"/>
      <c r="S565" s="2"/>
      <c r="T565" s="2"/>
      <c r="U565" s="2"/>
    </row>
    <row r="566" spans="1:21" ht="15.75" customHeight="1">
      <c r="A566" s="1"/>
      <c r="B566" s="2"/>
      <c r="C566" s="2"/>
      <c r="D566" s="2"/>
      <c r="E566" s="2"/>
      <c r="F566" s="2"/>
      <c r="G566" s="2"/>
      <c r="H566" s="2"/>
      <c r="I566" s="2"/>
      <c r="J566" s="2"/>
      <c r="K566" s="2"/>
      <c r="L566" s="2"/>
      <c r="M566" s="2"/>
      <c r="N566" s="2"/>
      <c r="O566" s="2"/>
      <c r="P566" s="2"/>
      <c r="Q566" s="2"/>
      <c r="R566" s="2"/>
      <c r="S566" s="2"/>
      <c r="T566" s="2"/>
      <c r="U566" s="2"/>
    </row>
    <row r="567" spans="1:21" ht="15.75" customHeight="1">
      <c r="A567" s="1"/>
      <c r="B567" s="2"/>
      <c r="C567" s="2"/>
      <c r="D567" s="2"/>
      <c r="E567" s="2"/>
      <c r="F567" s="2"/>
      <c r="G567" s="2"/>
      <c r="H567" s="2"/>
      <c r="I567" s="2"/>
      <c r="J567" s="2"/>
      <c r="K567" s="2"/>
      <c r="L567" s="2"/>
      <c r="M567" s="2"/>
      <c r="N567" s="2"/>
      <c r="O567" s="2"/>
      <c r="P567" s="2"/>
      <c r="Q567" s="2"/>
      <c r="R567" s="2"/>
      <c r="S567" s="2"/>
      <c r="T567" s="2"/>
      <c r="U567" s="2"/>
    </row>
    <row r="568" spans="1:21" ht="15.75" customHeight="1">
      <c r="A568" s="1"/>
      <c r="B568" s="2"/>
      <c r="C568" s="2"/>
      <c r="D568" s="2"/>
      <c r="E568" s="2"/>
      <c r="F568" s="2"/>
      <c r="G568" s="2"/>
      <c r="H568" s="2"/>
      <c r="I568" s="2"/>
      <c r="J568" s="2"/>
      <c r="K568" s="2"/>
      <c r="L568" s="2"/>
      <c r="M568" s="2"/>
      <c r="N568" s="2"/>
      <c r="O568" s="2"/>
      <c r="P568" s="2"/>
      <c r="Q568" s="2"/>
      <c r="R568" s="2"/>
      <c r="S568" s="2"/>
      <c r="T568" s="2"/>
      <c r="U568" s="2"/>
    </row>
    <row r="569" spans="1:21" ht="15.75" customHeight="1">
      <c r="A569" s="1"/>
      <c r="B569" s="2"/>
      <c r="C569" s="2"/>
      <c r="D569" s="2"/>
      <c r="E569" s="2"/>
      <c r="F569" s="2"/>
      <c r="G569" s="2"/>
      <c r="H569" s="2"/>
      <c r="I569" s="2"/>
      <c r="J569" s="2"/>
      <c r="K569" s="2"/>
      <c r="L569" s="2"/>
      <c r="M569" s="2"/>
      <c r="N569" s="2"/>
      <c r="O569" s="2"/>
      <c r="P569" s="2"/>
      <c r="Q569" s="2"/>
      <c r="R569" s="2"/>
      <c r="S569" s="2"/>
      <c r="T569" s="2"/>
      <c r="U569" s="2"/>
    </row>
    <row r="570" spans="1:21" ht="15.75" customHeight="1">
      <c r="A570" s="1"/>
      <c r="B570" s="2"/>
      <c r="C570" s="2"/>
      <c r="D570" s="2"/>
      <c r="E570" s="2"/>
      <c r="F570" s="2"/>
      <c r="G570" s="2"/>
      <c r="H570" s="2"/>
      <c r="I570" s="2"/>
      <c r="J570" s="2"/>
      <c r="K570" s="2"/>
      <c r="L570" s="2"/>
      <c r="M570" s="2"/>
      <c r="N570" s="2"/>
      <c r="O570" s="2"/>
      <c r="P570" s="2"/>
      <c r="Q570" s="2"/>
      <c r="R570" s="2"/>
      <c r="S570" s="2"/>
      <c r="T570" s="2"/>
      <c r="U570" s="2"/>
    </row>
    <row r="571" spans="1:21" ht="15.75" customHeight="1">
      <c r="A571" s="1"/>
      <c r="B571" s="2"/>
      <c r="C571" s="2"/>
      <c r="D571" s="2"/>
      <c r="E571" s="2"/>
      <c r="F571" s="2"/>
      <c r="G571" s="2"/>
      <c r="H571" s="2"/>
      <c r="I571" s="2"/>
      <c r="J571" s="2"/>
      <c r="K571" s="2"/>
      <c r="L571" s="2"/>
      <c r="M571" s="2"/>
      <c r="N571" s="2"/>
      <c r="O571" s="2"/>
      <c r="P571" s="2"/>
      <c r="Q571" s="2"/>
      <c r="R571" s="2"/>
      <c r="S571" s="2"/>
      <c r="T571" s="2"/>
      <c r="U571" s="2"/>
    </row>
    <row r="572" spans="1:21" ht="15.75" customHeight="1">
      <c r="A572" s="1"/>
      <c r="B572" s="2"/>
      <c r="C572" s="2"/>
      <c r="D572" s="2"/>
      <c r="E572" s="2"/>
      <c r="F572" s="2"/>
      <c r="G572" s="2"/>
      <c r="H572" s="2"/>
      <c r="I572" s="2"/>
      <c r="J572" s="2"/>
      <c r="K572" s="2"/>
      <c r="L572" s="2"/>
      <c r="M572" s="2"/>
      <c r="N572" s="2"/>
      <c r="O572" s="2"/>
      <c r="P572" s="2"/>
      <c r="Q572" s="2"/>
      <c r="R572" s="2"/>
      <c r="S572" s="2"/>
      <c r="T572" s="2"/>
      <c r="U572" s="2"/>
    </row>
    <row r="573" spans="1:21" ht="15.75" customHeight="1">
      <c r="A573" s="1"/>
      <c r="B573" s="2"/>
      <c r="C573" s="2"/>
      <c r="D573" s="2"/>
      <c r="E573" s="2"/>
      <c r="F573" s="2"/>
      <c r="G573" s="2"/>
      <c r="H573" s="2"/>
      <c r="I573" s="2"/>
      <c r="J573" s="2"/>
      <c r="K573" s="2"/>
      <c r="L573" s="2"/>
      <c r="M573" s="2"/>
      <c r="N573" s="2"/>
      <c r="O573" s="2"/>
      <c r="P573" s="2"/>
      <c r="Q573" s="2"/>
      <c r="R573" s="2"/>
      <c r="S573" s="2"/>
      <c r="T573" s="2"/>
      <c r="U573" s="2"/>
    </row>
    <row r="574" spans="1:21" ht="15.75" customHeight="1">
      <c r="A574" s="1"/>
      <c r="B574" s="2"/>
      <c r="C574" s="2"/>
      <c r="D574" s="2"/>
      <c r="E574" s="2"/>
      <c r="F574" s="2"/>
      <c r="G574" s="2"/>
      <c r="H574" s="2"/>
      <c r="I574" s="2"/>
      <c r="J574" s="2"/>
      <c r="K574" s="2"/>
      <c r="L574" s="2"/>
      <c r="M574" s="2"/>
      <c r="N574" s="2"/>
      <c r="O574" s="2"/>
      <c r="P574" s="2"/>
      <c r="Q574" s="2"/>
      <c r="R574" s="2"/>
      <c r="S574" s="2"/>
      <c r="T574" s="2"/>
      <c r="U574" s="2"/>
    </row>
    <row r="575" spans="1:21" ht="15.75" customHeight="1">
      <c r="A575" s="1"/>
      <c r="B575" s="2"/>
      <c r="C575" s="2"/>
      <c r="D575" s="2"/>
      <c r="E575" s="2"/>
      <c r="F575" s="2"/>
      <c r="G575" s="2"/>
      <c r="H575" s="2"/>
      <c r="I575" s="2"/>
      <c r="J575" s="2"/>
      <c r="K575" s="2"/>
      <c r="L575" s="2"/>
      <c r="M575" s="2"/>
      <c r="N575" s="2"/>
      <c r="O575" s="2"/>
      <c r="P575" s="2"/>
      <c r="Q575" s="2"/>
      <c r="R575" s="2"/>
      <c r="S575" s="2"/>
      <c r="T575" s="2"/>
      <c r="U575" s="2"/>
    </row>
    <row r="576" spans="1:21" ht="15.75" customHeight="1">
      <c r="A576" s="1"/>
      <c r="B576" s="2"/>
      <c r="C576" s="2"/>
      <c r="D576" s="2"/>
      <c r="E576" s="2"/>
      <c r="F576" s="2"/>
      <c r="G576" s="2"/>
      <c r="H576" s="2"/>
      <c r="I576" s="2"/>
      <c r="J576" s="2"/>
      <c r="K576" s="2"/>
      <c r="L576" s="2"/>
      <c r="M576" s="2"/>
      <c r="N576" s="2"/>
      <c r="O576" s="2"/>
      <c r="P576" s="2"/>
      <c r="Q576" s="2"/>
      <c r="R576" s="2"/>
      <c r="S576" s="2"/>
      <c r="T576" s="2"/>
      <c r="U576" s="2"/>
    </row>
    <row r="577" spans="1:21" ht="15.75" customHeight="1">
      <c r="A577" s="1"/>
      <c r="B577" s="2"/>
      <c r="C577" s="2"/>
      <c r="D577" s="2"/>
      <c r="E577" s="2"/>
      <c r="F577" s="2"/>
      <c r="G577" s="2"/>
      <c r="H577" s="2"/>
      <c r="I577" s="2"/>
      <c r="J577" s="2"/>
      <c r="K577" s="2"/>
      <c r="L577" s="2"/>
      <c r="M577" s="2"/>
      <c r="N577" s="2"/>
      <c r="O577" s="2"/>
      <c r="P577" s="2"/>
      <c r="Q577" s="2"/>
      <c r="R577" s="2"/>
      <c r="S577" s="2"/>
      <c r="T577" s="2"/>
      <c r="U577" s="2"/>
    </row>
    <row r="578" spans="1:21" ht="15.75" customHeight="1">
      <c r="A578" s="1"/>
      <c r="B578" s="2"/>
      <c r="C578" s="2"/>
      <c r="D578" s="2"/>
      <c r="E578" s="2"/>
      <c r="F578" s="2"/>
      <c r="G578" s="2"/>
      <c r="H578" s="2"/>
      <c r="I578" s="2"/>
      <c r="J578" s="2"/>
      <c r="K578" s="2"/>
      <c r="L578" s="2"/>
      <c r="M578" s="2"/>
      <c r="N578" s="2"/>
      <c r="O578" s="2"/>
      <c r="P578" s="2"/>
      <c r="Q578" s="2"/>
      <c r="R578" s="2"/>
      <c r="S578" s="2"/>
      <c r="T578" s="2"/>
      <c r="U578" s="2"/>
    </row>
    <row r="579" spans="1:21" ht="15.75" customHeight="1">
      <c r="A579" s="1"/>
      <c r="B579" s="2"/>
      <c r="C579" s="2"/>
      <c r="D579" s="2"/>
      <c r="E579" s="2"/>
      <c r="F579" s="2"/>
      <c r="G579" s="2"/>
      <c r="H579" s="2"/>
      <c r="I579" s="2"/>
      <c r="J579" s="2"/>
      <c r="K579" s="2"/>
      <c r="L579" s="2"/>
      <c r="M579" s="2"/>
      <c r="N579" s="2"/>
      <c r="O579" s="2"/>
      <c r="P579" s="2"/>
      <c r="Q579" s="2"/>
      <c r="R579" s="2"/>
      <c r="S579" s="2"/>
      <c r="T579" s="2"/>
      <c r="U579" s="2"/>
    </row>
    <row r="580" spans="1:21" ht="15.75" customHeight="1">
      <c r="A580" s="1"/>
      <c r="B580" s="2"/>
      <c r="C580" s="2"/>
      <c r="D580" s="2"/>
      <c r="E580" s="2"/>
      <c r="F580" s="2"/>
      <c r="G580" s="2"/>
      <c r="H580" s="2"/>
      <c r="I580" s="2"/>
      <c r="J580" s="2"/>
      <c r="K580" s="2"/>
      <c r="L580" s="2"/>
      <c r="M580" s="2"/>
      <c r="N580" s="2"/>
      <c r="O580" s="2"/>
      <c r="P580" s="2"/>
      <c r="Q580" s="2"/>
      <c r="R580" s="2"/>
      <c r="S580" s="2"/>
      <c r="T580" s="2"/>
      <c r="U580" s="2"/>
    </row>
    <row r="581" spans="1:21" ht="15.75" customHeight="1">
      <c r="A581" s="1"/>
      <c r="B581" s="2"/>
      <c r="C581" s="2"/>
      <c r="D581" s="2"/>
      <c r="E581" s="2"/>
      <c r="F581" s="2"/>
      <c r="G581" s="2"/>
      <c r="H581" s="2"/>
      <c r="I581" s="2"/>
      <c r="J581" s="2"/>
      <c r="K581" s="2"/>
      <c r="L581" s="2"/>
      <c r="M581" s="2"/>
      <c r="N581" s="2"/>
      <c r="O581" s="2"/>
      <c r="P581" s="2"/>
      <c r="Q581" s="2"/>
      <c r="R581" s="2"/>
      <c r="S581" s="2"/>
      <c r="T581" s="2"/>
      <c r="U581" s="2"/>
    </row>
    <row r="582" spans="1:21" ht="15.75" customHeight="1">
      <c r="A582" s="1"/>
      <c r="B582" s="2"/>
      <c r="C582" s="2"/>
      <c r="D582" s="2"/>
      <c r="E582" s="2"/>
      <c r="F582" s="2"/>
      <c r="G582" s="2"/>
      <c r="H582" s="2"/>
      <c r="I582" s="2"/>
      <c r="J582" s="2"/>
      <c r="K582" s="2"/>
      <c r="L582" s="2"/>
      <c r="M582" s="2"/>
      <c r="N582" s="2"/>
      <c r="O582" s="2"/>
      <c r="P582" s="2"/>
      <c r="Q582" s="2"/>
      <c r="R582" s="2"/>
      <c r="S582" s="2"/>
      <c r="T582" s="2"/>
      <c r="U582" s="2"/>
    </row>
    <row r="583" spans="1:21" ht="15.75" customHeight="1">
      <c r="A583" s="1"/>
      <c r="B583" s="2"/>
      <c r="C583" s="2"/>
      <c r="D583" s="2"/>
      <c r="E583" s="2"/>
      <c r="F583" s="2"/>
      <c r="G583" s="2"/>
      <c r="H583" s="2"/>
      <c r="I583" s="2"/>
      <c r="J583" s="2"/>
      <c r="K583" s="2"/>
      <c r="L583" s="2"/>
      <c r="M583" s="2"/>
      <c r="N583" s="2"/>
      <c r="O583" s="2"/>
      <c r="P583" s="2"/>
      <c r="Q583" s="2"/>
      <c r="R583" s="2"/>
      <c r="S583" s="2"/>
      <c r="T583" s="2"/>
      <c r="U583" s="2"/>
    </row>
    <row r="584" spans="1:21" ht="15.75" customHeight="1">
      <c r="A584" s="1"/>
      <c r="B584" s="2"/>
      <c r="C584" s="2"/>
      <c r="D584" s="2"/>
      <c r="E584" s="2"/>
      <c r="F584" s="2"/>
      <c r="G584" s="2"/>
      <c r="H584" s="2"/>
      <c r="I584" s="2"/>
      <c r="J584" s="2"/>
      <c r="K584" s="2"/>
      <c r="L584" s="2"/>
      <c r="M584" s="2"/>
      <c r="N584" s="2"/>
      <c r="O584" s="2"/>
      <c r="P584" s="2"/>
      <c r="Q584" s="2"/>
      <c r="R584" s="2"/>
      <c r="S584" s="2"/>
      <c r="T584" s="2"/>
      <c r="U584" s="2"/>
    </row>
    <row r="585" spans="1:21" ht="15.75" customHeight="1">
      <c r="A585" s="1"/>
      <c r="B585" s="2"/>
      <c r="C585" s="2"/>
      <c r="D585" s="2"/>
      <c r="E585" s="2"/>
      <c r="F585" s="2"/>
      <c r="G585" s="2"/>
      <c r="H585" s="2"/>
      <c r="I585" s="2"/>
      <c r="J585" s="2"/>
      <c r="K585" s="2"/>
      <c r="L585" s="2"/>
      <c r="M585" s="2"/>
      <c r="N585" s="2"/>
      <c r="O585" s="2"/>
      <c r="P585" s="2"/>
      <c r="Q585" s="2"/>
      <c r="R585" s="2"/>
      <c r="S585" s="2"/>
      <c r="T585" s="2"/>
      <c r="U585" s="2"/>
    </row>
    <row r="586" spans="1:21" ht="15.75" customHeight="1">
      <c r="A586" s="1"/>
      <c r="B586" s="2"/>
      <c r="C586" s="2"/>
      <c r="D586" s="2"/>
      <c r="E586" s="2"/>
      <c r="F586" s="2"/>
      <c r="G586" s="2"/>
      <c r="H586" s="2"/>
      <c r="I586" s="2"/>
      <c r="J586" s="2"/>
      <c r="K586" s="2"/>
      <c r="L586" s="2"/>
      <c r="M586" s="2"/>
      <c r="N586" s="2"/>
      <c r="O586" s="2"/>
      <c r="P586" s="2"/>
      <c r="Q586" s="2"/>
      <c r="R586" s="2"/>
      <c r="S586" s="2"/>
      <c r="T586" s="2"/>
      <c r="U586" s="2"/>
    </row>
    <row r="587" spans="1:21" ht="15.75" customHeight="1">
      <c r="A587" s="1"/>
      <c r="B587" s="2"/>
      <c r="C587" s="2"/>
      <c r="D587" s="2"/>
      <c r="E587" s="2"/>
      <c r="F587" s="2"/>
      <c r="G587" s="2"/>
      <c r="H587" s="2"/>
      <c r="I587" s="2"/>
      <c r="J587" s="2"/>
      <c r="K587" s="2"/>
      <c r="L587" s="2"/>
      <c r="M587" s="2"/>
      <c r="N587" s="2"/>
      <c r="O587" s="2"/>
      <c r="P587" s="2"/>
      <c r="Q587" s="2"/>
      <c r="R587" s="2"/>
      <c r="S587" s="2"/>
      <c r="T587" s="2"/>
      <c r="U587" s="2"/>
    </row>
    <row r="588" spans="1:21" ht="15.75" customHeight="1">
      <c r="A588" s="1"/>
      <c r="B588" s="2"/>
      <c r="C588" s="2"/>
      <c r="D588" s="2"/>
      <c r="E588" s="2"/>
      <c r="F588" s="2"/>
      <c r="G588" s="2"/>
      <c r="H588" s="2"/>
      <c r="I588" s="2"/>
      <c r="J588" s="2"/>
      <c r="K588" s="2"/>
      <c r="L588" s="2"/>
      <c r="M588" s="2"/>
      <c r="N588" s="2"/>
      <c r="O588" s="2"/>
      <c r="P588" s="2"/>
      <c r="Q588" s="2"/>
      <c r="R588" s="2"/>
      <c r="S588" s="2"/>
      <c r="T588" s="2"/>
      <c r="U588" s="2"/>
    </row>
    <row r="589" spans="1:21" ht="15.75" customHeight="1">
      <c r="A589" s="1"/>
      <c r="B589" s="2"/>
      <c r="C589" s="2"/>
      <c r="D589" s="2"/>
      <c r="E589" s="2"/>
      <c r="F589" s="2"/>
      <c r="G589" s="2"/>
      <c r="H589" s="2"/>
      <c r="I589" s="2"/>
      <c r="J589" s="2"/>
      <c r="K589" s="2"/>
      <c r="L589" s="2"/>
      <c r="M589" s="2"/>
      <c r="N589" s="2"/>
      <c r="O589" s="2"/>
      <c r="P589" s="2"/>
      <c r="Q589" s="2"/>
      <c r="R589" s="2"/>
      <c r="S589" s="2"/>
      <c r="T589" s="2"/>
      <c r="U589" s="2"/>
    </row>
    <row r="590" spans="1:21" ht="15.75" customHeight="1">
      <c r="A590" s="1"/>
      <c r="B590" s="2"/>
      <c r="C590" s="2"/>
      <c r="D590" s="2"/>
      <c r="E590" s="2"/>
      <c r="F590" s="2"/>
      <c r="G590" s="2"/>
      <c r="H590" s="2"/>
      <c r="I590" s="2"/>
      <c r="J590" s="2"/>
      <c r="K590" s="2"/>
      <c r="L590" s="2"/>
      <c r="M590" s="2"/>
      <c r="N590" s="2"/>
      <c r="O590" s="2"/>
      <c r="P590" s="2"/>
      <c r="Q590" s="2"/>
      <c r="R590" s="2"/>
      <c r="S590" s="2"/>
      <c r="T590" s="2"/>
      <c r="U590" s="2"/>
    </row>
    <row r="591" spans="1:21" ht="15.75" customHeight="1">
      <c r="A591" s="1"/>
      <c r="B591" s="2"/>
      <c r="C591" s="2"/>
      <c r="D591" s="2"/>
      <c r="E591" s="2"/>
      <c r="F591" s="2"/>
      <c r="G591" s="2"/>
      <c r="H591" s="2"/>
      <c r="I591" s="2"/>
      <c r="J591" s="2"/>
      <c r="K591" s="2"/>
      <c r="L591" s="2"/>
      <c r="M591" s="2"/>
      <c r="N591" s="2"/>
      <c r="O591" s="2"/>
      <c r="P591" s="2"/>
      <c r="Q591" s="2"/>
      <c r="R591" s="2"/>
      <c r="S591" s="2"/>
      <c r="T591" s="2"/>
      <c r="U591" s="2"/>
    </row>
    <row r="592" spans="1:21" ht="15.75" customHeight="1">
      <c r="A592" s="1"/>
      <c r="B592" s="2"/>
      <c r="C592" s="2"/>
      <c r="D592" s="2"/>
      <c r="E592" s="2"/>
      <c r="F592" s="2"/>
      <c r="G592" s="2"/>
      <c r="H592" s="2"/>
      <c r="I592" s="2"/>
      <c r="J592" s="2"/>
      <c r="K592" s="2"/>
      <c r="L592" s="2"/>
      <c r="M592" s="2"/>
      <c r="N592" s="2"/>
      <c r="O592" s="2"/>
      <c r="P592" s="2"/>
      <c r="Q592" s="2"/>
      <c r="R592" s="2"/>
      <c r="S592" s="2"/>
      <c r="T592" s="2"/>
      <c r="U592" s="2"/>
    </row>
    <row r="593" spans="1:21" ht="15.75" customHeight="1">
      <c r="A593" s="1"/>
      <c r="B593" s="2"/>
      <c r="C593" s="2"/>
      <c r="D593" s="2"/>
      <c r="E593" s="2"/>
      <c r="F593" s="2"/>
      <c r="G593" s="2"/>
      <c r="H593" s="2"/>
      <c r="I593" s="2"/>
      <c r="J593" s="2"/>
      <c r="K593" s="2"/>
      <c r="L593" s="2"/>
      <c r="M593" s="2"/>
      <c r="N593" s="2"/>
      <c r="O593" s="2"/>
      <c r="P593" s="2"/>
      <c r="Q593" s="2"/>
      <c r="R593" s="2"/>
      <c r="S593" s="2"/>
      <c r="T593" s="2"/>
      <c r="U593" s="2"/>
    </row>
    <row r="594" spans="1:21" ht="15.75" customHeight="1">
      <c r="A594" s="1"/>
      <c r="B594" s="2"/>
      <c r="C594" s="2"/>
      <c r="D594" s="2"/>
      <c r="E594" s="2"/>
      <c r="F594" s="2"/>
      <c r="G594" s="2"/>
      <c r="H594" s="2"/>
      <c r="I594" s="2"/>
      <c r="J594" s="2"/>
      <c r="K594" s="2"/>
      <c r="L594" s="2"/>
      <c r="M594" s="2"/>
      <c r="N594" s="2"/>
      <c r="O594" s="2"/>
      <c r="P594" s="2"/>
      <c r="Q594" s="2"/>
      <c r="R594" s="2"/>
      <c r="S594" s="2"/>
      <c r="T594" s="2"/>
      <c r="U594" s="2"/>
    </row>
    <row r="595" spans="1:21" ht="15.75" customHeight="1">
      <c r="A595" s="1"/>
      <c r="B595" s="2"/>
      <c r="C595" s="2"/>
      <c r="D595" s="2"/>
      <c r="E595" s="2"/>
      <c r="F595" s="2"/>
      <c r="G595" s="2"/>
      <c r="H595" s="2"/>
      <c r="I595" s="2"/>
      <c r="J595" s="2"/>
      <c r="K595" s="2"/>
      <c r="L595" s="2"/>
      <c r="M595" s="2"/>
      <c r="N595" s="2"/>
      <c r="O595" s="2"/>
      <c r="P595" s="2"/>
      <c r="Q595" s="2"/>
      <c r="R595" s="2"/>
      <c r="S595" s="2"/>
      <c r="T595" s="2"/>
      <c r="U595" s="2"/>
    </row>
    <row r="596" spans="1:21" ht="15.75" customHeight="1">
      <c r="A596" s="1"/>
      <c r="B596" s="2"/>
      <c r="C596" s="2"/>
      <c r="D596" s="2"/>
      <c r="E596" s="2"/>
      <c r="F596" s="2"/>
      <c r="G596" s="2"/>
      <c r="H596" s="2"/>
      <c r="I596" s="2"/>
      <c r="J596" s="2"/>
      <c r="K596" s="2"/>
      <c r="L596" s="2"/>
      <c r="M596" s="2"/>
      <c r="N596" s="2"/>
      <c r="O596" s="2"/>
      <c r="P596" s="2"/>
      <c r="Q596" s="2"/>
      <c r="R596" s="2"/>
      <c r="S596" s="2"/>
      <c r="T596" s="2"/>
      <c r="U596" s="2"/>
    </row>
    <row r="597" spans="1:21" ht="15.75" customHeight="1">
      <c r="A597" s="1"/>
      <c r="B597" s="2"/>
      <c r="C597" s="2"/>
      <c r="D597" s="2"/>
      <c r="E597" s="2"/>
      <c r="F597" s="2"/>
      <c r="G597" s="2"/>
      <c r="H597" s="2"/>
      <c r="I597" s="2"/>
      <c r="J597" s="2"/>
      <c r="K597" s="2"/>
      <c r="L597" s="2"/>
      <c r="M597" s="2"/>
      <c r="N597" s="2"/>
      <c r="O597" s="2"/>
      <c r="P597" s="2"/>
      <c r="Q597" s="2"/>
      <c r="R597" s="2"/>
      <c r="S597" s="2"/>
      <c r="T597" s="2"/>
      <c r="U597" s="2"/>
    </row>
    <row r="598" spans="1:21" ht="15.75" customHeight="1">
      <c r="A598" s="1"/>
      <c r="B598" s="2"/>
      <c r="C598" s="2"/>
      <c r="D598" s="2"/>
      <c r="E598" s="2"/>
      <c r="F598" s="2"/>
      <c r="G598" s="2"/>
      <c r="H598" s="2"/>
      <c r="I598" s="2"/>
      <c r="J598" s="2"/>
      <c r="K598" s="2"/>
      <c r="L598" s="2"/>
      <c r="M598" s="2"/>
      <c r="N598" s="2"/>
      <c r="O598" s="2"/>
      <c r="P598" s="2"/>
      <c r="Q598" s="2"/>
      <c r="R598" s="2"/>
      <c r="S598" s="2"/>
      <c r="T598" s="2"/>
      <c r="U598" s="2"/>
    </row>
    <row r="599" spans="1:21" ht="15.75" customHeight="1">
      <c r="A599" s="1"/>
      <c r="B599" s="2"/>
      <c r="C599" s="2"/>
      <c r="D599" s="2"/>
      <c r="E599" s="2"/>
      <c r="F599" s="2"/>
      <c r="G599" s="2"/>
      <c r="H599" s="2"/>
      <c r="I599" s="2"/>
      <c r="J599" s="2"/>
      <c r="K599" s="2"/>
      <c r="L599" s="2"/>
      <c r="M599" s="2"/>
      <c r="N599" s="2"/>
      <c r="O599" s="2"/>
      <c r="P599" s="2"/>
      <c r="Q599" s="2"/>
      <c r="R599" s="2"/>
      <c r="S599" s="2"/>
      <c r="T599" s="2"/>
      <c r="U599" s="2"/>
    </row>
    <row r="600" spans="1:21" ht="15.75" customHeight="1">
      <c r="A600" s="1"/>
      <c r="B600" s="2"/>
      <c r="C600" s="2"/>
      <c r="D600" s="2"/>
      <c r="E600" s="2"/>
      <c r="F600" s="2"/>
      <c r="G600" s="2"/>
      <c r="H600" s="2"/>
      <c r="I600" s="2"/>
      <c r="J600" s="2"/>
      <c r="K600" s="2"/>
      <c r="L600" s="2"/>
      <c r="M600" s="2"/>
      <c r="N600" s="2"/>
      <c r="O600" s="2"/>
      <c r="P600" s="2"/>
      <c r="Q600" s="2"/>
      <c r="R600" s="2"/>
      <c r="S600" s="2"/>
      <c r="T600" s="2"/>
      <c r="U600" s="2"/>
    </row>
    <row r="601" spans="1:21" ht="15.75" customHeight="1">
      <c r="A601" s="1"/>
      <c r="B601" s="2"/>
      <c r="C601" s="2"/>
      <c r="D601" s="2"/>
      <c r="E601" s="2"/>
      <c r="F601" s="2"/>
      <c r="G601" s="2"/>
      <c r="H601" s="2"/>
      <c r="I601" s="2"/>
      <c r="J601" s="2"/>
      <c r="K601" s="2"/>
      <c r="L601" s="2"/>
      <c r="M601" s="2"/>
      <c r="N601" s="2"/>
      <c r="O601" s="2"/>
      <c r="P601" s="2"/>
      <c r="Q601" s="2"/>
      <c r="R601" s="2"/>
      <c r="S601" s="2"/>
      <c r="T601" s="2"/>
      <c r="U601" s="2"/>
    </row>
    <row r="602" spans="1:21" ht="15.75" customHeight="1">
      <c r="A602" s="1"/>
      <c r="B602" s="2"/>
      <c r="C602" s="2"/>
      <c r="D602" s="2"/>
      <c r="E602" s="2"/>
      <c r="F602" s="2"/>
      <c r="G602" s="2"/>
      <c r="H602" s="2"/>
      <c r="I602" s="2"/>
      <c r="J602" s="2"/>
      <c r="K602" s="2"/>
      <c r="L602" s="2"/>
      <c r="M602" s="2"/>
      <c r="N602" s="2"/>
      <c r="O602" s="2"/>
      <c r="P602" s="2"/>
      <c r="Q602" s="2"/>
      <c r="R602" s="2"/>
      <c r="S602" s="2"/>
      <c r="T602" s="2"/>
      <c r="U602" s="2"/>
    </row>
    <row r="603" spans="1:21" ht="15.75" customHeight="1">
      <c r="A603" s="1"/>
      <c r="B603" s="2"/>
      <c r="C603" s="2"/>
      <c r="D603" s="2"/>
      <c r="E603" s="2"/>
      <c r="F603" s="2"/>
      <c r="G603" s="2"/>
      <c r="H603" s="2"/>
      <c r="I603" s="2"/>
      <c r="J603" s="2"/>
      <c r="K603" s="2"/>
      <c r="L603" s="2"/>
      <c r="M603" s="2"/>
      <c r="N603" s="2"/>
      <c r="O603" s="2"/>
      <c r="P603" s="2"/>
      <c r="Q603" s="2"/>
      <c r="R603" s="2"/>
      <c r="S603" s="2"/>
      <c r="T603" s="2"/>
      <c r="U603" s="2"/>
    </row>
    <row r="604" spans="1:21" ht="15.75" customHeight="1">
      <c r="A604" s="1"/>
      <c r="B604" s="2"/>
      <c r="C604" s="2"/>
      <c r="D604" s="2"/>
      <c r="E604" s="2"/>
      <c r="F604" s="2"/>
      <c r="G604" s="2"/>
      <c r="H604" s="2"/>
      <c r="I604" s="2"/>
      <c r="J604" s="2"/>
      <c r="K604" s="2"/>
      <c r="L604" s="2"/>
      <c r="M604" s="2"/>
      <c r="N604" s="2"/>
      <c r="O604" s="2"/>
      <c r="P604" s="2"/>
      <c r="Q604" s="2"/>
      <c r="R604" s="2"/>
      <c r="S604" s="2"/>
      <c r="T604" s="2"/>
      <c r="U604" s="2"/>
    </row>
    <row r="605" spans="1:21" ht="15.75" customHeight="1">
      <c r="A605" s="1"/>
      <c r="B605" s="2"/>
      <c r="C605" s="2"/>
      <c r="D605" s="2"/>
      <c r="E605" s="2"/>
      <c r="F605" s="2"/>
      <c r="G605" s="2"/>
      <c r="H605" s="2"/>
      <c r="I605" s="2"/>
      <c r="J605" s="2"/>
      <c r="K605" s="2"/>
      <c r="L605" s="2"/>
      <c r="M605" s="2"/>
      <c r="N605" s="2"/>
      <c r="O605" s="2"/>
      <c r="P605" s="2"/>
      <c r="Q605" s="2"/>
      <c r="R605" s="2"/>
      <c r="S605" s="2"/>
      <c r="T605" s="2"/>
      <c r="U605" s="2"/>
    </row>
    <row r="606" spans="1:21" ht="15.75" customHeight="1">
      <c r="A606" s="1"/>
      <c r="B606" s="2"/>
      <c r="C606" s="2"/>
      <c r="D606" s="2"/>
      <c r="E606" s="2"/>
      <c r="F606" s="2"/>
      <c r="G606" s="2"/>
      <c r="H606" s="2"/>
      <c r="I606" s="2"/>
      <c r="J606" s="2"/>
      <c r="K606" s="2"/>
      <c r="L606" s="2"/>
      <c r="M606" s="2"/>
      <c r="N606" s="2"/>
      <c r="O606" s="2"/>
      <c r="P606" s="2"/>
      <c r="Q606" s="2"/>
      <c r="R606" s="2"/>
      <c r="S606" s="2"/>
      <c r="T606" s="2"/>
      <c r="U606" s="2"/>
    </row>
    <row r="607" spans="1:21" ht="15.75" customHeight="1">
      <c r="A607" s="1"/>
      <c r="B607" s="2"/>
      <c r="C607" s="2"/>
      <c r="D607" s="2"/>
      <c r="E607" s="2"/>
      <c r="F607" s="2"/>
      <c r="G607" s="2"/>
      <c r="H607" s="2"/>
      <c r="I607" s="2"/>
      <c r="J607" s="2"/>
      <c r="K607" s="2"/>
      <c r="L607" s="2"/>
      <c r="M607" s="2"/>
      <c r="N607" s="2"/>
      <c r="O607" s="2"/>
      <c r="P607" s="2"/>
      <c r="Q607" s="2"/>
      <c r="R607" s="2"/>
      <c r="S607" s="2"/>
      <c r="T607" s="2"/>
      <c r="U607" s="2"/>
    </row>
    <row r="608" spans="1:21" ht="15.75" customHeight="1">
      <c r="A608" s="1"/>
      <c r="B608" s="2"/>
      <c r="C608" s="2"/>
      <c r="D608" s="2"/>
      <c r="E608" s="2"/>
      <c r="F608" s="2"/>
      <c r="G608" s="2"/>
      <c r="H608" s="2"/>
      <c r="I608" s="2"/>
      <c r="J608" s="2"/>
      <c r="K608" s="2"/>
      <c r="L608" s="2"/>
      <c r="M608" s="2"/>
      <c r="N608" s="2"/>
      <c r="O608" s="2"/>
      <c r="P608" s="2"/>
      <c r="Q608" s="2"/>
      <c r="R608" s="2"/>
      <c r="S608" s="2"/>
      <c r="T608" s="2"/>
      <c r="U608" s="2"/>
    </row>
    <row r="609" spans="1:21" ht="15.75" customHeight="1">
      <c r="A609" s="1"/>
      <c r="B609" s="2"/>
      <c r="C609" s="2"/>
      <c r="D609" s="2"/>
      <c r="E609" s="2"/>
      <c r="F609" s="2"/>
      <c r="G609" s="2"/>
      <c r="H609" s="2"/>
      <c r="I609" s="2"/>
      <c r="J609" s="2"/>
      <c r="K609" s="2"/>
      <c r="L609" s="2"/>
      <c r="M609" s="2"/>
      <c r="N609" s="2"/>
      <c r="O609" s="2"/>
      <c r="P609" s="2"/>
      <c r="Q609" s="2"/>
      <c r="R609" s="2"/>
      <c r="S609" s="2"/>
      <c r="T609" s="2"/>
      <c r="U609" s="2"/>
    </row>
    <row r="610" spans="1:21" ht="15.75" customHeight="1">
      <c r="A610" s="1"/>
      <c r="B610" s="2"/>
      <c r="C610" s="2"/>
      <c r="D610" s="2"/>
      <c r="E610" s="2"/>
      <c r="F610" s="2"/>
      <c r="G610" s="2"/>
      <c r="H610" s="2"/>
      <c r="I610" s="2"/>
      <c r="J610" s="2"/>
      <c r="K610" s="2"/>
      <c r="L610" s="2"/>
      <c r="M610" s="2"/>
      <c r="N610" s="2"/>
      <c r="O610" s="2"/>
      <c r="P610" s="2"/>
      <c r="Q610" s="2"/>
      <c r="R610" s="2"/>
      <c r="S610" s="2"/>
      <c r="T610" s="2"/>
      <c r="U610" s="2"/>
    </row>
    <row r="611" spans="1:21" ht="15.75" customHeight="1">
      <c r="A611" s="1"/>
      <c r="B611" s="2"/>
      <c r="C611" s="2"/>
      <c r="D611" s="2"/>
      <c r="E611" s="2"/>
      <c r="F611" s="2"/>
      <c r="G611" s="2"/>
      <c r="H611" s="2"/>
      <c r="I611" s="2"/>
      <c r="J611" s="2"/>
      <c r="K611" s="2"/>
      <c r="L611" s="2"/>
      <c r="M611" s="2"/>
      <c r="N611" s="2"/>
      <c r="O611" s="2"/>
      <c r="P611" s="2"/>
      <c r="Q611" s="2"/>
      <c r="R611" s="2"/>
      <c r="S611" s="2"/>
      <c r="T611" s="2"/>
      <c r="U611" s="2"/>
    </row>
    <row r="612" spans="1:21" ht="15.75" customHeight="1">
      <c r="A612" s="1"/>
      <c r="B612" s="2"/>
      <c r="C612" s="2"/>
      <c r="D612" s="2"/>
      <c r="E612" s="2"/>
      <c r="F612" s="2"/>
      <c r="G612" s="2"/>
      <c r="H612" s="2"/>
      <c r="I612" s="2"/>
      <c r="J612" s="2"/>
      <c r="K612" s="2"/>
      <c r="L612" s="2"/>
      <c r="M612" s="2"/>
      <c r="N612" s="2"/>
      <c r="O612" s="2"/>
      <c r="P612" s="2"/>
      <c r="Q612" s="2"/>
      <c r="R612" s="2"/>
      <c r="S612" s="2"/>
      <c r="T612" s="2"/>
      <c r="U612" s="2"/>
    </row>
    <row r="613" spans="1:21" ht="15.75" customHeight="1">
      <c r="A613" s="1"/>
      <c r="B613" s="2"/>
      <c r="C613" s="2"/>
      <c r="D613" s="2"/>
      <c r="E613" s="2"/>
      <c r="F613" s="2"/>
      <c r="G613" s="2"/>
      <c r="H613" s="2"/>
      <c r="I613" s="2"/>
      <c r="J613" s="2"/>
      <c r="K613" s="2"/>
      <c r="L613" s="2"/>
      <c r="M613" s="2"/>
      <c r="N613" s="2"/>
      <c r="O613" s="2"/>
      <c r="P613" s="2"/>
      <c r="Q613" s="2"/>
      <c r="R613" s="2"/>
      <c r="S613" s="2"/>
      <c r="T613" s="2"/>
      <c r="U613" s="2"/>
    </row>
    <row r="614" spans="1:21" ht="15.75" customHeight="1">
      <c r="A614" s="1"/>
      <c r="B614" s="2"/>
      <c r="C614" s="2"/>
      <c r="D614" s="2"/>
      <c r="E614" s="2"/>
      <c r="F614" s="2"/>
      <c r="G614" s="2"/>
      <c r="H614" s="2"/>
      <c r="I614" s="2"/>
      <c r="J614" s="2"/>
      <c r="K614" s="2"/>
      <c r="L614" s="2"/>
      <c r="M614" s="2"/>
      <c r="N614" s="2"/>
      <c r="O614" s="2"/>
      <c r="P614" s="2"/>
      <c r="Q614" s="2"/>
      <c r="R614" s="2"/>
      <c r="S614" s="2"/>
      <c r="T614" s="2"/>
      <c r="U614" s="2"/>
    </row>
    <row r="615" spans="1:21" ht="15.75" customHeight="1">
      <c r="A615" s="1"/>
      <c r="B615" s="2"/>
      <c r="C615" s="2"/>
      <c r="D615" s="2"/>
      <c r="E615" s="2"/>
      <c r="F615" s="2"/>
      <c r="G615" s="2"/>
      <c r="H615" s="2"/>
      <c r="I615" s="2"/>
      <c r="J615" s="2"/>
      <c r="K615" s="2"/>
      <c r="L615" s="2"/>
      <c r="M615" s="2"/>
      <c r="N615" s="2"/>
      <c r="O615" s="2"/>
      <c r="P615" s="2"/>
      <c r="Q615" s="2"/>
      <c r="R615" s="2"/>
      <c r="S615" s="2"/>
      <c r="T615" s="2"/>
      <c r="U615" s="2"/>
    </row>
    <row r="616" spans="1:21" ht="15.75" customHeight="1">
      <c r="A616" s="1"/>
      <c r="B616" s="2"/>
      <c r="C616" s="2"/>
      <c r="D616" s="2"/>
      <c r="E616" s="2"/>
      <c r="F616" s="2"/>
      <c r="G616" s="2"/>
      <c r="H616" s="2"/>
      <c r="I616" s="2"/>
      <c r="J616" s="2"/>
      <c r="K616" s="2"/>
      <c r="L616" s="2"/>
      <c r="M616" s="2"/>
      <c r="N616" s="2"/>
      <c r="O616" s="2"/>
      <c r="P616" s="2"/>
      <c r="Q616" s="2"/>
      <c r="R616" s="2"/>
      <c r="S616" s="2"/>
      <c r="T616" s="2"/>
      <c r="U616" s="2"/>
    </row>
    <row r="617" spans="1:21" ht="15.75" customHeight="1">
      <c r="A617" s="1"/>
      <c r="B617" s="2"/>
      <c r="C617" s="2"/>
      <c r="D617" s="2"/>
      <c r="E617" s="2"/>
      <c r="F617" s="2"/>
      <c r="G617" s="2"/>
      <c r="H617" s="2"/>
      <c r="I617" s="2"/>
      <c r="J617" s="2"/>
      <c r="K617" s="2"/>
      <c r="L617" s="2"/>
      <c r="M617" s="2"/>
      <c r="N617" s="2"/>
      <c r="O617" s="2"/>
      <c r="P617" s="2"/>
      <c r="Q617" s="2"/>
      <c r="R617" s="2"/>
      <c r="S617" s="2"/>
      <c r="T617" s="2"/>
      <c r="U617" s="2"/>
    </row>
    <row r="618" spans="1:21" ht="15.75" customHeight="1">
      <c r="A618" s="1"/>
      <c r="B618" s="2"/>
      <c r="C618" s="2"/>
      <c r="D618" s="2"/>
      <c r="E618" s="2"/>
      <c r="F618" s="2"/>
      <c r="G618" s="2"/>
      <c r="H618" s="2"/>
      <c r="I618" s="2"/>
      <c r="J618" s="2"/>
      <c r="K618" s="2"/>
      <c r="L618" s="2"/>
      <c r="M618" s="2"/>
      <c r="N618" s="2"/>
      <c r="O618" s="2"/>
      <c r="P618" s="2"/>
      <c r="Q618" s="2"/>
      <c r="R618" s="2"/>
      <c r="S618" s="2"/>
      <c r="T618" s="2"/>
      <c r="U618" s="2"/>
    </row>
    <row r="619" spans="1:21" ht="15.75" customHeight="1">
      <c r="A619" s="1"/>
      <c r="B619" s="2"/>
      <c r="C619" s="2"/>
      <c r="D619" s="2"/>
      <c r="E619" s="2"/>
      <c r="F619" s="2"/>
      <c r="G619" s="2"/>
      <c r="H619" s="2"/>
      <c r="I619" s="2"/>
      <c r="J619" s="2"/>
      <c r="K619" s="2"/>
      <c r="L619" s="2"/>
      <c r="M619" s="2"/>
      <c r="N619" s="2"/>
      <c r="O619" s="2"/>
      <c r="P619" s="2"/>
      <c r="Q619" s="2"/>
      <c r="R619" s="2"/>
      <c r="S619" s="2"/>
      <c r="T619" s="2"/>
      <c r="U619" s="2"/>
    </row>
    <row r="620" spans="1:21" ht="15.75" customHeight="1">
      <c r="A620" s="1"/>
      <c r="B620" s="2"/>
      <c r="C620" s="2"/>
      <c r="D620" s="2"/>
      <c r="E620" s="2"/>
      <c r="F620" s="2"/>
      <c r="G620" s="2"/>
      <c r="H620" s="2"/>
      <c r="I620" s="2"/>
      <c r="J620" s="2"/>
      <c r="K620" s="2"/>
      <c r="L620" s="2"/>
      <c r="M620" s="2"/>
      <c r="N620" s="2"/>
      <c r="O620" s="2"/>
      <c r="P620" s="2"/>
      <c r="Q620" s="2"/>
      <c r="R620" s="2"/>
      <c r="S620" s="2"/>
      <c r="T620" s="2"/>
      <c r="U620" s="2"/>
    </row>
    <row r="621" spans="1:21" ht="15.75" customHeight="1">
      <c r="A621" s="1"/>
      <c r="B621" s="2"/>
      <c r="C621" s="2"/>
      <c r="D621" s="2"/>
      <c r="E621" s="2"/>
      <c r="F621" s="2"/>
      <c r="G621" s="2"/>
      <c r="H621" s="2"/>
      <c r="I621" s="2"/>
      <c r="J621" s="2"/>
      <c r="K621" s="2"/>
      <c r="L621" s="2"/>
      <c r="M621" s="2"/>
      <c r="N621" s="2"/>
      <c r="O621" s="2"/>
      <c r="P621" s="2"/>
      <c r="Q621" s="2"/>
      <c r="R621" s="2"/>
      <c r="S621" s="2"/>
      <c r="T621" s="2"/>
      <c r="U621" s="2"/>
    </row>
    <row r="622" spans="1:21" ht="15.75" customHeight="1">
      <c r="A622" s="1"/>
      <c r="B622" s="2"/>
      <c r="C622" s="2"/>
      <c r="D622" s="2"/>
      <c r="E622" s="2"/>
      <c r="F622" s="2"/>
      <c r="G622" s="2"/>
      <c r="H622" s="2"/>
      <c r="I622" s="2"/>
      <c r="J622" s="2"/>
      <c r="K622" s="2"/>
      <c r="L622" s="2"/>
      <c r="M622" s="2"/>
      <c r="N622" s="2"/>
      <c r="O622" s="2"/>
      <c r="P622" s="2"/>
      <c r="Q622" s="2"/>
      <c r="R622" s="2"/>
      <c r="S622" s="2"/>
      <c r="T622" s="2"/>
      <c r="U622" s="2"/>
    </row>
    <row r="623" spans="1:21" ht="15.75" customHeight="1">
      <c r="A623" s="1"/>
      <c r="B623" s="2"/>
      <c r="C623" s="2"/>
      <c r="D623" s="2"/>
      <c r="E623" s="2"/>
      <c r="F623" s="2"/>
      <c r="G623" s="2"/>
      <c r="H623" s="2"/>
      <c r="I623" s="2"/>
      <c r="J623" s="2"/>
      <c r="K623" s="2"/>
      <c r="L623" s="2"/>
      <c r="M623" s="2"/>
      <c r="N623" s="2"/>
      <c r="O623" s="2"/>
      <c r="P623" s="2"/>
      <c r="Q623" s="2"/>
      <c r="R623" s="2"/>
      <c r="S623" s="2"/>
      <c r="T623" s="2"/>
      <c r="U623" s="2"/>
    </row>
    <row r="624" spans="1:21" ht="15.75" customHeight="1">
      <c r="A624" s="1"/>
      <c r="B624" s="2"/>
      <c r="C624" s="2"/>
      <c r="D624" s="2"/>
      <c r="E624" s="2"/>
      <c r="F624" s="2"/>
      <c r="G624" s="2"/>
      <c r="H624" s="2"/>
      <c r="I624" s="2"/>
      <c r="J624" s="2"/>
      <c r="K624" s="2"/>
      <c r="L624" s="2"/>
      <c r="M624" s="2"/>
      <c r="N624" s="2"/>
      <c r="O624" s="2"/>
      <c r="P624" s="2"/>
      <c r="Q624" s="2"/>
      <c r="R624" s="2"/>
      <c r="S624" s="2"/>
      <c r="T624" s="2"/>
      <c r="U624" s="2"/>
    </row>
    <row r="625" spans="1:21" ht="15.75" customHeight="1">
      <c r="A625" s="1"/>
      <c r="B625" s="2"/>
      <c r="C625" s="2"/>
      <c r="D625" s="2"/>
      <c r="E625" s="2"/>
      <c r="F625" s="2"/>
      <c r="G625" s="2"/>
      <c r="H625" s="2"/>
      <c r="I625" s="2"/>
      <c r="J625" s="2"/>
      <c r="K625" s="2"/>
      <c r="L625" s="2"/>
      <c r="M625" s="2"/>
      <c r="N625" s="2"/>
      <c r="O625" s="2"/>
      <c r="P625" s="2"/>
      <c r="Q625" s="2"/>
      <c r="R625" s="2"/>
      <c r="S625" s="2"/>
      <c r="T625" s="2"/>
      <c r="U625" s="2"/>
    </row>
    <row r="626" spans="1:21" ht="15.75" customHeight="1">
      <c r="A626" s="1"/>
      <c r="B626" s="2"/>
      <c r="C626" s="2"/>
      <c r="D626" s="2"/>
      <c r="E626" s="2"/>
      <c r="F626" s="2"/>
      <c r="G626" s="2"/>
      <c r="H626" s="2"/>
      <c r="I626" s="2"/>
      <c r="J626" s="2"/>
      <c r="K626" s="2"/>
      <c r="L626" s="2"/>
      <c r="M626" s="2"/>
      <c r="N626" s="2"/>
      <c r="O626" s="2"/>
      <c r="P626" s="2"/>
      <c r="Q626" s="2"/>
      <c r="R626" s="2"/>
      <c r="S626" s="2"/>
      <c r="T626" s="2"/>
      <c r="U626" s="2"/>
    </row>
    <row r="627" spans="1:21" ht="15.75" customHeight="1">
      <c r="A627" s="1"/>
      <c r="B627" s="2"/>
      <c r="C627" s="2"/>
      <c r="D627" s="2"/>
      <c r="E627" s="2"/>
      <c r="F627" s="2"/>
      <c r="G627" s="2"/>
      <c r="H627" s="2"/>
      <c r="I627" s="2"/>
      <c r="J627" s="2"/>
      <c r="K627" s="2"/>
      <c r="L627" s="2"/>
      <c r="M627" s="2"/>
      <c r="N627" s="2"/>
      <c r="O627" s="2"/>
      <c r="P627" s="2"/>
      <c r="Q627" s="2"/>
      <c r="R627" s="2"/>
      <c r="S627" s="2"/>
      <c r="T627" s="2"/>
      <c r="U627" s="2"/>
    </row>
    <row r="628" spans="1:21" ht="15.75" customHeight="1">
      <c r="A628" s="1"/>
      <c r="B628" s="2"/>
      <c r="C628" s="2"/>
      <c r="D628" s="2"/>
      <c r="E628" s="2"/>
      <c r="F628" s="2"/>
      <c r="G628" s="2"/>
      <c r="H628" s="2"/>
      <c r="I628" s="2"/>
      <c r="J628" s="2"/>
      <c r="K628" s="2"/>
      <c r="L628" s="2"/>
      <c r="M628" s="2"/>
      <c r="N628" s="2"/>
      <c r="O628" s="2"/>
      <c r="P628" s="2"/>
      <c r="Q628" s="2"/>
      <c r="R628" s="2"/>
      <c r="S628" s="2"/>
      <c r="T628" s="2"/>
      <c r="U628" s="2"/>
    </row>
    <row r="629" spans="1:21" ht="15.75" customHeight="1">
      <c r="A629" s="1"/>
      <c r="B629" s="2"/>
      <c r="C629" s="2"/>
      <c r="D629" s="2"/>
      <c r="E629" s="2"/>
      <c r="F629" s="2"/>
      <c r="G629" s="2"/>
      <c r="H629" s="2"/>
      <c r="I629" s="2"/>
      <c r="J629" s="2"/>
      <c r="K629" s="2"/>
      <c r="L629" s="2"/>
      <c r="M629" s="2"/>
      <c r="N629" s="2"/>
      <c r="O629" s="2"/>
      <c r="P629" s="2"/>
      <c r="Q629" s="2"/>
      <c r="R629" s="2"/>
      <c r="S629" s="2"/>
      <c r="T629" s="2"/>
      <c r="U629" s="2"/>
    </row>
    <row r="630" spans="1:21" ht="15.75" customHeight="1">
      <c r="A630" s="1"/>
      <c r="B630" s="2"/>
      <c r="C630" s="2"/>
      <c r="D630" s="2"/>
      <c r="E630" s="2"/>
      <c r="F630" s="2"/>
      <c r="G630" s="2"/>
      <c r="H630" s="2"/>
      <c r="I630" s="2"/>
      <c r="J630" s="2"/>
      <c r="K630" s="2"/>
      <c r="L630" s="2"/>
      <c r="M630" s="2"/>
      <c r="N630" s="2"/>
      <c r="O630" s="2"/>
      <c r="P630" s="2"/>
      <c r="Q630" s="2"/>
      <c r="R630" s="2"/>
      <c r="S630" s="2"/>
      <c r="T630" s="2"/>
      <c r="U630" s="2"/>
    </row>
    <row r="631" spans="1:21" ht="15.75" customHeight="1">
      <c r="A631" s="1"/>
      <c r="B631" s="2"/>
      <c r="C631" s="2"/>
      <c r="D631" s="2"/>
      <c r="E631" s="2"/>
      <c r="F631" s="2"/>
      <c r="G631" s="2"/>
      <c r="H631" s="2"/>
      <c r="I631" s="2"/>
      <c r="J631" s="2"/>
      <c r="K631" s="2"/>
      <c r="L631" s="2"/>
      <c r="M631" s="2"/>
      <c r="N631" s="2"/>
      <c r="O631" s="2"/>
      <c r="P631" s="2"/>
      <c r="Q631" s="2"/>
      <c r="R631" s="2"/>
      <c r="S631" s="2"/>
      <c r="T631" s="2"/>
      <c r="U631" s="2"/>
    </row>
    <row r="632" spans="1:21" ht="15.75" customHeight="1">
      <c r="A632" s="1"/>
      <c r="B632" s="2"/>
      <c r="C632" s="2"/>
      <c r="D632" s="2"/>
      <c r="E632" s="2"/>
      <c r="F632" s="2"/>
      <c r="G632" s="2"/>
      <c r="H632" s="2"/>
      <c r="I632" s="2"/>
      <c r="J632" s="2"/>
      <c r="K632" s="2"/>
      <c r="L632" s="2"/>
      <c r="M632" s="2"/>
      <c r="N632" s="2"/>
      <c r="O632" s="2"/>
      <c r="P632" s="2"/>
      <c r="Q632" s="2"/>
      <c r="R632" s="2"/>
      <c r="S632" s="2"/>
      <c r="T632" s="2"/>
      <c r="U632" s="2"/>
    </row>
    <row r="633" spans="1:21" ht="15.75" customHeight="1">
      <c r="A633" s="1"/>
      <c r="B633" s="2"/>
      <c r="C633" s="2"/>
      <c r="D633" s="2"/>
      <c r="E633" s="2"/>
      <c r="F633" s="2"/>
      <c r="G633" s="2"/>
      <c r="H633" s="2"/>
      <c r="I633" s="2"/>
      <c r="J633" s="2"/>
      <c r="K633" s="2"/>
      <c r="L633" s="2"/>
      <c r="M633" s="2"/>
      <c r="N633" s="2"/>
      <c r="O633" s="2"/>
      <c r="P633" s="2"/>
      <c r="Q633" s="2"/>
      <c r="R633" s="2"/>
      <c r="S633" s="2"/>
      <c r="T633" s="2"/>
      <c r="U633" s="2"/>
    </row>
    <row r="634" spans="1:21" ht="15.75" customHeight="1">
      <c r="A634" s="1"/>
      <c r="B634" s="2"/>
      <c r="C634" s="2"/>
      <c r="D634" s="2"/>
      <c r="E634" s="2"/>
      <c r="F634" s="2"/>
      <c r="G634" s="2"/>
      <c r="H634" s="2"/>
      <c r="I634" s="2"/>
      <c r="J634" s="2"/>
      <c r="K634" s="2"/>
      <c r="L634" s="2"/>
      <c r="M634" s="2"/>
      <c r="N634" s="2"/>
      <c r="O634" s="2"/>
      <c r="P634" s="2"/>
      <c r="Q634" s="2"/>
      <c r="R634" s="2"/>
      <c r="S634" s="2"/>
      <c r="T634" s="2"/>
      <c r="U634" s="2"/>
    </row>
    <row r="635" spans="1:21" ht="15.75" customHeight="1">
      <c r="A635" s="1"/>
      <c r="B635" s="2"/>
      <c r="C635" s="2"/>
      <c r="D635" s="2"/>
      <c r="E635" s="2"/>
      <c r="F635" s="2"/>
      <c r="G635" s="2"/>
      <c r="H635" s="2"/>
      <c r="I635" s="2"/>
      <c r="J635" s="2"/>
      <c r="K635" s="2"/>
      <c r="L635" s="2"/>
      <c r="M635" s="2"/>
      <c r="N635" s="2"/>
      <c r="O635" s="2"/>
      <c r="P635" s="2"/>
      <c r="Q635" s="2"/>
      <c r="R635" s="2"/>
      <c r="S635" s="2"/>
      <c r="T635" s="2"/>
      <c r="U635" s="2"/>
    </row>
    <row r="636" spans="1:21" ht="15.75" customHeight="1">
      <c r="A636" s="1"/>
      <c r="B636" s="2"/>
      <c r="C636" s="2"/>
      <c r="D636" s="2"/>
      <c r="E636" s="2"/>
      <c r="F636" s="2"/>
      <c r="G636" s="2"/>
      <c r="H636" s="2"/>
      <c r="I636" s="2"/>
      <c r="J636" s="2"/>
      <c r="K636" s="2"/>
      <c r="L636" s="2"/>
      <c r="M636" s="2"/>
      <c r="N636" s="2"/>
      <c r="O636" s="2"/>
      <c r="P636" s="2"/>
      <c r="Q636" s="2"/>
      <c r="R636" s="2"/>
      <c r="S636" s="2"/>
      <c r="T636" s="2"/>
      <c r="U636" s="2"/>
    </row>
    <row r="637" spans="1:21" ht="15.75" customHeight="1">
      <c r="A637" s="1"/>
      <c r="B637" s="2"/>
      <c r="C637" s="2"/>
      <c r="D637" s="2"/>
      <c r="E637" s="2"/>
      <c r="F637" s="2"/>
      <c r="G637" s="2"/>
      <c r="H637" s="2"/>
      <c r="I637" s="2"/>
      <c r="J637" s="2"/>
      <c r="K637" s="2"/>
      <c r="L637" s="2"/>
      <c r="M637" s="2"/>
      <c r="N637" s="2"/>
      <c r="O637" s="2"/>
      <c r="P637" s="2"/>
      <c r="Q637" s="2"/>
      <c r="R637" s="2"/>
      <c r="S637" s="2"/>
      <c r="T637" s="2"/>
      <c r="U637" s="2"/>
    </row>
    <row r="638" spans="1:21" ht="15.75" customHeight="1">
      <c r="A638" s="1"/>
      <c r="B638" s="2"/>
      <c r="C638" s="2"/>
      <c r="D638" s="2"/>
      <c r="E638" s="2"/>
      <c r="F638" s="2"/>
      <c r="G638" s="2"/>
      <c r="H638" s="2"/>
      <c r="I638" s="2"/>
      <c r="J638" s="2"/>
      <c r="K638" s="2"/>
      <c r="L638" s="2"/>
      <c r="M638" s="2"/>
      <c r="N638" s="2"/>
      <c r="O638" s="2"/>
      <c r="P638" s="2"/>
      <c r="Q638" s="2"/>
      <c r="R638" s="2"/>
      <c r="S638" s="2"/>
      <c r="T638" s="2"/>
      <c r="U638" s="2"/>
    </row>
    <row r="639" spans="1:21" ht="15.75" customHeight="1">
      <c r="A639" s="1"/>
      <c r="B639" s="2"/>
      <c r="C639" s="2"/>
      <c r="D639" s="2"/>
      <c r="E639" s="2"/>
      <c r="F639" s="2"/>
      <c r="G639" s="2"/>
      <c r="H639" s="2"/>
      <c r="I639" s="2"/>
      <c r="J639" s="2"/>
      <c r="K639" s="2"/>
      <c r="L639" s="2"/>
      <c r="M639" s="2"/>
      <c r="N639" s="2"/>
      <c r="O639" s="2"/>
      <c r="P639" s="2"/>
      <c r="Q639" s="2"/>
      <c r="R639" s="2"/>
      <c r="S639" s="2"/>
      <c r="T639" s="2"/>
      <c r="U639" s="2"/>
    </row>
    <row r="640" spans="1:21" ht="15.75" customHeight="1">
      <c r="A640" s="1"/>
      <c r="B640" s="2"/>
      <c r="C640" s="2"/>
      <c r="D640" s="2"/>
      <c r="E640" s="2"/>
      <c r="F640" s="2"/>
      <c r="G640" s="2"/>
      <c r="H640" s="2"/>
      <c r="I640" s="2"/>
      <c r="J640" s="2"/>
      <c r="K640" s="2"/>
      <c r="L640" s="2"/>
      <c r="M640" s="2"/>
      <c r="N640" s="2"/>
      <c r="O640" s="2"/>
      <c r="P640" s="2"/>
      <c r="Q640" s="2"/>
      <c r="R640" s="2"/>
      <c r="S640" s="2"/>
      <c r="T640" s="2"/>
      <c r="U640" s="2"/>
    </row>
    <row r="641" spans="1:21" ht="15.75" customHeight="1">
      <c r="A641" s="1"/>
      <c r="B641" s="2"/>
      <c r="C641" s="2"/>
      <c r="D641" s="2"/>
      <c r="E641" s="2"/>
      <c r="F641" s="2"/>
      <c r="G641" s="2"/>
      <c r="H641" s="2"/>
      <c r="I641" s="2"/>
      <c r="J641" s="2"/>
      <c r="K641" s="2"/>
      <c r="L641" s="2"/>
      <c r="M641" s="2"/>
      <c r="N641" s="2"/>
      <c r="O641" s="2"/>
      <c r="P641" s="2"/>
      <c r="Q641" s="2"/>
      <c r="R641" s="2"/>
      <c r="S641" s="2"/>
      <c r="T641" s="2"/>
      <c r="U641" s="2"/>
    </row>
    <row r="642" spans="1:21" ht="15.75" customHeight="1">
      <c r="A642" s="1"/>
      <c r="B642" s="2"/>
      <c r="C642" s="2"/>
      <c r="D642" s="2"/>
      <c r="E642" s="2"/>
      <c r="F642" s="2"/>
      <c r="G642" s="2"/>
      <c r="H642" s="2"/>
      <c r="I642" s="2"/>
      <c r="J642" s="2"/>
      <c r="K642" s="2"/>
      <c r="L642" s="2"/>
      <c r="M642" s="2"/>
      <c r="N642" s="2"/>
      <c r="O642" s="2"/>
      <c r="P642" s="2"/>
      <c r="Q642" s="2"/>
      <c r="R642" s="2"/>
      <c r="S642" s="2"/>
      <c r="T642" s="2"/>
      <c r="U642" s="2"/>
    </row>
    <row r="643" spans="1:21" ht="15.75" customHeight="1">
      <c r="A643" s="1"/>
      <c r="B643" s="2"/>
      <c r="C643" s="2"/>
      <c r="D643" s="2"/>
      <c r="E643" s="2"/>
      <c r="F643" s="2"/>
      <c r="G643" s="2"/>
      <c r="H643" s="2"/>
      <c r="I643" s="2"/>
      <c r="J643" s="2"/>
      <c r="K643" s="2"/>
      <c r="L643" s="2"/>
      <c r="M643" s="2"/>
      <c r="N643" s="2"/>
      <c r="O643" s="2"/>
      <c r="P643" s="2"/>
      <c r="Q643" s="2"/>
      <c r="R643" s="2"/>
      <c r="S643" s="2"/>
      <c r="T643" s="2"/>
      <c r="U643" s="2"/>
    </row>
    <row r="644" spans="1:21" ht="15.75" customHeight="1">
      <c r="A644" s="1"/>
      <c r="B644" s="2"/>
      <c r="C644" s="2"/>
      <c r="D644" s="2"/>
      <c r="E644" s="2"/>
      <c r="F644" s="2"/>
      <c r="G644" s="2"/>
      <c r="H644" s="2"/>
      <c r="I644" s="2"/>
      <c r="J644" s="2"/>
      <c r="K644" s="2"/>
      <c r="L644" s="2"/>
      <c r="M644" s="2"/>
      <c r="N644" s="2"/>
      <c r="O644" s="2"/>
      <c r="P644" s="2"/>
      <c r="Q644" s="2"/>
      <c r="R644" s="2"/>
      <c r="S644" s="2"/>
      <c r="T644" s="2"/>
      <c r="U644" s="2"/>
    </row>
    <row r="645" spans="1:21" ht="15.75" customHeight="1">
      <c r="A645" s="1"/>
      <c r="B645" s="2"/>
      <c r="C645" s="2"/>
      <c r="D645" s="2"/>
      <c r="E645" s="2"/>
      <c r="F645" s="2"/>
      <c r="G645" s="2"/>
      <c r="H645" s="2"/>
      <c r="I645" s="2"/>
      <c r="J645" s="2"/>
      <c r="K645" s="2"/>
      <c r="L645" s="2"/>
      <c r="M645" s="2"/>
      <c r="N645" s="2"/>
      <c r="O645" s="2"/>
      <c r="P645" s="2"/>
      <c r="Q645" s="2"/>
      <c r="R645" s="2"/>
      <c r="S645" s="2"/>
      <c r="T645" s="2"/>
      <c r="U645" s="2"/>
    </row>
    <row r="646" spans="1:21" ht="15.75" customHeight="1">
      <c r="A646" s="1"/>
      <c r="B646" s="2"/>
      <c r="C646" s="2"/>
      <c r="D646" s="2"/>
      <c r="E646" s="2"/>
      <c r="F646" s="2"/>
      <c r="G646" s="2"/>
      <c r="H646" s="2"/>
      <c r="I646" s="2"/>
      <c r="J646" s="2"/>
      <c r="K646" s="2"/>
      <c r="L646" s="2"/>
      <c r="M646" s="2"/>
      <c r="N646" s="2"/>
      <c r="O646" s="2"/>
      <c r="P646" s="2"/>
      <c r="Q646" s="2"/>
      <c r="R646" s="2"/>
      <c r="S646" s="2"/>
      <c r="T646" s="2"/>
      <c r="U646" s="2"/>
    </row>
    <row r="647" spans="1:21" ht="15.75" customHeight="1">
      <c r="A647" s="1"/>
      <c r="B647" s="2"/>
      <c r="C647" s="2"/>
      <c r="D647" s="2"/>
      <c r="E647" s="2"/>
      <c r="F647" s="2"/>
      <c r="G647" s="2"/>
      <c r="H647" s="2"/>
      <c r="I647" s="2"/>
      <c r="J647" s="2"/>
      <c r="K647" s="2"/>
      <c r="L647" s="2"/>
      <c r="M647" s="2"/>
      <c r="N647" s="2"/>
      <c r="O647" s="2"/>
      <c r="P647" s="2"/>
      <c r="Q647" s="2"/>
      <c r="R647" s="2"/>
      <c r="S647" s="2"/>
      <c r="T647" s="2"/>
      <c r="U647" s="2"/>
    </row>
    <row r="648" spans="1:21" ht="15.75" customHeight="1">
      <c r="A648" s="1"/>
      <c r="B648" s="2"/>
      <c r="C648" s="2"/>
      <c r="D648" s="2"/>
      <c r="E648" s="2"/>
      <c r="F648" s="2"/>
      <c r="G648" s="2"/>
      <c r="H648" s="2"/>
      <c r="I648" s="2"/>
      <c r="J648" s="2"/>
      <c r="K648" s="2"/>
      <c r="L648" s="2"/>
      <c r="M648" s="2"/>
      <c r="N648" s="2"/>
      <c r="O648" s="2"/>
      <c r="P648" s="2"/>
      <c r="Q648" s="2"/>
      <c r="R648" s="2"/>
      <c r="S648" s="2"/>
      <c r="T648" s="2"/>
      <c r="U648" s="2"/>
    </row>
    <row r="649" spans="1:21" ht="15.75" customHeight="1">
      <c r="A649" s="1"/>
      <c r="B649" s="2"/>
      <c r="C649" s="2"/>
      <c r="D649" s="2"/>
      <c r="E649" s="2"/>
      <c r="F649" s="2"/>
      <c r="G649" s="2"/>
      <c r="H649" s="2"/>
      <c r="I649" s="2"/>
      <c r="J649" s="2"/>
      <c r="K649" s="2"/>
      <c r="L649" s="2"/>
      <c r="M649" s="2"/>
      <c r="N649" s="2"/>
      <c r="O649" s="2"/>
      <c r="P649" s="2"/>
      <c r="Q649" s="2"/>
      <c r="R649" s="2"/>
      <c r="S649" s="2"/>
      <c r="T649" s="2"/>
      <c r="U649" s="2"/>
    </row>
    <row r="650" spans="1:21" ht="15.75" customHeight="1">
      <c r="A650" s="1"/>
      <c r="B650" s="2"/>
      <c r="C650" s="2"/>
      <c r="D650" s="2"/>
      <c r="E650" s="2"/>
      <c r="F650" s="2"/>
      <c r="G650" s="2"/>
      <c r="H650" s="2"/>
      <c r="I650" s="2"/>
      <c r="J650" s="2"/>
      <c r="K650" s="2"/>
      <c r="L650" s="2"/>
      <c r="M650" s="2"/>
      <c r="N650" s="2"/>
      <c r="O650" s="2"/>
      <c r="P650" s="2"/>
      <c r="Q650" s="2"/>
      <c r="R650" s="2"/>
      <c r="S650" s="2"/>
      <c r="T650" s="2"/>
      <c r="U650" s="2"/>
    </row>
    <row r="651" spans="1:21" ht="15.75" customHeight="1">
      <c r="A651" s="1"/>
      <c r="B651" s="2"/>
      <c r="C651" s="2"/>
      <c r="D651" s="2"/>
      <c r="E651" s="2"/>
      <c r="F651" s="2"/>
      <c r="G651" s="2"/>
      <c r="H651" s="2"/>
      <c r="I651" s="2"/>
      <c r="J651" s="2"/>
      <c r="K651" s="2"/>
      <c r="L651" s="2"/>
      <c r="M651" s="2"/>
      <c r="N651" s="2"/>
      <c r="O651" s="2"/>
      <c r="P651" s="2"/>
      <c r="Q651" s="2"/>
      <c r="R651" s="2"/>
      <c r="S651" s="2"/>
      <c r="T651" s="2"/>
      <c r="U651" s="2"/>
    </row>
    <row r="652" spans="1:21" ht="15.75" customHeight="1">
      <c r="A652" s="1"/>
      <c r="B652" s="2"/>
      <c r="C652" s="2"/>
      <c r="D652" s="2"/>
      <c r="E652" s="2"/>
      <c r="F652" s="2"/>
      <c r="G652" s="2"/>
      <c r="H652" s="2"/>
      <c r="I652" s="2"/>
      <c r="J652" s="2"/>
      <c r="K652" s="2"/>
      <c r="L652" s="2"/>
      <c r="M652" s="2"/>
      <c r="N652" s="2"/>
      <c r="O652" s="2"/>
      <c r="P652" s="2"/>
      <c r="Q652" s="2"/>
      <c r="R652" s="2"/>
      <c r="S652" s="2"/>
      <c r="T652" s="2"/>
      <c r="U652" s="2"/>
    </row>
    <row r="653" spans="1:21" ht="15.75" customHeight="1">
      <c r="A653" s="1"/>
      <c r="B653" s="2"/>
      <c r="C653" s="2"/>
      <c r="D653" s="2"/>
      <c r="E653" s="2"/>
      <c r="F653" s="2"/>
      <c r="G653" s="2"/>
      <c r="H653" s="2"/>
      <c r="I653" s="2"/>
      <c r="J653" s="2"/>
      <c r="K653" s="2"/>
      <c r="L653" s="2"/>
      <c r="M653" s="2"/>
      <c r="N653" s="2"/>
      <c r="O653" s="2"/>
      <c r="P653" s="2"/>
      <c r="Q653" s="2"/>
      <c r="R653" s="2"/>
      <c r="S653" s="2"/>
      <c r="T653" s="2"/>
      <c r="U653" s="2"/>
    </row>
    <row r="654" spans="1:21" ht="15.75" customHeight="1">
      <c r="A654" s="1"/>
      <c r="B654" s="2"/>
      <c r="C654" s="2"/>
      <c r="D654" s="2"/>
      <c r="E654" s="2"/>
      <c r="F654" s="2"/>
      <c r="G654" s="2"/>
      <c r="H654" s="2"/>
      <c r="I654" s="2"/>
      <c r="J654" s="2"/>
      <c r="K654" s="2"/>
      <c r="L654" s="2"/>
      <c r="M654" s="2"/>
      <c r="N654" s="2"/>
      <c r="O654" s="2"/>
      <c r="P654" s="2"/>
      <c r="Q654" s="2"/>
      <c r="R654" s="2"/>
      <c r="S654" s="2"/>
      <c r="T654" s="2"/>
      <c r="U654" s="2"/>
    </row>
    <row r="655" spans="1:21" ht="15.75" customHeight="1">
      <c r="A655" s="1"/>
      <c r="B655" s="2"/>
      <c r="C655" s="2"/>
      <c r="D655" s="2"/>
      <c r="E655" s="2"/>
      <c r="F655" s="2"/>
      <c r="G655" s="2"/>
      <c r="H655" s="2"/>
      <c r="I655" s="2"/>
      <c r="J655" s="2"/>
      <c r="K655" s="2"/>
      <c r="L655" s="2"/>
      <c r="M655" s="2"/>
      <c r="N655" s="2"/>
      <c r="O655" s="2"/>
      <c r="P655" s="2"/>
      <c r="Q655" s="2"/>
      <c r="R655" s="2"/>
      <c r="S655" s="2"/>
      <c r="T655" s="2"/>
      <c r="U655" s="2"/>
    </row>
    <row r="656" spans="1:21" ht="15.75" customHeight="1">
      <c r="A656" s="1"/>
      <c r="B656" s="2"/>
      <c r="C656" s="2"/>
      <c r="D656" s="2"/>
      <c r="E656" s="2"/>
      <c r="F656" s="2"/>
      <c r="G656" s="2"/>
      <c r="H656" s="2"/>
      <c r="I656" s="2"/>
      <c r="J656" s="2"/>
      <c r="K656" s="2"/>
      <c r="L656" s="2"/>
      <c r="M656" s="2"/>
      <c r="N656" s="2"/>
      <c r="O656" s="2"/>
      <c r="P656" s="2"/>
      <c r="Q656" s="2"/>
      <c r="R656" s="2"/>
      <c r="S656" s="2"/>
      <c r="T656" s="2"/>
      <c r="U656" s="2"/>
    </row>
    <row r="657" spans="1:21" ht="15.75" customHeight="1">
      <c r="A657" s="1"/>
      <c r="B657" s="2"/>
      <c r="C657" s="2"/>
      <c r="D657" s="2"/>
      <c r="E657" s="2"/>
      <c r="F657" s="2"/>
      <c r="G657" s="2"/>
      <c r="H657" s="2"/>
      <c r="I657" s="2"/>
      <c r="J657" s="2"/>
      <c r="K657" s="2"/>
      <c r="L657" s="2"/>
      <c r="M657" s="2"/>
      <c r="N657" s="2"/>
      <c r="O657" s="2"/>
      <c r="P657" s="2"/>
      <c r="Q657" s="2"/>
      <c r="R657" s="2"/>
      <c r="S657" s="2"/>
      <c r="T657" s="2"/>
      <c r="U657" s="2"/>
    </row>
    <row r="658" spans="1:21" ht="15.75" customHeight="1">
      <c r="A658" s="1"/>
      <c r="B658" s="2"/>
      <c r="C658" s="2"/>
      <c r="D658" s="2"/>
      <c r="E658" s="2"/>
      <c r="F658" s="2"/>
      <c r="G658" s="2"/>
      <c r="H658" s="2"/>
      <c r="I658" s="2"/>
      <c r="J658" s="2"/>
      <c r="K658" s="2"/>
      <c r="L658" s="2"/>
      <c r="M658" s="2"/>
      <c r="N658" s="2"/>
      <c r="O658" s="2"/>
      <c r="P658" s="2"/>
      <c r="Q658" s="2"/>
      <c r="R658" s="2"/>
      <c r="S658" s="2"/>
      <c r="T658" s="2"/>
      <c r="U658" s="2"/>
    </row>
    <row r="659" spans="1:21" ht="15.75" customHeight="1">
      <c r="A659" s="1"/>
      <c r="B659" s="2"/>
      <c r="C659" s="2"/>
      <c r="D659" s="2"/>
      <c r="E659" s="2"/>
      <c r="F659" s="2"/>
      <c r="G659" s="2"/>
      <c r="H659" s="2"/>
      <c r="I659" s="2"/>
      <c r="J659" s="2"/>
      <c r="K659" s="2"/>
      <c r="L659" s="2"/>
      <c r="M659" s="2"/>
      <c r="N659" s="2"/>
      <c r="O659" s="2"/>
      <c r="P659" s="2"/>
      <c r="Q659" s="2"/>
      <c r="R659" s="2"/>
      <c r="S659" s="2"/>
      <c r="T659" s="2"/>
      <c r="U659" s="2"/>
    </row>
    <row r="660" spans="1:21" ht="15.75" customHeight="1">
      <c r="A660" s="1"/>
      <c r="B660" s="2"/>
      <c r="C660" s="2"/>
      <c r="D660" s="2"/>
      <c r="E660" s="2"/>
      <c r="F660" s="2"/>
      <c r="G660" s="2"/>
      <c r="H660" s="2"/>
      <c r="I660" s="2"/>
      <c r="J660" s="2"/>
      <c r="K660" s="2"/>
      <c r="L660" s="2"/>
      <c r="M660" s="2"/>
      <c r="N660" s="2"/>
      <c r="O660" s="2"/>
      <c r="P660" s="2"/>
      <c r="Q660" s="2"/>
      <c r="R660" s="2"/>
      <c r="S660" s="2"/>
      <c r="T660" s="2"/>
      <c r="U660" s="2"/>
    </row>
    <row r="661" spans="1:21" ht="15.75" customHeight="1">
      <c r="A661" s="1"/>
      <c r="B661" s="2"/>
      <c r="C661" s="2"/>
      <c r="D661" s="2"/>
      <c r="E661" s="2"/>
      <c r="F661" s="2"/>
      <c r="G661" s="2"/>
      <c r="H661" s="2"/>
      <c r="I661" s="2"/>
      <c r="J661" s="2"/>
      <c r="K661" s="2"/>
      <c r="L661" s="2"/>
      <c r="M661" s="2"/>
      <c r="N661" s="2"/>
      <c r="O661" s="2"/>
      <c r="P661" s="2"/>
      <c r="Q661" s="2"/>
      <c r="R661" s="2"/>
      <c r="S661" s="2"/>
      <c r="T661" s="2"/>
      <c r="U661" s="2"/>
    </row>
    <row r="662" spans="1:21" ht="15.75" customHeight="1">
      <c r="A662" s="1"/>
      <c r="B662" s="2"/>
      <c r="C662" s="2"/>
      <c r="D662" s="2"/>
      <c r="E662" s="2"/>
      <c r="F662" s="2"/>
      <c r="G662" s="2"/>
      <c r="H662" s="2"/>
      <c r="I662" s="2"/>
      <c r="J662" s="2"/>
      <c r="K662" s="2"/>
      <c r="L662" s="2"/>
      <c r="M662" s="2"/>
      <c r="N662" s="2"/>
      <c r="O662" s="2"/>
      <c r="P662" s="2"/>
      <c r="Q662" s="2"/>
      <c r="R662" s="2"/>
      <c r="S662" s="2"/>
      <c r="T662" s="2"/>
      <c r="U662" s="2"/>
    </row>
    <row r="663" spans="1:21" ht="15.75" customHeight="1">
      <c r="A663" s="1"/>
      <c r="B663" s="2"/>
      <c r="C663" s="2"/>
      <c r="D663" s="2"/>
      <c r="E663" s="2"/>
      <c r="F663" s="2"/>
      <c r="G663" s="2"/>
      <c r="H663" s="2"/>
      <c r="I663" s="2"/>
      <c r="J663" s="2"/>
      <c r="K663" s="2"/>
      <c r="L663" s="2"/>
      <c r="M663" s="2"/>
      <c r="N663" s="2"/>
      <c r="O663" s="2"/>
      <c r="P663" s="2"/>
      <c r="Q663" s="2"/>
      <c r="R663" s="2"/>
      <c r="S663" s="2"/>
      <c r="T663" s="2"/>
      <c r="U663" s="2"/>
    </row>
    <row r="664" spans="1:21" ht="15.75" customHeight="1">
      <c r="A664" s="1"/>
      <c r="B664" s="2"/>
      <c r="C664" s="2"/>
      <c r="D664" s="2"/>
      <c r="E664" s="2"/>
      <c r="F664" s="2"/>
      <c r="G664" s="2"/>
      <c r="H664" s="2"/>
      <c r="I664" s="2"/>
      <c r="J664" s="2"/>
      <c r="K664" s="2"/>
      <c r="L664" s="2"/>
      <c r="M664" s="2"/>
      <c r="N664" s="2"/>
      <c r="O664" s="2"/>
      <c r="P664" s="2"/>
      <c r="Q664" s="2"/>
      <c r="R664" s="2"/>
      <c r="S664" s="2"/>
      <c r="T664" s="2"/>
      <c r="U664" s="2"/>
    </row>
    <row r="665" spans="1:21" ht="15.75" customHeight="1">
      <c r="A665" s="1"/>
      <c r="B665" s="2"/>
      <c r="C665" s="2"/>
      <c r="D665" s="2"/>
      <c r="E665" s="2"/>
      <c r="F665" s="2"/>
      <c r="G665" s="2"/>
      <c r="H665" s="2"/>
      <c r="I665" s="2"/>
      <c r="J665" s="2"/>
      <c r="K665" s="2"/>
      <c r="L665" s="2"/>
      <c r="M665" s="2"/>
      <c r="N665" s="2"/>
      <c r="O665" s="2"/>
      <c r="P665" s="2"/>
      <c r="Q665" s="2"/>
      <c r="R665" s="2"/>
      <c r="S665" s="2"/>
      <c r="T665" s="2"/>
      <c r="U665" s="2"/>
    </row>
    <row r="666" spans="1:21" ht="15.75" customHeight="1">
      <c r="A666" s="1"/>
      <c r="B666" s="2"/>
      <c r="C666" s="2"/>
      <c r="D666" s="2"/>
      <c r="E666" s="2"/>
      <c r="F666" s="2"/>
      <c r="G666" s="2"/>
      <c r="H666" s="2"/>
      <c r="I666" s="2"/>
      <c r="J666" s="2"/>
      <c r="K666" s="2"/>
      <c r="L666" s="2"/>
      <c r="M666" s="2"/>
      <c r="N666" s="2"/>
      <c r="O666" s="2"/>
      <c r="P666" s="2"/>
      <c r="Q666" s="2"/>
      <c r="R666" s="2"/>
      <c r="S666" s="2"/>
      <c r="T666" s="2"/>
      <c r="U666" s="2"/>
    </row>
    <row r="667" spans="1:21" ht="15.75" customHeight="1">
      <c r="A667" s="1"/>
      <c r="B667" s="2"/>
      <c r="C667" s="2"/>
      <c r="D667" s="2"/>
      <c r="E667" s="2"/>
      <c r="F667" s="2"/>
      <c r="G667" s="2"/>
      <c r="H667" s="2"/>
      <c r="I667" s="2"/>
      <c r="J667" s="2"/>
      <c r="K667" s="2"/>
      <c r="L667" s="2"/>
      <c r="M667" s="2"/>
      <c r="N667" s="2"/>
      <c r="O667" s="2"/>
      <c r="P667" s="2"/>
      <c r="Q667" s="2"/>
      <c r="R667" s="2"/>
      <c r="S667" s="2"/>
      <c r="T667" s="2"/>
      <c r="U667" s="2"/>
    </row>
    <row r="668" spans="1:21" ht="15.75" customHeight="1">
      <c r="A668" s="1"/>
      <c r="B668" s="2"/>
      <c r="C668" s="2"/>
      <c r="D668" s="2"/>
      <c r="E668" s="2"/>
      <c r="F668" s="2"/>
      <c r="G668" s="2"/>
      <c r="H668" s="2"/>
      <c r="I668" s="2"/>
      <c r="J668" s="2"/>
      <c r="K668" s="2"/>
      <c r="L668" s="2"/>
      <c r="M668" s="2"/>
      <c r="N668" s="2"/>
      <c r="O668" s="2"/>
      <c r="P668" s="2"/>
      <c r="Q668" s="2"/>
      <c r="R668" s="2"/>
      <c r="S668" s="2"/>
      <c r="T668" s="2"/>
      <c r="U668" s="2"/>
    </row>
    <row r="669" spans="1:21" ht="15.75" customHeight="1">
      <c r="A669" s="1"/>
      <c r="B669" s="2"/>
      <c r="C669" s="2"/>
      <c r="D669" s="2"/>
      <c r="E669" s="2"/>
      <c r="F669" s="2"/>
      <c r="G669" s="2"/>
      <c r="H669" s="2"/>
      <c r="I669" s="2"/>
      <c r="J669" s="2"/>
      <c r="K669" s="2"/>
      <c r="L669" s="2"/>
      <c r="M669" s="2"/>
      <c r="N669" s="2"/>
      <c r="O669" s="2"/>
      <c r="P669" s="2"/>
      <c r="Q669" s="2"/>
      <c r="R669" s="2"/>
      <c r="S669" s="2"/>
      <c r="T669" s="2"/>
      <c r="U669" s="2"/>
    </row>
    <row r="670" spans="1:21" ht="15.75" customHeight="1">
      <c r="A670" s="1"/>
      <c r="B670" s="2"/>
      <c r="C670" s="2"/>
      <c r="D670" s="2"/>
      <c r="E670" s="2"/>
      <c r="F670" s="2"/>
      <c r="G670" s="2"/>
      <c r="H670" s="2"/>
      <c r="I670" s="2"/>
      <c r="J670" s="2"/>
      <c r="K670" s="2"/>
      <c r="L670" s="2"/>
      <c r="M670" s="2"/>
      <c r="N670" s="2"/>
      <c r="O670" s="2"/>
      <c r="P670" s="2"/>
      <c r="Q670" s="2"/>
      <c r="R670" s="2"/>
      <c r="S670" s="2"/>
      <c r="T670" s="2"/>
      <c r="U670" s="2"/>
    </row>
    <row r="671" spans="1:21" ht="15.75" customHeight="1">
      <c r="A671" s="1"/>
      <c r="B671" s="2"/>
      <c r="C671" s="2"/>
      <c r="D671" s="2"/>
      <c r="E671" s="2"/>
      <c r="F671" s="2"/>
      <c r="G671" s="2"/>
      <c r="H671" s="2"/>
      <c r="I671" s="2"/>
      <c r="J671" s="2"/>
      <c r="K671" s="2"/>
      <c r="L671" s="2"/>
      <c r="M671" s="2"/>
      <c r="N671" s="2"/>
      <c r="O671" s="2"/>
      <c r="P671" s="2"/>
      <c r="Q671" s="2"/>
      <c r="R671" s="2"/>
      <c r="S671" s="2"/>
      <c r="T671" s="2"/>
      <c r="U671" s="2"/>
    </row>
    <row r="672" spans="1:21" ht="15.75" customHeight="1">
      <c r="A672" s="1"/>
      <c r="B672" s="2"/>
      <c r="C672" s="2"/>
      <c r="D672" s="2"/>
      <c r="E672" s="2"/>
      <c r="F672" s="2"/>
      <c r="G672" s="2"/>
      <c r="H672" s="2"/>
      <c r="I672" s="2"/>
      <c r="J672" s="2"/>
      <c r="K672" s="2"/>
      <c r="L672" s="2"/>
      <c r="M672" s="2"/>
      <c r="N672" s="2"/>
      <c r="O672" s="2"/>
      <c r="P672" s="2"/>
      <c r="Q672" s="2"/>
      <c r="R672" s="2"/>
      <c r="S672" s="2"/>
      <c r="T672" s="2"/>
      <c r="U672" s="2"/>
    </row>
    <row r="673" spans="1:21" ht="15.75" customHeight="1">
      <c r="A673" s="1"/>
      <c r="B673" s="2"/>
      <c r="C673" s="2"/>
      <c r="D673" s="2"/>
      <c r="E673" s="2"/>
      <c r="F673" s="2"/>
      <c r="G673" s="2"/>
      <c r="H673" s="2"/>
      <c r="I673" s="2"/>
      <c r="J673" s="2"/>
      <c r="K673" s="2"/>
      <c r="L673" s="2"/>
      <c r="M673" s="2"/>
      <c r="N673" s="2"/>
      <c r="O673" s="2"/>
      <c r="P673" s="2"/>
      <c r="Q673" s="2"/>
      <c r="R673" s="2"/>
      <c r="S673" s="2"/>
      <c r="T673" s="2"/>
      <c r="U673" s="2"/>
    </row>
    <row r="674" spans="1:21" ht="15.75" customHeight="1">
      <c r="A674" s="1"/>
      <c r="B674" s="2"/>
      <c r="C674" s="2"/>
      <c r="D674" s="2"/>
      <c r="E674" s="2"/>
      <c r="F674" s="2"/>
      <c r="G674" s="2"/>
      <c r="H674" s="2"/>
      <c r="I674" s="2"/>
      <c r="J674" s="2"/>
      <c r="K674" s="2"/>
      <c r="L674" s="2"/>
      <c r="M674" s="2"/>
      <c r="N674" s="2"/>
      <c r="O674" s="2"/>
      <c r="P674" s="2"/>
      <c r="Q674" s="2"/>
      <c r="R674" s="2"/>
      <c r="S674" s="2"/>
      <c r="T674" s="2"/>
      <c r="U674" s="2"/>
    </row>
    <row r="675" spans="1:21" ht="15.75" customHeight="1">
      <c r="A675" s="1"/>
      <c r="B675" s="2"/>
      <c r="C675" s="2"/>
      <c r="D675" s="2"/>
      <c r="E675" s="2"/>
      <c r="F675" s="2"/>
      <c r="G675" s="2"/>
      <c r="H675" s="2"/>
      <c r="I675" s="2"/>
      <c r="J675" s="2"/>
      <c r="K675" s="2"/>
      <c r="L675" s="2"/>
      <c r="M675" s="2"/>
      <c r="N675" s="2"/>
      <c r="O675" s="2"/>
      <c r="P675" s="2"/>
      <c r="Q675" s="2"/>
      <c r="R675" s="2"/>
      <c r="S675" s="2"/>
      <c r="T675" s="2"/>
      <c r="U675" s="2"/>
    </row>
    <row r="676" spans="1:21" ht="15.75" customHeight="1">
      <c r="A676" s="1"/>
      <c r="B676" s="2"/>
      <c r="C676" s="2"/>
      <c r="D676" s="2"/>
      <c r="E676" s="2"/>
      <c r="F676" s="2"/>
      <c r="G676" s="2"/>
      <c r="H676" s="2"/>
      <c r="I676" s="2"/>
      <c r="J676" s="2"/>
      <c r="K676" s="2"/>
      <c r="L676" s="2"/>
      <c r="M676" s="2"/>
      <c r="N676" s="2"/>
      <c r="O676" s="2"/>
      <c r="P676" s="2"/>
      <c r="Q676" s="2"/>
      <c r="R676" s="2"/>
      <c r="S676" s="2"/>
      <c r="T676" s="2"/>
      <c r="U676" s="2"/>
    </row>
    <row r="677" spans="1:21" ht="15.75" customHeight="1">
      <c r="A677" s="1"/>
      <c r="B677" s="2"/>
      <c r="C677" s="2"/>
      <c r="D677" s="2"/>
      <c r="E677" s="2"/>
      <c r="F677" s="2"/>
      <c r="G677" s="2"/>
      <c r="H677" s="2"/>
      <c r="I677" s="2"/>
      <c r="J677" s="2"/>
      <c r="K677" s="2"/>
      <c r="L677" s="2"/>
      <c r="M677" s="2"/>
      <c r="N677" s="2"/>
      <c r="O677" s="2"/>
      <c r="P677" s="2"/>
      <c r="Q677" s="2"/>
      <c r="R677" s="2"/>
      <c r="S677" s="2"/>
      <c r="T677" s="2"/>
      <c r="U677" s="2"/>
    </row>
    <row r="678" spans="1:21" ht="15.75" customHeight="1">
      <c r="A678" s="1"/>
      <c r="B678" s="2"/>
      <c r="C678" s="2"/>
      <c r="D678" s="2"/>
      <c r="E678" s="2"/>
      <c r="F678" s="2"/>
      <c r="G678" s="2"/>
      <c r="H678" s="2"/>
      <c r="I678" s="2"/>
      <c r="J678" s="2"/>
      <c r="K678" s="2"/>
      <c r="L678" s="2"/>
      <c r="M678" s="2"/>
      <c r="N678" s="2"/>
      <c r="O678" s="2"/>
      <c r="P678" s="2"/>
      <c r="Q678" s="2"/>
      <c r="R678" s="2"/>
      <c r="S678" s="2"/>
      <c r="T678" s="2"/>
      <c r="U678" s="2"/>
    </row>
    <row r="679" spans="1:21" ht="15.75" customHeight="1">
      <c r="A679" s="1"/>
      <c r="B679" s="2"/>
      <c r="C679" s="2"/>
      <c r="D679" s="2"/>
      <c r="E679" s="2"/>
      <c r="F679" s="2"/>
      <c r="G679" s="2"/>
      <c r="H679" s="2"/>
      <c r="I679" s="2"/>
      <c r="J679" s="2"/>
      <c r="K679" s="2"/>
      <c r="L679" s="2"/>
      <c r="M679" s="2"/>
      <c r="N679" s="2"/>
      <c r="O679" s="2"/>
      <c r="P679" s="2"/>
      <c r="Q679" s="2"/>
      <c r="R679" s="2"/>
      <c r="S679" s="2"/>
      <c r="T679" s="2"/>
      <c r="U679" s="2"/>
    </row>
    <row r="680" spans="1:21" ht="15.75" customHeight="1">
      <c r="A680" s="1"/>
      <c r="B680" s="2"/>
      <c r="C680" s="2"/>
      <c r="D680" s="2"/>
      <c r="E680" s="2"/>
      <c r="F680" s="2"/>
      <c r="G680" s="2"/>
      <c r="H680" s="2"/>
      <c r="I680" s="2"/>
      <c r="J680" s="2"/>
      <c r="K680" s="2"/>
      <c r="L680" s="2"/>
      <c r="M680" s="2"/>
      <c r="N680" s="2"/>
      <c r="O680" s="2"/>
      <c r="P680" s="2"/>
      <c r="Q680" s="2"/>
      <c r="R680" s="2"/>
      <c r="S680" s="2"/>
      <c r="T680" s="2"/>
      <c r="U680" s="2"/>
    </row>
    <row r="681" spans="1:21" ht="15.75" customHeight="1">
      <c r="A681" s="1"/>
      <c r="B681" s="2"/>
      <c r="C681" s="2"/>
      <c r="D681" s="2"/>
      <c r="E681" s="2"/>
      <c r="F681" s="2"/>
      <c r="G681" s="2"/>
      <c r="H681" s="2"/>
      <c r="I681" s="2"/>
      <c r="J681" s="2"/>
      <c r="K681" s="2"/>
      <c r="L681" s="2"/>
      <c r="M681" s="2"/>
      <c r="N681" s="2"/>
      <c r="O681" s="2"/>
      <c r="P681" s="2"/>
      <c r="Q681" s="2"/>
      <c r="R681" s="2"/>
      <c r="S681" s="2"/>
      <c r="T681" s="2"/>
      <c r="U681" s="2"/>
    </row>
    <row r="682" spans="1:21" ht="15.75" customHeight="1">
      <c r="A682" s="1"/>
      <c r="B682" s="2"/>
      <c r="C682" s="2"/>
      <c r="D682" s="2"/>
      <c r="E682" s="2"/>
      <c r="F682" s="2"/>
      <c r="G682" s="2"/>
      <c r="H682" s="2"/>
      <c r="I682" s="2"/>
      <c r="J682" s="2"/>
      <c r="K682" s="2"/>
      <c r="L682" s="2"/>
      <c r="M682" s="2"/>
      <c r="N682" s="2"/>
      <c r="O682" s="2"/>
      <c r="P682" s="2"/>
      <c r="Q682" s="2"/>
      <c r="R682" s="2"/>
      <c r="S682" s="2"/>
      <c r="T682" s="2"/>
      <c r="U682" s="2"/>
    </row>
    <row r="683" spans="1:21" ht="15.75" customHeight="1">
      <c r="A683" s="1"/>
      <c r="B683" s="2"/>
      <c r="C683" s="2"/>
      <c r="D683" s="2"/>
      <c r="E683" s="2"/>
      <c r="F683" s="2"/>
      <c r="G683" s="2"/>
      <c r="H683" s="2"/>
      <c r="I683" s="2"/>
      <c r="J683" s="2"/>
      <c r="K683" s="2"/>
      <c r="L683" s="2"/>
      <c r="M683" s="2"/>
      <c r="N683" s="2"/>
      <c r="O683" s="2"/>
      <c r="P683" s="2"/>
      <c r="Q683" s="2"/>
      <c r="R683" s="2"/>
      <c r="S683" s="2"/>
      <c r="T683" s="2"/>
      <c r="U683" s="2"/>
    </row>
    <row r="684" spans="1:21" ht="15.75" customHeight="1">
      <c r="A684" s="1"/>
      <c r="B684" s="2"/>
      <c r="C684" s="2"/>
      <c r="D684" s="2"/>
      <c r="E684" s="2"/>
      <c r="F684" s="2"/>
      <c r="G684" s="2"/>
      <c r="H684" s="2"/>
      <c r="I684" s="2"/>
      <c r="J684" s="2"/>
      <c r="K684" s="2"/>
      <c r="L684" s="2"/>
      <c r="M684" s="2"/>
      <c r="N684" s="2"/>
      <c r="O684" s="2"/>
      <c r="P684" s="2"/>
      <c r="Q684" s="2"/>
      <c r="R684" s="2"/>
      <c r="S684" s="2"/>
      <c r="T684" s="2"/>
      <c r="U684" s="2"/>
    </row>
    <row r="685" spans="1:21" ht="15.75" customHeight="1">
      <c r="A685" s="1"/>
      <c r="B685" s="2"/>
      <c r="C685" s="2"/>
      <c r="D685" s="2"/>
      <c r="E685" s="2"/>
      <c r="F685" s="2"/>
      <c r="G685" s="2"/>
      <c r="H685" s="2"/>
      <c r="I685" s="2"/>
      <c r="J685" s="2"/>
      <c r="K685" s="2"/>
      <c r="L685" s="2"/>
      <c r="M685" s="2"/>
      <c r="N685" s="2"/>
      <c r="O685" s="2"/>
      <c r="P685" s="2"/>
      <c r="Q685" s="2"/>
      <c r="R685" s="2"/>
      <c r="S685" s="2"/>
      <c r="T685" s="2"/>
      <c r="U685" s="2"/>
    </row>
    <row r="686" spans="1:21" ht="15.75" customHeight="1">
      <c r="A686" s="1"/>
      <c r="B686" s="2"/>
      <c r="C686" s="2"/>
      <c r="D686" s="2"/>
      <c r="E686" s="2"/>
      <c r="F686" s="2"/>
      <c r="G686" s="2"/>
      <c r="H686" s="2"/>
      <c r="I686" s="2"/>
      <c r="J686" s="2"/>
      <c r="K686" s="2"/>
      <c r="L686" s="2"/>
      <c r="M686" s="2"/>
      <c r="N686" s="2"/>
      <c r="O686" s="2"/>
      <c r="P686" s="2"/>
      <c r="Q686" s="2"/>
      <c r="R686" s="2"/>
      <c r="S686" s="2"/>
      <c r="T686" s="2"/>
      <c r="U686" s="2"/>
    </row>
    <row r="687" spans="1:21" ht="15.75" customHeight="1">
      <c r="A687" s="1"/>
      <c r="B687" s="2"/>
      <c r="C687" s="2"/>
      <c r="D687" s="2"/>
      <c r="E687" s="2"/>
      <c r="F687" s="2"/>
      <c r="G687" s="2"/>
      <c r="H687" s="2"/>
      <c r="I687" s="2"/>
      <c r="J687" s="2"/>
      <c r="K687" s="2"/>
      <c r="L687" s="2"/>
      <c r="M687" s="2"/>
      <c r="N687" s="2"/>
      <c r="O687" s="2"/>
      <c r="P687" s="2"/>
      <c r="Q687" s="2"/>
      <c r="R687" s="2"/>
      <c r="S687" s="2"/>
      <c r="T687" s="2"/>
      <c r="U687" s="2"/>
    </row>
    <row r="688" spans="1:21" ht="15.75" customHeight="1">
      <c r="A688" s="1"/>
      <c r="B688" s="2"/>
      <c r="C688" s="2"/>
      <c r="D688" s="2"/>
      <c r="E688" s="2"/>
      <c r="F688" s="2"/>
      <c r="G688" s="2"/>
      <c r="H688" s="2"/>
      <c r="I688" s="2"/>
      <c r="J688" s="2"/>
      <c r="K688" s="2"/>
      <c r="L688" s="2"/>
      <c r="M688" s="2"/>
      <c r="N688" s="2"/>
      <c r="O688" s="2"/>
      <c r="P688" s="2"/>
      <c r="Q688" s="2"/>
      <c r="R688" s="2"/>
      <c r="S688" s="2"/>
      <c r="T688" s="2"/>
      <c r="U688" s="2"/>
    </row>
    <row r="689" spans="1:21" ht="15.75" customHeight="1">
      <c r="A689" s="1"/>
      <c r="B689" s="2"/>
      <c r="C689" s="2"/>
      <c r="D689" s="2"/>
      <c r="E689" s="2"/>
      <c r="F689" s="2"/>
      <c r="G689" s="2"/>
      <c r="H689" s="2"/>
      <c r="I689" s="2"/>
      <c r="J689" s="2"/>
      <c r="K689" s="2"/>
      <c r="L689" s="2"/>
      <c r="M689" s="2"/>
      <c r="N689" s="2"/>
      <c r="O689" s="2"/>
      <c r="P689" s="2"/>
      <c r="Q689" s="2"/>
      <c r="R689" s="2"/>
      <c r="S689" s="2"/>
      <c r="T689" s="2"/>
      <c r="U689" s="2"/>
    </row>
    <row r="690" spans="1:21" ht="15.75" customHeight="1">
      <c r="A690" s="1"/>
      <c r="B690" s="2"/>
      <c r="C690" s="2"/>
      <c r="D690" s="2"/>
      <c r="E690" s="2"/>
      <c r="F690" s="2"/>
      <c r="G690" s="2"/>
      <c r="H690" s="2"/>
      <c r="I690" s="2"/>
      <c r="J690" s="2"/>
      <c r="K690" s="2"/>
      <c r="L690" s="2"/>
      <c r="M690" s="2"/>
      <c r="N690" s="2"/>
      <c r="O690" s="2"/>
      <c r="P690" s="2"/>
      <c r="Q690" s="2"/>
      <c r="R690" s="2"/>
      <c r="S690" s="2"/>
      <c r="T690" s="2"/>
      <c r="U690" s="2"/>
    </row>
    <row r="691" spans="1:21" ht="15.75" customHeight="1">
      <c r="A691" s="1"/>
      <c r="B691" s="2"/>
      <c r="C691" s="2"/>
      <c r="D691" s="2"/>
      <c r="E691" s="2"/>
      <c r="F691" s="2"/>
      <c r="G691" s="2"/>
      <c r="H691" s="2"/>
      <c r="I691" s="2"/>
      <c r="J691" s="2"/>
      <c r="K691" s="2"/>
      <c r="L691" s="2"/>
      <c r="M691" s="2"/>
      <c r="N691" s="2"/>
      <c r="O691" s="2"/>
      <c r="P691" s="2"/>
      <c r="Q691" s="2"/>
      <c r="R691" s="2"/>
      <c r="S691" s="2"/>
      <c r="T691" s="2"/>
      <c r="U691" s="2"/>
    </row>
    <row r="692" spans="1:21" ht="15.75" customHeight="1">
      <c r="A692" s="1"/>
      <c r="B692" s="2"/>
      <c r="C692" s="2"/>
      <c r="D692" s="2"/>
      <c r="E692" s="2"/>
      <c r="F692" s="2"/>
      <c r="G692" s="2"/>
      <c r="H692" s="2"/>
      <c r="I692" s="2"/>
      <c r="J692" s="2"/>
      <c r="K692" s="2"/>
      <c r="L692" s="2"/>
      <c r="M692" s="2"/>
      <c r="N692" s="2"/>
      <c r="O692" s="2"/>
      <c r="P692" s="2"/>
      <c r="Q692" s="2"/>
      <c r="R692" s="2"/>
      <c r="S692" s="2"/>
      <c r="T692" s="2"/>
      <c r="U692" s="2"/>
    </row>
    <row r="693" spans="1:21" ht="15.75" customHeight="1">
      <c r="A693" s="1"/>
      <c r="B693" s="2"/>
      <c r="C693" s="2"/>
      <c r="D693" s="2"/>
      <c r="E693" s="2"/>
      <c r="F693" s="2"/>
      <c r="G693" s="2"/>
      <c r="H693" s="2"/>
      <c r="I693" s="2"/>
      <c r="J693" s="2"/>
      <c r="K693" s="2"/>
      <c r="L693" s="2"/>
      <c r="M693" s="2"/>
      <c r="N693" s="2"/>
      <c r="O693" s="2"/>
      <c r="P693" s="2"/>
      <c r="Q693" s="2"/>
      <c r="R693" s="2"/>
      <c r="S693" s="2"/>
      <c r="T693" s="2"/>
      <c r="U693" s="2"/>
    </row>
    <row r="694" spans="1:21" ht="15.75" customHeight="1">
      <c r="A694" s="1"/>
      <c r="B694" s="2"/>
      <c r="C694" s="2"/>
      <c r="D694" s="2"/>
      <c r="E694" s="2"/>
      <c r="F694" s="2"/>
      <c r="G694" s="2"/>
      <c r="H694" s="2"/>
      <c r="I694" s="2"/>
      <c r="J694" s="2"/>
      <c r="K694" s="2"/>
      <c r="L694" s="2"/>
      <c r="M694" s="2"/>
      <c r="N694" s="2"/>
      <c r="O694" s="2"/>
      <c r="P694" s="2"/>
      <c r="Q694" s="2"/>
      <c r="R694" s="2"/>
      <c r="S694" s="2"/>
      <c r="T694" s="2"/>
      <c r="U694" s="2"/>
    </row>
    <row r="695" spans="1:21" ht="15.75" customHeight="1">
      <c r="A695" s="1"/>
      <c r="B695" s="2"/>
      <c r="C695" s="2"/>
      <c r="D695" s="2"/>
      <c r="E695" s="2"/>
      <c r="F695" s="2"/>
      <c r="G695" s="2"/>
      <c r="H695" s="2"/>
      <c r="I695" s="2"/>
      <c r="J695" s="2"/>
      <c r="K695" s="2"/>
      <c r="L695" s="2"/>
      <c r="M695" s="2"/>
      <c r="N695" s="2"/>
      <c r="O695" s="2"/>
      <c r="P695" s="2"/>
      <c r="Q695" s="2"/>
      <c r="R695" s="2"/>
      <c r="S695" s="2"/>
      <c r="T695" s="2"/>
      <c r="U695" s="2"/>
    </row>
    <row r="696" spans="1:21" ht="15.75" customHeight="1">
      <c r="A696" s="1"/>
      <c r="B696" s="2"/>
      <c r="C696" s="2"/>
      <c r="D696" s="2"/>
      <c r="E696" s="2"/>
      <c r="F696" s="2"/>
      <c r="G696" s="2"/>
      <c r="H696" s="2"/>
      <c r="I696" s="2"/>
      <c r="J696" s="2"/>
      <c r="K696" s="2"/>
      <c r="L696" s="2"/>
      <c r="M696" s="2"/>
      <c r="N696" s="2"/>
      <c r="O696" s="2"/>
      <c r="P696" s="2"/>
      <c r="Q696" s="2"/>
      <c r="R696" s="2"/>
      <c r="S696" s="2"/>
      <c r="T696" s="2"/>
      <c r="U696" s="2"/>
    </row>
    <row r="697" spans="1:21" ht="15.75" customHeight="1">
      <c r="A697" s="1"/>
      <c r="B697" s="2"/>
      <c r="C697" s="2"/>
      <c r="D697" s="2"/>
      <c r="E697" s="2"/>
      <c r="F697" s="2"/>
      <c r="G697" s="2"/>
      <c r="H697" s="2"/>
      <c r="I697" s="2"/>
      <c r="J697" s="2"/>
      <c r="K697" s="2"/>
      <c r="L697" s="2"/>
      <c r="M697" s="2"/>
      <c r="N697" s="2"/>
      <c r="O697" s="2"/>
      <c r="P697" s="2"/>
      <c r="Q697" s="2"/>
      <c r="R697" s="2"/>
      <c r="S697" s="2"/>
      <c r="T697" s="2"/>
      <c r="U697" s="2"/>
    </row>
    <row r="698" spans="1:21" ht="15.75" customHeight="1">
      <c r="A698" s="1"/>
      <c r="B698" s="2"/>
      <c r="C698" s="2"/>
      <c r="D698" s="2"/>
      <c r="E698" s="2"/>
      <c r="F698" s="2"/>
      <c r="G698" s="2"/>
      <c r="H698" s="2"/>
      <c r="I698" s="2"/>
      <c r="J698" s="2"/>
      <c r="K698" s="2"/>
      <c r="L698" s="2"/>
      <c r="M698" s="2"/>
      <c r="N698" s="2"/>
      <c r="O698" s="2"/>
      <c r="P698" s="2"/>
      <c r="Q698" s="2"/>
      <c r="R698" s="2"/>
      <c r="S698" s="2"/>
      <c r="T698" s="2"/>
      <c r="U698" s="2"/>
    </row>
    <row r="699" spans="1:21" ht="15.75" customHeight="1">
      <c r="A699" s="1"/>
      <c r="B699" s="2"/>
      <c r="C699" s="2"/>
      <c r="D699" s="2"/>
      <c r="E699" s="2"/>
      <c r="F699" s="2"/>
      <c r="G699" s="2"/>
      <c r="H699" s="2"/>
      <c r="I699" s="2"/>
      <c r="J699" s="2"/>
      <c r="K699" s="2"/>
      <c r="L699" s="2"/>
      <c r="M699" s="2"/>
      <c r="N699" s="2"/>
      <c r="O699" s="2"/>
      <c r="P699" s="2"/>
      <c r="Q699" s="2"/>
      <c r="R699" s="2"/>
      <c r="S699" s="2"/>
      <c r="T699" s="2"/>
      <c r="U699" s="2"/>
    </row>
    <row r="700" spans="1:21" ht="15.75" customHeight="1">
      <c r="A700" s="1"/>
      <c r="B700" s="2"/>
      <c r="C700" s="2"/>
      <c r="D700" s="2"/>
      <c r="E700" s="2"/>
      <c r="F700" s="2"/>
      <c r="G700" s="2"/>
      <c r="H700" s="2"/>
      <c r="I700" s="2"/>
      <c r="J700" s="2"/>
      <c r="K700" s="2"/>
      <c r="L700" s="2"/>
      <c r="M700" s="2"/>
      <c r="N700" s="2"/>
      <c r="O700" s="2"/>
      <c r="P700" s="2"/>
      <c r="Q700" s="2"/>
      <c r="R700" s="2"/>
      <c r="S700" s="2"/>
      <c r="T700" s="2"/>
      <c r="U700" s="2"/>
    </row>
    <row r="701" spans="1:21" ht="15.75" customHeight="1">
      <c r="A701" s="1"/>
      <c r="B701" s="2"/>
      <c r="C701" s="2"/>
      <c r="D701" s="2"/>
      <c r="E701" s="2"/>
      <c r="F701" s="2"/>
      <c r="G701" s="2"/>
      <c r="H701" s="2"/>
      <c r="I701" s="2"/>
      <c r="J701" s="2"/>
      <c r="K701" s="2"/>
      <c r="L701" s="2"/>
      <c r="M701" s="2"/>
      <c r="N701" s="2"/>
      <c r="O701" s="2"/>
      <c r="P701" s="2"/>
      <c r="Q701" s="2"/>
      <c r="R701" s="2"/>
      <c r="S701" s="2"/>
      <c r="T701" s="2"/>
      <c r="U701" s="2"/>
    </row>
    <row r="702" spans="1:21" ht="15.75" customHeight="1">
      <c r="A702" s="1"/>
      <c r="B702" s="2"/>
      <c r="C702" s="2"/>
      <c r="D702" s="2"/>
      <c r="E702" s="2"/>
      <c r="F702" s="2"/>
      <c r="G702" s="2"/>
      <c r="H702" s="2"/>
      <c r="I702" s="2"/>
      <c r="J702" s="2"/>
      <c r="K702" s="2"/>
      <c r="L702" s="2"/>
      <c r="M702" s="2"/>
      <c r="N702" s="2"/>
      <c r="O702" s="2"/>
      <c r="P702" s="2"/>
      <c r="Q702" s="2"/>
      <c r="R702" s="2"/>
      <c r="S702" s="2"/>
      <c r="T702" s="2"/>
      <c r="U702" s="2"/>
    </row>
    <row r="703" spans="1:21" ht="15.75" customHeight="1">
      <c r="A703" s="1"/>
      <c r="B703" s="2"/>
      <c r="C703" s="2"/>
      <c r="D703" s="2"/>
      <c r="E703" s="2"/>
      <c r="F703" s="2"/>
      <c r="G703" s="2"/>
      <c r="H703" s="2"/>
      <c r="I703" s="2"/>
      <c r="J703" s="2"/>
      <c r="K703" s="2"/>
      <c r="L703" s="2"/>
      <c r="M703" s="2"/>
      <c r="N703" s="2"/>
      <c r="O703" s="2"/>
      <c r="P703" s="2"/>
      <c r="Q703" s="2"/>
      <c r="R703" s="2"/>
      <c r="S703" s="2"/>
      <c r="T703" s="2"/>
      <c r="U703" s="2"/>
    </row>
    <row r="704" spans="1:21" ht="15.75" customHeight="1">
      <c r="A704" s="1"/>
      <c r="B704" s="2"/>
      <c r="C704" s="2"/>
      <c r="D704" s="2"/>
      <c r="E704" s="2"/>
      <c r="F704" s="2"/>
      <c r="G704" s="2"/>
      <c r="H704" s="2"/>
      <c r="I704" s="2"/>
      <c r="J704" s="2"/>
      <c r="K704" s="2"/>
      <c r="L704" s="2"/>
      <c r="M704" s="2"/>
      <c r="N704" s="2"/>
      <c r="O704" s="2"/>
      <c r="P704" s="2"/>
      <c r="Q704" s="2"/>
      <c r="R704" s="2"/>
      <c r="S704" s="2"/>
      <c r="T704" s="2"/>
      <c r="U704" s="2"/>
    </row>
    <row r="705" spans="1:21" ht="15.75" customHeight="1">
      <c r="A705" s="1"/>
      <c r="B705" s="2"/>
      <c r="C705" s="2"/>
      <c r="D705" s="2"/>
      <c r="E705" s="2"/>
      <c r="F705" s="2"/>
      <c r="G705" s="2"/>
      <c r="H705" s="2"/>
      <c r="I705" s="2"/>
      <c r="J705" s="2"/>
      <c r="K705" s="2"/>
      <c r="L705" s="2"/>
      <c r="M705" s="2"/>
      <c r="N705" s="2"/>
      <c r="O705" s="2"/>
      <c r="P705" s="2"/>
      <c r="Q705" s="2"/>
      <c r="R705" s="2"/>
      <c r="S705" s="2"/>
      <c r="T705" s="2"/>
      <c r="U705" s="2"/>
    </row>
    <row r="706" spans="1:21" ht="15.75" customHeight="1">
      <c r="A706" s="1"/>
      <c r="B706" s="2"/>
      <c r="C706" s="2"/>
      <c r="D706" s="2"/>
      <c r="E706" s="2"/>
      <c r="F706" s="2"/>
      <c r="G706" s="2"/>
      <c r="H706" s="2"/>
      <c r="I706" s="2"/>
      <c r="J706" s="2"/>
      <c r="K706" s="2"/>
      <c r="L706" s="2"/>
      <c r="M706" s="2"/>
      <c r="N706" s="2"/>
      <c r="O706" s="2"/>
      <c r="P706" s="2"/>
      <c r="Q706" s="2"/>
      <c r="R706" s="2"/>
      <c r="S706" s="2"/>
      <c r="T706" s="2"/>
      <c r="U706" s="2"/>
    </row>
    <row r="707" spans="1:21" ht="15.75" customHeight="1">
      <c r="A707" s="1"/>
      <c r="B707" s="2"/>
      <c r="C707" s="2"/>
      <c r="D707" s="2"/>
      <c r="E707" s="2"/>
      <c r="F707" s="2"/>
      <c r="G707" s="2"/>
      <c r="H707" s="2"/>
      <c r="I707" s="2"/>
      <c r="J707" s="2"/>
      <c r="K707" s="2"/>
      <c r="L707" s="2"/>
      <c r="M707" s="2"/>
      <c r="N707" s="2"/>
      <c r="O707" s="2"/>
      <c r="P707" s="2"/>
      <c r="Q707" s="2"/>
      <c r="R707" s="2"/>
      <c r="S707" s="2"/>
      <c r="T707" s="2"/>
      <c r="U707" s="2"/>
    </row>
    <row r="708" spans="1:21" ht="15.75" customHeight="1">
      <c r="A708" s="1"/>
      <c r="B708" s="2"/>
      <c r="C708" s="2"/>
      <c r="D708" s="2"/>
      <c r="E708" s="2"/>
      <c r="F708" s="2"/>
      <c r="G708" s="2"/>
      <c r="H708" s="2"/>
      <c r="I708" s="2"/>
      <c r="J708" s="2"/>
      <c r="K708" s="2"/>
      <c r="L708" s="2"/>
      <c r="M708" s="2"/>
      <c r="N708" s="2"/>
      <c r="O708" s="2"/>
      <c r="P708" s="2"/>
      <c r="Q708" s="2"/>
      <c r="R708" s="2"/>
      <c r="S708" s="2"/>
      <c r="T708" s="2"/>
      <c r="U708" s="2"/>
    </row>
    <row r="709" spans="1:21" ht="15.75" customHeight="1">
      <c r="A709" s="1"/>
      <c r="B709" s="2"/>
      <c r="C709" s="2"/>
      <c r="D709" s="2"/>
      <c r="E709" s="2"/>
      <c r="F709" s="2"/>
      <c r="G709" s="2"/>
      <c r="H709" s="2"/>
      <c r="I709" s="2"/>
      <c r="J709" s="2"/>
      <c r="K709" s="2"/>
      <c r="L709" s="2"/>
      <c r="M709" s="2"/>
      <c r="N709" s="2"/>
      <c r="O709" s="2"/>
      <c r="P709" s="2"/>
      <c r="Q709" s="2"/>
      <c r="R709" s="2"/>
      <c r="S709" s="2"/>
      <c r="T709" s="2"/>
      <c r="U709" s="2"/>
    </row>
    <row r="710" spans="1:21" ht="15.75" customHeight="1">
      <c r="A710" s="1"/>
      <c r="B710" s="2"/>
      <c r="C710" s="2"/>
      <c r="D710" s="2"/>
      <c r="E710" s="2"/>
      <c r="F710" s="2"/>
      <c r="G710" s="2"/>
      <c r="H710" s="2"/>
      <c r="I710" s="2"/>
      <c r="J710" s="2"/>
      <c r="K710" s="2"/>
      <c r="L710" s="2"/>
      <c r="M710" s="2"/>
      <c r="N710" s="2"/>
      <c r="O710" s="2"/>
      <c r="P710" s="2"/>
      <c r="Q710" s="2"/>
      <c r="R710" s="2"/>
      <c r="S710" s="2"/>
      <c r="T710" s="2"/>
      <c r="U710" s="2"/>
    </row>
    <row r="711" spans="1:21" ht="15.75" customHeight="1">
      <c r="A711" s="1"/>
      <c r="B711" s="2"/>
      <c r="C711" s="2"/>
      <c r="D711" s="2"/>
      <c r="E711" s="2"/>
      <c r="F711" s="2"/>
      <c r="G711" s="2"/>
      <c r="H711" s="2"/>
      <c r="I711" s="2"/>
      <c r="J711" s="2"/>
      <c r="K711" s="2"/>
      <c r="L711" s="2"/>
      <c r="M711" s="2"/>
      <c r="N711" s="2"/>
      <c r="O711" s="2"/>
      <c r="P711" s="2"/>
      <c r="Q711" s="2"/>
      <c r="R711" s="2"/>
      <c r="S711" s="2"/>
      <c r="T711" s="2"/>
      <c r="U711" s="2"/>
    </row>
    <row r="712" spans="1:21" ht="15.75" customHeight="1">
      <c r="A712" s="1"/>
      <c r="B712" s="2"/>
      <c r="C712" s="2"/>
      <c r="D712" s="2"/>
      <c r="E712" s="2"/>
      <c r="F712" s="2"/>
      <c r="G712" s="2"/>
      <c r="H712" s="2"/>
      <c r="I712" s="2"/>
      <c r="J712" s="2"/>
      <c r="K712" s="2"/>
      <c r="L712" s="2"/>
      <c r="M712" s="2"/>
      <c r="N712" s="2"/>
      <c r="O712" s="2"/>
      <c r="P712" s="2"/>
      <c r="Q712" s="2"/>
      <c r="R712" s="2"/>
      <c r="S712" s="2"/>
      <c r="T712" s="2"/>
      <c r="U712" s="2"/>
    </row>
    <row r="713" spans="1:21" ht="15.75" customHeight="1">
      <c r="A713" s="1"/>
      <c r="B713" s="2"/>
      <c r="C713" s="2"/>
      <c r="D713" s="2"/>
      <c r="E713" s="2"/>
      <c r="F713" s="2"/>
      <c r="G713" s="2"/>
      <c r="H713" s="2"/>
      <c r="I713" s="2"/>
      <c r="J713" s="2"/>
      <c r="K713" s="2"/>
      <c r="L713" s="2"/>
      <c r="M713" s="2"/>
      <c r="N713" s="2"/>
      <c r="O713" s="2"/>
      <c r="P713" s="2"/>
      <c r="Q713" s="2"/>
      <c r="R713" s="2"/>
      <c r="S713" s="2"/>
      <c r="T713" s="2"/>
      <c r="U713" s="2"/>
    </row>
    <row r="714" spans="1:21" ht="15.75" customHeight="1">
      <c r="A714" s="1"/>
      <c r="B714" s="2"/>
      <c r="C714" s="2"/>
      <c r="D714" s="2"/>
      <c r="E714" s="2"/>
      <c r="F714" s="2"/>
      <c r="G714" s="2"/>
      <c r="H714" s="2"/>
      <c r="I714" s="2"/>
      <c r="J714" s="2"/>
      <c r="K714" s="2"/>
      <c r="L714" s="2"/>
      <c r="M714" s="2"/>
      <c r="N714" s="2"/>
      <c r="O714" s="2"/>
      <c r="P714" s="2"/>
      <c r="Q714" s="2"/>
      <c r="R714" s="2"/>
      <c r="S714" s="2"/>
      <c r="T714" s="2"/>
      <c r="U714" s="2"/>
    </row>
    <row r="715" spans="1:21" ht="15.75" customHeight="1">
      <c r="A715" s="1"/>
      <c r="B715" s="2"/>
      <c r="C715" s="2"/>
      <c r="D715" s="2"/>
      <c r="E715" s="2"/>
      <c r="F715" s="2"/>
      <c r="G715" s="2"/>
      <c r="H715" s="2"/>
      <c r="I715" s="2"/>
      <c r="J715" s="2"/>
      <c r="K715" s="2"/>
      <c r="L715" s="2"/>
      <c r="M715" s="2"/>
      <c r="N715" s="2"/>
      <c r="O715" s="2"/>
      <c r="P715" s="2"/>
      <c r="Q715" s="2"/>
      <c r="R715" s="2"/>
      <c r="S715" s="2"/>
      <c r="T715" s="2"/>
      <c r="U715" s="2"/>
    </row>
    <row r="716" spans="1:21" ht="15.75" customHeight="1">
      <c r="A716" s="1"/>
      <c r="B716" s="2"/>
      <c r="C716" s="2"/>
      <c r="D716" s="2"/>
      <c r="E716" s="2"/>
      <c r="F716" s="2"/>
      <c r="G716" s="2"/>
      <c r="H716" s="2"/>
      <c r="I716" s="2"/>
      <c r="J716" s="2"/>
      <c r="K716" s="2"/>
      <c r="L716" s="2"/>
      <c r="M716" s="2"/>
      <c r="N716" s="2"/>
      <c r="O716" s="2"/>
      <c r="P716" s="2"/>
      <c r="Q716" s="2"/>
      <c r="R716" s="2"/>
      <c r="S716" s="2"/>
      <c r="T716" s="2"/>
      <c r="U716" s="2"/>
    </row>
    <row r="717" spans="1:21" ht="15.75" customHeight="1">
      <c r="A717" s="1"/>
      <c r="B717" s="2"/>
      <c r="C717" s="2"/>
      <c r="D717" s="2"/>
      <c r="E717" s="2"/>
      <c r="F717" s="2"/>
      <c r="G717" s="2"/>
      <c r="H717" s="2"/>
      <c r="I717" s="2"/>
      <c r="J717" s="2"/>
      <c r="K717" s="2"/>
      <c r="L717" s="2"/>
      <c r="M717" s="2"/>
      <c r="N717" s="2"/>
      <c r="O717" s="2"/>
      <c r="P717" s="2"/>
      <c r="Q717" s="2"/>
      <c r="R717" s="2"/>
      <c r="S717" s="2"/>
      <c r="T717" s="2"/>
      <c r="U717" s="2"/>
    </row>
    <row r="718" spans="1:21" ht="15.75" customHeight="1">
      <c r="A718" s="1"/>
      <c r="B718" s="2"/>
      <c r="C718" s="2"/>
      <c r="D718" s="2"/>
      <c r="E718" s="2"/>
      <c r="F718" s="2"/>
      <c r="G718" s="2"/>
      <c r="H718" s="2"/>
      <c r="I718" s="2"/>
      <c r="J718" s="2"/>
      <c r="K718" s="2"/>
      <c r="L718" s="2"/>
      <c r="M718" s="2"/>
      <c r="N718" s="2"/>
      <c r="O718" s="2"/>
      <c r="P718" s="2"/>
      <c r="Q718" s="2"/>
      <c r="R718" s="2"/>
      <c r="S718" s="2"/>
      <c r="T718" s="2"/>
      <c r="U718" s="2"/>
    </row>
    <row r="719" spans="1:21" ht="15.75" customHeight="1">
      <c r="A719" s="1"/>
      <c r="B719" s="2"/>
      <c r="C719" s="2"/>
      <c r="D719" s="2"/>
      <c r="E719" s="2"/>
      <c r="F719" s="2"/>
      <c r="G719" s="2"/>
      <c r="H719" s="2"/>
      <c r="I719" s="2"/>
      <c r="J719" s="2"/>
      <c r="K719" s="2"/>
      <c r="L719" s="2"/>
      <c r="M719" s="2"/>
      <c r="N719" s="2"/>
      <c r="O719" s="2"/>
      <c r="P719" s="2"/>
      <c r="Q719" s="2"/>
      <c r="R719" s="2"/>
      <c r="S719" s="2"/>
      <c r="T719" s="2"/>
      <c r="U719" s="2"/>
    </row>
    <row r="720" spans="1:21" ht="15.75" customHeight="1">
      <c r="A720" s="1"/>
      <c r="B720" s="2"/>
      <c r="C720" s="2"/>
      <c r="D720" s="2"/>
      <c r="E720" s="2"/>
      <c r="F720" s="2"/>
      <c r="G720" s="2"/>
      <c r="H720" s="2"/>
      <c r="I720" s="2"/>
      <c r="J720" s="2"/>
      <c r="K720" s="2"/>
      <c r="L720" s="2"/>
      <c r="M720" s="2"/>
      <c r="N720" s="2"/>
      <c r="O720" s="2"/>
      <c r="P720" s="2"/>
      <c r="Q720" s="2"/>
      <c r="R720" s="2"/>
      <c r="S720" s="2"/>
      <c r="T720" s="2"/>
      <c r="U720" s="2"/>
    </row>
    <row r="721" spans="1:21" ht="15.75" customHeight="1">
      <c r="A721" s="1"/>
      <c r="B721" s="2"/>
      <c r="C721" s="2"/>
      <c r="D721" s="2"/>
      <c r="E721" s="2"/>
      <c r="F721" s="2"/>
      <c r="G721" s="2"/>
      <c r="H721" s="2"/>
      <c r="I721" s="2"/>
      <c r="J721" s="2"/>
      <c r="K721" s="2"/>
      <c r="L721" s="2"/>
      <c r="M721" s="2"/>
      <c r="N721" s="2"/>
      <c r="O721" s="2"/>
      <c r="P721" s="2"/>
      <c r="Q721" s="2"/>
      <c r="R721" s="2"/>
      <c r="S721" s="2"/>
      <c r="T721" s="2"/>
      <c r="U721" s="2"/>
    </row>
    <row r="722" spans="1:21" ht="15.75" customHeight="1">
      <c r="A722" s="1"/>
      <c r="B722" s="2"/>
      <c r="C722" s="2"/>
      <c r="D722" s="2"/>
      <c r="E722" s="2"/>
      <c r="F722" s="2"/>
      <c r="G722" s="2"/>
      <c r="H722" s="2"/>
      <c r="I722" s="2"/>
      <c r="J722" s="2"/>
      <c r="K722" s="2"/>
      <c r="L722" s="2"/>
      <c r="M722" s="2"/>
      <c r="N722" s="2"/>
      <c r="O722" s="2"/>
      <c r="P722" s="2"/>
      <c r="Q722" s="2"/>
      <c r="R722" s="2"/>
      <c r="S722" s="2"/>
      <c r="T722" s="2"/>
      <c r="U722" s="2"/>
    </row>
    <row r="723" spans="1:21" ht="15.75" customHeight="1">
      <c r="A723" s="1"/>
      <c r="B723" s="2"/>
      <c r="C723" s="2"/>
      <c r="D723" s="2"/>
      <c r="E723" s="2"/>
      <c r="F723" s="2"/>
      <c r="G723" s="2"/>
      <c r="H723" s="2"/>
      <c r="I723" s="2"/>
      <c r="J723" s="2"/>
      <c r="K723" s="2"/>
      <c r="L723" s="2"/>
      <c r="M723" s="2"/>
      <c r="N723" s="2"/>
      <c r="O723" s="2"/>
      <c r="P723" s="2"/>
      <c r="Q723" s="2"/>
      <c r="R723" s="2"/>
      <c r="S723" s="2"/>
      <c r="T723" s="2"/>
      <c r="U723" s="2"/>
    </row>
    <row r="724" spans="1:21" ht="15.75" customHeight="1">
      <c r="A724" s="1"/>
      <c r="B724" s="2"/>
      <c r="C724" s="2"/>
      <c r="D724" s="2"/>
      <c r="E724" s="2"/>
      <c r="F724" s="2"/>
      <c r="G724" s="2"/>
      <c r="H724" s="2"/>
      <c r="I724" s="2"/>
      <c r="J724" s="2"/>
      <c r="K724" s="2"/>
      <c r="L724" s="2"/>
      <c r="M724" s="2"/>
      <c r="N724" s="2"/>
      <c r="O724" s="2"/>
      <c r="P724" s="2"/>
      <c r="Q724" s="2"/>
      <c r="R724" s="2"/>
      <c r="S724" s="2"/>
      <c r="T724" s="2"/>
      <c r="U724" s="2"/>
    </row>
    <row r="725" spans="1:21" ht="15.75" customHeight="1">
      <c r="A725" s="1"/>
      <c r="B725" s="2"/>
      <c r="C725" s="2"/>
      <c r="D725" s="2"/>
      <c r="E725" s="2"/>
      <c r="F725" s="2"/>
      <c r="G725" s="2"/>
      <c r="H725" s="2"/>
      <c r="I725" s="2"/>
      <c r="J725" s="2"/>
      <c r="K725" s="2"/>
      <c r="L725" s="2"/>
      <c r="M725" s="2"/>
      <c r="N725" s="2"/>
      <c r="O725" s="2"/>
      <c r="P725" s="2"/>
      <c r="Q725" s="2"/>
      <c r="R725" s="2"/>
      <c r="S725" s="2"/>
      <c r="T725" s="2"/>
      <c r="U725" s="2"/>
    </row>
    <row r="726" spans="1:21" ht="15.75" customHeight="1">
      <c r="A726" s="1"/>
      <c r="B726" s="2"/>
      <c r="C726" s="2"/>
      <c r="D726" s="2"/>
      <c r="E726" s="2"/>
      <c r="F726" s="2"/>
      <c r="G726" s="2"/>
      <c r="H726" s="2"/>
      <c r="I726" s="2"/>
      <c r="J726" s="2"/>
      <c r="K726" s="2"/>
      <c r="L726" s="2"/>
      <c r="M726" s="2"/>
      <c r="N726" s="2"/>
      <c r="O726" s="2"/>
      <c r="P726" s="2"/>
      <c r="Q726" s="2"/>
      <c r="R726" s="2"/>
      <c r="S726" s="2"/>
      <c r="T726" s="2"/>
      <c r="U726" s="2"/>
    </row>
    <row r="727" spans="1:21" ht="15.75" customHeight="1">
      <c r="A727" s="1"/>
      <c r="B727" s="2"/>
      <c r="C727" s="2"/>
      <c r="D727" s="2"/>
      <c r="E727" s="2"/>
      <c r="F727" s="2"/>
      <c r="G727" s="2"/>
      <c r="H727" s="2"/>
      <c r="I727" s="2"/>
      <c r="J727" s="2"/>
      <c r="K727" s="2"/>
      <c r="L727" s="2"/>
      <c r="M727" s="2"/>
      <c r="N727" s="2"/>
      <c r="O727" s="2"/>
      <c r="P727" s="2"/>
      <c r="Q727" s="2"/>
      <c r="R727" s="2"/>
      <c r="S727" s="2"/>
      <c r="T727" s="2"/>
      <c r="U727" s="2"/>
    </row>
    <row r="728" spans="1:21" ht="15.75" customHeight="1">
      <c r="A728" s="1"/>
      <c r="B728" s="2"/>
      <c r="C728" s="2"/>
      <c r="D728" s="2"/>
      <c r="E728" s="2"/>
      <c r="F728" s="2"/>
      <c r="G728" s="2"/>
      <c r="H728" s="2"/>
      <c r="I728" s="2"/>
      <c r="J728" s="2"/>
      <c r="K728" s="2"/>
      <c r="L728" s="2"/>
      <c r="M728" s="2"/>
      <c r="N728" s="2"/>
      <c r="O728" s="2"/>
      <c r="P728" s="2"/>
      <c r="Q728" s="2"/>
      <c r="R728" s="2"/>
      <c r="S728" s="2"/>
      <c r="T728" s="2"/>
      <c r="U728" s="2"/>
    </row>
    <row r="729" spans="1:21" ht="15.75" customHeight="1">
      <c r="A729" s="1"/>
      <c r="B729" s="2"/>
      <c r="C729" s="2"/>
      <c r="D729" s="2"/>
      <c r="E729" s="2"/>
      <c r="F729" s="2"/>
      <c r="G729" s="2"/>
      <c r="H729" s="2"/>
      <c r="I729" s="2"/>
      <c r="J729" s="2"/>
      <c r="K729" s="2"/>
      <c r="L729" s="2"/>
      <c r="M729" s="2"/>
      <c r="N729" s="2"/>
      <c r="O729" s="2"/>
      <c r="P729" s="2"/>
      <c r="Q729" s="2"/>
      <c r="R729" s="2"/>
      <c r="S729" s="2"/>
      <c r="T729" s="2"/>
      <c r="U729" s="2"/>
    </row>
    <row r="730" spans="1:21" ht="15.75" customHeight="1">
      <c r="A730" s="1"/>
      <c r="B730" s="2"/>
      <c r="C730" s="2"/>
      <c r="D730" s="2"/>
      <c r="E730" s="2"/>
      <c r="F730" s="2"/>
      <c r="G730" s="2"/>
      <c r="H730" s="2"/>
      <c r="I730" s="2"/>
      <c r="J730" s="2"/>
      <c r="K730" s="2"/>
      <c r="L730" s="2"/>
      <c r="M730" s="2"/>
      <c r="N730" s="2"/>
      <c r="O730" s="2"/>
      <c r="P730" s="2"/>
      <c r="Q730" s="2"/>
      <c r="R730" s="2"/>
      <c r="S730" s="2"/>
      <c r="T730" s="2"/>
      <c r="U730" s="2"/>
    </row>
    <row r="731" spans="1:21" ht="15.75" customHeight="1">
      <c r="A731" s="1"/>
      <c r="B731" s="2"/>
      <c r="C731" s="2"/>
      <c r="D731" s="2"/>
      <c r="E731" s="2"/>
      <c r="F731" s="2"/>
      <c r="G731" s="2"/>
      <c r="H731" s="2"/>
      <c r="I731" s="2"/>
      <c r="J731" s="2"/>
      <c r="K731" s="2"/>
      <c r="L731" s="2"/>
      <c r="M731" s="2"/>
      <c r="N731" s="2"/>
      <c r="O731" s="2"/>
      <c r="P731" s="2"/>
      <c r="Q731" s="2"/>
      <c r="R731" s="2"/>
      <c r="S731" s="2"/>
      <c r="T731" s="2"/>
      <c r="U731" s="2"/>
    </row>
    <row r="732" spans="1:21" ht="15.75" customHeight="1">
      <c r="A732" s="1"/>
      <c r="B732" s="2"/>
      <c r="C732" s="2"/>
      <c r="D732" s="2"/>
      <c r="E732" s="2"/>
      <c r="F732" s="2"/>
      <c r="G732" s="2"/>
      <c r="H732" s="2"/>
      <c r="I732" s="2"/>
      <c r="J732" s="2"/>
      <c r="K732" s="2"/>
      <c r="L732" s="2"/>
      <c r="M732" s="2"/>
      <c r="N732" s="2"/>
      <c r="O732" s="2"/>
      <c r="P732" s="2"/>
      <c r="Q732" s="2"/>
      <c r="R732" s="2"/>
      <c r="S732" s="2"/>
      <c r="T732" s="2"/>
      <c r="U732" s="2"/>
    </row>
    <row r="733" spans="1:21" ht="15.75" customHeight="1">
      <c r="A733" s="1"/>
      <c r="B733" s="2"/>
      <c r="C733" s="2"/>
      <c r="D733" s="2"/>
      <c r="E733" s="2"/>
      <c r="F733" s="2"/>
      <c r="G733" s="2"/>
      <c r="H733" s="2"/>
      <c r="I733" s="2"/>
      <c r="J733" s="2"/>
      <c r="K733" s="2"/>
      <c r="L733" s="2"/>
      <c r="M733" s="2"/>
      <c r="N733" s="2"/>
      <c r="O733" s="2"/>
      <c r="P733" s="2"/>
      <c r="Q733" s="2"/>
      <c r="R733" s="2"/>
      <c r="S733" s="2"/>
      <c r="T733" s="2"/>
      <c r="U733" s="2"/>
    </row>
    <row r="734" spans="1:21" ht="15.75" customHeight="1">
      <c r="A734" s="1"/>
      <c r="B734" s="2"/>
      <c r="C734" s="2"/>
      <c r="D734" s="2"/>
      <c r="E734" s="2"/>
      <c r="F734" s="2"/>
      <c r="G734" s="2"/>
      <c r="H734" s="2"/>
      <c r="I734" s="2"/>
      <c r="J734" s="2"/>
      <c r="K734" s="2"/>
      <c r="L734" s="2"/>
      <c r="M734" s="2"/>
      <c r="N734" s="2"/>
      <c r="O734" s="2"/>
      <c r="P734" s="2"/>
      <c r="Q734" s="2"/>
      <c r="R734" s="2"/>
      <c r="S734" s="2"/>
      <c r="T734" s="2"/>
      <c r="U734" s="2"/>
    </row>
    <row r="735" spans="1:21" ht="15.75" customHeight="1">
      <c r="A735" s="1"/>
      <c r="B735" s="2"/>
      <c r="C735" s="2"/>
      <c r="D735" s="2"/>
      <c r="E735" s="2"/>
      <c r="F735" s="2"/>
      <c r="G735" s="2"/>
      <c r="H735" s="2"/>
      <c r="I735" s="2"/>
      <c r="J735" s="2"/>
      <c r="K735" s="2"/>
      <c r="L735" s="2"/>
      <c r="M735" s="2"/>
      <c r="N735" s="2"/>
      <c r="O735" s="2"/>
      <c r="P735" s="2"/>
      <c r="Q735" s="2"/>
      <c r="R735" s="2"/>
      <c r="S735" s="2"/>
      <c r="T735" s="2"/>
      <c r="U735" s="2"/>
    </row>
    <row r="736" spans="1:21" ht="15.75" customHeight="1">
      <c r="A736" s="1"/>
      <c r="B736" s="2"/>
      <c r="C736" s="2"/>
      <c r="D736" s="2"/>
      <c r="E736" s="2"/>
      <c r="F736" s="2"/>
      <c r="G736" s="2"/>
      <c r="H736" s="2"/>
      <c r="I736" s="2"/>
      <c r="J736" s="2"/>
      <c r="K736" s="2"/>
      <c r="L736" s="2"/>
      <c r="M736" s="2"/>
      <c r="N736" s="2"/>
      <c r="O736" s="2"/>
      <c r="P736" s="2"/>
      <c r="Q736" s="2"/>
      <c r="R736" s="2"/>
      <c r="S736" s="2"/>
      <c r="T736" s="2"/>
      <c r="U736" s="2"/>
    </row>
    <row r="737" spans="1:21" ht="15.75" customHeight="1">
      <c r="A737" s="1"/>
      <c r="B737" s="2"/>
      <c r="C737" s="2"/>
      <c r="D737" s="2"/>
      <c r="E737" s="2"/>
      <c r="F737" s="2"/>
      <c r="G737" s="2"/>
      <c r="H737" s="2"/>
      <c r="I737" s="2"/>
      <c r="J737" s="2"/>
      <c r="K737" s="2"/>
      <c r="L737" s="2"/>
      <c r="M737" s="2"/>
      <c r="N737" s="2"/>
      <c r="O737" s="2"/>
      <c r="P737" s="2"/>
      <c r="Q737" s="2"/>
      <c r="R737" s="2"/>
      <c r="S737" s="2"/>
      <c r="T737" s="2"/>
      <c r="U737" s="2"/>
    </row>
    <row r="738" spans="1:21" ht="15.75" customHeight="1">
      <c r="A738" s="1"/>
      <c r="B738" s="2"/>
      <c r="C738" s="2"/>
      <c r="D738" s="2"/>
      <c r="E738" s="2"/>
      <c r="F738" s="2"/>
      <c r="G738" s="2"/>
      <c r="H738" s="2"/>
      <c r="I738" s="2"/>
      <c r="J738" s="2"/>
      <c r="K738" s="2"/>
      <c r="L738" s="2"/>
      <c r="M738" s="2"/>
      <c r="N738" s="2"/>
      <c r="O738" s="2"/>
      <c r="P738" s="2"/>
      <c r="Q738" s="2"/>
      <c r="R738" s="2"/>
      <c r="S738" s="2"/>
      <c r="T738" s="2"/>
      <c r="U738" s="2"/>
    </row>
    <row r="739" spans="1:21" ht="15.75" customHeight="1">
      <c r="A739" s="1"/>
      <c r="B739" s="2"/>
      <c r="C739" s="2"/>
      <c r="D739" s="2"/>
      <c r="E739" s="2"/>
      <c r="F739" s="2"/>
      <c r="G739" s="2"/>
      <c r="H739" s="2"/>
      <c r="I739" s="2"/>
      <c r="J739" s="2"/>
      <c r="K739" s="2"/>
      <c r="L739" s="2"/>
      <c r="M739" s="2"/>
      <c r="N739" s="2"/>
      <c r="O739" s="2"/>
      <c r="P739" s="2"/>
      <c r="Q739" s="2"/>
      <c r="R739" s="2"/>
      <c r="S739" s="2"/>
      <c r="T739" s="2"/>
      <c r="U739" s="2"/>
    </row>
    <row r="740" spans="1:21" ht="15.75" customHeight="1">
      <c r="A740" s="1"/>
      <c r="B740" s="2"/>
      <c r="C740" s="2"/>
      <c r="D740" s="2"/>
      <c r="E740" s="2"/>
      <c r="F740" s="2"/>
      <c r="G740" s="2"/>
      <c r="H740" s="2"/>
      <c r="I740" s="2"/>
      <c r="J740" s="2"/>
      <c r="K740" s="2"/>
      <c r="L740" s="2"/>
      <c r="M740" s="2"/>
      <c r="N740" s="2"/>
      <c r="O740" s="2"/>
      <c r="P740" s="2"/>
      <c r="Q740" s="2"/>
      <c r="R740" s="2"/>
      <c r="S740" s="2"/>
      <c r="T740" s="2"/>
      <c r="U740" s="2"/>
    </row>
    <row r="741" spans="1:21" ht="15.75" customHeight="1">
      <c r="A741" s="1"/>
      <c r="B741" s="2"/>
      <c r="C741" s="2"/>
      <c r="D741" s="2"/>
      <c r="E741" s="2"/>
      <c r="F741" s="2"/>
      <c r="G741" s="2"/>
      <c r="H741" s="2"/>
      <c r="I741" s="2"/>
      <c r="J741" s="2"/>
      <c r="K741" s="2"/>
      <c r="L741" s="2"/>
      <c r="M741" s="2"/>
      <c r="N741" s="2"/>
      <c r="O741" s="2"/>
      <c r="P741" s="2"/>
      <c r="Q741" s="2"/>
      <c r="R741" s="2"/>
      <c r="S741" s="2"/>
      <c r="T741" s="2"/>
      <c r="U741" s="2"/>
    </row>
    <row r="742" spans="1:21" ht="15.75" customHeight="1">
      <c r="A742" s="1"/>
      <c r="B742" s="2"/>
      <c r="C742" s="2"/>
      <c r="D742" s="2"/>
      <c r="E742" s="2"/>
      <c r="F742" s="2"/>
      <c r="G742" s="2"/>
      <c r="H742" s="2"/>
      <c r="I742" s="2"/>
      <c r="J742" s="2"/>
      <c r="K742" s="2"/>
      <c r="L742" s="2"/>
      <c r="M742" s="2"/>
      <c r="N742" s="2"/>
      <c r="O742" s="2"/>
      <c r="P742" s="2"/>
      <c r="Q742" s="2"/>
      <c r="R742" s="2"/>
      <c r="S742" s="2"/>
      <c r="T742" s="2"/>
      <c r="U742" s="2"/>
    </row>
    <row r="743" spans="1:21" ht="15.75" customHeight="1">
      <c r="A743" s="1"/>
      <c r="B743" s="2"/>
      <c r="C743" s="2"/>
      <c r="D743" s="2"/>
      <c r="E743" s="2"/>
      <c r="F743" s="2"/>
      <c r="G743" s="2"/>
      <c r="H743" s="2"/>
      <c r="I743" s="2"/>
      <c r="J743" s="2"/>
      <c r="K743" s="2"/>
      <c r="L743" s="2"/>
      <c r="M743" s="2"/>
      <c r="N743" s="2"/>
      <c r="O743" s="2"/>
      <c r="P743" s="2"/>
      <c r="Q743" s="2"/>
      <c r="R743" s="2"/>
      <c r="S743" s="2"/>
      <c r="T743" s="2"/>
      <c r="U743" s="2"/>
    </row>
    <row r="744" spans="1:21" ht="15.75" customHeight="1">
      <c r="A744" s="1"/>
      <c r="B744" s="2"/>
      <c r="C744" s="2"/>
      <c r="D744" s="2"/>
      <c r="E744" s="2"/>
      <c r="F744" s="2"/>
      <c r="G744" s="2"/>
      <c r="H744" s="2"/>
      <c r="I744" s="2"/>
      <c r="J744" s="2"/>
      <c r="K744" s="2"/>
      <c r="L744" s="2"/>
      <c r="M744" s="2"/>
      <c r="N744" s="2"/>
      <c r="O744" s="2"/>
      <c r="P744" s="2"/>
      <c r="Q744" s="2"/>
      <c r="R744" s="2"/>
      <c r="S744" s="2"/>
      <c r="T744" s="2"/>
      <c r="U744" s="2"/>
    </row>
    <row r="745" spans="1:21" ht="15.75" customHeight="1">
      <c r="A745" s="1"/>
      <c r="B745" s="2"/>
      <c r="C745" s="2"/>
      <c r="D745" s="2"/>
      <c r="E745" s="2"/>
      <c r="F745" s="2"/>
      <c r="G745" s="2"/>
      <c r="H745" s="2"/>
      <c r="I745" s="2"/>
      <c r="J745" s="2"/>
      <c r="K745" s="2"/>
      <c r="L745" s="2"/>
      <c r="M745" s="2"/>
      <c r="N745" s="2"/>
      <c r="O745" s="2"/>
      <c r="P745" s="2"/>
      <c r="Q745" s="2"/>
      <c r="R745" s="2"/>
      <c r="S745" s="2"/>
      <c r="T745" s="2"/>
      <c r="U745" s="2"/>
    </row>
    <row r="746" spans="1:21" ht="15.75" customHeight="1">
      <c r="A746" s="1"/>
      <c r="B746" s="2"/>
      <c r="C746" s="2"/>
      <c r="D746" s="2"/>
      <c r="E746" s="2"/>
      <c r="F746" s="2"/>
      <c r="G746" s="2"/>
      <c r="H746" s="2"/>
      <c r="I746" s="2"/>
      <c r="J746" s="2"/>
      <c r="K746" s="2"/>
      <c r="L746" s="2"/>
      <c r="M746" s="2"/>
      <c r="N746" s="2"/>
      <c r="O746" s="2"/>
      <c r="P746" s="2"/>
      <c r="Q746" s="2"/>
      <c r="R746" s="2"/>
      <c r="S746" s="2"/>
      <c r="T746" s="2"/>
      <c r="U746" s="2"/>
    </row>
    <row r="747" spans="1:21" ht="15.75" customHeight="1">
      <c r="A747" s="1"/>
      <c r="B747" s="2"/>
      <c r="C747" s="2"/>
      <c r="D747" s="2"/>
      <c r="E747" s="2"/>
      <c r="F747" s="2"/>
      <c r="G747" s="2"/>
      <c r="H747" s="2"/>
      <c r="I747" s="2"/>
      <c r="J747" s="2"/>
      <c r="K747" s="2"/>
      <c r="L747" s="2"/>
      <c r="M747" s="2"/>
      <c r="N747" s="2"/>
      <c r="O747" s="2"/>
      <c r="P747" s="2"/>
      <c r="Q747" s="2"/>
      <c r="R747" s="2"/>
      <c r="S747" s="2"/>
      <c r="T747" s="2"/>
      <c r="U747" s="2"/>
    </row>
    <row r="748" spans="1:21" ht="15.75" customHeight="1">
      <c r="A748" s="1"/>
      <c r="B748" s="2"/>
      <c r="C748" s="2"/>
      <c r="D748" s="2"/>
      <c r="E748" s="2"/>
      <c r="F748" s="2"/>
      <c r="G748" s="2"/>
      <c r="H748" s="2"/>
      <c r="I748" s="2"/>
      <c r="J748" s="2"/>
      <c r="K748" s="2"/>
      <c r="L748" s="2"/>
      <c r="M748" s="2"/>
      <c r="N748" s="2"/>
      <c r="O748" s="2"/>
      <c r="P748" s="2"/>
      <c r="Q748" s="2"/>
      <c r="R748" s="2"/>
      <c r="S748" s="2"/>
      <c r="T748" s="2"/>
      <c r="U748" s="2"/>
    </row>
    <row r="749" spans="1:21" ht="15.75" customHeight="1">
      <c r="A749" s="1"/>
      <c r="B749" s="2"/>
      <c r="C749" s="2"/>
      <c r="D749" s="2"/>
      <c r="E749" s="2"/>
      <c r="F749" s="2"/>
      <c r="G749" s="2"/>
      <c r="H749" s="2"/>
      <c r="I749" s="2"/>
      <c r="J749" s="2"/>
      <c r="K749" s="2"/>
      <c r="L749" s="2"/>
      <c r="M749" s="2"/>
      <c r="N749" s="2"/>
      <c r="O749" s="2"/>
      <c r="P749" s="2"/>
      <c r="Q749" s="2"/>
      <c r="R749" s="2"/>
      <c r="S749" s="2"/>
      <c r="T749" s="2"/>
      <c r="U749" s="2"/>
    </row>
    <row r="750" spans="1:21" ht="15.75" customHeight="1">
      <c r="A750" s="1"/>
      <c r="B750" s="2"/>
      <c r="C750" s="2"/>
      <c r="D750" s="2"/>
      <c r="E750" s="2"/>
      <c r="F750" s="2"/>
      <c r="G750" s="2"/>
      <c r="H750" s="2"/>
      <c r="I750" s="2"/>
      <c r="J750" s="2"/>
      <c r="K750" s="2"/>
      <c r="L750" s="2"/>
      <c r="M750" s="2"/>
      <c r="N750" s="2"/>
      <c r="O750" s="2"/>
      <c r="P750" s="2"/>
      <c r="Q750" s="2"/>
      <c r="R750" s="2"/>
      <c r="S750" s="2"/>
      <c r="T750" s="2"/>
      <c r="U750" s="2"/>
    </row>
    <row r="751" spans="1:21" ht="15.75" customHeight="1">
      <c r="A751" s="1"/>
      <c r="B751" s="2"/>
      <c r="C751" s="2"/>
      <c r="D751" s="2"/>
      <c r="E751" s="2"/>
      <c r="F751" s="2"/>
      <c r="G751" s="2"/>
      <c r="H751" s="2"/>
      <c r="I751" s="2"/>
      <c r="J751" s="2"/>
      <c r="K751" s="2"/>
      <c r="L751" s="2"/>
      <c r="M751" s="2"/>
      <c r="N751" s="2"/>
      <c r="O751" s="2"/>
      <c r="P751" s="2"/>
      <c r="Q751" s="2"/>
      <c r="R751" s="2"/>
      <c r="S751" s="2"/>
      <c r="T751" s="2"/>
      <c r="U751" s="2"/>
    </row>
    <row r="752" spans="1:21" ht="15.75" customHeight="1">
      <c r="A752" s="1"/>
      <c r="B752" s="2"/>
      <c r="C752" s="2"/>
      <c r="D752" s="2"/>
      <c r="E752" s="2"/>
      <c r="F752" s="2"/>
      <c r="G752" s="2"/>
      <c r="H752" s="2"/>
      <c r="I752" s="2"/>
      <c r="J752" s="2"/>
      <c r="K752" s="2"/>
      <c r="L752" s="2"/>
      <c r="M752" s="2"/>
      <c r="N752" s="2"/>
      <c r="O752" s="2"/>
      <c r="P752" s="2"/>
      <c r="Q752" s="2"/>
      <c r="R752" s="2"/>
      <c r="S752" s="2"/>
      <c r="T752" s="2"/>
      <c r="U752" s="2"/>
    </row>
    <row r="753" spans="1:21" ht="15.75" customHeight="1">
      <c r="A753" s="1"/>
      <c r="B753" s="2"/>
      <c r="C753" s="2"/>
      <c r="D753" s="2"/>
      <c r="E753" s="2"/>
      <c r="F753" s="2"/>
      <c r="G753" s="2"/>
      <c r="H753" s="2"/>
      <c r="I753" s="2"/>
      <c r="J753" s="2"/>
      <c r="K753" s="2"/>
      <c r="L753" s="2"/>
      <c r="M753" s="2"/>
      <c r="N753" s="2"/>
      <c r="O753" s="2"/>
      <c r="P753" s="2"/>
      <c r="Q753" s="2"/>
      <c r="R753" s="2"/>
      <c r="S753" s="2"/>
      <c r="T753" s="2"/>
      <c r="U753" s="2"/>
    </row>
    <row r="754" spans="1:21" ht="15.75" customHeight="1">
      <c r="A754" s="1"/>
      <c r="B754" s="2"/>
      <c r="C754" s="2"/>
      <c r="D754" s="2"/>
      <c r="E754" s="2"/>
      <c r="F754" s="2"/>
      <c r="G754" s="2"/>
      <c r="H754" s="2"/>
      <c r="I754" s="2"/>
      <c r="J754" s="2"/>
      <c r="K754" s="2"/>
      <c r="L754" s="2"/>
      <c r="M754" s="2"/>
      <c r="N754" s="2"/>
      <c r="O754" s="2"/>
      <c r="P754" s="2"/>
      <c r="Q754" s="2"/>
      <c r="R754" s="2"/>
      <c r="S754" s="2"/>
      <c r="T754" s="2"/>
      <c r="U754" s="2"/>
    </row>
    <row r="755" spans="1:21" ht="15.75" customHeight="1">
      <c r="A755" s="1"/>
      <c r="B755" s="2"/>
      <c r="C755" s="2"/>
      <c r="D755" s="2"/>
      <c r="E755" s="2"/>
      <c r="F755" s="2"/>
      <c r="G755" s="2"/>
      <c r="H755" s="2"/>
      <c r="I755" s="2"/>
      <c r="J755" s="2"/>
      <c r="K755" s="2"/>
      <c r="L755" s="2"/>
      <c r="M755" s="2"/>
      <c r="N755" s="2"/>
      <c r="O755" s="2"/>
      <c r="P755" s="2"/>
      <c r="Q755" s="2"/>
      <c r="R755" s="2"/>
      <c r="S755" s="2"/>
      <c r="T755" s="2"/>
      <c r="U755" s="2"/>
    </row>
    <row r="756" spans="1:21" ht="15.75" customHeight="1">
      <c r="A756" s="1"/>
      <c r="B756" s="2"/>
      <c r="C756" s="2"/>
      <c r="D756" s="2"/>
      <c r="E756" s="2"/>
      <c r="F756" s="2"/>
      <c r="G756" s="2"/>
      <c r="H756" s="2"/>
      <c r="I756" s="2"/>
      <c r="J756" s="2"/>
      <c r="K756" s="2"/>
      <c r="L756" s="2"/>
      <c r="M756" s="2"/>
      <c r="N756" s="2"/>
      <c r="O756" s="2"/>
      <c r="P756" s="2"/>
      <c r="Q756" s="2"/>
      <c r="R756" s="2"/>
      <c r="S756" s="2"/>
      <c r="T756" s="2"/>
      <c r="U756" s="2"/>
    </row>
    <row r="757" spans="1:21" ht="15.75" customHeight="1">
      <c r="A757" s="1"/>
      <c r="B757" s="2"/>
      <c r="C757" s="2"/>
      <c r="D757" s="2"/>
      <c r="E757" s="2"/>
      <c r="F757" s="2"/>
      <c r="G757" s="2"/>
      <c r="H757" s="2"/>
      <c r="I757" s="2"/>
      <c r="J757" s="2"/>
      <c r="K757" s="2"/>
      <c r="L757" s="2"/>
      <c r="M757" s="2"/>
      <c r="N757" s="2"/>
      <c r="O757" s="2"/>
      <c r="P757" s="2"/>
      <c r="Q757" s="2"/>
      <c r="R757" s="2"/>
      <c r="S757" s="2"/>
      <c r="T757" s="2"/>
      <c r="U757" s="2"/>
    </row>
    <row r="758" spans="1:21" ht="15.75" customHeight="1">
      <c r="A758" s="1"/>
      <c r="B758" s="2"/>
      <c r="C758" s="2"/>
      <c r="D758" s="2"/>
      <c r="E758" s="2"/>
      <c r="F758" s="2"/>
      <c r="G758" s="2"/>
      <c r="H758" s="2"/>
      <c r="I758" s="2"/>
      <c r="J758" s="2"/>
      <c r="K758" s="2"/>
      <c r="L758" s="2"/>
      <c r="M758" s="2"/>
      <c r="N758" s="2"/>
      <c r="O758" s="2"/>
      <c r="P758" s="2"/>
      <c r="Q758" s="2"/>
      <c r="R758" s="2"/>
      <c r="S758" s="2"/>
      <c r="T758" s="2"/>
      <c r="U758" s="2"/>
    </row>
    <row r="759" spans="1:21" ht="15.75" customHeight="1">
      <c r="A759" s="1"/>
      <c r="B759" s="2"/>
      <c r="C759" s="2"/>
      <c r="D759" s="2"/>
      <c r="E759" s="2"/>
      <c r="F759" s="2"/>
      <c r="G759" s="2"/>
      <c r="H759" s="2"/>
      <c r="I759" s="2"/>
      <c r="J759" s="2"/>
      <c r="K759" s="2"/>
      <c r="L759" s="2"/>
      <c r="M759" s="2"/>
      <c r="N759" s="2"/>
      <c r="O759" s="2"/>
      <c r="P759" s="2"/>
      <c r="Q759" s="2"/>
      <c r="R759" s="2"/>
      <c r="S759" s="2"/>
      <c r="T759" s="2"/>
      <c r="U759" s="2"/>
    </row>
    <row r="760" spans="1:21" ht="15.75" customHeight="1">
      <c r="A760" s="1"/>
      <c r="B760" s="2"/>
      <c r="C760" s="2"/>
      <c r="D760" s="2"/>
      <c r="E760" s="2"/>
      <c r="F760" s="2"/>
      <c r="G760" s="2"/>
      <c r="H760" s="2"/>
      <c r="I760" s="2"/>
      <c r="J760" s="2"/>
      <c r="K760" s="2"/>
      <c r="L760" s="2"/>
      <c r="M760" s="2"/>
      <c r="N760" s="2"/>
      <c r="O760" s="2"/>
      <c r="P760" s="2"/>
      <c r="Q760" s="2"/>
      <c r="R760" s="2"/>
      <c r="S760" s="2"/>
      <c r="T760" s="2"/>
      <c r="U760" s="2"/>
    </row>
    <row r="761" spans="1:21" ht="15.75" customHeight="1">
      <c r="A761" s="1"/>
      <c r="B761" s="2"/>
      <c r="C761" s="2"/>
      <c r="D761" s="2"/>
      <c r="E761" s="2"/>
      <c r="F761" s="2"/>
      <c r="G761" s="2"/>
      <c r="H761" s="2"/>
      <c r="I761" s="2"/>
      <c r="J761" s="2"/>
      <c r="K761" s="2"/>
      <c r="L761" s="2"/>
      <c r="M761" s="2"/>
      <c r="N761" s="2"/>
      <c r="O761" s="2"/>
      <c r="P761" s="2"/>
      <c r="Q761" s="2"/>
      <c r="R761" s="2"/>
      <c r="S761" s="2"/>
      <c r="T761" s="2"/>
      <c r="U761" s="2"/>
    </row>
    <row r="762" spans="1:21" ht="15.75" customHeight="1">
      <c r="A762" s="1"/>
      <c r="B762" s="2"/>
      <c r="C762" s="2"/>
      <c r="D762" s="2"/>
      <c r="E762" s="2"/>
      <c r="F762" s="2"/>
      <c r="G762" s="2"/>
      <c r="H762" s="2"/>
      <c r="I762" s="2"/>
      <c r="J762" s="2"/>
      <c r="K762" s="2"/>
      <c r="L762" s="2"/>
      <c r="M762" s="2"/>
      <c r="N762" s="2"/>
      <c r="O762" s="2"/>
      <c r="P762" s="2"/>
      <c r="Q762" s="2"/>
      <c r="R762" s="2"/>
      <c r="S762" s="2"/>
      <c r="T762" s="2"/>
      <c r="U762" s="2"/>
    </row>
    <row r="763" spans="1:21" ht="15.75" customHeight="1">
      <c r="A763" s="1"/>
      <c r="B763" s="2"/>
      <c r="C763" s="2"/>
      <c r="D763" s="2"/>
      <c r="E763" s="2"/>
      <c r="F763" s="2"/>
      <c r="G763" s="2"/>
      <c r="H763" s="2"/>
      <c r="I763" s="2"/>
      <c r="J763" s="2"/>
      <c r="K763" s="2"/>
      <c r="L763" s="2"/>
      <c r="M763" s="2"/>
      <c r="N763" s="2"/>
      <c r="O763" s="2"/>
      <c r="P763" s="2"/>
      <c r="Q763" s="2"/>
      <c r="R763" s="2"/>
      <c r="S763" s="2"/>
      <c r="T763" s="2"/>
      <c r="U763" s="2"/>
    </row>
    <row r="764" spans="1:21" ht="15.75" customHeight="1">
      <c r="A764" s="1"/>
      <c r="B764" s="2"/>
      <c r="C764" s="2"/>
      <c r="D764" s="2"/>
      <c r="E764" s="2"/>
      <c r="F764" s="2"/>
      <c r="G764" s="2"/>
      <c r="H764" s="2"/>
      <c r="I764" s="2"/>
      <c r="J764" s="2"/>
      <c r="K764" s="2"/>
      <c r="L764" s="2"/>
      <c r="M764" s="2"/>
      <c r="N764" s="2"/>
      <c r="O764" s="2"/>
      <c r="P764" s="2"/>
      <c r="Q764" s="2"/>
      <c r="R764" s="2"/>
      <c r="S764" s="2"/>
      <c r="T764" s="2"/>
      <c r="U764" s="2"/>
    </row>
    <row r="765" spans="1:21" ht="15.75" customHeight="1">
      <c r="A765" s="1"/>
      <c r="B765" s="2"/>
      <c r="C765" s="2"/>
      <c r="D765" s="2"/>
      <c r="E765" s="2"/>
      <c r="F765" s="2"/>
      <c r="G765" s="2"/>
      <c r="H765" s="2"/>
      <c r="I765" s="2"/>
      <c r="J765" s="2"/>
      <c r="K765" s="2"/>
      <c r="L765" s="2"/>
      <c r="M765" s="2"/>
      <c r="N765" s="2"/>
      <c r="O765" s="2"/>
      <c r="P765" s="2"/>
      <c r="Q765" s="2"/>
      <c r="R765" s="2"/>
      <c r="S765" s="2"/>
      <c r="T765" s="2"/>
      <c r="U765" s="2"/>
    </row>
    <row r="766" spans="1:21" ht="15.75" customHeight="1">
      <c r="A766" s="1"/>
      <c r="B766" s="2"/>
      <c r="C766" s="2"/>
      <c r="D766" s="2"/>
      <c r="E766" s="2"/>
      <c r="F766" s="2"/>
      <c r="G766" s="2"/>
      <c r="H766" s="2"/>
      <c r="I766" s="2"/>
      <c r="J766" s="2"/>
      <c r="K766" s="2"/>
      <c r="L766" s="2"/>
      <c r="M766" s="2"/>
      <c r="N766" s="2"/>
      <c r="O766" s="2"/>
      <c r="P766" s="2"/>
      <c r="Q766" s="2"/>
      <c r="R766" s="2"/>
      <c r="S766" s="2"/>
      <c r="T766" s="2"/>
      <c r="U766" s="2"/>
    </row>
    <row r="767" spans="1:21" ht="15.75" customHeight="1">
      <c r="A767" s="1"/>
      <c r="B767" s="2"/>
      <c r="C767" s="2"/>
      <c r="D767" s="2"/>
      <c r="E767" s="2"/>
      <c r="F767" s="2"/>
      <c r="G767" s="2"/>
      <c r="H767" s="2"/>
      <c r="I767" s="2"/>
      <c r="J767" s="2"/>
      <c r="K767" s="2"/>
      <c r="L767" s="2"/>
      <c r="M767" s="2"/>
      <c r="N767" s="2"/>
      <c r="O767" s="2"/>
      <c r="P767" s="2"/>
      <c r="Q767" s="2"/>
      <c r="R767" s="2"/>
      <c r="S767" s="2"/>
      <c r="T767" s="2"/>
      <c r="U767" s="2"/>
    </row>
    <row r="768" spans="1:21" ht="15.75" customHeight="1">
      <c r="A768" s="1"/>
      <c r="B768" s="2"/>
      <c r="C768" s="2"/>
      <c r="D768" s="2"/>
      <c r="E768" s="2"/>
      <c r="F768" s="2"/>
      <c r="G768" s="2"/>
      <c r="H768" s="2"/>
      <c r="I768" s="2"/>
      <c r="J768" s="2"/>
      <c r="K768" s="2"/>
      <c r="L768" s="2"/>
      <c r="M768" s="2"/>
      <c r="N768" s="2"/>
      <c r="O768" s="2"/>
      <c r="P768" s="2"/>
      <c r="Q768" s="2"/>
      <c r="R768" s="2"/>
      <c r="S768" s="2"/>
      <c r="T768" s="2"/>
      <c r="U768" s="2"/>
    </row>
    <row r="769" spans="1:21" ht="15.75" customHeight="1">
      <c r="A769" s="1"/>
      <c r="B769" s="2"/>
      <c r="C769" s="2"/>
      <c r="D769" s="2"/>
      <c r="E769" s="2"/>
      <c r="F769" s="2"/>
      <c r="G769" s="2"/>
      <c r="H769" s="2"/>
      <c r="I769" s="2"/>
      <c r="J769" s="2"/>
      <c r="K769" s="2"/>
      <c r="L769" s="2"/>
      <c r="M769" s="2"/>
      <c r="N769" s="2"/>
      <c r="O769" s="2"/>
      <c r="P769" s="2"/>
      <c r="Q769" s="2"/>
      <c r="R769" s="2"/>
      <c r="S769" s="2"/>
      <c r="T769" s="2"/>
      <c r="U769" s="2"/>
    </row>
    <row r="770" spans="1:21" ht="15.75" customHeight="1">
      <c r="A770" s="1"/>
      <c r="B770" s="2"/>
      <c r="C770" s="2"/>
      <c r="D770" s="2"/>
      <c r="E770" s="2"/>
      <c r="F770" s="2"/>
      <c r="G770" s="2"/>
      <c r="H770" s="2"/>
      <c r="I770" s="2"/>
      <c r="J770" s="2"/>
      <c r="K770" s="2"/>
      <c r="L770" s="2"/>
      <c r="M770" s="2"/>
      <c r="N770" s="2"/>
      <c r="O770" s="2"/>
      <c r="P770" s="2"/>
      <c r="Q770" s="2"/>
      <c r="R770" s="2"/>
      <c r="S770" s="2"/>
      <c r="T770" s="2"/>
      <c r="U770" s="2"/>
    </row>
    <row r="771" spans="1:21" ht="15.75" customHeight="1">
      <c r="A771" s="1"/>
      <c r="B771" s="2"/>
      <c r="C771" s="2"/>
      <c r="D771" s="2"/>
      <c r="E771" s="2"/>
      <c r="F771" s="2"/>
      <c r="G771" s="2"/>
      <c r="H771" s="2"/>
      <c r="I771" s="2"/>
      <c r="J771" s="2"/>
      <c r="K771" s="2"/>
      <c r="L771" s="2"/>
      <c r="M771" s="2"/>
      <c r="N771" s="2"/>
      <c r="O771" s="2"/>
      <c r="P771" s="2"/>
      <c r="Q771" s="2"/>
      <c r="R771" s="2"/>
      <c r="S771" s="2"/>
      <c r="T771" s="2"/>
      <c r="U771" s="2"/>
    </row>
    <row r="772" spans="1:21" ht="15.75" customHeight="1">
      <c r="A772" s="1"/>
      <c r="B772" s="2"/>
      <c r="C772" s="2"/>
      <c r="D772" s="2"/>
      <c r="E772" s="2"/>
      <c r="F772" s="2"/>
      <c r="G772" s="2"/>
      <c r="H772" s="2"/>
      <c r="I772" s="2"/>
      <c r="J772" s="2"/>
      <c r="K772" s="2"/>
      <c r="L772" s="2"/>
      <c r="M772" s="2"/>
      <c r="N772" s="2"/>
      <c r="O772" s="2"/>
      <c r="P772" s="2"/>
      <c r="Q772" s="2"/>
      <c r="R772" s="2"/>
      <c r="S772" s="2"/>
      <c r="T772" s="2"/>
      <c r="U772" s="2"/>
    </row>
    <row r="773" spans="1:21" ht="15.75" customHeight="1">
      <c r="A773" s="1"/>
      <c r="B773" s="2"/>
      <c r="C773" s="2"/>
      <c r="D773" s="2"/>
      <c r="E773" s="2"/>
      <c r="F773" s="2"/>
      <c r="G773" s="2"/>
      <c r="H773" s="2"/>
      <c r="I773" s="2"/>
      <c r="J773" s="2"/>
      <c r="K773" s="2"/>
      <c r="L773" s="2"/>
      <c r="M773" s="2"/>
      <c r="N773" s="2"/>
      <c r="O773" s="2"/>
      <c r="P773" s="2"/>
      <c r="Q773" s="2"/>
      <c r="R773" s="2"/>
      <c r="S773" s="2"/>
      <c r="T773" s="2"/>
      <c r="U773" s="2"/>
    </row>
    <row r="774" spans="1:21" ht="15.75" customHeight="1">
      <c r="A774" s="1"/>
      <c r="B774" s="2"/>
      <c r="C774" s="2"/>
      <c r="D774" s="2"/>
      <c r="E774" s="2"/>
      <c r="F774" s="2"/>
      <c r="G774" s="2"/>
      <c r="H774" s="2"/>
      <c r="I774" s="2"/>
      <c r="J774" s="2"/>
      <c r="K774" s="2"/>
      <c r="L774" s="2"/>
      <c r="M774" s="2"/>
      <c r="N774" s="2"/>
      <c r="O774" s="2"/>
      <c r="P774" s="2"/>
      <c r="Q774" s="2"/>
      <c r="R774" s="2"/>
      <c r="S774" s="2"/>
      <c r="T774" s="2"/>
      <c r="U774" s="2"/>
    </row>
    <row r="775" spans="1:21" ht="15.75" customHeight="1">
      <c r="A775" s="1"/>
      <c r="B775" s="2"/>
      <c r="C775" s="2"/>
      <c r="D775" s="2"/>
      <c r="E775" s="2"/>
      <c r="F775" s="2"/>
      <c r="G775" s="2"/>
      <c r="H775" s="2"/>
      <c r="I775" s="2"/>
      <c r="J775" s="2"/>
      <c r="K775" s="2"/>
      <c r="L775" s="2"/>
      <c r="M775" s="2"/>
      <c r="N775" s="2"/>
      <c r="O775" s="2"/>
      <c r="P775" s="2"/>
      <c r="Q775" s="2"/>
      <c r="R775" s="2"/>
      <c r="S775" s="2"/>
      <c r="T775" s="2"/>
      <c r="U775" s="2"/>
    </row>
    <row r="776" spans="1:21" ht="15.75" customHeight="1">
      <c r="A776" s="1"/>
      <c r="B776" s="2"/>
      <c r="C776" s="2"/>
      <c r="D776" s="2"/>
      <c r="E776" s="2"/>
      <c r="F776" s="2"/>
      <c r="G776" s="2"/>
      <c r="H776" s="2"/>
      <c r="I776" s="2"/>
      <c r="J776" s="2"/>
      <c r="K776" s="2"/>
      <c r="L776" s="2"/>
      <c r="M776" s="2"/>
      <c r="N776" s="2"/>
      <c r="O776" s="2"/>
      <c r="P776" s="2"/>
      <c r="Q776" s="2"/>
      <c r="R776" s="2"/>
      <c r="S776" s="2"/>
      <c r="T776" s="2"/>
      <c r="U776" s="2"/>
    </row>
    <row r="777" spans="1:21" ht="15.75" customHeight="1">
      <c r="A777" s="1"/>
      <c r="B777" s="2"/>
      <c r="C777" s="2"/>
      <c r="D777" s="2"/>
      <c r="E777" s="2"/>
      <c r="F777" s="2"/>
      <c r="G777" s="2"/>
      <c r="H777" s="2"/>
      <c r="I777" s="2"/>
      <c r="J777" s="2"/>
      <c r="K777" s="2"/>
      <c r="L777" s="2"/>
      <c r="M777" s="2"/>
      <c r="N777" s="2"/>
      <c r="O777" s="2"/>
      <c r="P777" s="2"/>
      <c r="Q777" s="2"/>
      <c r="R777" s="2"/>
      <c r="S777" s="2"/>
      <c r="T777" s="2"/>
      <c r="U777" s="2"/>
    </row>
    <row r="778" spans="1:21" ht="15.75" customHeight="1">
      <c r="A778" s="1"/>
      <c r="B778" s="2"/>
      <c r="C778" s="2"/>
      <c r="D778" s="2"/>
      <c r="E778" s="2"/>
      <c r="F778" s="2"/>
      <c r="G778" s="2"/>
      <c r="H778" s="2"/>
      <c r="I778" s="2"/>
      <c r="J778" s="2"/>
      <c r="K778" s="2"/>
      <c r="L778" s="2"/>
      <c r="M778" s="2"/>
      <c r="N778" s="2"/>
      <c r="O778" s="2"/>
      <c r="P778" s="2"/>
      <c r="Q778" s="2"/>
      <c r="R778" s="2"/>
      <c r="S778" s="2"/>
      <c r="T778" s="2"/>
      <c r="U778" s="2"/>
    </row>
    <row r="779" spans="1:21" ht="15.75" customHeight="1">
      <c r="A779" s="1"/>
      <c r="B779" s="2"/>
      <c r="C779" s="2"/>
      <c r="D779" s="2"/>
      <c r="E779" s="2"/>
      <c r="F779" s="2"/>
      <c r="G779" s="2"/>
      <c r="H779" s="2"/>
      <c r="I779" s="2"/>
      <c r="J779" s="2"/>
      <c r="K779" s="2"/>
      <c r="L779" s="2"/>
      <c r="M779" s="2"/>
      <c r="N779" s="2"/>
      <c r="O779" s="2"/>
      <c r="P779" s="2"/>
      <c r="Q779" s="2"/>
      <c r="R779" s="2"/>
      <c r="S779" s="2"/>
      <c r="T779" s="2"/>
      <c r="U779" s="2"/>
    </row>
    <row r="780" spans="1:21" ht="15.75" customHeight="1">
      <c r="A780" s="1"/>
      <c r="B780" s="2"/>
      <c r="C780" s="2"/>
      <c r="D780" s="2"/>
      <c r="E780" s="2"/>
      <c r="F780" s="2"/>
      <c r="G780" s="2"/>
      <c r="H780" s="2"/>
      <c r="I780" s="2"/>
      <c r="J780" s="2"/>
      <c r="K780" s="2"/>
      <c r="L780" s="2"/>
      <c r="M780" s="2"/>
      <c r="N780" s="2"/>
      <c r="O780" s="2"/>
      <c r="P780" s="2"/>
      <c r="Q780" s="2"/>
      <c r="R780" s="2"/>
      <c r="S780" s="2"/>
      <c r="T780" s="2"/>
      <c r="U780" s="2"/>
    </row>
    <row r="781" spans="1:21" ht="15.75" customHeight="1">
      <c r="A781" s="1"/>
      <c r="B781" s="2"/>
      <c r="C781" s="2"/>
      <c r="D781" s="2"/>
      <c r="E781" s="2"/>
      <c r="F781" s="2"/>
      <c r="G781" s="2"/>
      <c r="H781" s="2"/>
      <c r="I781" s="2"/>
      <c r="J781" s="2"/>
      <c r="K781" s="2"/>
      <c r="L781" s="2"/>
      <c r="M781" s="2"/>
      <c r="N781" s="2"/>
      <c r="O781" s="2"/>
      <c r="P781" s="2"/>
      <c r="Q781" s="2"/>
      <c r="R781" s="2"/>
      <c r="S781" s="2"/>
      <c r="T781" s="2"/>
      <c r="U781" s="2"/>
    </row>
    <row r="782" spans="1:21" ht="15.75" customHeight="1">
      <c r="A782" s="1"/>
      <c r="B782" s="2"/>
      <c r="C782" s="2"/>
      <c r="D782" s="2"/>
      <c r="E782" s="2"/>
      <c r="F782" s="2"/>
      <c r="G782" s="2"/>
      <c r="H782" s="2"/>
      <c r="I782" s="2"/>
      <c r="J782" s="2"/>
      <c r="K782" s="2"/>
      <c r="L782" s="2"/>
      <c r="M782" s="2"/>
      <c r="N782" s="2"/>
      <c r="O782" s="2"/>
      <c r="P782" s="2"/>
      <c r="Q782" s="2"/>
      <c r="R782" s="2"/>
      <c r="S782" s="2"/>
      <c r="T782" s="2"/>
      <c r="U782" s="2"/>
    </row>
    <row r="783" spans="1:21" ht="15.75" customHeight="1">
      <c r="A783" s="1"/>
      <c r="B783" s="2"/>
      <c r="C783" s="2"/>
      <c r="D783" s="2"/>
      <c r="E783" s="2"/>
      <c r="F783" s="2"/>
      <c r="G783" s="2"/>
      <c r="H783" s="2"/>
      <c r="I783" s="2"/>
      <c r="J783" s="2"/>
      <c r="K783" s="2"/>
      <c r="L783" s="2"/>
      <c r="M783" s="2"/>
      <c r="N783" s="2"/>
      <c r="O783" s="2"/>
      <c r="P783" s="2"/>
      <c r="Q783" s="2"/>
      <c r="R783" s="2"/>
      <c r="S783" s="2"/>
      <c r="T783" s="2"/>
      <c r="U783" s="2"/>
    </row>
    <row r="784" spans="1:21" ht="15.75" customHeight="1">
      <c r="A784" s="1"/>
      <c r="B784" s="2"/>
      <c r="C784" s="2"/>
      <c r="D784" s="2"/>
      <c r="E784" s="2"/>
      <c r="F784" s="2"/>
      <c r="G784" s="2"/>
      <c r="H784" s="2"/>
      <c r="I784" s="2"/>
      <c r="J784" s="2"/>
      <c r="K784" s="2"/>
      <c r="L784" s="2"/>
      <c r="M784" s="2"/>
      <c r="N784" s="2"/>
      <c r="O784" s="2"/>
      <c r="P784" s="2"/>
      <c r="Q784" s="2"/>
      <c r="R784" s="2"/>
      <c r="S784" s="2"/>
      <c r="T784" s="2"/>
      <c r="U784" s="2"/>
    </row>
    <row r="785" spans="1:21" ht="15.75" customHeight="1">
      <c r="A785" s="1"/>
      <c r="B785" s="2"/>
      <c r="C785" s="2"/>
      <c r="D785" s="2"/>
      <c r="E785" s="2"/>
      <c r="F785" s="2"/>
      <c r="G785" s="2"/>
      <c r="H785" s="2"/>
      <c r="I785" s="2"/>
      <c r="J785" s="2"/>
      <c r="K785" s="2"/>
      <c r="L785" s="2"/>
      <c r="M785" s="2"/>
      <c r="N785" s="2"/>
      <c r="O785" s="2"/>
      <c r="P785" s="2"/>
      <c r="Q785" s="2"/>
      <c r="R785" s="2"/>
      <c r="S785" s="2"/>
      <c r="T785" s="2"/>
      <c r="U785" s="2"/>
    </row>
    <row r="786" spans="1:21" ht="15.75" customHeight="1">
      <c r="A786" s="1"/>
      <c r="B786" s="2"/>
      <c r="C786" s="2"/>
      <c r="D786" s="2"/>
      <c r="E786" s="2"/>
      <c r="F786" s="2"/>
      <c r="G786" s="2"/>
      <c r="H786" s="2"/>
      <c r="I786" s="2"/>
      <c r="J786" s="2"/>
      <c r="K786" s="2"/>
      <c r="L786" s="2"/>
      <c r="M786" s="2"/>
      <c r="N786" s="2"/>
      <c r="O786" s="2"/>
      <c r="P786" s="2"/>
      <c r="Q786" s="2"/>
      <c r="R786" s="2"/>
      <c r="S786" s="2"/>
      <c r="T786" s="2"/>
      <c r="U786" s="2"/>
    </row>
    <row r="787" spans="1:21" ht="15.75" customHeight="1">
      <c r="A787" s="1"/>
      <c r="B787" s="2"/>
      <c r="C787" s="2"/>
      <c r="D787" s="2"/>
      <c r="E787" s="2"/>
      <c r="F787" s="2"/>
      <c r="G787" s="2"/>
      <c r="H787" s="2"/>
      <c r="I787" s="2"/>
      <c r="J787" s="2"/>
      <c r="K787" s="2"/>
      <c r="L787" s="2"/>
      <c r="M787" s="2"/>
      <c r="N787" s="2"/>
      <c r="O787" s="2"/>
      <c r="P787" s="2"/>
      <c r="Q787" s="2"/>
      <c r="R787" s="2"/>
      <c r="S787" s="2"/>
      <c r="T787" s="2"/>
      <c r="U787" s="2"/>
    </row>
    <row r="788" spans="1:21" ht="15.75" customHeight="1">
      <c r="A788" s="1"/>
      <c r="B788" s="2"/>
      <c r="C788" s="2"/>
      <c r="D788" s="2"/>
      <c r="E788" s="2"/>
      <c r="F788" s="2"/>
      <c r="G788" s="2"/>
      <c r="H788" s="2"/>
      <c r="I788" s="2"/>
      <c r="J788" s="2"/>
      <c r="K788" s="2"/>
      <c r="L788" s="2"/>
      <c r="M788" s="2"/>
      <c r="N788" s="2"/>
      <c r="O788" s="2"/>
      <c r="P788" s="2"/>
      <c r="Q788" s="2"/>
      <c r="R788" s="2"/>
      <c r="S788" s="2"/>
      <c r="T788" s="2"/>
      <c r="U788" s="2"/>
    </row>
    <row r="789" spans="1:21" ht="15.75" customHeight="1">
      <c r="A789" s="1"/>
      <c r="B789" s="2"/>
      <c r="C789" s="2"/>
      <c r="D789" s="2"/>
      <c r="E789" s="2"/>
      <c r="F789" s="2"/>
      <c r="G789" s="2"/>
      <c r="H789" s="2"/>
      <c r="I789" s="2"/>
      <c r="J789" s="2"/>
      <c r="K789" s="2"/>
      <c r="L789" s="2"/>
      <c r="M789" s="2"/>
      <c r="N789" s="2"/>
      <c r="O789" s="2"/>
      <c r="P789" s="2"/>
      <c r="Q789" s="2"/>
      <c r="R789" s="2"/>
      <c r="S789" s="2"/>
      <c r="T789" s="2"/>
      <c r="U789" s="2"/>
    </row>
    <row r="790" spans="1:21" ht="15.75" customHeight="1">
      <c r="A790" s="1"/>
      <c r="B790" s="2"/>
      <c r="C790" s="2"/>
      <c r="D790" s="2"/>
      <c r="E790" s="2"/>
      <c r="F790" s="2"/>
      <c r="G790" s="2"/>
      <c r="H790" s="2"/>
      <c r="I790" s="2"/>
      <c r="J790" s="2"/>
      <c r="K790" s="2"/>
      <c r="L790" s="2"/>
      <c r="M790" s="2"/>
      <c r="N790" s="2"/>
      <c r="O790" s="2"/>
      <c r="P790" s="2"/>
      <c r="Q790" s="2"/>
      <c r="R790" s="2"/>
      <c r="S790" s="2"/>
      <c r="T790" s="2"/>
      <c r="U790" s="2"/>
    </row>
    <row r="791" spans="1:21" ht="15.75" customHeight="1">
      <c r="A791" s="1"/>
      <c r="B791" s="2"/>
      <c r="C791" s="2"/>
      <c r="D791" s="2"/>
      <c r="E791" s="2"/>
      <c r="F791" s="2"/>
      <c r="G791" s="2"/>
      <c r="H791" s="2"/>
      <c r="I791" s="2"/>
      <c r="J791" s="2"/>
      <c r="K791" s="2"/>
      <c r="L791" s="2"/>
      <c r="M791" s="2"/>
      <c r="N791" s="2"/>
      <c r="O791" s="2"/>
      <c r="P791" s="2"/>
      <c r="Q791" s="2"/>
      <c r="R791" s="2"/>
      <c r="S791" s="2"/>
      <c r="T791" s="2"/>
      <c r="U791" s="2"/>
    </row>
    <row r="792" spans="1:21" ht="15.75" customHeight="1">
      <c r="A792" s="1"/>
      <c r="B792" s="2"/>
      <c r="C792" s="2"/>
      <c r="D792" s="2"/>
      <c r="E792" s="2"/>
      <c r="F792" s="2"/>
      <c r="G792" s="2"/>
      <c r="H792" s="2"/>
      <c r="I792" s="2"/>
      <c r="J792" s="2"/>
      <c r="K792" s="2"/>
      <c r="L792" s="2"/>
      <c r="M792" s="2"/>
      <c r="N792" s="2"/>
      <c r="O792" s="2"/>
      <c r="P792" s="2"/>
      <c r="Q792" s="2"/>
      <c r="R792" s="2"/>
      <c r="S792" s="2"/>
      <c r="T792" s="2"/>
      <c r="U792" s="2"/>
    </row>
    <row r="793" spans="1:21" ht="15.75" customHeight="1">
      <c r="A793" s="1"/>
      <c r="B793" s="2"/>
      <c r="C793" s="2"/>
      <c r="D793" s="2"/>
      <c r="E793" s="2"/>
      <c r="F793" s="2"/>
      <c r="G793" s="2"/>
      <c r="H793" s="2"/>
      <c r="I793" s="2"/>
      <c r="J793" s="2"/>
      <c r="K793" s="2"/>
      <c r="L793" s="2"/>
      <c r="M793" s="2"/>
      <c r="N793" s="2"/>
      <c r="O793" s="2"/>
      <c r="P793" s="2"/>
      <c r="Q793" s="2"/>
      <c r="R793" s="2"/>
      <c r="S793" s="2"/>
      <c r="T793" s="2"/>
      <c r="U793" s="2"/>
    </row>
    <row r="794" spans="1:21" ht="15.75" customHeight="1">
      <c r="A794" s="1"/>
      <c r="B794" s="2"/>
      <c r="C794" s="2"/>
      <c r="D794" s="2"/>
      <c r="E794" s="2"/>
      <c r="F794" s="2"/>
      <c r="G794" s="2"/>
      <c r="H794" s="2"/>
      <c r="I794" s="2"/>
      <c r="J794" s="2"/>
      <c r="K794" s="2"/>
      <c r="L794" s="2"/>
      <c r="M794" s="2"/>
      <c r="N794" s="2"/>
      <c r="O794" s="2"/>
      <c r="P794" s="2"/>
      <c r="Q794" s="2"/>
      <c r="R794" s="2"/>
      <c r="S794" s="2"/>
      <c r="T794" s="2"/>
      <c r="U794" s="2"/>
    </row>
    <row r="795" spans="1:21" ht="15.75" customHeight="1">
      <c r="A795" s="1"/>
      <c r="B795" s="2"/>
      <c r="C795" s="2"/>
      <c r="D795" s="2"/>
      <c r="E795" s="2"/>
      <c r="F795" s="2"/>
      <c r="G795" s="2"/>
      <c r="H795" s="2"/>
      <c r="I795" s="2"/>
      <c r="J795" s="2"/>
      <c r="K795" s="2"/>
      <c r="L795" s="2"/>
      <c r="M795" s="2"/>
      <c r="N795" s="2"/>
      <c r="O795" s="2"/>
      <c r="P795" s="2"/>
      <c r="Q795" s="2"/>
      <c r="R795" s="2"/>
      <c r="S795" s="2"/>
      <c r="T795" s="2"/>
      <c r="U795" s="2"/>
    </row>
    <row r="796" spans="1:21" ht="15.75" customHeight="1">
      <c r="A796" s="1"/>
      <c r="B796" s="2"/>
      <c r="C796" s="2"/>
      <c r="D796" s="2"/>
      <c r="E796" s="2"/>
      <c r="F796" s="2"/>
      <c r="G796" s="2"/>
      <c r="H796" s="2"/>
      <c r="I796" s="2"/>
      <c r="J796" s="2"/>
      <c r="K796" s="2"/>
      <c r="L796" s="2"/>
      <c r="M796" s="2"/>
      <c r="N796" s="2"/>
      <c r="O796" s="2"/>
      <c r="P796" s="2"/>
      <c r="Q796" s="2"/>
      <c r="R796" s="2"/>
      <c r="S796" s="2"/>
      <c r="T796" s="2"/>
      <c r="U796" s="2"/>
    </row>
    <row r="797" spans="1:21" ht="15.75" customHeight="1">
      <c r="A797" s="1"/>
      <c r="B797" s="2"/>
      <c r="C797" s="2"/>
      <c r="D797" s="2"/>
      <c r="E797" s="2"/>
      <c r="F797" s="2"/>
      <c r="G797" s="2"/>
      <c r="H797" s="2"/>
      <c r="I797" s="2"/>
      <c r="J797" s="2"/>
      <c r="K797" s="2"/>
      <c r="L797" s="2"/>
      <c r="M797" s="2"/>
      <c r="N797" s="2"/>
      <c r="O797" s="2"/>
      <c r="P797" s="2"/>
      <c r="Q797" s="2"/>
      <c r="R797" s="2"/>
      <c r="S797" s="2"/>
      <c r="T797" s="2"/>
      <c r="U797" s="2"/>
    </row>
    <row r="798" spans="1:21" ht="15.75" customHeight="1">
      <c r="A798" s="1"/>
      <c r="B798" s="2"/>
      <c r="C798" s="2"/>
      <c r="D798" s="2"/>
      <c r="E798" s="2"/>
      <c r="F798" s="2"/>
      <c r="G798" s="2"/>
      <c r="H798" s="2"/>
      <c r="I798" s="2"/>
      <c r="J798" s="2"/>
      <c r="K798" s="2"/>
      <c r="L798" s="2"/>
      <c r="M798" s="2"/>
      <c r="N798" s="2"/>
      <c r="O798" s="2"/>
      <c r="P798" s="2"/>
      <c r="Q798" s="2"/>
      <c r="R798" s="2"/>
      <c r="S798" s="2"/>
      <c r="T798" s="2"/>
      <c r="U798" s="2"/>
    </row>
    <row r="799" spans="1:21" ht="15.75" customHeight="1">
      <c r="A799" s="1"/>
      <c r="B799" s="2"/>
      <c r="C799" s="2"/>
      <c r="D799" s="2"/>
      <c r="E799" s="2"/>
      <c r="F799" s="2"/>
      <c r="G799" s="2"/>
      <c r="H799" s="2"/>
      <c r="I799" s="2"/>
      <c r="J799" s="2"/>
      <c r="K799" s="2"/>
      <c r="L799" s="2"/>
      <c r="M799" s="2"/>
      <c r="N799" s="2"/>
      <c r="O799" s="2"/>
      <c r="P799" s="2"/>
      <c r="Q799" s="2"/>
      <c r="R799" s="2"/>
      <c r="S799" s="2"/>
      <c r="T799" s="2"/>
      <c r="U799" s="2"/>
    </row>
    <row r="800" spans="1:21" ht="15.75" customHeight="1">
      <c r="A800" s="1"/>
      <c r="B800" s="2"/>
      <c r="C800" s="2"/>
      <c r="D800" s="2"/>
      <c r="E800" s="2"/>
      <c r="F800" s="2"/>
      <c r="G800" s="2"/>
      <c r="H800" s="2"/>
      <c r="I800" s="2"/>
      <c r="J800" s="2"/>
      <c r="K800" s="2"/>
      <c r="L800" s="2"/>
      <c r="M800" s="2"/>
      <c r="N800" s="2"/>
      <c r="O800" s="2"/>
      <c r="P800" s="2"/>
      <c r="Q800" s="2"/>
      <c r="R800" s="2"/>
      <c r="S800" s="2"/>
      <c r="T800" s="2"/>
      <c r="U800" s="2"/>
    </row>
    <row r="801" spans="1:21" ht="15.75" customHeight="1">
      <c r="A801" s="1"/>
      <c r="B801" s="2"/>
      <c r="C801" s="2"/>
      <c r="D801" s="2"/>
      <c r="E801" s="2"/>
      <c r="F801" s="2"/>
      <c r="G801" s="2"/>
      <c r="H801" s="2"/>
      <c r="I801" s="2"/>
      <c r="J801" s="2"/>
      <c r="K801" s="2"/>
      <c r="L801" s="2"/>
      <c r="M801" s="2"/>
      <c r="N801" s="2"/>
      <c r="O801" s="2"/>
      <c r="P801" s="2"/>
      <c r="Q801" s="2"/>
      <c r="R801" s="2"/>
      <c r="S801" s="2"/>
      <c r="T801" s="2"/>
      <c r="U801" s="2"/>
    </row>
    <row r="802" spans="1:21" ht="15.75" customHeight="1">
      <c r="A802" s="1"/>
      <c r="B802" s="2"/>
      <c r="C802" s="2"/>
      <c r="D802" s="2"/>
      <c r="E802" s="2"/>
      <c r="F802" s="2"/>
      <c r="G802" s="2"/>
      <c r="H802" s="2"/>
      <c r="I802" s="2"/>
      <c r="J802" s="2"/>
      <c r="K802" s="2"/>
      <c r="L802" s="2"/>
      <c r="M802" s="2"/>
      <c r="N802" s="2"/>
      <c r="O802" s="2"/>
      <c r="P802" s="2"/>
      <c r="Q802" s="2"/>
      <c r="R802" s="2"/>
      <c r="S802" s="2"/>
      <c r="T802" s="2"/>
      <c r="U802" s="2"/>
    </row>
    <row r="803" spans="1:21" ht="15.75" customHeight="1">
      <c r="A803" s="1"/>
      <c r="B803" s="2"/>
      <c r="C803" s="2"/>
      <c r="D803" s="2"/>
      <c r="E803" s="2"/>
      <c r="F803" s="2"/>
      <c r="G803" s="2"/>
      <c r="H803" s="2"/>
      <c r="I803" s="2"/>
      <c r="J803" s="2"/>
      <c r="K803" s="2"/>
      <c r="L803" s="2"/>
      <c r="M803" s="2"/>
      <c r="N803" s="2"/>
      <c r="O803" s="2"/>
      <c r="P803" s="2"/>
      <c r="Q803" s="2"/>
      <c r="R803" s="2"/>
      <c r="S803" s="2"/>
      <c r="T803" s="2"/>
      <c r="U803" s="2"/>
    </row>
    <row r="804" spans="1:21" ht="15.75" customHeight="1">
      <c r="A804" s="1"/>
      <c r="B804" s="2"/>
      <c r="C804" s="2"/>
      <c r="D804" s="2"/>
      <c r="E804" s="2"/>
      <c r="F804" s="2"/>
      <c r="G804" s="2"/>
      <c r="H804" s="2"/>
      <c r="I804" s="2"/>
      <c r="J804" s="2"/>
      <c r="K804" s="2"/>
      <c r="L804" s="2"/>
      <c r="M804" s="2"/>
      <c r="N804" s="2"/>
      <c r="O804" s="2"/>
      <c r="P804" s="2"/>
      <c r="Q804" s="2"/>
      <c r="R804" s="2"/>
      <c r="S804" s="2"/>
      <c r="T804" s="2"/>
      <c r="U804" s="2"/>
    </row>
    <row r="805" spans="1:21" ht="15.75" customHeight="1">
      <c r="A805" s="1"/>
      <c r="B805" s="2"/>
      <c r="C805" s="2"/>
      <c r="D805" s="2"/>
      <c r="E805" s="2"/>
      <c r="F805" s="2"/>
      <c r="G805" s="2"/>
      <c r="H805" s="2"/>
      <c r="I805" s="2"/>
      <c r="J805" s="2"/>
      <c r="K805" s="2"/>
      <c r="L805" s="2"/>
      <c r="M805" s="2"/>
      <c r="N805" s="2"/>
      <c r="O805" s="2"/>
      <c r="P805" s="2"/>
      <c r="Q805" s="2"/>
      <c r="R805" s="2"/>
      <c r="S805" s="2"/>
      <c r="T805" s="2"/>
      <c r="U805" s="2"/>
    </row>
    <row r="806" spans="1:21" ht="15.75" customHeight="1">
      <c r="A806" s="1"/>
      <c r="B806" s="2"/>
      <c r="C806" s="2"/>
      <c r="D806" s="2"/>
      <c r="E806" s="2"/>
      <c r="F806" s="2"/>
      <c r="G806" s="2"/>
      <c r="H806" s="2"/>
      <c r="I806" s="2"/>
      <c r="J806" s="2"/>
      <c r="K806" s="2"/>
      <c r="L806" s="2"/>
      <c r="M806" s="2"/>
      <c r="N806" s="2"/>
      <c r="O806" s="2"/>
      <c r="P806" s="2"/>
      <c r="Q806" s="2"/>
      <c r="R806" s="2"/>
      <c r="S806" s="2"/>
      <c r="T806" s="2"/>
      <c r="U806" s="2"/>
    </row>
    <row r="807" spans="1:21" ht="15.75" customHeight="1">
      <c r="A807" s="1"/>
      <c r="B807" s="2"/>
      <c r="C807" s="2"/>
      <c r="D807" s="2"/>
      <c r="E807" s="2"/>
      <c r="F807" s="2"/>
      <c r="G807" s="2"/>
      <c r="H807" s="2"/>
      <c r="I807" s="2"/>
      <c r="J807" s="2"/>
      <c r="K807" s="2"/>
      <c r="L807" s="2"/>
      <c r="M807" s="2"/>
      <c r="N807" s="2"/>
      <c r="O807" s="2"/>
      <c r="P807" s="2"/>
      <c r="Q807" s="2"/>
      <c r="R807" s="2"/>
      <c r="S807" s="2"/>
      <c r="T807" s="2"/>
      <c r="U807" s="2"/>
    </row>
    <row r="808" spans="1:21" ht="15.75" customHeight="1">
      <c r="A808" s="1"/>
      <c r="B808" s="2"/>
      <c r="C808" s="2"/>
      <c r="D808" s="2"/>
      <c r="E808" s="2"/>
      <c r="F808" s="2"/>
      <c r="G808" s="2"/>
      <c r="H808" s="2"/>
      <c r="I808" s="2"/>
      <c r="J808" s="2"/>
      <c r="K808" s="2"/>
      <c r="L808" s="2"/>
      <c r="M808" s="2"/>
      <c r="N808" s="2"/>
      <c r="O808" s="2"/>
      <c r="P808" s="2"/>
      <c r="Q808" s="2"/>
      <c r="R808" s="2"/>
      <c r="S808" s="2"/>
      <c r="T808" s="2"/>
      <c r="U808" s="2"/>
    </row>
    <row r="809" spans="1:21" ht="15.75" customHeight="1">
      <c r="A809" s="1"/>
      <c r="B809" s="2"/>
      <c r="C809" s="2"/>
      <c r="D809" s="2"/>
      <c r="E809" s="2"/>
      <c r="F809" s="2"/>
      <c r="G809" s="2"/>
      <c r="H809" s="2"/>
      <c r="I809" s="2"/>
      <c r="J809" s="2"/>
      <c r="K809" s="2"/>
      <c r="L809" s="2"/>
      <c r="M809" s="2"/>
      <c r="N809" s="2"/>
      <c r="O809" s="2"/>
      <c r="P809" s="2"/>
      <c r="Q809" s="2"/>
      <c r="R809" s="2"/>
      <c r="S809" s="2"/>
      <c r="T809" s="2"/>
      <c r="U809" s="2"/>
    </row>
    <row r="810" spans="1:21" ht="15.75" customHeight="1">
      <c r="A810" s="1"/>
      <c r="B810" s="2"/>
      <c r="C810" s="2"/>
      <c r="D810" s="2"/>
      <c r="E810" s="2"/>
      <c r="F810" s="2"/>
      <c r="G810" s="2"/>
      <c r="H810" s="2"/>
      <c r="I810" s="2"/>
      <c r="J810" s="2"/>
      <c r="K810" s="2"/>
      <c r="L810" s="2"/>
      <c r="M810" s="2"/>
      <c r="N810" s="2"/>
      <c r="O810" s="2"/>
      <c r="P810" s="2"/>
      <c r="Q810" s="2"/>
      <c r="R810" s="2"/>
      <c r="S810" s="2"/>
      <c r="T810" s="2"/>
      <c r="U810" s="2"/>
    </row>
    <row r="811" spans="1:21" ht="15.75" customHeight="1">
      <c r="A811" s="1"/>
      <c r="B811" s="2"/>
      <c r="C811" s="2"/>
      <c r="D811" s="2"/>
      <c r="E811" s="2"/>
      <c r="F811" s="2"/>
      <c r="G811" s="2"/>
      <c r="H811" s="2"/>
      <c r="I811" s="2"/>
      <c r="J811" s="2"/>
      <c r="K811" s="2"/>
      <c r="L811" s="2"/>
      <c r="M811" s="2"/>
      <c r="N811" s="2"/>
      <c r="O811" s="2"/>
      <c r="P811" s="2"/>
      <c r="Q811" s="2"/>
      <c r="R811" s="2"/>
      <c r="S811" s="2"/>
      <c r="T811" s="2"/>
      <c r="U811" s="2"/>
    </row>
    <row r="812" spans="1:21" ht="15.75" customHeight="1">
      <c r="A812" s="1"/>
      <c r="B812" s="2"/>
      <c r="C812" s="2"/>
      <c r="D812" s="2"/>
      <c r="E812" s="2"/>
      <c r="F812" s="2"/>
      <c r="G812" s="2"/>
      <c r="H812" s="2"/>
      <c r="I812" s="2"/>
      <c r="J812" s="2"/>
      <c r="K812" s="2"/>
      <c r="L812" s="2"/>
      <c r="M812" s="2"/>
      <c r="N812" s="2"/>
      <c r="O812" s="2"/>
      <c r="P812" s="2"/>
      <c r="Q812" s="2"/>
      <c r="R812" s="2"/>
      <c r="S812" s="2"/>
      <c r="T812" s="2"/>
      <c r="U812" s="2"/>
    </row>
    <row r="813" spans="1:21" ht="15.75" customHeight="1">
      <c r="A813" s="1"/>
      <c r="B813" s="2"/>
      <c r="C813" s="2"/>
      <c r="D813" s="2"/>
      <c r="E813" s="2"/>
      <c r="F813" s="2"/>
      <c r="G813" s="2"/>
      <c r="H813" s="2"/>
      <c r="I813" s="2"/>
      <c r="J813" s="2"/>
      <c r="K813" s="2"/>
      <c r="L813" s="2"/>
      <c r="M813" s="2"/>
      <c r="N813" s="2"/>
      <c r="O813" s="2"/>
      <c r="P813" s="2"/>
      <c r="Q813" s="2"/>
      <c r="R813" s="2"/>
      <c r="S813" s="2"/>
      <c r="T813" s="2"/>
      <c r="U813" s="2"/>
    </row>
    <row r="814" spans="1:21" ht="15.75" customHeight="1">
      <c r="A814" s="1"/>
      <c r="B814" s="2"/>
      <c r="C814" s="2"/>
      <c r="D814" s="2"/>
      <c r="E814" s="2"/>
      <c r="F814" s="2"/>
      <c r="G814" s="2"/>
      <c r="H814" s="2"/>
      <c r="I814" s="2"/>
      <c r="J814" s="2"/>
      <c r="K814" s="2"/>
      <c r="L814" s="2"/>
      <c r="M814" s="2"/>
      <c r="N814" s="2"/>
      <c r="O814" s="2"/>
      <c r="P814" s="2"/>
      <c r="Q814" s="2"/>
      <c r="R814" s="2"/>
      <c r="S814" s="2"/>
      <c r="T814" s="2"/>
      <c r="U814" s="2"/>
    </row>
    <row r="815" spans="1:21" ht="15.75" customHeight="1">
      <c r="A815" s="1"/>
      <c r="B815" s="2"/>
      <c r="C815" s="2"/>
      <c r="D815" s="2"/>
      <c r="E815" s="2"/>
      <c r="F815" s="2"/>
      <c r="G815" s="2"/>
      <c r="H815" s="2"/>
      <c r="I815" s="2"/>
      <c r="J815" s="2"/>
      <c r="K815" s="2"/>
      <c r="L815" s="2"/>
      <c r="M815" s="2"/>
      <c r="N815" s="2"/>
      <c r="O815" s="2"/>
      <c r="P815" s="2"/>
      <c r="Q815" s="2"/>
      <c r="R815" s="2"/>
      <c r="S815" s="2"/>
      <c r="T815" s="2"/>
      <c r="U815" s="2"/>
    </row>
    <row r="816" spans="1:21" ht="15.75" customHeight="1">
      <c r="A816" s="1"/>
      <c r="B816" s="2"/>
      <c r="C816" s="2"/>
      <c r="D816" s="2"/>
      <c r="E816" s="2"/>
      <c r="F816" s="2"/>
      <c r="G816" s="2"/>
      <c r="H816" s="2"/>
      <c r="I816" s="2"/>
      <c r="J816" s="2"/>
      <c r="K816" s="2"/>
      <c r="L816" s="2"/>
      <c r="M816" s="2"/>
      <c r="N816" s="2"/>
      <c r="O816" s="2"/>
      <c r="P816" s="2"/>
      <c r="Q816" s="2"/>
      <c r="R816" s="2"/>
      <c r="S816" s="2"/>
      <c r="T816" s="2"/>
      <c r="U816" s="2"/>
    </row>
    <row r="817" spans="1:21" ht="15.75" customHeight="1">
      <c r="A817" s="1"/>
      <c r="B817" s="2"/>
      <c r="C817" s="2"/>
      <c r="D817" s="2"/>
      <c r="E817" s="2"/>
      <c r="F817" s="2"/>
      <c r="G817" s="2"/>
      <c r="H817" s="2"/>
      <c r="I817" s="2"/>
      <c r="J817" s="2"/>
      <c r="K817" s="2"/>
      <c r="L817" s="2"/>
      <c r="M817" s="2"/>
      <c r="N817" s="2"/>
      <c r="O817" s="2"/>
      <c r="P817" s="2"/>
      <c r="Q817" s="2"/>
      <c r="R817" s="2"/>
      <c r="S817" s="2"/>
      <c r="T817" s="2"/>
      <c r="U817" s="2"/>
    </row>
    <row r="818" spans="1:21" ht="15.75" customHeight="1">
      <c r="A818" s="1"/>
      <c r="B818" s="2"/>
      <c r="C818" s="2"/>
      <c r="D818" s="2"/>
      <c r="E818" s="2"/>
      <c r="F818" s="2"/>
      <c r="G818" s="2"/>
      <c r="H818" s="2"/>
      <c r="I818" s="2"/>
      <c r="J818" s="2"/>
      <c r="K818" s="2"/>
      <c r="L818" s="2"/>
      <c r="M818" s="2"/>
      <c r="N818" s="2"/>
      <c r="O818" s="2"/>
      <c r="P818" s="2"/>
      <c r="Q818" s="2"/>
      <c r="R818" s="2"/>
      <c r="S818" s="2"/>
      <c r="T818" s="2"/>
      <c r="U818" s="2"/>
    </row>
    <row r="819" spans="1:21" ht="15.75" customHeight="1">
      <c r="A819" s="1"/>
      <c r="B819" s="2"/>
      <c r="C819" s="2"/>
      <c r="D819" s="2"/>
      <c r="E819" s="2"/>
      <c r="F819" s="2"/>
      <c r="G819" s="2"/>
      <c r="H819" s="2"/>
      <c r="I819" s="2"/>
      <c r="J819" s="2"/>
      <c r="K819" s="2"/>
      <c r="L819" s="2"/>
      <c r="M819" s="2"/>
      <c r="N819" s="2"/>
      <c r="O819" s="2"/>
      <c r="P819" s="2"/>
      <c r="Q819" s="2"/>
      <c r="R819" s="2"/>
      <c r="S819" s="2"/>
      <c r="T819" s="2"/>
      <c r="U819" s="2"/>
    </row>
    <row r="820" spans="1:21" ht="15.75" customHeight="1">
      <c r="A820" s="1"/>
      <c r="B820" s="2"/>
      <c r="C820" s="2"/>
      <c r="D820" s="2"/>
      <c r="E820" s="2"/>
      <c r="F820" s="2"/>
      <c r="G820" s="2"/>
      <c r="H820" s="2"/>
      <c r="I820" s="2"/>
      <c r="J820" s="2"/>
      <c r="K820" s="2"/>
      <c r="L820" s="2"/>
      <c r="M820" s="2"/>
      <c r="N820" s="2"/>
      <c r="O820" s="2"/>
      <c r="P820" s="2"/>
      <c r="Q820" s="2"/>
      <c r="R820" s="2"/>
      <c r="S820" s="2"/>
      <c r="T820" s="2"/>
      <c r="U820" s="2"/>
    </row>
    <row r="821" spans="1:21" ht="15.75" customHeight="1">
      <c r="A821" s="1"/>
      <c r="B821" s="2"/>
      <c r="C821" s="2"/>
      <c r="D821" s="2"/>
      <c r="E821" s="2"/>
      <c r="F821" s="2"/>
      <c r="G821" s="2"/>
      <c r="H821" s="2"/>
      <c r="I821" s="2"/>
      <c r="J821" s="2"/>
      <c r="K821" s="2"/>
      <c r="L821" s="2"/>
      <c r="M821" s="2"/>
      <c r="N821" s="2"/>
      <c r="O821" s="2"/>
      <c r="P821" s="2"/>
      <c r="Q821" s="2"/>
      <c r="R821" s="2"/>
      <c r="S821" s="2"/>
      <c r="T821" s="2"/>
      <c r="U821" s="2"/>
    </row>
    <row r="822" spans="1:21" ht="15.75" customHeight="1">
      <c r="A822" s="1"/>
      <c r="B822" s="2"/>
      <c r="C822" s="2"/>
      <c r="D822" s="2"/>
      <c r="E822" s="2"/>
      <c r="F822" s="2"/>
      <c r="G822" s="2"/>
      <c r="H822" s="2"/>
      <c r="I822" s="2"/>
      <c r="J822" s="2"/>
      <c r="K822" s="2"/>
      <c r="L822" s="2"/>
      <c r="M822" s="2"/>
      <c r="N822" s="2"/>
      <c r="O822" s="2"/>
      <c r="P822" s="2"/>
      <c r="Q822" s="2"/>
      <c r="R822" s="2"/>
      <c r="S822" s="2"/>
      <c r="T822" s="2"/>
      <c r="U822" s="2"/>
    </row>
    <row r="823" spans="1:21" ht="15.75" customHeight="1">
      <c r="A823" s="1"/>
      <c r="B823" s="2"/>
      <c r="C823" s="2"/>
      <c r="D823" s="2"/>
      <c r="E823" s="2"/>
      <c r="F823" s="2"/>
      <c r="G823" s="2"/>
      <c r="H823" s="2"/>
      <c r="I823" s="2"/>
      <c r="J823" s="2"/>
      <c r="K823" s="2"/>
      <c r="L823" s="2"/>
      <c r="M823" s="2"/>
      <c r="N823" s="2"/>
      <c r="O823" s="2"/>
      <c r="P823" s="2"/>
      <c r="Q823" s="2"/>
      <c r="R823" s="2"/>
      <c r="S823" s="2"/>
      <c r="T823" s="2"/>
      <c r="U823" s="2"/>
    </row>
    <row r="824" spans="1:21" ht="15.75" customHeight="1">
      <c r="A824" s="1"/>
      <c r="B824" s="2"/>
      <c r="C824" s="2"/>
      <c r="D824" s="2"/>
      <c r="E824" s="2"/>
      <c r="F824" s="2"/>
      <c r="G824" s="2"/>
      <c r="H824" s="2"/>
      <c r="I824" s="2"/>
      <c r="J824" s="2"/>
      <c r="K824" s="2"/>
      <c r="L824" s="2"/>
      <c r="M824" s="2"/>
      <c r="N824" s="2"/>
      <c r="O824" s="2"/>
      <c r="P824" s="2"/>
      <c r="Q824" s="2"/>
      <c r="R824" s="2"/>
      <c r="S824" s="2"/>
      <c r="T824" s="2"/>
      <c r="U824" s="2"/>
    </row>
    <row r="825" spans="1:21" ht="15.75" customHeight="1">
      <c r="A825" s="1"/>
      <c r="B825" s="2"/>
      <c r="C825" s="2"/>
      <c r="D825" s="2"/>
      <c r="E825" s="2"/>
      <c r="F825" s="2"/>
      <c r="G825" s="2"/>
      <c r="H825" s="2"/>
      <c r="I825" s="2"/>
      <c r="J825" s="2"/>
      <c r="K825" s="2"/>
      <c r="L825" s="2"/>
      <c r="M825" s="2"/>
      <c r="N825" s="2"/>
      <c r="O825" s="2"/>
      <c r="P825" s="2"/>
      <c r="Q825" s="2"/>
      <c r="R825" s="2"/>
      <c r="S825" s="2"/>
      <c r="T825" s="2"/>
      <c r="U825" s="2"/>
    </row>
    <row r="826" spans="1:21" ht="15.75" customHeight="1">
      <c r="A826" s="1"/>
      <c r="B826" s="2"/>
      <c r="C826" s="2"/>
      <c r="D826" s="2"/>
      <c r="E826" s="2"/>
      <c r="F826" s="2"/>
      <c r="G826" s="2"/>
      <c r="H826" s="2"/>
      <c r="I826" s="2"/>
      <c r="J826" s="2"/>
      <c r="K826" s="2"/>
      <c r="L826" s="2"/>
      <c r="M826" s="2"/>
      <c r="N826" s="2"/>
      <c r="O826" s="2"/>
      <c r="P826" s="2"/>
      <c r="Q826" s="2"/>
      <c r="R826" s="2"/>
      <c r="S826" s="2"/>
      <c r="T826" s="2"/>
      <c r="U826" s="2"/>
    </row>
    <row r="827" spans="1:21" ht="15.75" customHeight="1">
      <c r="A827" s="1"/>
      <c r="B827" s="2"/>
      <c r="C827" s="2"/>
      <c r="D827" s="2"/>
      <c r="E827" s="2"/>
      <c r="F827" s="2"/>
      <c r="G827" s="2"/>
      <c r="H827" s="2"/>
      <c r="I827" s="2"/>
      <c r="J827" s="2"/>
      <c r="K827" s="2"/>
      <c r="L827" s="2"/>
      <c r="M827" s="2"/>
      <c r="N827" s="2"/>
      <c r="O827" s="2"/>
      <c r="P827" s="2"/>
      <c r="Q827" s="2"/>
      <c r="R827" s="2"/>
      <c r="S827" s="2"/>
      <c r="T827" s="2"/>
      <c r="U827" s="2"/>
    </row>
    <row r="828" spans="1:21" ht="15.75" customHeight="1">
      <c r="A828" s="1"/>
      <c r="B828" s="2"/>
      <c r="C828" s="2"/>
      <c r="D828" s="2"/>
      <c r="E828" s="2"/>
      <c r="F828" s="2"/>
      <c r="G828" s="2"/>
      <c r="H828" s="2"/>
      <c r="I828" s="2"/>
      <c r="J828" s="2"/>
      <c r="K828" s="2"/>
      <c r="L828" s="2"/>
      <c r="M828" s="2"/>
      <c r="N828" s="2"/>
      <c r="O828" s="2"/>
      <c r="P828" s="2"/>
      <c r="Q828" s="2"/>
      <c r="R828" s="2"/>
      <c r="S828" s="2"/>
      <c r="T828" s="2"/>
      <c r="U828" s="2"/>
    </row>
    <row r="829" spans="1:21" ht="15.75" customHeight="1">
      <c r="A829" s="1"/>
      <c r="B829" s="2"/>
      <c r="C829" s="2"/>
      <c r="D829" s="2"/>
      <c r="E829" s="2"/>
      <c r="F829" s="2"/>
      <c r="G829" s="2"/>
      <c r="H829" s="2"/>
      <c r="I829" s="2"/>
      <c r="J829" s="2"/>
      <c r="K829" s="2"/>
      <c r="L829" s="2"/>
      <c r="M829" s="2"/>
      <c r="N829" s="2"/>
      <c r="O829" s="2"/>
      <c r="P829" s="2"/>
      <c r="Q829" s="2"/>
      <c r="R829" s="2"/>
      <c r="S829" s="2"/>
      <c r="T829" s="2"/>
      <c r="U829" s="2"/>
    </row>
    <row r="830" spans="1:21" ht="15.75" customHeight="1">
      <c r="A830" s="1"/>
      <c r="B830" s="2"/>
      <c r="C830" s="2"/>
      <c r="D830" s="2"/>
      <c r="E830" s="2"/>
      <c r="F830" s="2"/>
      <c r="G830" s="2"/>
      <c r="H830" s="2"/>
      <c r="I830" s="2"/>
      <c r="J830" s="2"/>
      <c r="K830" s="2"/>
      <c r="L830" s="2"/>
      <c r="M830" s="2"/>
      <c r="N830" s="2"/>
      <c r="O830" s="2"/>
      <c r="P830" s="2"/>
      <c r="Q830" s="2"/>
      <c r="R830" s="2"/>
      <c r="S830" s="2"/>
      <c r="T830" s="2"/>
      <c r="U830" s="2"/>
    </row>
    <row r="831" spans="1:21" ht="15.75" customHeight="1">
      <c r="A831" s="1"/>
      <c r="B831" s="2"/>
      <c r="C831" s="2"/>
      <c r="D831" s="2"/>
      <c r="E831" s="2"/>
      <c r="F831" s="2"/>
      <c r="G831" s="2"/>
      <c r="H831" s="2"/>
      <c r="I831" s="2"/>
      <c r="J831" s="2"/>
      <c r="K831" s="2"/>
      <c r="L831" s="2"/>
      <c r="M831" s="2"/>
      <c r="N831" s="2"/>
      <c r="O831" s="2"/>
      <c r="P831" s="2"/>
      <c r="Q831" s="2"/>
      <c r="R831" s="2"/>
      <c r="S831" s="2"/>
      <c r="T831" s="2"/>
      <c r="U831" s="2"/>
    </row>
    <row r="832" spans="1:21" ht="15.75" customHeight="1">
      <c r="A832" s="1"/>
      <c r="B832" s="2"/>
      <c r="C832" s="2"/>
      <c r="D832" s="2"/>
      <c r="E832" s="2"/>
      <c r="F832" s="2"/>
      <c r="G832" s="2"/>
      <c r="H832" s="2"/>
      <c r="I832" s="2"/>
      <c r="J832" s="2"/>
      <c r="K832" s="2"/>
      <c r="L832" s="2"/>
      <c r="M832" s="2"/>
      <c r="N832" s="2"/>
      <c r="O832" s="2"/>
      <c r="P832" s="2"/>
      <c r="Q832" s="2"/>
      <c r="R832" s="2"/>
      <c r="S832" s="2"/>
      <c r="T832" s="2"/>
      <c r="U832" s="2"/>
    </row>
    <row r="833" spans="1:21" ht="15.75" customHeight="1">
      <c r="A833" s="1"/>
      <c r="B833" s="2"/>
      <c r="C833" s="2"/>
      <c r="D833" s="2"/>
      <c r="E833" s="2"/>
      <c r="F833" s="2"/>
      <c r="G833" s="2"/>
      <c r="H833" s="2"/>
      <c r="I833" s="2"/>
      <c r="J833" s="2"/>
      <c r="K833" s="2"/>
      <c r="L833" s="2"/>
      <c r="M833" s="2"/>
      <c r="N833" s="2"/>
      <c r="O833" s="2"/>
      <c r="P833" s="2"/>
      <c r="Q833" s="2"/>
      <c r="R833" s="2"/>
      <c r="S833" s="2"/>
      <c r="T833" s="2"/>
      <c r="U833" s="2"/>
    </row>
    <row r="834" spans="1:21" ht="15.75" customHeight="1">
      <c r="A834" s="1"/>
      <c r="B834" s="2"/>
      <c r="C834" s="2"/>
      <c r="D834" s="2"/>
      <c r="E834" s="2"/>
      <c r="F834" s="2"/>
      <c r="G834" s="2"/>
      <c r="H834" s="2"/>
      <c r="I834" s="2"/>
      <c r="J834" s="2"/>
      <c r="K834" s="2"/>
      <c r="L834" s="2"/>
      <c r="M834" s="2"/>
      <c r="N834" s="2"/>
      <c r="O834" s="2"/>
      <c r="P834" s="2"/>
      <c r="Q834" s="2"/>
      <c r="R834" s="2"/>
      <c r="S834" s="2"/>
      <c r="T834" s="2"/>
      <c r="U834" s="2"/>
    </row>
    <row r="835" spans="1:21" ht="15.75" customHeight="1">
      <c r="A835" s="1"/>
      <c r="B835" s="2"/>
      <c r="C835" s="2"/>
      <c r="D835" s="2"/>
      <c r="E835" s="2"/>
      <c r="F835" s="2"/>
      <c r="G835" s="2"/>
      <c r="H835" s="2"/>
      <c r="I835" s="2"/>
      <c r="J835" s="2"/>
      <c r="K835" s="2"/>
      <c r="L835" s="2"/>
      <c r="M835" s="2"/>
      <c r="N835" s="2"/>
      <c r="O835" s="2"/>
      <c r="P835" s="2"/>
      <c r="Q835" s="2"/>
      <c r="R835" s="2"/>
      <c r="S835" s="2"/>
      <c r="T835" s="2"/>
      <c r="U835" s="2"/>
    </row>
    <row r="836" spans="1:21" ht="15.75" customHeight="1">
      <c r="A836" s="1"/>
      <c r="B836" s="2"/>
      <c r="C836" s="2"/>
      <c r="D836" s="2"/>
      <c r="E836" s="2"/>
      <c r="F836" s="2"/>
      <c r="G836" s="2"/>
      <c r="H836" s="2"/>
      <c r="I836" s="2"/>
      <c r="J836" s="2"/>
      <c r="K836" s="2"/>
      <c r="L836" s="2"/>
      <c r="M836" s="2"/>
      <c r="N836" s="2"/>
      <c r="O836" s="2"/>
      <c r="P836" s="2"/>
      <c r="Q836" s="2"/>
      <c r="R836" s="2"/>
      <c r="S836" s="2"/>
      <c r="T836" s="2"/>
      <c r="U836" s="2"/>
    </row>
    <row r="837" spans="1:21" ht="15.75" customHeight="1">
      <c r="A837" s="1"/>
      <c r="B837" s="2"/>
      <c r="C837" s="2"/>
      <c r="D837" s="2"/>
      <c r="E837" s="2"/>
      <c r="F837" s="2"/>
      <c r="G837" s="2"/>
      <c r="H837" s="2"/>
      <c r="I837" s="2"/>
      <c r="J837" s="2"/>
      <c r="K837" s="2"/>
      <c r="L837" s="2"/>
      <c r="M837" s="2"/>
      <c r="N837" s="2"/>
      <c r="O837" s="2"/>
      <c r="P837" s="2"/>
      <c r="Q837" s="2"/>
      <c r="R837" s="2"/>
      <c r="S837" s="2"/>
      <c r="T837" s="2"/>
      <c r="U837" s="2"/>
    </row>
    <row r="838" spans="1:21" ht="15.75" customHeight="1">
      <c r="A838" s="1"/>
      <c r="B838" s="2"/>
      <c r="C838" s="2"/>
      <c r="D838" s="2"/>
      <c r="E838" s="2"/>
      <c r="F838" s="2"/>
      <c r="G838" s="2"/>
      <c r="H838" s="2"/>
      <c r="I838" s="2"/>
      <c r="J838" s="2"/>
      <c r="K838" s="2"/>
      <c r="L838" s="2"/>
      <c r="M838" s="2"/>
      <c r="N838" s="2"/>
      <c r="O838" s="2"/>
      <c r="P838" s="2"/>
      <c r="Q838" s="2"/>
      <c r="R838" s="2"/>
      <c r="S838" s="2"/>
      <c r="T838" s="2"/>
      <c r="U838" s="2"/>
    </row>
    <row r="839" spans="1:21" ht="15.75" customHeight="1">
      <c r="A839" s="1"/>
      <c r="B839" s="2"/>
      <c r="C839" s="2"/>
      <c r="D839" s="2"/>
      <c r="E839" s="2"/>
      <c r="F839" s="2"/>
      <c r="G839" s="2"/>
      <c r="H839" s="2"/>
      <c r="I839" s="2"/>
      <c r="J839" s="2"/>
      <c r="K839" s="2"/>
      <c r="L839" s="2"/>
      <c r="M839" s="2"/>
      <c r="N839" s="2"/>
      <c r="O839" s="2"/>
      <c r="P839" s="2"/>
      <c r="Q839" s="2"/>
      <c r="R839" s="2"/>
      <c r="S839" s="2"/>
      <c r="T839" s="2"/>
      <c r="U839" s="2"/>
    </row>
    <row r="840" spans="1:21" ht="15.75" customHeight="1">
      <c r="A840" s="1"/>
      <c r="B840" s="2"/>
      <c r="C840" s="2"/>
      <c r="D840" s="2"/>
      <c r="E840" s="2"/>
      <c r="F840" s="2"/>
      <c r="G840" s="2"/>
      <c r="H840" s="2"/>
      <c r="I840" s="2"/>
      <c r="J840" s="2"/>
      <c r="K840" s="2"/>
      <c r="L840" s="2"/>
      <c r="M840" s="2"/>
      <c r="N840" s="2"/>
      <c r="O840" s="2"/>
      <c r="P840" s="2"/>
      <c r="Q840" s="2"/>
      <c r="R840" s="2"/>
      <c r="S840" s="2"/>
      <c r="T840" s="2"/>
      <c r="U840" s="2"/>
    </row>
    <row r="841" spans="1:21" ht="15.75" customHeight="1">
      <c r="A841" s="1"/>
      <c r="B841" s="2"/>
      <c r="C841" s="2"/>
      <c r="D841" s="2"/>
      <c r="E841" s="2"/>
      <c r="F841" s="2"/>
      <c r="G841" s="2"/>
      <c r="H841" s="2"/>
      <c r="I841" s="2"/>
      <c r="J841" s="2"/>
      <c r="K841" s="2"/>
      <c r="L841" s="2"/>
      <c r="M841" s="2"/>
      <c r="N841" s="2"/>
      <c r="O841" s="2"/>
      <c r="P841" s="2"/>
      <c r="Q841" s="2"/>
      <c r="R841" s="2"/>
      <c r="S841" s="2"/>
      <c r="T841" s="2"/>
      <c r="U841" s="2"/>
    </row>
    <row r="842" spans="1:21" ht="15.75" customHeight="1">
      <c r="A842" s="1"/>
      <c r="B842" s="2"/>
      <c r="C842" s="2"/>
      <c r="D842" s="2"/>
      <c r="E842" s="2"/>
      <c r="F842" s="2"/>
      <c r="G842" s="2"/>
      <c r="H842" s="2"/>
      <c r="I842" s="2"/>
      <c r="J842" s="2"/>
      <c r="K842" s="2"/>
      <c r="L842" s="2"/>
      <c r="M842" s="2"/>
      <c r="N842" s="2"/>
      <c r="O842" s="2"/>
      <c r="P842" s="2"/>
      <c r="Q842" s="2"/>
      <c r="R842" s="2"/>
      <c r="S842" s="2"/>
      <c r="T842" s="2"/>
      <c r="U842" s="2"/>
    </row>
    <row r="843" spans="1:21" ht="15.75" customHeight="1">
      <c r="A843" s="1"/>
      <c r="B843" s="2"/>
      <c r="C843" s="2"/>
      <c r="D843" s="2"/>
      <c r="E843" s="2"/>
      <c r="F843" s="2"/>
      <c r="G843" s="2"/>
      <c r="H843" s="2"/>
      <c r="I843" s="2"/>
      <c r="J843" s="2"/>
      <c r="K843" s="2"/>
      <c r="L843" s="2"/>
      <c r="M843" s="2"/>
      <c r="N843" s="2"/>
      <c r="O843" s="2"/>
      <c r="P843" s="2"/>
      <c r="Q843" s="2"/>
      <c r="R843" s="2"/>
      <c r="S843" s="2"/>
      <c r="T843" s="2"/>
      <c r="U843" s="2"/>
    </row>
    <row r="844" spans="1:21" ht="15.75" customHeight="1">
      <c r="A844" s="1"/>
      <c r="B844" s="2"/>
      <c r="C844" s="2"/>
      <c r="D844" s="2"/>
      <c r="E844" s="2"/>
      <c r="F844" s="2"/>
      <c r="G844" s="2"/>
      <c r="H844" s="2"/>
      <c r="I844" s="2"/>
      <c r="J844" s="2"/>
      <c r="K844" s="2"/>
      <c r="L844" s="2"/>
      <c r="M844" s="2"/>
      <c r="N844" s="2"/>
      <c r="O844" s="2"/>
      <c r="P844" s="2"/>
      <c r="Q844" s="2"/>
      <c r="R844" s="2"/>
      <c r="S844" s="2"/>
      <c r="T844" s="2"/>
      <c r="U844" s="2"/>
    </row>
    <row r="845" spans="1:21" ht="15.75" customHeight="1">
      <c r="A845" s="1"/>
      <c r="B845" s="2"/>
      <c r="C845" s="2"/>
      <c r="D845" s="2"/>
      <c r="E845" s="2"/>
      <c r="F845" s="2"/>
      <c r="G845" s="2"/>
      <c r="H845" s="2"/>
      <c r="I845" s="2"/>
      <c r="J845" s="2"/>
      <c r="K845" s="2"/>
      <c r="L845" s="2"/>
      <c r="M845" s="2"/>
      <c r="N845" s="2"/>
      <c r="O845" s="2"/>
      <c r="P845" s="2"/>
      <c r="Q845" s="2"/>
      <c r="R845" s="2"/>
      <c r="S845" s="2"/>
      <c r="T845" s="2"/>
      <c r="U845" s="2"/>
    </row>
    <row r="846" spans="1:21" ht="15.75" customHeight="1">
      <c r="A846" s="1"/>
      <c r="B846" s="2"/>
      <c r="C846" s="2"/>
      <c r="D846" s="2"/>
      <c r="E846" s="2"/>
      <c r="F846" s="2"/>
      <c r="G846" s="2"/>
      <c r="H846" s="2"/>
      <c r="I846" s="2"/>
      <c r="J846" s="2"/>
      <c r="K846" s="2"/>
      <c r="L846" s="2"/>
      <c r="M846" s="2"/>
      <c r="N846" s="2"/>
      <c r="O846" s="2"/>
      <c r="P846" s="2"/>
      <c r="Q846" s="2"/>
      <c r="R846" s="2"/>
      <c r="S846" s="2"/>
      <c r="T846" s="2"/>
      <c r="U846" s="2"/>
    </row>
    <row r="847" spans="1:21" ht="15.75" customHeight="1">
      <c r="A847" s="1"/>
      <c r="B847" s="2"/>
      <c r="C847" s="2"/>
      <c r="D847" s="2"/>
      <c r="E847" s="2"/>
      <c r="F847" s="2"/>
      <c r="G847" s="2"/>
      <c r="H847" s="2"/>
      <c r="I847" s="2"/>
      <c r="J847" s="2"/>
      <c r="K847" s="2"/>
      <c r="L847" s="2"/>
      <c r="M847" s="2"/>
      <c r="N847" s="2"/>
      <c r="O847" s="2"/>
      <c r="P847" s="2"/>
      <c r="Q847" s="2"/>
      <c r="R847" s="2"/>
      <c r="S847" s="2"/>
      <c r="T847" s="2"/>
      <c r="U847" s="2"/>
    </row>
    <row r="848" spans="1:21" ht="15.75" customHeight="1">
      <c r="A848" s="1"/>
      <c r="B848" s="2"/>
      <c r="C848" s="2"/>
      <c r="D848" s="2"/>
      <c r="E848" s="2"/>
      <c r="F848" s="2"/>
      <c r="G848" s="2"/>
      <c r="H848" s="2"/>
      <c r="I848" s="2"/>
      <c r="J848" s="2"/>
      <c r="K848" s="2"/>
      <c r="L848" s="2"/>
      <c r="M848" s="2"/>
      <c r="N848" s="2"/>
      <c r="O848" s="2"/>
      <c r="P848" s="2"/>
      <c r="Q848" s="2"/>
      <c r="R848" s="2"/>
      <c r="S848" s="2"/>
      <c r="T848" s="2"/>
      <c r="U848" s="2"/>
    </row>
    <row r="849" spans="1:21" ht="15.75" customHeight="1">
      <c r="A849" s="1"/>
      <c r="B849" s="2"/>
      <c r="C849" s="2"/>
      <c r="D849" s="2"/>
      <c r="E849" s="2"/>
      <c r="F849" s="2"/>
      <c r="G849" s="2"/>
      <c r="H849" s="2"/>
      <c r="I849" s="2"/>
      <c r="J849" s="2"/>
      <c r="K849" s="2"/>
      <c r="L849" s="2"/>
      <c r="M849" s="2"/>
      <c r="N849" s="2"/>
      <c r="O849" s="2"/>
      <c r="P849" s="2"/>
      <c r="Q849" s="2"/>
      <c r="R849" s="2"/>
      <c r="S849" s="2"/>
      <c r="T849" s="2"/>
      <c r="U849" s="2"/>
    </row>
    <row r="850" spans="1:21" ht="15.75" customHeight="1">
      <c r="A850" s="1"/>
      <c r="B850" s="2"/>
      <c r="C850" s="2"/>
      <c r="D850" s="2"/>
      <c r="E850" s="2"/>
      <c r="F850" s="2"/>
      <c r="G850" s="2"/>
      <c r="H850" s="2"/>
      <c r="I850" s="2"/>
      <c r="J850" s="2"/>
      <c r="K850" s="2"/>
      <c r="L850" s="2"/>
      <c r="M850" s="2"/>
      <c r="N850" s="2"/>
      <c r="O850" s="2"/>
      <c r="P850" s="2"/>
      <c r="Q850" s="2"/>
      <c r="R850" s="2"/>
      <c r="S850" s="2"/>
      <c r="T850" s="2"/>
      <c r="U850" s="2"/>
    </row>
    <row r="851" spans="1:21" ht="15.75" customHeight="1">
      <c r="A851" s="1"/>
      <c r="B851" s="2"/>
      <c r="C851" s="2"/>
      <c r="D851" s="2"/>
      <c r="E851" s="2"/>
      <c r="F851" s="2"/>
      <c r="G851" s="2"/>
      <c r="H851" s="2"/>
      <c r="I851" s="2"/>
      <c r="J851" s="2"/>
      <c r="K851" s="2"/>
      <c r="L851" s="2"/>
      <c r="M851" s="2"/>
      <c r="N851" s="2"/>
      <c r="O851" s="2"/>
      <c r="P851" s="2"/>
      <c r="Q851" s="2"/>
      <c r="R851" s="2"/>
      <c r="S851" s="2"/>
      <c r="T851" s="2"/>
      <c r="U851" s="2"/>
    </row>
    <row r="852" spans="1:21" ht="15.75" customHeight="1">
      <c r="A852" s="1"/>
      <c r="B852" s="2"/>
      <c r="C852" s="2"/>
      <c r="D852" s="2"/>
      <c r="E852" s="2"/>
      <c r="F852" s="2"/>
      <c r="G852" s="2"/>
      <c r="H852" s="2"/>
      <c r="I852" s="2"/>
      <c r="J852" s="2"/>
      <c r="K852" s="2"/>
      <c r="L852" s="2"/>
      <c r="M852" s="2"/>
      <c r="N852" s="2"/>
      <c r="O852" s="2"/>
      <c r="P852" s="2"/>
      <c r="Q852" s="2"/>
      <c r="R852" s="2"/>
      <c r="S852" s="2"/>
      <c r="T852" s="2"/>
      <c r="U852" s="2"/>
    </row>
    <row r="853" spans="1:21" ht="15.75" customHeight="1">
      <c r="A853" s="1"/>
      <c r="B853" s="2"/>
      <c r="C853" s="2"/>
      <c r="D853" s="2"/>
      <c r="E853" s="2"/>
      <c r="F853" s="2"/>
      <c r="G853" s="2"/>
      <c r="H853" s="2"/>
      <c r="I853" s="2"/>
      <c r="J853" s="2"/>
      <c r="K853" s="2"/>
      <c r="L853" s="2"/>
      <c r="M853" s="2"/>
      <c r="N853" s="2"/>
      <c r="O853" s="2"/>
      <c r="P853" s="2"/>
      <c r="Q853" s="2"/>
      <c r="R853" s="2"/>
      <c r="S853" s="2"/>
      <c r="T853" s="2"/>
      <c r="U853" s="2"/>
    </row>
    <row r="854" spans="1:21" ht="15.75" customHeight="1">
      <c r="A854" s="1"/>
      <c r="B854" s="2"/>
      <c r="C854" s="2"/>
      <c r="D854" s="2"/>
      <c r="E854" s="2"/>
      <c r="F854" s="2"/>
      <c r="G854" s="2"/>
      <c r="H854" s="2"/>
      <c r="I854" s="2"/>
      <c r="J854" s="2"/>
      <c r="K854" s="2"/>
      <c r="L854" s="2"/>
      <c r="M854" s="2"/>
      <c r="N854" s="2"/>
      <c r="O854" s="2"/>
      <c r="P854" s="2"/>
      <c r="Q854" s="2"/>
      <c r="R854" s="2"/>
      <c r="S854" s="2"/>
      <c r="T854" s="2"/>
      <c r="U854" s="2"/>
    </row>
    <row r="855" spans="1:21" ht="15.75" customHeight="1">
      <c r="A855" s="1"/>
      <c r="B855" s="2"/>
      <c r="C855" s="2"/>
      <c r="D855" s="2"/>
      <c r="E855" s="2"/>
      <c r="F855" s="2"/>
      <c r="G855" s="2"/>
      <c r="H855" s="2"/>
      <c r="I855" s="2"/>
      <c r="J855" s="2"/>
      <c r="K855" s="2"/>
      <c r="L855" s="2"/>
      <c r="M855" s="2"/>
      <c r="N855" s="2"/>
      <c r="O855" s="2"/>
      <c r="P855" s="2"/>
      <c r="Q855" s="2"/>
      <c r="R855" s="2"/>
      <c r="S855" s="2"/>
      <c r="T855" s="2"/>
      <c r="U855" s="2"/>
    </row>
    <row r="856" spans="1:21" ht="15.75" customHeight="1">
      <c r="A856" s="1"/>
      <c r="B856" s="2"/>
      <c r="C856" s="2"/>
      <c r="D856" s="2"/>
      <c r="E856" s="2"/>
      <c r="F856" s="2"/>
      <c r="G856" s="2"/>
      <c r="H856" s="2"/>
      <c r="I856" s="2"/>
      <c r="J856" s="2"/>
      <c r="K856" s="2"/>
      <c r="L856" s="2"/>
      <c r="M856" s="2"/>
      <c r="N856" s="2"/>
      <c r="O856" s="2"/>
      <c r="P856" s="2"/>
      <c r="Q856" s="2"/>
      <c r="R856" s="2"/>
      <c r="S856" s="2"/>
      <c r="T856" s="2"/>
      <c r="U856" s="2"/>
    </row>
    <row r="857" spans="1:21" ht="15.75" customHeight="1">
      <c r="A857" s="1"/>
      <c r="B857" s="2"/>
      <c r="C857" s="2"/>
      <c r="D857" s="2"/>
      <c r="E857" s="2"/>
      <c r="F857" s="2"/>
      <c r="G857" s="2"/>
      <c r="H857" s="2"/>
      <c r="I857" s="2"/>
      <c r="J857" s="2"/>
      <c r="K857" s="2"/>
      <c r="L857" s="2"/>
      <c r="M857" s="2"/>
      <c r="N857" s="2"/>
      <c r="O857" s="2"/>
      <c r="P857" s="2"/>
      <c r="Q857" s="2"/>
      <c r="R857" s="2"/>
      <c r="S857" s="2"/>
      <c r="T857" s="2"/>
      <c r="U857" s="2"/>
    </row>
    <row r="858" spans="1:21" ht="15.75" customHeight="1">
      <c r="A858" s="1"/>
      <c r="B858" s="2"/>
      <c r="C858" s="2"/>
      <c r="D858" s="2"/>
      <c r="E858" s="2"/>
      <c r="F858" s="2"/>
      <c r="G858" s="2"/>
      <c r="H858" s="2"/>
      <c r="I858" s="2"/>
      <c r="J858" s="2"/>
      <c r="K858" s="2"/>
      <c r="L858" s="2"/>
      <c r="M858" s="2"/>
      <c r="N858" s="2"/>
      <c r="O858" s="2"/>
      <c r="P858" s="2"/>
      <c r="Q858" s="2"/>
      <c r="R858" s="2"/>
      <c r="S858" s="2"/>
      <c r="T858" s="2"/>
      <c r="U858" s="2"/>
    </row>
    <row r="859" spans="1:21" ht="15.75" customHeight="1">
      <c r="A859" s="1"/>
      <c r="B859" s="2"/>
      <c r="C859" s="2"/>
      <c r="D859" s="2"/>
      <c r="E859" s="2"/>
      <c r="F859" s="2"/>
      <c r="G859" s="2"/>
      <c r="H859" s="2"/>
      <c r="I859" s="2"/>
      <c r="J859" s="2"/>
      <c r="K859" s="2"/>
      <c r="L859" s="2"/>
      <c r="M859" s="2"/>
      <c r="N859" s="2"/>
      <c r="O859" s="2"/>
      <c r="P859" s="2"/>
      <c r="Q859" s="2"/>
      <c r="R859" s="2"/>
      <c r="S859" s="2"/>
      <c r="T859" s="2"/>
      <c r="U859" s="2"/>
    </row>
    <row r="860" spans="1:21" ht="15.75" customHeight="1">
      <c r="A860" s="1"/>
      <c r="B860" s="2"/>
      <c r="C860" s="2"/>
      <c r="D860" s="2"/>
      <c r="E860" s="2"/>
      <c r="F860" s="2"/>
      <c r="G860" s="2"/>
      <c r="H860" s="2"/>
      <c r="I860" s="2"/>
      <c r="J860" s="2"/>
      <c r="K860" s="2"/>
      <c r="L860" s="2"/>
      <c r="M860" s="2"/>
      <c r="N860" s="2"/>
      <c r="O860" s="2"/>
      <c r="P860" s="2"/>
      <c r="Q860" s="2"/>
      <c r="R860" s="2"/>
      <c r="S860" s="2"/>
      <c r="T860" s="2"/>
      <c r="U860" s="2"/>
    </row>
    <row r="861" spans="1:21" ht="15.75" customHeight="1">
      <c r="A861" s="1"/>
      <c r="B861" s="2"/>
      <c r="C861" s="2"/>
      <c r="D861" s="2"/>
      <c r="E861" s="2"/>
      <c r="F861" s="2"/>
      <c r="G861" s="2"/>
      <c r="H861" s="2"/>
      <c r="I861" s="2"/>
      <c r="J861" s="2"/>
      <c r="K861" s="2"/>
      <c r="L861" s="2"/>
      <c r="M861" s="2"/>
      <c r="N861" s="2"/>
      <c r="O861" s="2"/>
      <c r="P861" s="2"/>
      <c r="Q861" s="2"/>
      <c r="R861" s="2"/>
      <c r="S861" s="2"/>
      <c r="T861" s="2"/>
      <c r="U861" s="2"/>
    </row>
    <row r="862" spans="1:21" ht="15.75" customHeight="1">
      <c r="A862" s="1"/>
      <c r="B862" s="2"/>
      <c r="C862" s="2"/>
      <c r="D862" s="2"/>
      <c r="E862" s="2"/>
      <c r="F862" s="2"/>
      <c r="G862" s="2"/>
      <c r="H862" s="2"/>
      <c r="I862" s="2"/>
      <c r="J862" s="2"/>
      <c r="K862" s="2"/>
      <c r="L862" s="2"/>
      <c r="M862" s="2"/>
      <c r="N862" s="2"/>
      <c r="O862" s="2"/>
      <c r="P862" s="2"/>
      <c r="Q862" s="2"/>
      <c r="R862" s="2"/>
      <c r="S862" s="2"/>
      <c r="T862" s="2"/>
      <c r="U862" s="2"/>
    </row>
    <row r="863" spans="1:21" ht="15.75" customHeight="1">
      <c r="A863" s="1"/>
      <c r="B863" s="2"/>
      <c r="C863" s="2"/>
      <c r="D863" s="2"/>
      <c r="E863" s="2"/>
      <c r="F863" s="2"/>
      <c r="G863" s="2"/>
      <c r="H863" s="2"/>
      <c r="I863" s="2"/>
      <c r="J863" s="2"/>
      <c r="K863" s="2"/>
      <c r="L863" s="2"/>
      <c r="M863" s="2"/>
      <c r="N863" s="2"/>
      <c r="O863" s="2"/>
      <c r="P863" s="2"/>
      <c r="Q863" s="2"/>
      <c r="R863" s="2"/>
      <c r="S863" s="2"/>
      <c r="T863" s="2"/>
      <c r="U863" s="2"/>
    </row>
    <row r="864" spans="1:21" ht="15.75" customHeight="1">
      <c r="A864" s="1"/>
      <c r="B864" s="2"/>
      <c r="C864" s="2"/>
      <c r="D864" s="2"/>
      <c r="E864" s="2"/>
      <c r="F864" s="2"/>
      <c r="G864" s="2"/>
      <c r="H864" s="2"/>
      <c r="I864" s="2"/>
      <c r="J864" s="2"/>
      <c r="K864" s="2"/>
      <c r="L864" s="2"/>
      <c r="M864" s="2"/>
      <c r="N864" s="2"/>
      <c r="O864" s="2"/>
      <c r="P864" s="2"/>
      <c r="Q864" s="2"/>
      <c r="R864" s="2"/>
      <c r="S864" s="2"/>
      <c r="T864" s="2"/>
      <c r="U864" s="2"/>
    </row>
    <row r="865" spans="1:21" ht="15.75" customHeight="1">
      <c r="A865" s="1"/>
      <c r="B865" s="2"/>
      <c r="C865" s="2"/>
      <c r="D865" s="2"/>
      <c r="E865" s="2"/>
      <c r="F865" s="2"/>
      <c r="G865" s="2"/>
      <c r="H865" s="2"/>
      <c r="I865" s="2"/>
      <c r="J865" s="2"/>
      <c r="K865" s="2"/>
      <c r="L865" s="2"/>
      <c r="M865" s="2"/>
      <c r="N865" s="2"/>
      <c r="O865" s="2"/>
      <c r="P865" s="2"/>
      <c r="Q865" s="2"/>
      <c r="R865" s="2"/>
      <c r="S865" s="2"/>
      <c r="T865" s="2"/>
      <c r="U865" s="2"/>
    </row>
    <row r="866" spans="1:21" ht="15.75" customHeight="1">
      <c r="A866" s="1"/>
      <c r="B866" s="2"/>
      <c r="C866" s="2"/>
      <c r="D866" s="2"/>
      <c r="E866" s="2"/>
      <c r="F866" s="2"/>
      <c r="G866" s="2"/>
      <c r="H866" s="2"/>
      <c r="I866" s="2"/>
      <c r="J866" s="2"/>
      <c r="K866" s="2"/>
      <c r="L866" s="2"/>
      <c r="M866" s="2"/>
      <c r="N866" s="2"/>
      <c r="O866" s="2"/>
      <c r="P866" s="2"/>
      <c r="Q866" s="2"/>
      <c r="R866" s="2"/>
      <c r="S866" s="2"/>
      <c r="T866" s="2"/>
      <c r="U866" s="2"/>
    </row>
    <row r="867" spans="1:21" ht="15.75" customHeight="1">
      <c r="A867" s="1"/>
      <c r="B867" s="2"/>
      <c r="C867" s="2"/>
      <c r="D867" s="2"/>
      <c r="E867" s="2"/>
      <c r="F867" s="2"/>
      <c r="G867" s="2"/>
      <c r="H867" s="2"/>
      <c r="I867" s="2"/>
      <c r="J867" s="2"/>
      <c r="K867" s="2"/>
      <c r="L867" s="2"/>
      <c r="M867" s="2"/>
      <c r="N867" s="2"/>
      <c r="O867" s="2"/>
      <c r="P867" s="2"/>
      <c r="Q867" s="2"/>
      <c r="R867" s="2"/>
      <c r="S867" s="2"/>
      <c r="T867" s="2"/>
      <c r="U867" s="2"/>
    </row>
    <row r="868" spans="1:21" ht="15.75" customHeight="1">
      <c r="A868" s="1"/>
      <c r="B868" s="2"/>
      <c r="C868" s="2"/>
      <c r="D868" s="2"/>
      <c r="E868" s="2"/>
      <c r="F868" s="2"/>
      <c r="G868" s="2"/>
      <c r="H868" s="2"/>
      <c r="I868" s="2"/>
      <c r="J868" s="2"/>
      <c r="K868" s="2"/>
      <c r="L868" s="2"/>
      <c r="M868" s="2"/>
      <c r="N868" s="2"/>
      <c r="O868" s="2"/>
      <c r="P868" s="2"/>
      <c r="Q868" s="2"/>
      <c r="R868" s="2"/>
      <c r="S868" s="2"/>
      <c r="T868" s="2"/>
      <c r="U868" s="2"/>
    </row>
    <row r="869" spans="1:21" ht="15.75" customHeight="1">
      <c r="A869" s="1"/>
      <c r="B869" s="2"/>
      <c r="C869" s="2"/>
      <c r="D869" s="2"/>
      <c r="E869" s="2"/>
      <c r="F869" s="2"/>
      <c r="G869" s="2"/>
      <c r="H869" s="2"/>
      <c r="I869" s="2"/>
      <c r="J869" s="2"/>
      <c r="K869" s="2"/>
      <c r="L869" s="2"/>
      <c r="M869" s="2"/>
      <c r="N869" s="2"/>
      <c r="O869" s="2"/>
      <c r="P869" s="2"/>
      <c r="Q869" s="2"/>
      <c r="R869" s="2"/>
      <c r="S869" s="2"/>
      <c r="T869" s="2"/>
      <c r="U869" s="2"/>
    </row>
    <row r="870" spans="1:21" ht="15.75" customHeight="1">
      <c r="A870" s="1"/>
      <c r="B870" s="2"/>
      <c r="C870" s="2"/>
      <c r="D870" s="2"/>
      <c r="E870" s="2"/>
      <c r="F870" s="2"/>
      <c r="G870" s="2"/>
      <c r="H870" s="2"/>
      <c r="I870" s="2"/>
      <c r="J870" s="2"/>
      <c r="K870" s="2"/>
      <c r="L870" s="2"/>
      <c r="M870" s="2"/>
      <c r="N870" s="2"/>
      <c r="O870" s="2"/>
      <c r="P870" s="2"/>
      <c r="Q870" s="2"/>
      <c r="R870" s="2"/>
      <c r="S870" s="2"/>
      <c r="T870" s="2"/>
      <c r="U870" s="2"/>
    </row>
    <row r="871" spans="1:21" ht="15.75" customHeight="1">
      <c r="A871" s="1"/>
      <c r="B871" s="2"/>
      <c r="C871" s="2"/>
      <c r="D871" s="2"/>
      <c r="E871" s="2"/>
      <c r="F871" s="2"/>
      <c r="G871" s="2"/>
      <c r="H871" s="2"/>
      <c r="I871" s="2"/>
      <c r="J871" s="2"/>
      <c r="K871" s="2"/>
      <c r="L871" s="2"/>
      <c r="M871" s="2"/>
      <c r="N871" s="2"/>
      <c r="O871" s="2"/>
      <c r="P871" s="2"/>
      <c r="Q871" s="2"/>
      <c r="R871" s="2"/>
      <c r="S871" s="2"/>
      <c r="T871" s="2"/>
      <c r="U871" s="2"/>
    </row>
    <row r="872" spans="1:21" ht="15.75" customHeight="1">
      <c r="A872" s="1"/>
      <c r="B872" s="2"/>
      <c r="C872" s="2"/>
      <c r="D872" s="2"/>
      <c r="E872" s="2"/>
      <c r="F872" s="2"/>
      <c r="G872" s="2"/>
      <c r="H872" s="2"/>
      <c r="I872" s="2"/>
      <c r="J872" s="2"/>
      <c r="K872" s="2"/>
      <c r="L872" s="2"/>
      <c r="M872" s="2"/>
      <c r="N872" s="2"/>
      <c r="O872" s="2"/>
      <c r="P872" s="2"/>
      <c r="Q872" s="2"/>
      <c r="R872" s="2"/>
      <c r="S872" s="2"/>
      <c r="T872" s="2"/>
      <c r="U872" s="2"/>
    </row>
    <row r="873" spans="1:21" ht="15.75" customHeight="1">
      <c r="A873" s="1"/>
      <c r="B873" s="2"/>
      <c r="C873" s="2"/>
      <c r="D873" s="2"/>
      <c r="E873" s="2"/>
      <c r="F873" s="2"/>
      <c r="G873" s="2"/>
      <c r="H873" s="2"/>
      <c r="I873" s="2"/>
      <c r="J873" s="2"/>
      <c r="K873" s="2"/>
      <c r="L873" s="2"/>
      <c r="M873" s="2"/>
      <c r="N873" s="2"/>
      <c r="O873" s="2"/>
      <c r="P873" s="2"/>
      <c r="Q873" s="2"/>
      <c r="R873" s="2"/>
      <c r="S873" s="2"/>
      <c r="T873" s="2"/>
      <c r="U873" s="2"/>
    </row>
    <row r="874" spans="1:21" ht="15.75" customHeight="1">
      <c r="A874" s="1"/>
      <c r="B874" s="2"/>
      <c r="C874" s="2"/>
      <c r="D874" s="2"/>
      <c r="E874" s="2"/>
      <c r="F874" s="2"/>
      <c r="G874" s="2"/>
      <c r="H874" s="2"/>
      <c r="I874" s="2"/>
      <c r="J874" s="2"/>
      <c r="K874" s="2"/>
      <c r="L874" s="2"/>
      <c r="M874" s="2"/>
      <c r="N874" s="2"/>
      <c r="O874" s="2"/>
      <c r="P874" s="2"/>
      <c r="Q874" s="2"/>
      <c r="R874" s="2"/>
      <c r="S874" s="2"/>
      <c r="T874" s="2"/>
      <c r="U874" s="2"/>
    </row>
    <row r="875" spans="1:21" ht="15.75" customHeight="1">
      <c r="A875" s="1"/>
      <c r="B875" s="2"/>
      <c r="C875" s="2"/>
      <c r="D875" s="2"/>
      <c r="E875" s="2"/>
      <c r="F875" s="2"/>
      <c r="G875" s="2"/>
      <c r="H875" s="2"/>
      <c r="I875" s="2"/>
      <c r="J875" s="2"/>
      <c r="K875" s="2"/>
      <c r="L875" s="2"/>
      <c r="M875" s="2"/>
      <c r="N875" s="2"/>
      <c r="O875" s="2"/>
      <c r="P875" s="2"/>
      <c r="Q875" s="2"/>
      <c r="R875" s="2"/>
      <c r="S875" s="2"/>
      <c r="T875" s="2"/>
      <c r="U875" s="2"/>
    </row>
    <row r="876" spans="1:21" ht="15.75" customHeight="1">
      <c r="A876" s="1"/>
      <c r="B876" s="2"/>
      <c r="C876" s="2"/>
      <c r="D876" s="2"/>
      <c r="E876" s="2"/>
      <c r="F876" s="2"/>
      <c r="G876" s="2"/>
      <c r="H876" s="2"/>
      <c r="I876" s="2"/>
      <c r="J876" s="2"/>
      <c r="K876" s="2"/>
      <c r="L876" s="2"/>
      <c r="M876" s="2"/>
      <c r="N876" s="2"/>
      <c r="O876" s="2"/>
      <c r="P876" s="2"/>
      <c r="Q876" s="2"/>
      <c r="R876" s="2"/>
      <c r="S876" s="2"/>
      <c r="T876" s="2"/>
      <c r="U876" s="2"/>
    </row>
    <row r="877" spans="1:21" ht="15.75" customHeight="1">
      <c r="A877" s="1"/>
      <c r="B877" s="2"/>
      <c r="C877" s="2"/>
      <c r="D877" s="2"/>
      <c r="E877" s="2"/>
      <c r="F877" s="2"/>
      <c r="G877" s="2"/>
      <c r="H877" s="2"/>
      <c r="I877" s="2"/>
      <c r="J877" s="2"/>
      <c r="K877" s="2"/>
      <c r="L877" s="2"/>
      <c r="M877" s="2"/>
      <c r="N877" s="2"/>
      <c r="O877" s="2"/>
      <c r="P877" s="2"/>
      <c r="Q877" s="2"/>
      <c r="R877" s="2"/>
      <c r="S877" s="2"/>
      <c r="T877" s="2"/>
      <c r="U877" s="2"/>
    </row>
    <row r="878" spans="1:21" ht="15.75" customHeight="1">
      <c r="A878" s="1"/>
      <c r="B878" s="2"/>
      <c r="C878" s="2"/>
      <c r="D878" s="2"/>
      <c r="E878" s="2"/>
      <c r="F878" s="2"/>
      <c r="G878" s="2"/>
      <c r="H878" s="2"/>
      <c r="I878" s="2"/>
      <c r="J878" s="2"/>
      <c r="K878" s="2"/>
      <c r="L878" s="2"/>
      <c r="M878" s="2"/>
      <c r="N878" s="2"/>
      <c r="O878" s="2"/>
      <c r="P878" s="2"/>
      <c r="Q878" s="2"/>
      <c r="R878" s="2"/>
      <c r="S878" s="2"/>
      <c r="T878" s="2"/>
      <c r="U878" s="2"/>
    </row>
    <row r="879" spans="1:21" ht="15.75" customHeight="1">
      <c r="A879" s="1"/>
      <c r="B879" s="2"/>
      <c r="C879" s="2"/>
      <c r="D879" s="2"/>
      <c r="E879" s="2"/>
      <c r="F879" s="2"/>
      <c r="G879" s="2"/>
      <c r="H879" s="2"/>
      <c r="I879" s="2"/>
      <c r="J879" s="2"/>
      <c r="K879" s="2"/>
      <c r="L879" s="2"/>
      <c r="M879" s="2"/>
      <c r="N879" s="2"/>
      <c r="O879" s="2"/>
      <c r="P879" s="2"/>
      <c r="Q879" s="2"/>
      <c r="R879" s="2"/>
      <c r="S879" s="2"/>
      <c r="T879" s="2"/>
      <c r="U879" s="2"/>
    </row>
    <row r="880" spans="1:21" ht="15.75" customHeight="1">
      <c r="A880" s="1"/>
      <c r="B880" s="2"/>
      <c r="C880" s="2"/>
      <c r="D880" s="2"/>
      <c r="E880" s="2"/>
      <c r="F880" s="2"/>
      <c r="G880" s="2"/>
      <c r="H880" s="2"/>
      <c r="I880" s="2"/>
      <c r="J880" s="2"/>
      <c r="K880" s="2"/>
      <c r="L880" s="2"/>
      <c r="M880" s="2"/>
      <c r="N880" s="2"/>
      <c r="O880" s="2"/>
      <c r="P880" s="2"/>
      <c r="Q880" s="2"/>
      <c r="R880" s="2"/>
      <c r="S880" s="2"/>
      <c r="T880" s="2"/>
      <c r="U880" s="2"/>
    </row>
    <row r="881" spans="1:21" ht="15.75" customHeight="1">
      <c r="A881" s="1"/>
      <c r="B881" s="2"/>
      <c r="C881" s="2"/>
      <c r="D881" s="2"/>
      <c r="E881" s="2"/>
      <c r="F881" s="2"/>
      <c r="G881" s="2"/>
      <c r="H881" s="2"/>
      <c r="I881" s="2"/>
      <c r="J881" s="2"/>
      <c r="K881" s="2"/>
      <c r="L881" s="2"/>
      <c r="M881" s="2"/>
      <c r="N881" s="2"/>
      <c r="O881" s="2"/>
      <c r="P881" s="2"/>
      <c r="Q881" s="2"/>
      <c r="R881" s="2"/>
      <c r="S881" s="2"/>
      <c r="T881" s="2"/>
      <c r="U881" s="2"/>
    </row>
    <row r="882" spans="1:21" ht="15.75" customHeight="1">
      <c r="A882" s="1"/>
      <c r="B882" s="2"/>
      <c r="C882" s="2"/>
      <c r="D882" s="2"/>
      <c r="E882" s="2"/>
      <c r="F882" s="2"/>
      <c r="G882" s="2"/>
      <c r="H882" s="2"/>
      <c r="I882" s="2"/>
      <c r="J882" s="2"/>
      <c r="K882" s="2"/>
      <c r="L882" s="2"/>
      <c r="M882" s="2"/>
      <c r="N882" s="2"/>
      <c r="O882" s="2"/>
      <c r="P882" s="2"/>
      <c r="Q882" s="2"/>
      <c r="R882" s="2"/>
      <c r="S882" s="2"/>
      <c r="T882" s="2"/>
      <c r="U882" s="2"/>
    </row>
    <row r="883" spans="1:21" ht="15.75" customHeight="1">
      <c r="A883" s="1"/>
      <c r="B883" s="2"/>
      <c r="C883" s="2"/>
      <c r="D883" s="2"/>
      <c r="E883" s="2"/>
      <c r="F883" s="2"/>
      <c r="G883" s="2"/>
      <c r="H883" s="2"/>
      <c r="I883" s="2"/>
      <c r="J883" s="2"/>
      <c r="K883" s="2"/>
      <c r="L883" s="2"/>
      <c r="M883" s="2"/>
      <c r="N883" s="2"/>
      <c r="O883" s="2"/>
      <c r="P883" s="2"/>
      <c r="Q883" s="2"/>
      <c r="R883" s="2"/>
      <c r="S883" s="2"/>
      <c r="T883" s="2"/>
      <c r="U883" s="2"/>
    </row>
    <row r="884" spans="1:21" ht="15.75" customHeight="1">
      <c r="A884" s="1"/>
      <c r="B884" s="2"/>
      <c r="C884" s="2"/>
      <c r="D884" s="2"/>
      <c r="E884" s="2"/>
      <c r="F884" s="2"/>
      <c r="G884" s="2"/>
      <c r="H884" s="2"/>
      <c r="I884" s="2"/>
      <c r="J884" s="2"/>
      <c r="K884" s="2"/>
      <c r="L884" s="2"/>
      <c r="M884" s="2"/>
      <c r="N884" s="2"/>
      <c r="O884" s="2"/>
      <c r="P884" s="2"/>
      <c r="Q884" s="2"/>
      <c r="R884" s="2"/>
      <c r="S884" s="2"/>
      <c r="T884" s="2"/>
      <c r="U884" s="2"/>
    </row>
    <row r="885" spans="1:21" ht="15.75" customHeight="1">
      <c r="A885" s="1"/>
      <c r="B885" s="2"/>
      <c r="C885" s="2"/>
      <c r="D885" s="2"/>
      <c r="E885" s="2"/>
      <c r="F885" s="2"/>
      <c r="G885" s="2"/>
      <c r="H885" s="2"/>
      <c r="I885" s="2"/>
      <c r="J885" s="2"/>
      <c r="K885" s="2"/>
      <c r="L885" s="2"/>
      <c r="M885" s="2"/>
      <c r="N885" s="2"/>
      <c r="O885" s="2"/>
      <c r="P885" s="2"/>
      <c r="Q885" s="2"/>
      <c r="R885" s="2"/>
      <c r="S885" s="2"/>
      <c r="T885" s="2"/>
      <c r="U885" s="2"/>
    </row>
    <row r="886" spans="1:21" ht="15.75" customHeight="1">
      <c r="A886" s="1"/>
      <c r="B886" s="2"/>
      <c r="C886" s="2"/>
      <c r="D886" s="2"/>
      <c r="E886" s="2"/>
      <c r="F886" s="2"/>
      <c r="G886" s="2"/>
      <c r="H886" s="2"/>
      <c r="I886" s="2"/>
      <c r="J886" s="2"/>
      <c r="K886" s="2"/>
      <c r="L886" s="2"/>
      <c r="M886" s="2"/>
      <c r="N886" s="2"/>
      <c r="O886" s="2"/>
      <c r="P886" s="2"/>
      <c r="Q886" s="2"/>
      <c r="R886" s="2"/>
      <c r="S886" s="2"/>
      <c r="T886" s="2"/>
      <c r="U886" s="2"/>
    </row>
    <row r="887" spans="1:21" ht="15.75" customHeight="1">
      <c r="A887" s="1"/>
      <c r="B887" s="2"/>
      <c r="C887" s="2"/>
      <c r="D887" s="2"/>
      <c r="E887" s="2"/>
      <c r="F887" s="2"/>
      <c r="G887" s="2"/>
      <c r="H887" s="2"/>
      <c r="I887" s="2"/>
      <c r="J887" s="2"/>
      <c r="K887" s="2"/>
      <c r="L887" s="2"/>
      <c r="M887" s="2"/>
      <c r="N887" s="2"/>
      <c r="O887" s="2"/>
      <c r="P887" s="2"/>
      <c r="Q887" s="2"/>
      <c r="R887" s="2"/>
      <c r="S887" s="2"/>
      <c r="T887" s="2"/>
      <c r="U887" s="2"/>
    </row>
    <row r="888" spans="1:21" ht="15.75" customHeight="1">
      <c r="A888" s="1"/>
      <c r="B888" s="2"/>
      <c r="C888" s="2"/>
      <c r="D888" s="2"/>
      <c r="E888" s="2"/>
      <c r="F888" s="2"/>
      <c r="G888" s="2"/>
      <c r="H888" s="2"/>
      <c r="I888" s="2"/>
      <c r="J888" s="2"/>
      <c r="K888" s="2"/>
      <c r="L888" s="2"/>
      <c r="M888" s="2"/>
      <c r="N888" s="2"/>
      <c r="O888" s="2"/>
      <c r="P888" s="2"/>
      <c r="Q888" s="2"/>
      <c r="R888" s="2"/>
      <c r="S888" s="2"/>
      <c r="T888" s="2"/>
      <c r="U888" s="2"/>
    </row>
    <row r="889" spans="1:21" ht="15.75" customHeight="1">
      <c r="A889" s="1"/>
      <c r="B889" s="2"/>
      <c r="C889" s="2"/>
      <c r="D889" s="2"/>
      <c r="E889" s="2"/>
      <c r="F889" s="2"/>
      <c r="G889" s="2"/>
      <c r="H889" s="2"/>
      <c r="I889" s="2"/>
      <c r="J889" s="2"/>
      <c r="K889" s="2"/>
      <c r="L889" s="2"/>
      <c r="M889" s="2"/>
      <c r="N889" s="2"/>
      <c r="O889" s="2"/>
      <c r="P889" s="2"/>
      <c r="Q889" s="2"/>
      <c r="R889" s="2"/>
      <c r="S889" s="2"/>
      <c r="T889" s="2"/>
      <c r="U889" s="2"/>
    </row>
    <row r="890" spans="1:21" ht="15.75" customHeight="1">
      <c r="A890" s="1"/>
      <c r="B890" s="2"/>
      <c r="C890" s="2"/>
      <c r="D890" s="2"/>
      <c r="E890" s="2"/>
      <c r="F890" s="2"/>
      <c r="G890" s="2"/>
      <c r="H890" s="2"/>
      <c r="I890" s="2"/>
      <c r="J890" s="2"/>
      <c r="K890" s="2"/>
      <c r="L890" s="2"/>
      <c r="M890" s="2"/>
      <c r="N890" s="2"/>
      <c r="O890" s="2"/>
      <c r="P890" s="2"/>
      <c r="Q890" s="2"/>
      <c r="R890" s="2"/>
      <c r="S890" s="2"/>
      <c r="T890" s="2"/>
      <c r="U890" s="2"/>
    </row>
    <row r="891" spans="1:21" ht="15.75" customHeight="1">
      <c r="A891" s="1"/>
      <c r="B891" s="2"/>
      <c r="C891" s="2"/>
      <c r="D891" s="2"/>
      <c r="E891" s="2"/>
      <c r="F891" s="2"/>
      <c r="G891" s="2"/>
      <c r="H891" s="2"/>
      <c r="I891" s="2"/>
      <c r="J891" s="2"/>
      <c r="K891" s="2"/>
      <c r="L891" s="2"/>
      <c r="M891" s="2"/>
      <c r="N891" s="2"/>
      <c r="O891" s="2"/>
      <c r="P891" s="2"/>
      <c r="Q891" s="2"/>
      <c r="R891" s="2"/>
      <c r="S891" s="2"/>
      <c r="T891" s="2"/>
      <c r="U891" s="2"/>
    </row>
    <row r="892" spans="1:21" ht="15.75" customHeight="1">
      <c r="A892" s="1"/>
      <c r="B892" s="2"/>
      <c r="C892" s="2"/>
      <c r="D892" s="2"/>
      <c r="E892" s="2"/>
      <c r="F892" s="2"/>
      <c r="G892" s="2"/>
      <c r="H892" s="2"/>
      <c r="I892" s="2"/>
      <c r="J892" s="2"/>
      <c r="K892" s="2"/>
      <c r="L892" s="2"/>
      <c r="M892" s="2"/>
      <c r="N892" s="2"/>
      <c r="O892" s="2"/>
      <c r="P892" s="2"/>
      <c r="Q892" s="2"/>
      <c r="R892" s="2"/>
      <c r="S892" s="2"/>
      <c r="T892" s="2"/>
      <c r="U892" s="2"/>
    </row>
    <row r="893" spans="1:21" ht="15.75" customHeight="1">
      <c r="A893" s="1"/>
      <c r="B893" s="2"/>
      <c r="C893" s="2"/>
      <c r="D893" s="2"/>
      <c r="E893" s="2"/>
      <c r="F893" s="2"/>
      <c r="G893" s="2"/>
      <c r="H893" s="2"/>
      <c r="I893" s="2"/>
      <c r="J893" s="2"/>
      <c r="K893" s="2"/>
      <c r="L893" s="2"/>
      <c r="M893" s="2"/>
      <c r="N893" s="2"/>
      <c r="O893" s="2"/>
      <c r="P893" s="2"/>
      <c r="Q893" s="2"/>
      <c r="R893" s="2"/>
      <c r="S893" s="2"/>
      <c r="T893" s="2"/>
      <c r="U893" s="2"/>
    </row>
    <row r="894" spans="1:21" ht="15.75" customHeight="1">
      <c r="A894" s="1"/>
      <c r="B894" s="2"/>
      <c r="C894" s="2"/>
      <c r="D894" s="2"/>
      <c r="E894" s="2"/>
      <c r="F894" s="2"/>
      <c r="G894" s="2"/>
      <c r="H894" s="2"/>
      <c r="I894" s="2"/>
      <c r="J894" s="2"/>
      <c r="K894" s="2"/>
      <c r="L894" s="2"/>
      <c r="M894" s="2"/>
      <c r="N894" s="2"/>
      <c r="O894" s="2"/>
      <c r="P894" s="2"/>
      <c r="Q894" s="2"/>
      <c r="R894" s="2"/>
      <c r="S894" s="2"/>
      <c r="T894" s="2"/>
      <c r="U894" s="2"/>
    </row>
    <row r="895" spans="1:21" ht="15.75" customHeight="1">
      <c r="A895" s="1"/>
      <c r="B895" s="2"/>
      <c r="C895" s="2"/>
      <c r="D895" s="2"/>
      <c r="E895" s="2"/>
      <c r="F895" s="2"/>
      <c r="G895" s="2"/>
      <c r="H895" s="2"/>
      <c r="I895" s="2"/>
      <c r="J895" s="2"/>
      <c r="K895" s="2"/>
      <c r="L895" s="2"/>
      <c r="M895" s="2"/>
      <c r="N895" s="2"/>
      <c r="O895" s="2"/>
      <c r="P895" s="2"/>
      <c r="Q895" s="2"/>
      <c r="R895" s="2"/>
      <c r="S895" s="2"/>
      <c r="T895" s="2"/>
      <c r="U895" s="2"/>
    </row>
    <row r="896" spans="1:21" ht="15.75" customHeight="1">
      <c r="A896" s="1"/>
      <c r="B896" s="2"/>
      <c r="C896" s="2"/>
      <c r="D896" s="2"/>
      <c r="E896" s="2"/>
      <c r="F896" s="2"/>
      <c r="G896" s="2"/>
      <c r="H896" s="2"/>
      <c r="I896" s="2"/>
      <c r="J896" s="2"/>
      <c r="K896" s="2"/>
      <c r="L896" s="2"/>
      <c r="M896" s="2"/>
      <c r="N896" s="2"/>
      <c r="O896" s="2"/>
      <c r="P896" s="2"/>
      <c r="Q896" s="2"/>
      <c r="R896" s="2"/>
      <c r="S896" s="2"/>
      <c r="T896" s="2"/>
      <c r="U896" s="2"/>
    </row>
    <row r="897" spans="1:21" ht="15.75" customHeight="1">
      <c r="A897" s="1"/>
      <c r="B897" s="2"/>
      <c r="C897" s="2"/>
      <c r="D897" s="2"/>
      <c r="E897" s="2"/>
      <c r="F897" s="2"/>
      <c r="G897" s="2"/>
      <c r="H897" s="2"/>
      <c r="I897" s="2"/>
      <c r="J897" s="2"/>
      <c r="K897" s="2"/>
      <c r="L897" s="2"/>
      <c r="M897" s="2"/>
      <c r="N897" s="2"/>
      <c r="O897" s="2"/>
      <c r="P897" s="2"/>
      <c r="Q897" s="2"/>
      <c r="R897" s="2"/>
      <c r="S897" s="2"/>
      <c r="T897" s="2"/>
      <c r="U897" s="2"/>
    </row>
    <row r="898" spans="1:21" ht="15.75" customHeight="1">
      <c r="A898" s="1"/>
      <c r="B898" s="2"/>
      <c r="C898" s="2"/>
      <c r="D898" s="2"/>
      <c r="E898" s="2"/>
      <c r="F898" s="2"/>
      <c r="G898" s="2"/>
      <c r="H898" s="2"/>
      <c r="I898" s="2"/>
      <c r="J898" s="2"/>
      <c r="K898" s="2"/>
      <c r="L898" s="2"/>
      <c r="M898" s="2"/>
      <c r="N898" s="2"/>
      <c r="O898" s="2"/>
      <c r="P898" s="2"/>
      <c r="Q898" s="2"/>
      <c r="R898" s="2"/>
      <c r="S898" s="2"/>
      <c r="T898" s="2"/>
      <c r="U898" s="2"/>
    </row>
    <row r="899" spans="1:21" ht="15.75" customHeight="1">
      <c r="A899" s="1"/>
      <c r="B899" s="2"/>
      <c r="C899" s="2"/>
      <c r="D899" s="2"/>
      <c r="E899" s="2"/>
      <c r="F899" s="2"/>
      <c r="G899" s="2"/>
      <c r="H899" s="2"/>
      <c r="I899" s="2"/>
      <c r="J899" s="2"/>
      <c r="K899" s="2"/>
      <c r="L899" s="2"/>
      <c r="M899" s="2"/>
      <c r="N899" s="2"/>
      <c r="O899" s="2"/>
      <c r="P899" s="2"/>
      <c r="Q899" s="2"/>
      <c r="R899" s="2"/>
      <c r="S899" s="2"/>
      <c r="T899" s="2"/>
      <c r="U899" s="2"/>
    </row>
    <row r="900" spans="1:21" ht="15.75" customHeight="1">
      <c r="A900" s="1"/>
      <c r="B900" s="2"/>
      <c r="C900" s="2"/>
      <c r="D900" s="2"/>
      <c r="E900" s="2"/>
      <c r="F900" s="2"/>
      <c r="G900" s="2"/>
      <c r="H900" s="2"/>
      <c r="I900" s="2"/>
      <c r="J900" s="2"/>
      <c r="K900" s="2"/>
      <c r="L900" s="2"/>
      <c r="M900" s="2"/>
      <c r="N900" s="2"/>
      <c r="O900" s="2"/>
      <c r="P900" s="2"/>
      <c r="Q900" s="2"/>
      <c r="R900" s="2"/>
      <c r="S900" s="2"/>
      <c r="T900" s="2"/>
      <c r="U900" s="2"/>
    </row>
    <row r="901" spans="1:21" ht="15.75" customHeight="1">
      <c r="A901" s="1"/>
      <c r="B901" s="2"/>
      <c r="C901" s="2"/>
      <c r="D901" s="2"/>
      <c r="E901" s="2"/>
      <c r="F901" s="2"/>
      <c r="G901" s="2"/>
      <c r="H901" s="2"/>
      <c r="I901" s="2"/>
      <c r="J901" s="2"/>
      <c r="K901" s="2"/>
      <c r="L901" s="2"/>
      <c r="M901" s="2"/>
      <c r="N901" s="2"/>
      <c r="O901" s="2"/>
      <c r="P901" s="2"/>
      <c r="Q901" s="2"/>
      <c r="R901" s="2"/>
      <c r="S901" s="2"/>
      <c r="T901" s="2"/>
      <c r="U901" s="2"/>
    </row>
    <row r="902" spans="1:21" ht="15.75" customHeight="1">
      <c r="A902" s="1"/>
      <c r="B902" s="2"/>
      <c r="C902" s="2"/>
      <c r="D902" s="2"/>
      <c r="E902" s="2"/>
      <c r="F902" s="2"/>
      <c r="G902" s="2"/>
      <c r="H902" s="2"/>
      <c r="I902" s="2"/>
      <c r="J902" s="2"/>
      <c r="K902" s="2"/>
      <c r="L902" s="2"/>
      <c r="M902" s="2"/>
      <c r="N902" s="2"/>
      <c r="O902" s="2"/>
      <c r="P902" s="2"/>
      <c r="Q902" s="2"/>
      <c r="R902" s="2"/>
      <c r="S902" s="2"/>
      <c r="T902" s="2"/>
      <c r="U902" s="2"/>
    </row>
    <row r="903" spans="1:21" ht="15.75" customHeight="1">
      <c r="A903" s="1"/>
      <c r="B903" s="2"/>
      <c r="C903" s="2"/>
      <c r="D903" s="2"/>
      <c r="E903" s="2"/>
      <c r="F903" s="2"/>
      <c r="G903" s="2"/>
      <c r="H903" s="2"/>
      <c r="I903" s="2"/>
      <c r="J903" s="2"/>
      <c r="K903" s="2"/>
      <c r="L903" s="2"/>
      <c r="M903" s="2"/>
      <c r="N903" s="2"/>
      <c r="O903" s="2"/>
      <c r="P903" s="2"/>
      <c r="Q903" s="2"/>
      <c r="R903" s="2"/>
      <c r="S903" s="2"/>
      <c r="T903" s="2"/>
      <c r="U903" s="2"/>
    </row>
    <row r="904" spans="1:21" ht="15.75" customHeight="1">
      <c r="A904" s="1"/>
      <c r="B904" s="2"/>
      <c r="C904" s="2"/>
      <c r="D904" s="2"/>
      <c r="E904" s="2"/>
      <c r="F904" s="2"/>
      <c r="G904" s="2"/>
      <c r="H904" s="2"/>
      <c r="I904" s="2"/>
      <c r="J904" s="2"/>
      <c r="K904" s="2"/>
      <c r="L904" s="2"/>
      <c r="M904" s="2"/>
      <c r="N904" s="2"/>
      <c r="O904" s="2"/>
      <c r="P904" s="2"/>
      <c r="Q904" s="2"/>
      <c r="R904" s="2"/>
      <c r="S904" s="2"/>
      <c r="T904" s="2"/>
      <c r="U904" s="2"/>
    </row>
    <row r="905" spans="1:21" ht="15.75" customHeight="1">
      <c r="A905" s="1"/>
      <c r="B905" s="2"/>
      <c r="C905" s="2"/>
      <c r="D905" s="2"/>
      <c r="E905" s="2"/>
      <c r="F905" s="2"/>
      <c r="G905" s="2"/>
      <c r="H905" s="2"/>
      <c r="I905" s="2"/>
      <c r="J905" s="2"/>
      <c r="K905" s="2"/>
      <c r="L905" s="2"/>
      <c r="M905" s="2"/>
      <c r="N905" s="2"/>
      <c r="O905" s="2"/>
      <c r="P905" s="2"/>
      <c r="Q905" s="2"/>
      <c r="R905" s="2"/>
      <c r="S905" s="2"/>
      <c r="T905" s="2"/>
      <c r="U905" s="2"/>
    </row>
    <row r="906" spans="1:21" ht="15.75" customHeight="1">
      <c r="A906" s="1"/>
      <c r="B906" s="2"/>
      <c r="C906" s="2"/>
      <c r="D906" s="2"/>
      <c r="E906" s="2"/>
      <c r="F906" s="2"/>
      <c r="G906" s="2"/>
      <c r="H906" s="2"/>
      <c r="I906" s="2"/>
      <c r="J906" s="2"/>
      <c r="K906" s="2"/>
      <c r="L906" s="2"/>
      <c r="M906" s="2"/>
      <c r="N906" s="2"/>
      <c r="O906" s="2"/>
      <c r="P906" s="2"/>
      <c r="Q906" s="2"/>
      <c r="R906" s="2"/>
      <c r="S906" s="2"/>
      <c r="T906" s="2"/>
      <c r="U906" s="2"/>
    </row>
    <row r="907" spans="1:21" ht="15.75" customHeight="1">
      <c r="A907" s="1"/>
      <c r="B907" s="2"/>
      <c r="C907" s="2"/>
      <c r="D907" s="2"/>
      <c r="E907" s="2"/>
      <c r="F907" s="2"/>
      <c r="G907" s="2"/>
      <c r="H907" s="2"/>
      <c r="I907" s="2"/>
      <c r="J907" s="2"/>
      <c r="K907" s="2"/>
      <c r="L907" s="2"/>
      <c r="M907" s="2"/>
      <c r="N907" s="2"/>
      <c r="O907" s="2"/>
      <c r="P907" s="2"/>
      <c r="Q907" s="2"/>
      <c r="R907" s="2"/>
      <c r="S907" s="2"/>
      <c r="T907" s="2"/>
      <c r="U907" s="2"/>
    </row>
    <row r="908" spans="1:21" ht="15.75" customHeight="1">
      <c r="A908" s="1"/>
      <c r="B908" s="2"/>
      <c r="C908" s="2"/>
      <c r="D908" s="2"/>
      <c r="E908" s="2"/>
      <c r="F908" s="2"/>
      <c r="G908" s="2"/>
      <c r="H908" s="2"/>
      <c r="I908" s="2"/>
      <c r="J908" s="2"/>
      <c r="K908" s="2"/>
      <c r="L908" s="2"/>
      <c r="M908" s="2"/>
      <c r="N908" s="2"/>
      <c r="O908" s="2"/>
      <c r="P908" s="2"/>
      <c r="Q908" s="2"/>
      <c r="R908" s="2"/>
      <c r="S908" s="2"/>
      <c r="T908" s="2"/>
      <c r="U908" s="2"/>
    </row>
    <row r="909" spans="1:21" ht="15.75" customHeight="1">
      <c r="A909" s="1"/>
      <c r="B909" s="2"/>
      <c r="C909" s="2"/>
      <c r="D909" s="2"/>
      <c r="E909" s="2"/>
      <c r="F909" s="2"/>
      <c r="G909" s="2"/>
      <c r="H909" s="2"/>
      <c r="I909" s="2"/>
      <c r="J909" s="2"/>
      <c r="K909" s="2"/>
      <c r="L909" s="2"/>
      <c r="M909" s="2"/>
      <c r="N909" s="2"/>
      <c r="O909" s="2"/>
      <c r="P909" s="2"/>
      <c r="Q909" s="2"/>
      <c r="R909" s="2"/>
      <c r="S909" s="2"/>
      <c r="T909" s="2"/>
      <c r="U909" s="2"/>
    </row>
    <row r="910" spans="1:21" ht="15.75" customHeight="1">
      <c r="A910" s="1"/>
      <c r="B910" s="2"/>
      <c r="C910" s="2"/>
      <c r="D910" s="2"/>
      <c r="E910" s="2"/>
      <c r="F910" s="2"/>
      <c r="G910" s="2"/>
      <c r="H910" s="2"/>
      <c r="I910" s="2"/>
      <c r="J910" s="2"/>
      <c r="K910" s="2"/>
      <c r="L910" s="2"/>
      <c r="M910" s="2"/>
      <c r="N910" s="2"/>
      <c r="O910" s="2"/>
      <c r="P910" s="2"/>
      <c r="Q910" s="2"/>
      <c r="R910" s="2"/>
      <c r="S910" s="2"/>
      <c r="T910" s="2"/>
      <c r="U910" s="2"/>
    </row>
    <row r="911" spans="1:21" ht="15.75" customHeight="1">
      <c r="A911" s="1"/>
      <c r="B911" s="2"/>
      <c r="C911" s="2"/>
      <c r="D911" s="2"/>
      <c r="E911" s="2"/>
      <c r="F911" s="2"/>
      <c r="G911" s="2"/>
      <c r="H911" s="2"/>
      <c r="I911" s="2"/>
      <c r="J911" s="2"/>
      <c r="K911" s="2"/>
      <c r="L911" s="2"/>
      <c r="M911" s="2"/>
      <c r="N911" s="2"/>
      <c r="O911" s="2"/>
      <c r="P911" s="2"/>
      <c r="Q911" s="2"/>
      <c r="R911" s="2"/>
      <c r="S911" s="2"/>
      <c r="T911" s="2"/>
      <c r="U911" s="2"/>
    </row>
    <row r="912" spans="1:21" ht="15.75" customHeight="1">
      <c r="A912" s="1"/>
      <c r="B912" s="2"/>
      <c r="C912" s="2"/>
      <c r="D912" s="2"/>
      <c r="E912" s="2"/>
      <c r="F912" s="2"/>
      <c r="G912" s="2"/>
      <c r="H912" s="2"/>
      <c r="I912" s="2"/>
      <c r="J912" s="2"/>
      <c r="K912" s="2"/>
      <c r="L912" s="2"/>
      <c r="M912" s="2"/>
      <c r="N912" s="2"/>
      <c r="O912" s="2"/>
      <c r="P912" s="2"/>
      <c r="Q912" s="2"/>
      <c r="R912" s="2"/>
      <c r="S912" s="2"/>
      <c r="T912" s="2"/>
      <c r="U912" s="2"/>
    </row>
    <row r="913" spans="1:21" ht="15.75" customHeight="1">
      <c r="A913" s="1"/>
      <c r="B913" s="2"/>
      <c r="C913" s="2"/>
      <c r="D913" s="2"/>
      <c r="E913" s="2"/>
      <c r="F913" s="2"/>
      <c r="G913" s="2"/>
      <c r="H913" s="2"/>
      <c r="I913" s="2"/>
      <c r="J913" s="2"/>
      <c r="K913" s="2"/>
      <c r="L913" s="2"/>
      <c r="M913" s="2"/>
      <c r="N913" s="2"/>
      <c r="O913" s="2"/>
      <c r="P913" s="2"/>
      <c r="Q913" s="2"/>
      <c r="R913" s="2"/>
      <c r="S913" s="2"/>
      <c r="T913" s="2"/>
      <c r="U913" s="2"/>
    </row>
    <row r="914" spans="1:21" ht="15.75" customHeight="1">
      <c r="A914" s="1"/>
      <c r="B914" s="2"/>
      <c r="C914" s="2"/>
      <c r="D914" s="2"/>
      <c r="E914" s="2"/>
      <c r="F914" s="2"/>
      <c r="G914" s="2"/>
      <c r="H914" s="2"/>
      <c r="I914" s="2"/>
      <c r="J914" s="2"/>
      <c r="K914" s="2"/>
      <c r="L914" s="2"/>
      <c r="M914" s="2"/>
      <c r="N914" s="2"/>
      <c r="O914" s="2"/>
      <c r="P914" s="2"/>
      <c r="Q914" s="2"/>
      <c r="R914" s="2"/>
      <c r="S914" s="2"/>
      <c r="T914" s="2"/>
      <c r="U914" s="2"/>
    </row>
    <row r="915" spans="1:21" ht="15.75" customHeight="1">
      <c r="A915" s="1"/>
      <c r="B915" s="2"/>
      <c r="C915" s="2"/>
      <c r="D915" s="2"/>
      <c r="E915" s="2"/>
      <c r="F915" s="2"/>
      <c r="G915" s="2"/>
      <c r="H915" s="2"/>
      <c r="I915" s="2"/>
      <c r="J915" s="2"/>
      <c r="K915" s="2"/>
      <c r="L915" s="2"/>
      <c r="M915" s="2"/>
      <c r="N915" s="2"/>
      <c r="O915" s="2"/>
      <c r="P915" s="2"/>
      <c r="Q915" s="2"/>
      <c r="R915" s="2"/>
      <c r="S915" s="2"/>
      <c r="T915" s="2"/>
      <c r="U915" s="2"/>
    </row>
    <row r="916" spans="1:21" ht="15.75" customHeight="1">
      <c r="A916" s="1"/>
      <c r="B916" s="2"/>
      <c r="C916" s="2"/>
      <c r="D916" s="2"/>
      <c r="E916" s="2"/>
      <c r="F916" s="2"/>
      <c r="G916" s="2"/>
      <c r="H916" s="2"/>
      <c r="I916" s="2"/>
      <c r="J916" s="2"/>
      <c r="K916" s="2"/>
      <c r="L916" s="2"/>
      <c r="M916" s="2"/>
      <c r="N916" s="2"/>
      <c r="O916" s="2"/>
      <c r="P916" s="2"/>
      <c r="Q916" s="2"/>
      <c r="R916" s="2"/>
      <c r="S916" s="2"/>
      <c r="T916" s="2"/>
      <c r="U916" s="2"/>
    </row>
    <row r="917" spans="1:21" ht="15.75" customHeight="1">
      <c r="A917" s="1"/>
      <c r="B917" s="2"/>
      <c r="C917" s="2"/>
      <c r="D917" s="2"/>
      <c r="E917" s="2"/>
      <c r="F917" s="2"/>
      <c r="G917" s="2"/>
      <c r="H917" s="2"/>
      <c r="I917" s="2"/>
      <c r="J917" s="2"/>
      <c r="K917" s="2"/>
      <c r="L917" s="2"/>
      <c r="M917" s="2"/>
      <c r="N917" s="2"/>
      <c r="O917" s="2"/>
      <c r="P917" s="2"/>
      <c r="Q917" s="2"/>
      <c r="R917" s="2"/>
      <c r="S917" s="2"/>
      <c r="T917" s="2"/>
      <c r="U917" s="2"/>
    </row>
    <row r="918" spans="1:21" ht="15.75" customHeight="1">
      <c r="A918" s="1"/>
      <c r="B918" s="2"/>
      <c r="C918" s="2"/>
      <c r="D918" s="2"/>
      <c r="E918" s="2"/>
      <c r="F918" s="2"/>
      <c r="G918" s="2"/>
      <c r="H918" s="2"/>
      <c r="I918" s="2"/>
      <c r="J918" s="2"/>
      <c r="K918" s="2"/>
      <c r="L918" s="2"/>
      <c r="M918" s="2"/>
      <c r="N918" s="2"/>
      <c r="O918" s="2"/>
      <c r="P918" s="2"/>
      <c r="Q918" s="2"/>
      <c r="R918" s="2"/>
      <c r="S918" s="2"/>
      <c r="T918" s="2"/>
      <c r="U918" s="2"/>
    </row>
    <row r="919" spans="1:21" ht="15.75" customHeight="1">
      <c r="A919" s="1"/>
      <c r="B919" s="2"/>
      <c r="C919" s="2"/>
      <c r="D919" s="2"/>
      <c r="E919" s="2"/>
      <c r="F919" s="2"/>
      <c r="G919" s="2"/>
      <c r="H919" s="2"/>
      <c r="I919" s="2"/>
      <c r="J919" s="2"/>
      <c r="K919" s="2"/>
      <c r="L919" s="2"/>
      <c r="M919" s="2"/>
      <c r="N919" s="2"/>
      <c r="O919" s="2"/>
      <c r="P919" s="2"/>
      <c r="Q919" s="2"/>
      <c r="R919" s="2"/>
      <c r="S919" s="2"/>
      <c r="T919" s="2"/>
      <c r="U919" s="2"/>
    </row>
    <row r="920" spans="1:21" ht="15.75" customHeight="1">
      <c r="A920" s="1"/>
      <c r="B920" s="2"/>
      <c r="C920" s="2"/>
      <c r="D920" s="2"/>
      <c r="E920" s="2"/>
      <c r="F920" s="2"/>
      <c r="G920" s="2"/>
      <c r="H920" s="2"/>
      <c r="I920" s="2"/>
      <c r="J920" s="2"/>
      <c r="K920" s="2"/>
      <c r="L920" s="2"/>
      <c r="M920" s="2"/>
      <c r="N920" s="2"/>
      <c r="O920" s="2"/>
      <c r="P920" s="2"/>
      <c r="Q920" s="2"/>
      <c r="R920" s="2"/>
      <c r="S920" s="2"/>
      <c r="T920" s="2"/>
      <c r="U920" s="2"/>
    </row>
    <row r="921" spans="1:21" ht="15.75" customHeight="1">
      <c r="A921" s="1"/>
      <c r="B921" s="2"/>
      <c r="C921" s="2"/>
      <c r="D921" s="2"/>
      <c r="E921" s="2"/>
      <c r="F921" s="2"/>
      <c r="G921" s="2"/>
      <c r="H921" s="2"/>
      <c r="I921" s="2"/>
      <c r="J921" s="2"/>
      <c r="K921" s="2"/>
      <c r="L921" s="2"/>
      <c r="M921" s="2"/>
      <c r="N921" s="2"/>
      <c r="O921" s="2"/>
      <c r="P921" s="2"/>
      <c r="Q921" s="2"/>
      <c r="R921" s="2"/>
      <c r="S921" s="2"/>
      <c r="T921" s="2"/>
      <c r="U921" s="2"/>
    </row>
    <row r="922" spans="1:21" ht="15.75" customHeight="1">
      <c r="A922" s="1"/>
      <c r="B922" s="2"/>
      <c r="C922" s="2"/>
      <c r="D922" s="2"/>
      <c r="E922" s="2"/>
      <c r="F922" s="2"/>
      <c r="G922" s="2"/>
      <c r="H922" s="2"/>
      <c r="I922" s="2"/>
      <c r="J922" s="2"/>
      <c r="K922" s="2"/>
      <c r="L922" s="2"/>
      <c r="M922" s="2"/>
      <c r="N922" s="2"/>
      <c r="O922" s="2"/>
      <c r="P922" s="2"/>
      <c r="Q922" s="2"/>
      <c r="R922" s="2"/>
      <c r="S922" s="2"/>
      <c r="T922" s="2"/>
      <c r="U922" s="2"/>
    </row>
    <row r="923" spans="1:21" ht="15.75" customHeight="1">
      <c r="A923" s="1"/>
      <c r="B923" s="2"/>
      <c r="C923" s="2"/>
      <c r="D923" s="2"/>
      <c r="E923" s="2"/>
      <c r="F923" s="2"/>
      <c r="G923" s="2"/>
      <c r="H923" s="2"/>
      <c r="I923" s="2"/>
      <c r="J923" s="2"/>
      <c r="K923" s="2"/>
      <c r="L923" s="2"/>
      <c r="M923" s="2"/>
      <c r="N923" s="2"/>
      <c r="O923" s="2"/>
      <c r="P923" s="2"/>
      <c r="Q923" s="2"/>
      <c r="R923" s="2"/>
      <c r="S923" s="2"/>
      <c r="T923" s="2"/>
      <c r="U923" s="2"/>
    </row>
    <row r="924" spans="1:21" ht="15.75" customHeight="1">
      <c r="A924" s="1"/>
      <c r="B924" s="2"/>
      <c r="C924" s="2"/>
      <c r="D924" s="2"/>
      <c r="E924" s="2"/>
      <c r="F924" s="2"/>
      <c r="G924" s="2"/>
      <c r="H924" s="2"/>
      <c r="I924" s="2"/>
      <c r="J924" s="2"/>
      <c r="K924" s="2"/>
      <c r="L924" s="2"/>
      <c r="M924" s="2"/>
      <c r="N924" s="2"/>
      <c r="O924" s="2"/>
      <c r="P924" s="2"/>
      <c r="Q924" s="2"/>
      <c r="R924" s="2"/>
      <c r="S924" s="2"/>
      <c r="T924" s="2"/>
      <c r="U924" s="2"/>
    </row>
    <row r="925" spans="1:21" ht="15.75" customHeight="1">
      <c r="A925" s="1"/>
      <c r="B925" s="2"/>
      <c r="C925" s="2"/>
      <c r="D925" s="2"/>
      <c r="E925" s="2"/>
      <c r="F925" s="2"/>
      <c r="G925" s="2"/>
      <c r="H925" s="2"/>
      <c r="I925" s="2"/>
      <c r="J925" s="2"/>
      <c r="K925" s="2"/>
      <c r="L925" s="2"/>
      <c r="M925" s="2"/>
      <c r="N925" s="2"/>
      <c r="O925" s="2"/>
      <c r="P925" s="2"/>
      <c r="Q925" s="2"/>
      <c r="R925" s="2"/>
      <c r="S925" s="2"/>
      <c r="T925" s="2"/>
      <c r="U925" s="2"/>
    </row>
    <row r="926" spans="1:21" ht="15.75" customHeight="1">
      <c r="A926" s="1"/>
      <c r="B926" s="2"/>
      <c r="C926" s="2"/>
      <c r="D926" s="2"/>
      <c r="E926" s="2"/>
      <c r="F926" s="2"/>
      <c r="G926" s="2"/>
      <c r="H926" s="2"/>
      <c r="I926" s="2"/>
      <c r="J926" s="2"/>
      <c r="K926" s="2"/>
      <c r="L926" s="2"/>
      <c r="M926" s="2"/>
      <c r="N926" s="2"/>
      <c r="O926" s="2"/>
      <c r="P926" s="2"/>
      <c r="Q926" s="2"/>
      <c r="R926" s="2"/>
      <c r="S926" s="2"/>
      <c r="T926" s="2"/>
      <c r="U926" s="2"/>
    </row>
    <row r="927" spans="1:21" ht="15.75" customHeight="1">
      <c r="A927" s="1"/>
      <c r="B927" s="2"/>
      <c r="C927" s="2"/>
      <c r="D927" s="2"/>
      <c r="E927" s="2"/>
      <c r="F927" s="2"/>
      <c r="G927" s="2"/>
      <c r="H927" s="2"/>
      <c r="I927" s="2"/>
      <c r="J927" s="2"/>
      <c r="K927" s="2"/>
      <c r="L927" s="2"/>
      <c r="M927" s="2"/>
      <c r="N927" s="2"/>
      <c r="O927" s="2"/>
      <c r="P927" s="2"/>
      <c r="Q927" s="2"/>
      <c r="R927" s="2"/>
      <c r="S927" s="2"/>
      <c r="T927" s="2"/>
      <c r="U927" s="2"/>
    </row>
    <row r="928" spans="1:21" ht="15.75" customHeight="1">
      <c r="A928" s="1"/>
      <c r="B928" s="2"/>
      <c r="C928" s="2"/>
      <c r="D928" s="2"/>
      <c r="E928" s="2"/>
      <c r="F928" s="2"/>
      <c r="G928" s="2"/>
      <c r="H928" s="2"/>
      <c r="I928" s="2"/>
      <c r="J928" s="2"/>
      <c r="K928" s="2"/>
      <c r="L928" s="2"/>
      <c r="M928" s="2"/>
      <c r="N928" s="2"/>
      <c r="O928" s="2"/>
      <c r="P928" s="2"/>
      <c r="Q928" s="2"/>
      <c r="R928" s="2"/>
      <c r="S928" s="2"/>
      <c r="T928" s="2"/>
      <c r="U928" s="2"/>
    </row>
    <row r="929" spans="1:21" ht="15.75" customHeight="1">
      <c r="A929" s="1"/>
      <c r="B929" s="2"/>
      <c r="C929" s="2"/>
      <c r="D929" s="2"/>
      <c r="E929" s="2"/>
      <c r="F929" s="2"/>
      <c r="G929" s="2"/>
      <c r="H929" s="2"/>
      <c r="I929" s="2"/>
      <c r="J929" s="2"/>
      <c r="K929" s="2"/>
      <c r="L929" s="2"/>
      <c r="M929" s="2"/>
      <c r="N929" s="2"/>
      <c r="O929" s="2"/>
      <c r="P929" s="2"/>
      <c r="Q929" s="2"/>
      <c r="R929" s="2"/>
      <c r="S929" s="2"/>
      <c r="T929" s="2"/>
      <c r="U929" s="2"/>
    </row>
    <row r="930" spans="1:21" ht="15.75" customHeight="1">
      <c r="A930" s="1"/>
      <c r="B930" s="2"/>
      <c r="C930" s="2"/>
      <c r="D930" s="2"/>
      <c r="E930" s="2"/>
      <c r="F930" s="2"/>
      <c r="G930" s="2"/>
      <c r="H930" s="2"/>
      <c r="I930" s="2"/>
      <c r="J930" s="2"/>
      <c r="K930" s="2"/>
      <c r="L930" s="2"/>
      <c r="M930" s="2"/>
      <c r="N930" s="2"/>
      <c r="O930" s="2"/>
      <c r="P930" s="2"/>
      <c r="Q930" s="2"/>
      <c r="R930" s="2"/>
      <c r="S930" s="2"/>
      <c r="T930" s="2"/>
      <c r="U930" s="2"/>
    </row>
    <row r="931" spans="1:21" ht="15.75" customHeight="1">
      <c r="A931" s="1"/>
      <c r="B931" s="2"/>
      <c r="C931" s="2"/>
      <c r="D931" s="2"/>
      <c r="E931" s="2"/>
      <c r="F931" s="2"/>
      <c r="G931" s="2"/>
      <c r="H931" s="2"/>
      <c r="I931" s="2"/>
      <c r="J931" s="2"/>
      <c r="K931" s="2"/>
      <c r="L931" s="2"/>
      <c r="M931" s="2"/>
      <c r="N931" s="2"/>
      <c r="O931" s="2"/>
      <c r="P931" s="2"/>
      <c r="Q931" s="2"/>
      <c r="R931" s="2"/>
      <c r="S931" s="2"/>
      <c r="T931" s="2"/>
      <c r="U931" s="2"/>
    </row>
    <row r="932" spans="1:21" ht="15.75" customHeight="1">
      <c r="A932" s="1"/>
      <c r="B932" s="2"/>
      <c r="C932" s="2"/>
      <c r="D932" s="2"/>
      <c r="E932" s="2"/>
      <c r="F932" s="2"/>
      <c r="G932" s="2"/>
      <c r="H932" s="2"/>
      <c r="I932" s="2"/>
      <c r="J932" s="2"/>
      <c r="K932" s="2"/>
      <c r="L932" s="2"/>
      <c r="M932" s="2"/>
      <c r="N932" s="2"/>
      <c r="O932" s="2"/>
      <c r="P932" s="2"/>
      <c r="Q932" s="2"/>
      <c r="R932" s="2"/>
      <c r="S932" s="2"/>
      <c r="T932" s="2"/>
      <c r="U932" s="2"/>
    </row>
    <row r="933" spans="1:21" ht="15.75" customHeight="1">
      <c r="A933" s="1"/>
      <c r="B933" s="2"/>
      <c r="C933" s="2"/>
      <c r="D933" s="2"/>
      <c r="E933" s="2"/>
      <c r="F933" s="2"/>
      <c r="G933" s="2"/>
      <c r="H933" s="2"/>
      <c r="I933" s="2"/>
      <c r="J933" s="2"/>
      <c r="K933" s="2"/>
      <c r="L933" s="2"/>
      <c r="M933" s="2"/>
      <c r="N933" s="2"/>
      <c r="O933" s="2"/>
      <c r="P933" s="2"/>
      <c r="Q933" s="2"/>
      <c r="R933" s="2"/>
      <c r="S933" s="2"/>
      <c r="T933" s="2"/>
      <c r="U933" s="2"/>
    </row>
    <row r="934" spans="1:21" ht="15.75" customHeight="1">
      <c r="A934" s="1"/>
      <c r="B934" s="2"/>
      <c r="C934" s="2"/>
      <c r="D934" s="2"/>
      <c r="E934" s="2"/>
      <c r="F934" s="2"/>
      <c r="G934" s="2"/>
      <c r="H934" s="2"/>
      <c r="I934" s="2"/>
      <c r="J934" s="2"/>
      <c r="K934" s="2"/>
      <c r="L934" s="2"/>
      <c r="M934" s="2"/>
      <c r="N934" s="2"/>
      <c r="O934" s="2"/>
      <c r="P934" s="2"/>
      <c r="Q934" s="2"/>
      <c r="R934" s="2"/>
      <c r="S934" s="2"/>
      <c r="T934" s="2"/>
      <c r="U934" s="2"/>
    </row>
    <row r="935" spans="1:21" ht="15.75" customHeight="1">
      <c r="A935" s="1"/>
      <c r="B935" s="2"/>
      <c r="C935" s="2"/>
      <c r="D935" s="2"/>
      <c r="E935" s="2"/>
      <c r="F935" s="2"/>
      <c r="G935" s="2"/>
      <c r="H935" s="2"/>
      <c r="I935" s="2"/>
      <c r="J935" s="2"/>
      <c r="K935" s="2"/>
      <c r="L935" s="2"/>
      <c r="M935" s="2"/>
      <c r="N935" s="2"/>
      <c r="O935" s="2"/>
      <c r="P935" s="2"/>
      <c r="Q935" s="2"/>
      <c r="R935" s="2"/>
      <c r="S935" s="2"/>
      <c r="T935" s="2"/>
      <c r="U935" s="2"/>
    </row>
    <row r="936" spans="1:21" ht="15.75" customHeight="1">
      <c r="A936" s="1"/>
      <c r="B936" s="2"/>
      <c r="C936" s="2"/>
      <c r="D936" s="2"/>
      <c r="E936" s="2"/>
      <c r="F936" s="2"/>
      <c r="G936" s="2"/>
      <c r="H936" s="2"/>
      <c r="I936" s="2"/>
      <c r="J936" s="2"/>
      <c r="K936" s="2"/>
      <c r="L936" s="2"/>
      <c r="M936" s="2"/>
      <c r="N936" s="2"/>
      <c r="O936" s="2"/>
      <c r="P936" s="2"/>
      <c r="Q936" s="2"/>
      <c r="R936" s="2"/>
      <c r="S936" s="2"/>
      <c r="T936" s="2"/>
      <c r="U936" s="2"/>
    </row>
    <row r="937" spans="1:21" ht="15.75" customHeight="1">
      <c r="A937" s="1"/>
      <c r="B937" s="2"/>
      <c r="C937" s="2"/>
      <c r="D937" s="2"/>
      <c r="E937" s="2"/>
      <c r="F937" s="2"/>
      <c r="G937" s="2"/>
      <c r="H937" s="2"/>
      <c r="I937" s="2"/>
      <c r="J937" s="2"/>
      <c r="K937" s="2"/>
      <c r="L937" s="2"/>
      <c r="M937" s="2"/>
      <c r="N937" s="2"/>
      <c r="O937" s="2"/>
      <c r="P937" s="2"/>
      <c r="Q937" s="2"/>
      <c r="R937" s="2"/>
      <c r="S937" s="2"/>
      <c r="T937" s="2"/>
      <c r="U937" s="2"/>
    </row>
    <row r="938" spans="1:21" ht="15.75" customHeight="1">
      <c r="A938" s="1"/>
      <c r="B938" s="2"/>
      <c r="C938" s="2"/>
      <c r="D938" s="2"/>
      <c r="E938" s="2"/>
      <c r="F938" s="2"/>
      <c r="G938" s="2"/>
      <c r="H938" s="2"/>
      <c r="I938" s="2"/>
      <c r="J938" s="2"/>
      <c r="K938" s="2"/>
      <c r="L938" s="2"/>
      <c r="M938" s="2"/>
      <c r="N938" s="2"/>
      <c r="O938" s="2"/>
      <c r="P938" s="2"/>
      <c r="Q938" s="2"/>
      <c r="R938" s="2"/>
      <c r="S938" s="2"/>
      <c r="T938" s="2"/>
      <c r="U938" s="2"/>
    </row>
    <row r="939" spans="1:21" ht="15.75" customHeight="1">
      <c r="A939" s="1"/>
      <c r="B939" s="2"/>
      <c r="C939" s="2"/>
      <c r="D939" s="2"/>
      <c r="E939" s="2"/>
      <c r="F939" s="2"/>
      <c r="G939" s="2"/>
      <c r="H939" s="2"/>
      <c r="I939" s="2"/>
      <c r="J939" s="2"/>
      <c r="K939" s="2"/>
      <c r="L939" s="2"/>
      <c r="M939" s="2"/>
      <c r="N939" s="2"/>
      <c r="O939" s="2"/>
      <c r="P939" s="2"/>
      <c r="Q939" s="2"/>
      <c r="R939" s="2"/>
      <c r="S939" s="2"/>
      <c r="T939" s="2"/>
      <c r="U939" s="2"/>
    </row>
    <row r="940" spans="1:21" ht="15.75" customHeight="1">
      <c r="A940" s="1"/>
      <c r="B940" s="2"/>
      <c r="C940" s="2"/>
      <c r="D940" s="2"/>
      <c r="E940" s="2"/>
      <c r="F940" s="2"/>
      <c r="G940" s="2"/>
      <c r="H940" s="2"/>
      <c r="I940" s="2"/>
      <c r="J940" s="2"/>
      <c r="K940" s="2"/>
      <c r="L940" s="2"/>
      <c r="M940" s="2"/>
      <c r="N940" s="2"/>
      <c r="O940" s="2"/>
      <c r="P940" s="2"/>
      <c r="Q940" s="2"/>
      <c r="R940" s="2"/>
      <c r="S940" s="2"/>
      <c r="T940" s="2"/>
      <c r="U940" s="2"/>
    </row>
    <row r="941" spans="1:21" ht="15.75" customHeight="1">
      <c r="A941" s="1"/>
      <c r="B941" s="2"/>
      <c r="C941" s="2"/>
      <c r="D941" s="2"/>
      <c r="E941" s="2"/>
      <c r="F941" s="2"/>
      <c r="G941" s="2"/>
      <c r="H941" s="2"/>
      <c r="I941" s="2"/>
      <c r="J941" s="2"/>
      <c r="K941" s="2"/>
      <c r="L941" s="2"/>
      <c r="M941" s="2"/>
      <c r="N941" s="2"/>
      <c r="O941" s="2"/>
      <c r="P941" s="2"/>
      <c r="Q941" s="2"/>
      <c r="R941" s="2"/>
      <c r="S941" s="2"/>
      <c r="T941" s="2"/>
      <c r="U941" s="2"/>
    </row>
    <row r="942" spans="1:21" ht="15.75" customHeight="1">
      <c r="A942" s="1"/>
      <c r="B942" s="2"/>
      <c r="C942" s="2"/>
      <c r="D942" s="2"/>
      <c r="E942" s="2"/>
      <c r="F942" s="2"/>
      <c r="G942" s="2"/>
      <c r="H942" s="2"/>
      <c r="I942" s="2"/>
      <c r="J942" s="2"/>
      <c r="K942" s="2"/>
      <c r="L942" s="2"/>
      <c r="M942" s="2"/>
      <c r="N942" s="2"/>
      <c r="O942" s="2"/>
      <c r="P942" s="2"/>
      <c r="Q942" s="2"/>
      <c r="R942" s="2"/>
      <c r="S942" s="2"/>
      <c r="T942" s="2"/>
      <c r="U942" s="2"/>
    </row>
    <row r="943" spans="1:21" ht="15.75" customHeight="1">
      <c r="A943" s="1"/>
      <c r="B943" s="2"/>
      <c r="C943" s="2"/>
      <c r="D943" s="2"/>
      <c r="E943" s="2"/>
      <c r="F943" s="2"/>
      <c r="G943" s="2"/>
      <c r="H943" s="2"/>
      <c r="I943" s="2"/>
      <c r="J943" s="2"/>
      <c r="K943" s="2"/>
      <c r="L943" s="2"/>
      <c r="M943" s="2"/>
      <c r="N943" s="2"/>
      <c r="O943" s="2"/>
      <c r="P943" s="2"/>
      <c r="Q943" s="2"/>
      <c r="R943" s="2"/>
      <c r="S943" s="2"/>
      <c r="T943" s="2"/>
      <c r="U943" s="2"/>
    </row>
    <row r="944" spans="1:21" ht="15.75" customHeight="1">
      <c r="A944" s="1"/>
      <c r="B944" s="2"/>
      <c r="C944" s="2"/>
      <c r="D944" s="2"/>
      <c r="E944" s="2"/>
      <c r="F944" s="2"/>
      <c r="G944" s="2"/>
      <c r="H944" s="2"/>
      <c r="I944" s="2"/>
      <c r="J944" s="2"/>
      <c r="K944" s="2"/>
      <c r="L944" s="2"/>
      <c r="M944" s="2"/>
      <c r="N944" s="2"/>
      <c r="O944" s="2"/>
      <c r="P944" s="2"/>
      <c r="Q944" s="2"/>
      <c r="R944" s="2"/>
      <c r="S944" s="2"/>
      <c r="T944" s="2"/>
      <c r="U944" s="2"/>
    </row>
    <row r="945" spans="1:21" ht="15.75" customHeight="1">
      <c r="A945" s="1"/>
      <c r="B945" s="2"/>
      <c r="C945" s="2"/>
      <c r="D945" s="2"/>
      <c r="E945" s="2"/>
      <c r="F945" s="2"/>
      <c r="G945" s="2"/>
      <c r="H945" s="2"/>
      <c r="I945" s="2"/>
      <c r="J945" s="2"/>
      <c r="K945" s="2"/>
      <c r="L945" s="2"/>
      <c r="M945" s="2"/>
      <c r="N945" s="2"/>
      <c r="O945" s="2"/>
      <c r="P945" s="2"/>
      <c r="Q945" s="2"/>
      <c r="R945" s="2"/>
      <c r="S945" s="2"/>
      <c r="T945" s="2"/>
      <c r="U945" s="2"/>
    </row>
    <row r="946" spans="1:21" ht="15.75" customHeight="1">
      <c r="A946" s="1"/>
      <c r="B946" s="2"/>
      <c r="C946" s="2"/>
      <c r="D946" s="2"/>
      <c r="E946" s="2"/>
      <c r="F946" s="2"/>
      <c r="G946" s="2"/>
      <c r="H946" s="2"/>
      <c r="I946" s="2"/>
      <c r="J946" s="2"/>
      <c r="K946" s="2"/>
      <c r="L946" s="2"/>
      <c r="M946" s="2"/>
      <c r="N946" s="2"/>
      <c r="O946" s="2"/>
      <c r="P946" s="2"/>
      <c r="Q946" s="2"/>
      <c r="R946" s="2"/>
      <c r="S946" s="2"/>
      <c r="T946" s="2"/>
      <c r="U946" s="2"/>
    </row>
    <row r="947" spans="1:21" ht="15.75" customHeight="1">
      <c r="A947" s="1"/>
      <c r="B947" s="2"/>
      <c r="C947" s="2"/>
      <c r="D947" s="2"/>
      <c r="E947" s="2"/>
      <c r="F947" s="2"/>
      <c r="G947" s="2"/>
      <c r="H947" s="2"/>
      <c r="I947" s="2"/>
      <c r="J947" s="2"/>
      <c r="K947" s="2"/>
      <c r="L947" s="2"/>
      <c r="M947" s="2"/>
      <c r="N947" s="2"/>
      <c r="O947" s="2"/>
      <c r="P947" s="2"/>
      <c r="Q947" s="2"/>
      <c r="R947" s="2"/>
      <c r="S947" s="2"/>
      <c r="T947" s="2"/>
      <c r="U947" s="2"/>
    </row>
    <row r="948" spans="1:21" ht="15.75" customHeight="1">
      <c r="A948" s="1"/>
      <c r="B948" s="2"/>
      <c r="C948" s="2"/>
      <c r="D948" s="2"/>
      <c r="E948" s="2"/>
      <c r="F948" s="2"/>
      <c r="G948" s="2"/>
      <c r="H948" s="2"/>
      <c r="I948" s="2"/>
      <c r="J948" s="2"/>
      <c r="K948" s="2"/>
      <c r="L948" s="2"/>
      <c r="M948" s="2"/>
      <c r="N948" s="2"/>
      <c r="O948" s="2"/>
      <c r="P948" s="2"/>
      <c r="Q948" s="2"/>
      <c r="R948" s="2"/>
      <c r="S948" s="2"/>
      <c r="T948" s="2"/>
      <c r="U948" s="2"/>
    </row>
    <row r="949" spans="1:21" ht="15.75" customHeight="1">
      <c r="A949" s="1"/>
      <c r="B949" s="2"/>
      <c r="C949" s="2"/>
      <c r="D949" s="2"/>
      <c r="E949" s="2"/>
      <c r="F949" s="2"/>
      <c r="G949" s="2"/>
      <c r="H949" s="2"/>
      <c r="I949" s="2"/>
      <c r="J949" s="2"/>
      <c r="K949" s="2"/>
      <c r="L949" s="2"/>
      <c r="M949" s="2"/>
      <c r="N949" s="2"/>
      <c r="O949" s="2"/>
      <c r="P949" s="2"/>
      <c r="Q949" s="2"/>
      <c r="R949" s="2"/>
      <c r="S949" s="2"/>
      <c r="T949" s="2"/>
      <c r="U949" s="2"/>
    </row>
    <row r="950" spans="1:21" ht="15.75" customHeight="1">
      <c r="A950" s="1"/>
      <c r="B950" s="2"/>
      <c r="C950" s="2"/>
      <c r="D950" s="2"/>
      <c r="E950" s="2"/>
      <c r="F950" s="2"/>
      <c r="G950" s="2"/>
      <c r="H950" s="2"/>
      <c r="I950" s="2"/>
      <c r="J950" s="2"/>
      <c r="K950" s="2"/>
      <c r="L950" s="2"/>
      <c r="M950" s="2"/>
      <c r="N950" s="2"/>
      <c r="O950" s="2"/>
      <c r="P950" s="2"/>
      <c r="Q950" s="2"/>
      <c r="R950" s="2"/>
      <c r="S950" s="2"/>
      <c r="T950" s="2"/>
      <c r="U950" s="2"/>
    </row>
    <row r="951" spans="1:21" ht="15.75" customHeight="1">
      <c r="A951" s="1"/>
      <c r="B951" s="2"/>
      <c r="C951" s="2"/>
      <c r="D951" s="2"/>
      <c r="E951" s="2"/>
      <c r="F951" s="2"/>
      <c r="G951" s="2"/>
      <c r="H951" s="2"/>
      <c r="I951" s="2"/>
      <c r="J951" s="2"/>
      <c r="K951" s="2"/>
      <c r="L951" s="2"/>
      <c r="M951" s="2"/>
      <c r="N951" s="2"/>
      <c r="O951" s="2"/>
      <c r="P951" s="2"/>
      <c r="Q951" s="2"/>
      <c r="R951" s="2"/>
      <c r="S951" s="2"/>
      <c r="T951" s="2"/>
      <c r="U951" s="2"/>
    </row>
    <row r="952" spans="1:21" ht="15.75" customHeight="1">
      <c r="A952" s="1"/>
      <c r="B952" s="2"/>
      <c r="C952" s="2"/>
      <c r="D952" s="2"/>
      <c r="E952" s="2"/>
      <c r="F952" s="2"/>
      <c r="G952" s="2"/>
      <c r="H952" s="2"/>
      <c r="I952" s="2"/>
      <c r="J952" s="2"/>
      <c r="K952" s="2"/>
      <c r="L952" s="2"/>
      <c r="M952" s="2"/>
      <c r="N952" s="2"/>
      <c r="O952" s="2"/>
      <c r="P952" s="2"/>
      <c r="Q952" s="2"/>
      <c r="R952" s="2"/>
      <c r="S952" s="2"/>
      <c r="T952" s="2"/>
      <c r="U952" s="2"/>
    </row>
    <row r="953" spans="1:21" ht="15.75" customHeight="1">
      <c r="A953" s="1"/>
      <c r="B953" s="2"/>
      <c r="C953" s="2"/>
      <c r="D953" s="2"/>
      <c r="E953" s="2"/>
      <c r="F953" s="2"/>
      <c r="G953" s="2"/>
      <c r="H953" s="2"/>
      <c r="I953" s="2"/>
      <c r="J953" s="2"/>
      <c r="K953" s="2"/>
      <c r="L953" s="2"/>
      <c r="M953" s="2"/>
      <c r="N953" s="2"/>
      <c r="O953" s="2"/>
      <c r="P953" s="2"/>
      <c r="Q953" s="2"/>
      <c r="R953" s="2"/>
      <c r="S953" s="2"/>
      <c r="T953" s="2"/>
      <c r="U953" s="2"/>
    </row>
    <row r="954" spans="1:21" ht="15.75" customHeight="1">
      <c r="A954" s="1"/>
      <c r="B954" s="2"/>
      <c r="C954" s="2"/>
      <c r="D954" s="2"/>
      <c r="E954" s="2"/>
      <c r="F954" s="2"/>
      <c r="G954" s="2"/>
      <c r="H954" s="2"/>
      <c r="I954" s="2"/>
      <c r="J954" s="2"/>
      <c r="K954" s="2"/>
      <c r="L954" s="2"/>
      <c r="M954" s="2"/>
      <c r="N954" s="2"/>
      <c r="O954" s="2"/>
      <c r="P954" s="2"/>
      <c r="Q954" s="2"/>
      <c r="R954" s="2"/>
      <c r="S954" s="2"/>
      <c r="T954" s="2"/>
      <c r="U954" s="2"/>
    </row>
    <row r="955" spans="1:21" ht="15.75" customHeight="1">
      <c r="A955" s="1"/>
      <c r="B955" s="2"/>
      <c r="C955" s="2"/>
      <c r="D955" s="2"/>
      <c r="E955" s="2"/>
      <c r="F955" s="2"/>
      <c r="G955" s="2"/>
      <c r="H955" s="2"/>
      <c r="I955" s="2"/>
      <c r="J955" s="2"/>
      <c r="K955" s="2"/>
      <c r="L955" s="2"/>
      <c r="M955" s="2"/>
      <c r="N955" s="2"/>
      <c r="O955" s="2"/>
      <c r="P955" s="2"/>
      <c r="Q955" s="2"/>
      <c r="R955" s="2"/>
      <c r="S955" s="2"/>
      <c r="T955" s="2"/>
      <c r="U955" s="2"/>
    </row>
    <row r="956" spans="1:21" ht="15.75" customHeight="1">
      <c r="A956" s="1"/>
      <c r="B956" s="2"/>
      <c r="C956" s="2"/>
      <c r="D956" s="2"/>
      <c r="E956" s="2"/>
      <c r="F956" s="2"/>
      <c r="G956" s="2"/>
      <c r="H956" s="2"/>
      <c r="I956" s="2"/>
      <c r="J956" s="2"/>
      <c r="K956" s="2"/>
      <c r="L956" s="2"/>
      <c r="M956" s="2"/>
      <c r="N956" s="2"/>
      <c r="O956" s="2"/>
      <c r="P956" s="2"/>
      <c r="Q956" s="2"/>
      <c r="R956" s="2"/>
      <c r="S956" s="2"/>
      <c r="T956" s="2"/>
      <c r="U956" s="2"/>
    </row>
    <row r="957" spans="1:21" ht="15.75" customHeight="1">
      <c r="A957" s="1"/>
      <c r="B957" s="2"/>
      <c r="C957" s="2"/>
      <c r="D957" s="2"/>
      <c r="E957" s="2"/>
      <c r="F957" s="2"/>
      <c r="G957" s="2"/>
      <c r="H957" s="2"/>
      <c r="I957" s="2"/>
      <c r="J957" s="2"/>
      <c r="K957" s="2"/>
      <c r="L957" s="2"/>
      <c r="M957" s="2"/>
      <c r="N957" s="2"/>
      <c r="O957" s="2"/>
      <c r="P957" s="2"/>
      <c r="Q957" s="2"/>
      <c r="R957" s="2"/>
      <c r="S957" s="2"/>
      <c r="T957" s="2"/>
      <c r="U957" s="2"/>
    </row>
    <row r="958" spans="1:21" ht="15.75" customHeight="1">
      <c r="A958" s="1"/>
      <c r="B958" s="2"/>
      <c r="C958" s="2"/>
      <c r="D958" s="2"/>
      <c r="E958" s="2"/>
      <c r="F958" s="2"/>
      <c r="G958" s="2"/>
      <c r="H958" s="2"/>
      <c r="I958" s="2"/>
      <c r="J958" s="2"/>
      <c r="K958" s="2"/>
      <c r="L958" s="2"/>
      <c r="M958" s="2"/>
      <c r="N958" s="2"/>
      <c r="O958" s="2"/>
      <c r="P958" s="2"/>
      <c r="Q958" s="2"/>
      <c r="R958" s="2"/>
      <c r="S958" s="2"/>
      <c r="T958" s="2"/>
      <c r="U958" s="2"/>
    </row>
    <row r="959" spans="1:21" ht="15.75" customHeight="1">
      <c r="A959" s="1"/>
      <c r="B959" s="2"/>
      <c r="C959" s="2"/>
      <c r="D959" s="2"/>
      <c r="E959" s="2"/>
      <c r="F959" s="2"/>
      <c r="G959" s="2"/>
      <c r="H959" s="2"/>
      <c r="I959" s="2"/>
      <c r="J959" s="2"/>
      <c r="K959" s="2"/>
      <c r="L959" s="2"/>
      <c r="M959" s="2"/>
      <c r="N959" s="2"/>
      <c r="O959" s="2"/>
      <c r="P959" s="2"/>
      <c r="Q959" s="2"/>
      <c r="R959" s="2"/>
      <c r="S959" s="2"/>
      <c r="T959" s="2"/>
      <c r="U959" s="2"/>
    </row>
    <row r="960" spans="1:21" ht="15.75" customHeight="1">
      <c r="A960" s="1"/>
      <c r="B960" s="2"/>
      <c r="C960" s="2"/>
      <c r="D960" s="2"/>
      <c r="E960" s="2"/>
      <c r="F960" s="2"/>
      <c r="G960" s="2"/>
      <c r="H960" s="2"/>
      <c r="I960" s="2"/>
      <c r="J960" s="2"/>
      <c r="K960" s="2"/>
      <c r="L960" s="2"/>
      <c r="M960" s="2"/>
      <c r="N960" s="2"/>
      <c r="O960" s="2"/>
      <c r="P960" s="2"/>
      <c r="Q960" s="2"/>
      <c r="R960" s="2"/>
      <c r="S960" s="2"/>
      <c r="T960" s="2"/>
      <c r="U960" s="2"/>
    </row>
    <row r="961" spans="1:21" ht="15.75" customHeight="1">
      <c r="A961" s="1"/>
      <c r="B961" s="2"/>
      <c r="C961" s="2"/>
      <c r="D961" s="2"/>
      <c r="E961" s="2"/>
      <c r="F961" s="2"/>
      <c r="G961" s="2"/>
      <c r="H961" s="2"/>
      <c r="I961" s="2"/>
      <c r="J961" s="2"/>
      <c r="K961" s="2"/>
      <c r="L961" s="2"/>
      <c r="M961" s="2"/>
      <c r="N961" s="2"/>
      <c r="O961" s="2"/>
      <c r="P961" s="2"/>
      <c r="Q961" s="2"/>
      <c r="R961" s="2"/>
      <c r="S961" s="2"/>
      <c r="T961" s="2"/>
      <c r="U961" s="2"/>
    </row>
    <row r="962" spans="1:21" ht="15.75" customHeight="1">
      <c r="A962" s="1"/>
      <c r="B962" s="2"/>
      <c r="C962" s="2"/>
      <c r="D962" s="2"/>
      <c r="E962" s="2"/>
      <c r="F962" s="2"/>
      <c r="G962" s="2"/>
      <c r="H962" s="2"/>
      <c r="I962" s="2"/>
      <c r="J962" s="2"/>
      <c r="K962" s="2"/>
      <c r="L962" s="2"/>
      <c r="M962" s="2"/>
      <c r="N962" s="2"/>
      <c r="O962" s="2"/>
      <c r="P962" s="2"/>
      <c r="Q962" s="2"/>
      <c r="R962" s="2"/>
      <c r="S962" s="2"/>
      <c r="T962" s="2"/>
      <c r="U962" s="2"/>
    </row>
    <row r="963" spans="1:21" ht="15.75" customHeight="1">
      <c r="A963" s="1"/>
      <c r="B963" s="2"/>
      <c r="C963" s="2"/>
      <c r="D963" s="2"/>
      <c r="E963" s="2"/>
      <c r="F963" s="2"/>
      <c r="G963" s="2"/>
      <c r="H963" s="2"/>
      <c r="I963" s="2"/>
      <c r="J963" s="2"/>
      <c r="K963" s="2"/>
      <c r="L963" s="2"/>
      <c r="M963" s="2"/>
      <c r="N963" s="2"/>
      <c r="O963" s="2"/>
      <c r="P963" s="2"/>
      <c r="Q963" s="2"/>
      <c r="R963" s="2"/>
      <c r="S963" s="2"/>
      <c r="T963" s="2"/>
      <c r="U963" s="2"/>
    </row>
    <row r="964" spans="1:21" ht="15.75" customHeight="1">
      <c r="A964" s="1"/>
      <c r="B964" s="2"/>
      <c r="C964" s="2"/>
      <c r="D964" s="2"/>
      <c r="E964" s="2"/>
      <c r="F964" s="2"/>
      <c r="G964" s="2"/>
      <c r="H964" s="2"/>
      <c r="I964" s="2"/>
      <c r="J964" s="2"/>
      <c r="K964" s="2"/>
      <c r="L964" s="2"/>
      <c r="M964" s="2"/>
      <c r="N964" s="2"/>
      <c r="O964" s="2"/>
      <c r="P964" s="2"/>
      <c r="Q964" s="2"/>
      <c r="R964" s="2"/>
      <c r="S964" s="2"/>
      <c r="T964" s="2"/>
      <c r="U964" s="2"/>
    </row>
    <row r="965" spans="1:21" ht="15.75" customHeight="1">
      <c r="A965" s="1"/>
      <c r="B965" s="2"/>
      <c r="C965" s="2"/>
      <c r="D965" s="2"/>
      <c r="E965" s="2"/>
      <c r="F965" s="2"/>
      <c r="G965" s="2"/>
      <c r="H965" s="2"/>
      <c r="I965" s="2"/>
      <c r="J965" s="2"/>
      <c r="K965" s="2"/>
      <c r="L965" s="2"/>
      <c r="M965" s="2"/>
      <c r="N965" s="2"/>
      <c r="O965" s="2"/>
      <c r="P965" s="2"/>
      <c r="Q965" s="2"/>
      <c r="R965" s="2"/>
      <c r="S965" s="2"/>
      <c r="T965" s="2"/>
      <c r="U965" s="2"/>
    </row>
    <row r="966" spans="1:21" ht="15.75" customHeight="1">
      <c r="A966" s="1"/>
      <c r="B966" s="2"/>
      <c r="C966" s="2"/>
      <c r="D966" s="2"/>
      <c r="E966" s="2"/>
      <c r="F966" s="2"/>
      <c r="G966" s="2"/>
      <c r="H966" s="2"/>
      <c r="I966" s="2"/>
      <c r="J966" s="2"/>
      <c r="K966" s="2"/>
      <c r="L966" s="2"/>
      <c r="M966" s="2"/>
      <c r="N966" s="2"/>
      <c r="O966" s="2"/>
      <c r="P966" s="2"/>
      <c r="Q966" s="2"/>
      <c r="R966" s="2"/>
      <c r="S966" s="2"/>
      <c r="T966" s="2"/>
      <c r="U966" s="2"/>
    </row>
    <row r="967" spans="1:21" ht="15.75" customHeight="1">
      <c r="A967" s="1"/>
      <c r="B967" s="2"/>
      <c r="C967" s="2"/>
      <c r="D967" s="2"/>
      <c r="E967" s="2"/>
      <c r="F967" s="2"/>
      <c r="G967" s="2"/>
      <c r="H967" s="2"/>
      <c r="I967" s="2"/>
      <c r="J967" s="2"/>
      <c r="K967" s="2"/>
      <c r="L967" s="2"/>
      <c r="M967" s="2"/>
      <c r="N967" s="2"/>
      <c r="O967" s="2"/>
      <c r="P967" s="2"/>
      <c r="Q967" s="2"/>
      <c r="R967" s="2"/>
      <c r="S967" s="2"/>
      <c r="T967" s="2"/>
      <c r="U967" s="2"/>
    </row>
    <row r="968" spans="1:21" ht="15.75" customHeight="1">
      <c r="A968" s="1"/>
      <c r="B968" s="2"/>
      <c r="C968" s="2"/>
      <c r="D968" s="2"/>
      <c r="E968" s="2"/>
      <c r="F968" s="2"/>
      <c r="G968" s="2"/>
      <c r="H968" s="2"/>
      <c r="I968" s="2"/>
      <c r="J968" s="2"/>
      <c r="K968" s="2"/>
      <c r="L968" s="2"/>
      <c r="M968" s="2"/>
      <c r="N968" s="2"/>
      <c r="O968" s="2"/>
      <c r="P968" s="2"/>
      <c r="Q968" s="2"/>
      <c r="R968" s="2"/>
      <c r="S968" s="2"/>
      <c r="T968" s="2"/>
      <c r="U968" s="2"/>
    </row>
    <row r="969" spans="1:21" ht="15.75" customHeight="1">
      <c r="A969" s="1"/>
      <c r="B969" s="2"/>
      <c r="C969" s="2"/>
      <c r="D969" s="2"/>
      <c r="E969" s="2"/>
      <c r="F969" s="2"/>
      <c r="G969" s="2"/>
      <c r="H969" s="2"/>
      <c r="I969" s="2"/>
      <c r="J969" s="2"/>
      <c r="K969" s="2"/>
      <c r="L969" s="2"/>
      <c r="M969" s="2"/>
      <c r="N969" s="2"/>
      <c r="O969" s="2"/>
      <c r="P969" s="2"/>
      <c r="Q969" s="2"/>
      <c r="R969" s="2"/>
      <c r="S969" s="2"/>
      <c r="T969" s="2"/>
      <c r="U969" s="2"/>
    </row>
    <row r="970" spans="1:21" ht="15.75" customHeight="1">
      <c r="A970" s="1"/>
      <c r="B970" s="2"/>
      <c r="C970" s="2"/>
      <c r="D970" s="2"/>
      <c r="E970" s="2"/>
      <c r="F970" s="2"/>
      <c r="G970" s="2"/>
      <c r="H970" s="2"/>
      <c r="I970" s="2"/>
      <c r="J970" s="2"/>
      <c r="K970" s="2"/>
      <c r="L970" s="2"/>
      <c r="M970" s="2"/>
      <c r="N970" s="2"/>
      <c r="O970" s="2"/>
      <c r="P970" s="2"/>
      <c r="Q970" s="2"/>
      <c r="R970" s="2"/>
      <c r="S970" s="2"/>
      <c r="T970" s="2"/>
      <c r="U970" s="2"/>
    </row>
    <row r="971" spans="1:21" ht="15.75" customHeight="1">
      <c r="A971" s="1"/>
      <c r="B971" s="2"/>
      <c r="C971" s="2"/>
      <c r="D971" s="2"/>
      <c r="E971" s="2"/>
      <c r="F971" s="2"/>
      <c r="G971" s="2"/>
      <c r="H971" s="2"/>
      <c r="I971" s="2"/>
      <c r="J971" s="2"/>
      <c r="K971" s="2"/>
      <c r="L971" s="2"/>
      <c r="M971" s="2"/>
      <c r="N971" s="2"/>
      <c r="O971" s="2"/>
      <c r="P971" s="2"/>
      <c r="Q971" s="2"/>
      <c r="R971" s="2"/>
      <c r="S971" s="2"/>
      <c r="T971" s="2"/>
      <c r="U971" s="2"/>
    </row>
    <row r="972" spans="1:21" ht="15.75" customHeight="1">
      <c r="A972" s="1"/>
      <c r="B972" s="2"/>
      <c r="C972" s="2"/>
      <c r="D972" s="2"/>
      <c r="E972" s="2"/>
      <c r="F972" s="2"/>
      <c r="G972" s="2"/>
      <c r="H972" s="2"/>
      <c r="I972" s="2"/>
      <c r="J972" s="2"/>
      <c r="K972" s="2"/>
      <c r="L972" s="2"/>
      <c r="M972" s="2"/>
      <c r="N972" s="2"/>
      <c r="O972" s="2"/>
      <c r="P972" s="2"/>
      <c r="Q972" s="2"/>
      <c r="R972" s="2"/>
      <c r="S972" s="2"/>
      <c r="T972" s="2"/>
      <c r="U972" s="2"/>
    </row>
    <row r="973" spans="1:21" ht="15.75" customHeight="1">
      <c r="A973" s="1"/>
      <c r="B973" s="2"/>
      <c r="C973" s="2"/>
      <c r="D973" s="2"/>
      <c r="E973" s="2"/>
      <c r="F973" s="2"/>
      <c r="G973" s="2"/>
      <c r="H973" s="2"/>
      <c r="I973" s="2"/>
      <c r="J973" s="2"/>
      <c r="K973" s="2"/>
      <c r="L973" s="2"/>
      <c r="M973" s="2"/>
      <c r="N973" s="2"/>
      <c r="O973" s="2"/>
      <c r="P973" s="2"/>
      <c r="Q973" s="2"/>
      <c r="R973" s="2"/>
      <c r="S973" s="2"/>
      <c r="T973" s="2"/>
      <c r="U973" s="2"/>
    </row>
    <row r="974" spans="1:21" ht="15.75" customHeight="1">
      <c r="A974" s="1"/>
      <c r="B974" s="2"/>
      <c r="C974" s="2"/>
      <c r="D974" s="2"/>
      <c r="E974" s="2"/>
      <c r="F974" s="2"/>
      <c r="G974" s="2"/>
      <c r="H974" s="2"/>
      <c r="I974" s="2"/>
      <c r="J974" s="2"/>
      <c r="K974" s="2"/>
      <c r="L974" s="2"/>
      <c r="M974" s="2"/>
      <c r="N974" s="2"/>
      <c r="O974" s="2"/>
      <c r="P974" s="2"/>
      <c r="Q974" s="2"/>
      <c r="R974" s="2"/>
      <c r="S974" s="2"/>
      <c r="T974" s="2"/>
      <c r="U974" s="2"/>
    </row>
    <row r="975" spans="1:21" ht="15.75" customHeight="1">
      <c r="A975" s="1"/>
      <c r="B975" s="2"/>
      <c r="C975" s="2"/>
      <c r="D975" s="2"/>
      <c r="E975" s="2"/>
      <c r="F975" s="2"/>
      <c r="G975" s="2"/>
      <c r="H975" s="2"/>
      <c r="I975" s="2"/>
      <c r="J975" s="2"/>
      <c r="K975" s="2"/>
      <c r="L975" s="2"/>
      <c r="M975" s="2"/>
      <c r="N975" s="2"/>
      <c r="O975" s="2"/>
      <c r="P975" s="2"/>
      <c r="Q975" s="2"/>
      <c r="R975" s="2"/>
      <c r="S975" s="2"/>
      <c r="T975" s="2"/>
      <c r="U975" s="2"/>
    </row>
    <row r="976" spans="1:21" ht="15.75" customHeight="1">
      <c r="A976" s="1"/>
      <c r="B976" s="2"/>
      <c r="C976" s="2"/>
      <c r="D976" s="2"/>
      <c r="E976" s="2"/>
      <c r="F976" s="2"/>
      <c r="G976" s="2"/>
      <c r="H976" s="2"/>
      <c r="I976" s="2"/>
      <c r="J976" s="2"/>
      <c r="K976" s="2"/>
      <c r="L976" s="2"/>
      <c r="M976" s="2"/>
      <c r="N976" s="2"/>
      <c r="O976" s="2"/>
      <c r="P976" s="2"/>
      <c r="Q976" s="2"/>
      <c r="R976" s="2"/>
      <c r="S976" s="2"/>
      <c r="T976" s="2"/>
      <c r="U976" s="2"/>
    </row>
    <row r="977" spans="1:21" ht="15.75" customHeight="1">
      <c r="A977" s="1"/>
      <c r="B977" s="2"/>
      <c r="C977" s="2"/>
      <c r="D977" s="2"/>
      <c r="E977" s="2"/>
      <c r="F977" s="2"/>
      <c r="G977" s="2"/>
      <c r="H977" s="2"/>
      <c r="I977" s="2"/>
      <c r="J977" s="2"/>
      <c r="K977" s="2"/>
      <c r="L977" s="2"/>
      <c r="M977" s="2"/>
      <c r="N977" s="2"/>
      <c r="O977" s="2"/>
      <c r="P977" s="2"/>
      <c r="Q977" s="2"/>
      <c r="R977" s="2"/>
      <c r="S977" s="2"/>
      <c r="T977" s="2"/>
      <c r="U977" s="2"/>
    </row>
    <row r="978" spans="1:21" ht="15.75" customHeight="1">
      <c r="A978" s="1"/>
      <c r="B978" s="2"/>
      <c r="C978" s="2"/>
      <c r="D978" s="2"/>
      <c r="E978" s="2"/>
      <c r="F978" s="2"/>
      <c r="G978" s="2"/>
      <c r="H978" s="2"/>
      <c r="I978" s="2"/>
      <c r="J978" s="2"/>
      <c r="K978" s="2"/>
      <c r="L978" s="2"/>
      <c r="M978" s="2"/>
      <c r="N978" s="2"/>
      <c r="O978" s="2"/>
      <c r="P978" s="2"/>
      <c r="Q978" s="2"/>
      <c r="R978" s="2"/>
      <c r="S978" s="2"/>
      <c r="T978" s="2"/>
      <c r="U978" s="2"/>
    </row>
    <row r="979" spans="1:21" ht="15.75" customHeight="1">
      <c r="A979" s="1"/>
      <c r="B979" s="2"/>
      <c r="C979" s="2"/>
      <c r="D979" s="2"/>
      <c r="E979" s="2"/>
      <c r="F979" s="2"/>
      <c r="G979" s="2"/>
      <c r="H979" s="2"/>
      <c r="I979" s="2"/>
      <c r="J979" s="2"/>
      <c r="K979" s="2"/>
      <c r="L979" s="2"/>
      <c r="M979" s="2"/>
      <c r="N979" s="2"/>
      <c r="O979" s="2"/>
      <c r="P979" s="2"/>
      <c r="Q979" s="2"/>
      <c r="R979" s="2"/>
      <c r="S979" s="2"/>
      <c r="T979" s="2"/>
      <c r="U979" s="2"/>
    </row>
    <row r="980" spans="1:21" ht="15.75" customHeight="1">
      <c r="A980" s="1"/>
      <c r="B980" s="2"/>
      <c r="C980" s="2"/>
      <c r="D980" s="2"/>
      <c r="E980" s="2"/>
      <c r="F980" s="2"/>
      <c r="G980" s="2"/>
      <c r="H980" s="2"/>
      <c r="I980" s="2"/>
      <c r="J980" s="2"/>
      <c r="K980" s="2"/>
      <c r="L980" s="2"/>
      <c r="M980" s="2"/>
      <c r="N980" s="2"/>
      <c r="O980" s="2"/>
      <c r="P980" s="2"/>
      <c r="Q980" s="2"/>
      <c r="R980" s="2"/>
      <c r="S980" s="2"/>
      <c r="T980" s="2"/>
      <c r="U980" s="2"/>
    </row>
    <row r="981" spans="1:21" ht="15.75" customHeight="1">
      <c r="A981" s="1"/>
      <c r="B981" s="2"/>
      <c r="C981" s="2"/>
      <c r="D981" s="2"/>
      <c r="E981" s="2"/>
      <c r="F981" s="2"/>
      <c r="G981" s="2"/>
      <c r="H981" s="2"/>
      <c r="I981" s="2"/>
      <c r="J981" s="2"/>
      <c r="K981" s="2"/>
      <c r="L981" s="2"/>
      <c r="M981" s="2"/>
      <c r="N981" s="2"/>
      <c r="O981" s="2"/>
      <c r="P981" s="2"/>
      <c r="Q981" s="2"/>
      <c r="R981" s="2"/>
      <c r="S981" s="2"/>
      <c r="T981" s="2"/>
      <c r="U981" s="2"/>
    </row>
    <row r="982" spans="1:21" ht="15.75" customHeight="1">
      <c r="A982" s="1"/>
      <c r="B982" s="2"/>
      <c r="C982" s="2"/>
      <c r="D982" s="2"/>
      <c r="E982" s="2"/>
      <c r="F982" s="2"/>
      <c r="G982" s="2"/>
      <c r="H982" s="2"/>
      <c r="I982" s="2"/>
      <c r="J982" s="2"/>
      <c r="K982" s="2"/>
      <c r="L982" s="2"/>
      <c r="M982" s="2"/>
      <c r="N982" s="2"/>
      <c r="O982" s="2"/>
      <c r="P982" s="2"/>
      <c r="Q982" s="2"/>
      <c r="R982" s="2"/>
      <c r="S982" s="2"/>
      <c r="T982" s="2"/>
      <c r="U982" s="2"/>
    </row>
    <row r="983" spans="1:21" ht="15.75" customHeight="1">
      <c r="A983" s="1"/>
      <c r="B983" s="2"/>
      <c r="C983" s="2"/>
      <c r="D983" s="2"/>
      <c r="E983" s="2"/>
      <c r="F983" s="2"/>
      <c r="G983" s="2"/>
      <c r="H983" s="2"/>
      <c r="I983" s="2"/>
      <c r="J983" s="2"/>
      <c r="K983" s="2"/>
      <c r="L983" s="2"/>
      <c r="M983" s="2"/>
      <c r="N983" s="2"/>
      <c r="O983" s="2"/>
      <c r="P983" s="2"/>
      <c r="Q983" s="2"/>
      <c r="R983" s="2"/>
      <c r="S983" s="2"/>
      <c r="T983" s="2"/>
      <c r="U983" s="2"/>
    </row>
    <row r="984" spans="1:21" ht="15.75" customHeight="1">
      <c r="A984" s="1"/>
      <c r="B984" s="2"/>
      <c r="C984" s="2"/>
      <c r="D984" s="2"/>
      <c r="E984" s="2"/>
      <c r="F984" s="2"/>
      <c r="G984" s="2"/>
      <c r="H984" s="2"/>
      <c r="I984" s="2"/>
      <c r="J984" s="2"/>
      <c r="K984" s="2"/>
      <c r="L984" s="2"/>
      <c r="M984" s="2"/>
      <c r="N984" s="2"/>
      <c r="O984" s="2"/>
      <c r="P984" s="2"/>
      <c r="Q984" s="2"/>
      <c r="R984" s="2"/>
      <c r="S984" s="2"/>
      <c r="T984" s="2"/>
      <c r="U984" s="2"/>
    </row>
    <row r="985" spans="1:21" ht="15.75" customHeight="1">
      <c r="A985" s="1"/>
      <c r="B985" s="2"/>
      <c r="C985" s="2"/>
      <c r="D985" s="2"/>
      <c r="E985" s="2"/>
      <c r="F985" s="2"/>
      <c r="G985" s="2"/>
      <c r="H985" s="2"/>
      <c r="I985" s="2"/>
      <c r="J985" s="2"/>
      <c r="K985" s="2"/>
      <c r="L985" s="2"/>
      <c r="M985" s="2"/>
      <c r="N985" s="2"/>
      <c r="O985" s="2"/>
      <c r="P985" s="2"/>
      <c r="Q985" s="2"/>
      <c r="R985" s="2"/>
      <c r="S985" s="2"/>
      <c r="T985" s="2"/>
      <c r="U985" s="2"/>
    </row>
    <row r="986" spans="1:21" ht="15.75" customHeight="1">
      <c r="A986" s="1"/>
      <c r="B986" s="2"/>
      <c r="C986" s="2"/>
      <c r="D986" s="2"/>
      <c r="E986" s="2"/>
      <c r="F986" s="2"/>
      <c r="G986" s="2"/>
      <c r="H986" s="2"/>
      <c r="I986" s="2"/>
      <c r="J986" s="2"/>
      <c r="K986" s="2"/>
      <c r="L986" s="2"/>
      <c r="M986" s="2"/>
      <c r="N986" s="2"/>
      <c r="O986" s="2"/>
      <c r="P986" s="2"/>
      <c r="Q986" s="2"/>
      <c r="R986" s="2"/>
      <c r="S986" s="2"/>
      <c r="T986" s="2"/>
      <c r="U986" s="2"/>
    </row>
    <row r="987" spans="1:21" ht="15.75" customHeight="1">
      <c r="A987" s="1"/>
      <c r="B987" s="2"/>
      <c r="C987" s="2"/>
      <c r="D987" s="2"/>
      <c r="E987" s="2"/>
      <c r="F987" s="2"/>
      <c r="G987" s="2"/>
      <c r="H987" s="2"/>
      <c r="I987" s="2"/>
      <c r="J987" s="2"/>
      <c r="K987" s="2"/>
      <c r="L987" s="2"/>
      <c r="M987" s="2"/>
      <c r="N987" s="2"/>
      <c r="O987" s="2"/>
      <c r="P987" s="2"/>
      <c r="Q987" s="2"/>
      <c r="R987" s="2"/>
      <c r="S987" s="2"/>
      <c r="T987" s="2"/>
      <c r="U987" s="2"/>
    </row>
    <row r="988" spans="1:21" ht="15.75" customHeight="1">
      <c r="A988" s="1"/>
      <c r="B988" s="2"/>
      <c r="C988" s="2"/>
      <c r="D988" s="2"/>
      <c r="E988" s="2"/>
      <c r="F988" s="2"/>
      <c r="G988" s="2"/>
      <c r="H988" s="2"/>
      <c r="I988" s="2"/>
      <c r="J988" s="2"/>
      <c r="K988" s="2"/>
      <c r="L988" s="2"/>
      <c r="M988" s="2"/>
      <c r="N988" s="2"/>
      <c r="O988" s="2"/>
      <c r="P988" s="2"/>
      <c r="Q988" s="2"/>
      <c r="R988" s="2"/>
      <c r="S988" s="2"/>
      <c r="T988" s="2"/>
      <c r="U988" s="2"/>
    </row>
    <row r="989" spans="1:21" ht="15.75" customHeight="1">
      <c r="A989" s="1"/>
      <c r="B989" s="2"/>
      <c r="C989" s="2"/>
      <c r="D989" s="2"/>
      <c r="E989" s="2"/>
      <c r="F989" s="2"/>
      <c r="G989" s="2"/>
      <c r="H989" s="2"/>
      <c r="I989" s="2"/>
      <c r="J989" s="2"/>
      <c r="K989" s="2"/>
      <c r="L989" s="2"/>
      <c r="M989" s="2"/>
      <c r="N989" s="2"/>
      <c r="O989" s="2"/>
      <c r="P989" s="2"/>
      <c r="Q989" s="2"/>
      <c r="R989" s="2"/>
      <c r="S989" s="2"/>
      <c r="T989" s="2"/>
      <c r="U989" s="2"/>
    </row>
    <row r="990" spans="1:21" ht="15.75" customHeight="1">
      <c r="A990" s="1"/>
      <c r="B990" s="2"/>
      <c r="C990" s="2"/>
      <c r="D990" s="2"/>
      <c r="E990" s="2"/>
      <c r="F990" s="2"/>
      <c r="G990" s="2"/>
      <c r="H990" s="2"/>
      <c r="I990" s="2"/>
      <c r="J990" s="2"/>
      <c r="K990" s="2"/>
      <c r="L990" s="2"/>
      <c r="M990" s="2"/>
      <c r="N990" s="2"/>
      <c r="O990" s="2"/>
      <c r="P990" s="2"/>
      <c r="Q990" s="2"/>
      <c r="R990" s="2"/>
      <c r="S990" s="2"/>
      <c r="T990" s="2"/>
      <c r="U990" s="2"/>
    </row>
    <row r="991" spans="1:21" ht="15.75" customHeight="1">
      <c r="A991" s="1"/>
      <c r="B991" s="2"/>
      <c r="C991" s="2"/>
      <c r="D991" s="2"/>
      <c r="E991" s="2"/>
      <c r="F991" s="2"/>
      <c r="G991" s="2"/>
      <c r="H991" s="2"/>
      <c r="I991" s="2"/>
      <c r="J991" s="2"/>
      <c r="K991" s="2"/>
      <c r="L991" s="2"/>
      <c r="M991" s="2"/>
      <c r="N991" s="2"/>
      <c r="O991" s="2"/>
      <c r="P991" s="2"/>
      <c r="Q991" s="2"/>
      <c r="R991" s="2"/>
      <c r="S991" s="2"/>
      <c r="T991" s="2"/>
      <c r="U991" s="2"/>
    </row>
    <row r="992" spans="1:21" ht="15.75" customHeight="1">
      <c r="A992" s="1"/>
      <c r="B992" s="2"/>
      <c r="C992" s="2"/>
      <c r="D992" s="2"/>
      <c r="E992" s="2"/>
      <c r="F992" s="2"/>
      <c r="G992" s="2"/>
      <c r="H992" s="2"/>
      <c r="I992" s="2"/>
      <c r="J992" s="2"/>
      <c r="K992" s="2"/>
      <c r="L992" s="2"/>
      <c r="M992" s="2"/>
      <c r="N992" s="2"/>
      <c r="O992" s="2"/>
      <c r="P992" s="2"/>
      <c r="Q992" s="2"/>
      <c r="R992" s="2"/>
      <c r="S992" s="2"/>
      <c r="T992" s="2"/>
      <c r="U992" s="2"/>
    </row>
    <row r="993" spans="1:21" ht="15.75" customHeight="1">
      <c r="A993" s="1"/>
      <c r="B993" s="2"/>
      <c r="C993" s="2"/>
      <c r="D993" s="2"/>
      <c r="E993" s="2"/>
      <c r="F993" s="2"/>
      <c r="G993" s="2"/>
      <c r="H993" s="2"/>
      <c r="I993" s="2"/>
      <c r="J993" s="2"/>
      <c r="K993" s="2"/>
      <c r="L993" s="2"/>
      <c r="M993" s="2"/>
      <c r="N993" s="2"/>
      <c r="O993" s="2"/>
      <c r="P993" s="2"/>
      <c r="Q993" s="2"/>
      <c r="R993" s="2"/>
      <c r="S993" s="2"/>
      <c r="T993" s="2"/>
      <c r="U993" s="2"/>
    </row>
    <row r="994" spans="1:21" ht="15.75" customHeight="1">
      <c r="A994" s="1"/>
      <c r="B994" s="2"/>
      <c r="C994" s="2"/>
      <c r="D994" s="2"/>
      <c r="E994" s="2"/>
      <c r="F994" s="2"/>
      <c r="G994" s="2"/>
      <c r="H994" s="2"/>
      <c r="I994" s="2"/>
      <c r="J994" s="2"/>
      <c r="K994" s="2"/>
      <c r="L994" s="2"/>
      <c r="M994" s="2"/>
      <c r="N994" s="2"/>
      <c r="O994" s="2"/>
      <c r="P994" s="2"/>
      <c r="Q994" s="2"/>
      <c r="R994" s="2"/>
      <c r="S994" s="2"/>
      <c r="T994" s="2"/>
      <c r="U994" s="2"/>
    </row>
    <row r="995" spans="1:21" ht="15.75" customHeight="1">
      <c r="A995" s="1"/>
      <c r="B995" s="2"/>
      <c r="C995" s="2"/>
      <c r="D995" s="2"/>
      <c r="E995" s="2"/>
      <c r="F995" s="2"/>
      <c r="G995" s="2"/>
      <c r="H995" s="2"/>
      <c r="I995" s="2"/>
      <c r="J995" s="2"/>
      <c r="K995" s="2"/>
      <c r="L995" s="2"/>
      <c r="M995" s="2"/>
      <c r="N995" s="2"/>
      <c r="O995" s="2"/>
      <c r="P995" s="2"/>
      <c r="Q995" s="2"/>
      <c r="R995" s="2"/>
      <c r="S995" s="2"/>
      <c r="T995" s="2"/>
      <c r="U995" s="2"/>
    </row>
    <row r="996" spans="1:21" ht="15.75" customHeight="1">
      <c r="A996" s="1"/>
      <c r="B996" s="2"/>
      <c r="C996" s="2"/>
      <c r="D996" s="2"/>
      <c r="E996" s="2"/>
      <c r="F996" s="2"/>
      <c r="G996" s="2"/>
      <c r="H996" s="2"/>
      <c r="I996" s="2"/>
      <c r="J996" s="2"/>
      <c r="K996" s="2"/>
      <c r="L996" s="2"/>
      <c r="M996" s="2"/>
      <c r="N996" s="2"/>
      <c r="O996" s="2"/>
      <c r="P996" s="2"/>
      <c r="Q996" s="2"/>
      <c r="R996" s="2"/>
      <c r="S996" s="2"/>
      <c r="T996" s="2"/>
      <c r="U996" s="2"/>
    </row>
    <row r="997" spans="1:21" ht="15.75" customHeight="1">
      <c r="A997" s="1"/>
      <c r="B997" s="2"/>
      <c r="C997" s="2"/>
      <c r="D997" s="2"/>
      <c r="E997" s="2"/>
      <c r="F997" s="2"/>
      <c r="G997" s="2"/>
      <c r="H997" s="2"/>
      <c r="I997" s="2"/>
      <c r="J997" s="2"/>
      <c r="K997" s="2"/>
      <c r="L997" s="2"/>
      <c r="M997" s="2"/>
      <c r="N997" s="2"/>
      <c r="O997" s="2"/>
      <c r="P997" s="2"/>
      <c r="Q997" s="2"/>
      <c r="R997" s="2"/>
      <c r="S997" s="2"/>
      <c r="T997" s="2"/>
      <c r="U997" s="2"/>
    </row>
    <row r="998" spans="1:21" ht="15.75" customHeight="1">
      <c r="A998" s="1"/>
      <c r="B998" s="2"/>
      <c r="C998" s="2"/>
      <c r="D998" s="2"/>
      <c r="E998" s="2"/>
      <c r="F998" s="2"/>
      <c r="G998" s="2"/>
      <c r="H998" s="2"/>
      <c r="I998" s="2"/>
      <c r="J998" s="2"/>
      <c r="K998" s="2"/>
      <c r="L998" s="2"/>
      <c r="M998" s="2"/>
      <c r="N998" s="2"/>
      <c r="O998" s="2"/>
      <c r="P998" s="2"/>
      <c r="Q998" s="2"/>
      <c r="R998" s="2"/>
      <c r="S998" s="2"/>
      <c r="T998" s="2"/>
      <c r="U998" s="2"/>
    </row>
    <row r="999" spans="1:21" ht="15.75" customHeight="1">
      <c r="A999" s="1"/>
      <c r="B999" s="2"/>
      <c r="C999" s="2"/>
      <c r="D999" s="2"/>
      <c r="E999" s="2"/>
      <c r="F999" s="2"/>
      <c r="G999" s="2"/>
      <c r="H999" s="2"/>
      <c r="I999" s="2"/>
      <c r="J999" s="2"/>
      <c r="K999" s="2"/>
      <c r="L999" s="2"/>
      <c r="M999" s="2"/>
      <c r="N999" s="2"/>
      <c r="O999" s="2"/>
      <c r="P999" s="2"/>
      <c r="Q999" s="2"/>
      <c r="R999" s="2"/>
      <c r="S999" s="2"/>
      <c r="T999" s="2"/>
      <c r="U999" s="2"/>
    </row>
    <row r="1000" spans="1:21" ht="15.75" customHeight="1">
      <c r="A1000" s="1"/>
      <c r="B1000" s="2"/>
      <c r="C1000" s="2"/>
      <c r="D1000" s="2"/>
      <c r="E1000" s="2"/>
      <c r="F1000" s="2"/>
      <c r="G1000" s="2"/>
      <c r="H1000" s="2"/>
      <c r="I1000" s="2"/>
      <c r="J1000" s="2"/>
      <c r="K1000" s="2"/>
      <c r="L1000" s="2"/>
      <c r="M1000" s="2"/>
      <c r="N1000" s="2"/>
      <c r="O1000" s="2"/>
      <c r="P1000" s="2"/>
      <c r="Q1000" s="2"/>
      <c r="R1000" s="2"/>
      <c r="S1000" s="2"/>
      <c r="T1000" s="2"/>
      <c r="U1000" s="2"/>
    </row>
  </sheetData>
  <conditionalFormatting sqref="E76:T76">
    <cfRule type="containsText" dxfId="19" priority="4" operator="containsText" text="TRUE">
      <formula>NOT(ISERROR(SEARCH(("TRUE"),(E76))))</formula>
    </cfRule>
  </conditionalFormatting>
  <conditionalFormatting sqref="E111:T111">
    <cfRule type="containsText" dxfId="18" priority="3" operator="containsText" text="TRUE">
      <formula>NOT(ISERROR(SEARCH(("TRUE"),(E111))))</formula>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7C00"/>
  </sheetPr>
  <dimension ref="A1:AC1000"/>
  <sheetViews>
    <sheetView zoomScale="60" zoomScaleNormal="60" workbookViewId="0">
      <pane xSplit="3" ySplit="3" topLeftCell="P32" activePane="bottomRight" state="frozen"/>
      <selection pane="topRight" activeCell="D1" sqref="D1"/>
      <selection pane="bottomLeft" activeCell="A4" sqref="A4"/>
      <selection pane="bottomRight" activeCell="V1" sqref="V1:AC1048576"/>
    </sheetView>
  </sheetViews>
  <sheetFormatPr defaultColWidth="14.42578125" defaultRowHeight="15" customHeight="1"/>
  <cols>
    <col min="1" max="1" width="5.5703125" customWidth="1"/>
    <col min="2" max="2" width="41.28515625" customWidth="1"/>
    <col min="3" max="3" width="15" customWidth="1"/>
    <col min="4" max="9" width="14.42578125" hidden="1" customWidth="1"/>
    <col min="10" max="10" width="15.42578125" hidden="1" customWidth="1"/>
    <col min="11" max="11" width="14.42578125" hidden="1" customWidth="1"/>
    <col min="12" max="12" width="14" customWidth="1"/>
    <col min="13" max="13" width="14.42578125" customWidth="1"/>
    <col min="14" max="14" width="17.28515625" customWidth="1"/>
    <col min="15" max="20" width="21.28515625" customWidth="1"/>
  </cols>
  <sheetData>
    <row r="1" spans="1:29" ht="15.75" customHeight="1">
      <c r="A1" s="1"/>
      <c r="B1" s="2"/>
      <c r="C1" s="2"/>
      <c r="D1" s="2"/>
      <c r="E1" s="2"/>
      <c r="F1" s="2"/>
      <c r="G1" s="2"/>
      <c r="H1" s="2"/>
      <c r="I1" s="2"/>
      <c r="J1" s="2"/>
      <c r="K1" s="2"/>
      <c r="L1" s="2"/>
      <c r="M1" s="2"/>
      <c r="N1" s="2"/>
      <c r="O1" s="2"/>
      <c r="P1" s="2"/>
      <c r="Q1" s="2"/>
      <c r="R1" s="2"/>
      <c r="S1" s="2"/>
      <c r="T1" s="2"/>
    </row>
    <row r="2" spans="1:29" ht="15.75" customHeight="1" thickBot="1">
      <c r="A2" s="1"/>
      <c r="B2" s="2"/>
      <c r="C2" s="2"/>
      <c r="D2" s="2"/>
      <c r="E2" s="2"/>
      <c r="F2" s="2"/>
      <c r="G2" s="2"/>
      <c r="H2" s="2"/>
      <c r="I2" s="2"/>
      <c r="J2" s="2"/>
      <c r="K2" s="2"/>
      <c r="L2" s="2"/>
      <c r="M2" s="2"/>
      <c r="N2" s="2"/>
      <c r="O2" s="2"/>
      <c r="P2" s="2"/>
      <c r="Q2" s="2"/>
      <c r="R2" s="2"/>
      <c r="S2" s="2"/>
      <c r="T2" s="2"/>
    </row>
    <row r="3" spans="1:29" ht="15.75" customHeight="1" thickBot="1">
      <c r="A3" s="198"/>
      <c r="B3" s="67" t="s">
        <v>88</v>
      </c>
      <c r="C3" s="68" t="s">
        <v>1</v>
      </c>
      <c r="D3" s="68">
        <v>2008</v>
      </c>
      <c r="E3" s="68">
        <f t="shared" ref="E3:T3" si="0">D3+1</f>
        <v>2009</v>
      </c>
      <c r="F3" s="68">
        <f t="shared" si="0"/>
        <v>2010</v>
      </c>
      <c r="G3" s="68">
        <f t="shared" si="0"/>
        <v>2011</v>
      </c>
      <c r="H3" s="68">
        <f t="shared" si="0"/>
        <v>2012</v>
      </c>
      <c r="I3" s="68">
        <f t="shared" si="0"/>
        <v>2013</v>
      </c>
      <c r="J3" s="68">
        <f t="shared" si="0"/>
        <v>2014</v>
      </c>
      <c r="K3" s="68">
        <f t="shared" si="0"/>
        <v>2015</v>
      </c>
      <c r="L3" s="68">
        <f t="shared" si="0"/>
        <v>2016</v>
      </c>
      <c r="M3" s="68">
        <f t="shared" si="0"/>
        <v>2017</v>
      </c>
      <c r="N3" s="68">
        <f t="shared" si="0"/>
        <v>2018</v>
      </c>
      <c r="O3" s="68">
        <v>2019</v>
      </c>
      <c r="P3" s="68">
        <f t="shared" si="0"/>
        <v>2020</v>
      </c>
      <c r="Q3" s="68">
        <f t="shared" si="0"/>
        <v>2021</v>
      </c>
      <c r="R3" s="68">
        <f t="shared" si="0"/>
        <v>2022</v>
      </c>
      <c r="S3" s="68">
        <f t="shared" si="0"/>
        <v>2023</v>
      </c>
      <c r="T3" s="68">
        <f t="shared" si="0"/>
        <v>2024</v>
      </c>
    </row>
    <row r="4" spans="1:29" ht="15.75" customHeight="1">
      <c r="A4" s="1"/>
      <c r="B4" s="2"/>
      <c r="C4" s="2"/>
      <c r="D4" s="2"/>
      <c r="E4" s="2"/>
      <c r="F4" s="2"/>
      <c r="G4" s="2"/>
      <c r="H4" s="2"/>
      <c r="I4" s="2"/>
      <c r="J4" s="2"/>
      <c r="K4" s="2"/>
      <c r="L4" s="2"/>
      <c r="M4" s="2"/>
      <c r="N4" s="2"/>
      <c r="O4" s="2"/>
      <c r="P4" s="2"/>
      <c r="Q4" s="2"/>
      <c r="R4" s="2"/>
      <c r="S4" s="2"/>
      <c r="T4" s="2"/>
    </row>
    <row r="5" spans="1:29" ht="15.75" customHeight="1">
      <c r="A5" s="6" t="s">
        <v>89</v>
      </c>
      <c r="B5" s="2"/>
      <c r="C5" s="2"/>
      <c r="D5" s="2"/>
      <c r="E5" s="2"/>
      <c r="F5" s="2"/>
      <c r="G5" s="2"/>
      <c r="H5" s="2"/>
      <c r="I5" s="2"/>
      <c r="J5" s="2"/>
      <c r="K5" s="2"/>
      <c r="L5" s="2"/>
      <c r="M5" s="2"/>
      <c r="N5" s="2"/>
      <c r="O5" s="2"/>
      <c r="P5" s="2"/>
      <c r="Q5" s="2"/>
      <c r="R5" s="2"/>
      <c r="S5" s="2"/>
      <c r="T5" s="2"/>
    </row>
    <row r="6" spans="1:29" ht="6.75" customHeight="1" thickBot="1">
      <c r="A6" s="7"/>
      <c r="B6" s="2"/>
      <c r="C6" s="2"/>
      <c r="D6" s="2"/>
      <c r="E6" s="2"/>
      <c r="F6" s="2"/>
      <c r="G6" s="2"/>
      <c r="H6" s="2"/>
      <c r="I6" s="2"/>
      <c r="J6" s="2"/>
      <c r="K6" s="2"/>
      <c r="L6" s="2"/>
      <c r="M6" s="2"/>
      <c r="N6" s="2"/>
      <c r="O6" s="2"/>
      <c r="P6" s="2"/>
      <c r="Q6" s="2"/>
      <c r="R6" s="2"/>
      <c r="S6" s="2"/>
      <c r="T6" s="2"/>
    </row>
    <row r="7" spans="1:29" ht="15.75" customHeight="1" thickBot="1">
      <c r="A7" s="69" t="s">
        <v>3</v>
      </c>
      <c r="B7" s="67" t="s">
        <v>4</v>
      </c>
      <c r="C7" s="68" t="s">
        <v>5</v>
      </c>
      <c r="D7" s="68">
        <f t="shared" ref="D7:T7" si="1">D$3</f>
        <v>2008</v>
      </c>
      <c r="E7" s="68">
        <f t="shared" si="1"/>
        <v>2009</v>
      </c>
      <c r="F7" s="68">
        <f t="shared" si="1"/>
        <v>2010</v>
      </c>
      <c r="G7" s="68">
        <f t="shared" si="1"/>
        <v>2011</v>
      </c>
      <c r="H7" s="68">
        <f t="shared" si="1"/>
        <v>2012</v>
      </c>
      <c r="I7" s="68">
        <f t="shared" si="1"/>
        <v>2013</v>
      </c>
      <c r="J7" s="68">
        <f t="shared" si="1"/>
        <v>2014</v>
      </c>
      <c r="K7" s="68">
        <f t="shared" si="1"/>
        <v>2015</v>
      </c>
      <c r="L7" s="68">
        <f t="shared" si="1"/>
        <v>2016</v>
      </c>
      <c r="M7" s="68">
        <f t="shared" si="1"/>
        <v>2017</v>
      </c>
      <c r="N7" s="68">
        <f t="shared" si="1"/>
        <v>2018</v>
      </c>
      <c r="O7" s="68">
        <v>2019</v>
      </c>
      <c r="P7" s="68">
        <f t="shared" si="1"/>
        <v>2020</v>
      </c>
      <c r="Q7" s="68">
        <f t="shared" si="1"/>
        <v>2021</v>
      </c>
      <c r="R7" s="68">
        <f t="shared" si="1"/>
        <v>2022</v>
      </c>
      <c r="S7" s="68">
        <f t="shared" si="1"/>
        <v>2023</v>
      </c>
      <c r="T7" s="68">
        <f t="shared" si="1"/>
        <v>2024</v>
      </c>
    </row>
    <row r="8" spans="1:29"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v>-15</v>
      </c>
      <c r="P8" s="9">
        <f t="shared" si="2"/>
        <v>-16</v>
      </c>
      <c r="Q8" s="9">
        <f t="shared" si="2"/>
        <v>-17</v>
      </c>
      <c r="R8" s="9">
        <f t="shared" si="2"/>
        <v>-18</v>
      </c>
      <c r="S8" s="9">
        <f t="shared" si="2"/>
        <v>-19</v>
      </c>
      <c r="T8" s="9">
        <f t="shared" si="2"/>
        <v>-20</v>
      </c>
    </row>
    <row r="9" spans="1:29" ht="15.75" customHeight="1">
      <c r="A9" s="23">
        <v>1</v>
      </c>
      <c r="B9" s="24" t="s">
        <v>6</v>
      </c>
      <c r="C9" s="23" t="s">
        <v>84</v>
      </c>
      <c r="D9" s="25">
        <f t="shared" ref="D9:S9" si="3">SUM(D10:D11)</f>
        <v>0</v>
      </c>
      <c r="E9" s="25">
        <f t="shared" si="3"/>
        <v>0</v>
      </c>
      <c r="F9" s="25">
        <f t="shared" si="3"/>
        <v>0</v>
      </c>
      <c r="G9" s="25">
        <f t="shared" si="3"/>
        <v>0</v>
      </c>
      <c r="H9" s="25">
        <f t="shared" si="3"/>
        <v>0</v>
      </c>
      <c r="I9" s="25">
        <f t="shared" si="3"/>
        <v>3702491999.7017717</v>
      </c>
      <c r="J9" s="25">
        <f t="shared" si="3"/>
        <v>2807161814.1299996</v>
      </c>
      <c r="K9" s="25">
        <f t="shared" si="3"/>
        <v>3540416047.5162048</v>
      </c>
      <c r="L9" s="25">
        <f t="shared" si="3"/>
        <v>3366578190.4258766</v>
      </c>
      <c r="M9" s="25">
        <f t="shared" si="3"/>
        <v>4670129266.7800007</v>
      </c>
      <c r="N9" s="25">
        <f t="shared" si="3"/>
        <v>3026402319.2468843</v>
      </c>
      <c r="O9" s="25">
        <v>3565700566.3538141</v>
      </c>
      <c r="P9" s="25">
        <f t="shared" si="3"/>
        <v>3676915499.1241598</v>
      </c>
      <c r="Q9" s="25">
        <f t="shared" si="3"/>
        <v>3619471264</v>
      </c>
      <c r="R9" s="25">
        <v>3870610382</v>
      </c>
      <c r="S9" s="25">
        <f t="shared" si="3"/>
        <v>3477235625.0888586</v>
      </c>
      <c r="T9" s="25">
        <f t="shared" ref="T9" si="4">SUM(T10:T11)</f>
        <v>3460852064</v>
      </c>
      <c r="Z9" s="209"/>
      <c r="AA9" s="209"/>
      <c r="AB9" s="209"/>
      <c r="AC9" s="209"/>
    </row>
    <row r="10" spans="1:29" ht="15.75" customHeight="1">
      <c r="A10" s="14">
        <v>1.1000000000000001</v>
      </c>
      <c r="B10" s="15" t="s">
        <v>8</v>
      </c>
      <c r="C10" s="14" t="s">
        <v>84</v>
      </c>
      <c r="D10" s="18"/>
      <c r="E10" s="18"/>
      <c r="F10" s="18"/>
      <c r="G10" s="18"/>
      <c r="H10" s="18"/>
      <c r="I10" s="18">
        <v>3035720755.01404</v>
      </c>
      <c r="J10" s="18">
        <v>2723946744.6999998</v>
      </c>
      <c r="K10" s="18">
        <v>2920664213.4057927</v>
      </c>
      <c r="L10" s="18">
        <v>2724886282.2845364</v>
      </c>
      <c r="M10" s="18">
        <v>2650482281.8000002</v>
      </c>
      <c r="N10" s="18">
        <v>992566579.42889071</v>
      </c>
      <c r="O10" s="18">
        <v>1214639164.1684911</v>
      </c>
      <c r="P10" s="18">
        <v>1100080553.7917399</v>
      </c>
      <c r="Q10" s="18">
        <v>552286138</v>
      </c>
      <c r="R10" s="18">
        <v>556010351</v>
      </c>
      <c r="S10" s="18">
        <v>1027967567.7960361</v>
      </c>
      <c r="T10" s="18">
        <v>1057309880</v>
      </c>
      <c r="Z10" s="209"/>
      <c r="AA10" s="209"/>
      <c r="AB10" s="209"/>
      <c r="AC10" s="209"/>
    </row>
    <row r="11" spans="1:29" ht="15.75" customHeight="1">
      <c r="A11" s="14">
        <v>1.2</v>
      </c>
      <c r="B11" s="15" t="s">
        <v>9</v>
      </c>
      <c r="C11" s="14" t="s">
        <v>84</v>
      </c>
      <c r="D11" s="18"/>
      <c r="E11" s="18"/>
      <c r="F11" s="18"/>
      <c r="G11" s="18"/>
      <c r="H11" s="18"/>
      <c r="I11" s="18">
        <v>666771244.68773198</v>
      </c>
      <c r="J11" s="18">
        <v>83215069.430000007</v>
      </c>
      <c r="K11" s="18">
        <v>619751834.11041236</v>
      </c>
      <c r="L11" s="18">
        <v>641691908.14134026</v>
      </c>
      <c r="M11" s="18">
        <v>2019646984.98</v>
      </c>
      <c r="N11" s="18">
        <v>2033835739.8179934</v>
      </c>
      <c r="O11" s="18">
        <v>2351061402.1853228</v>
      </c>
      <c r="P11" s="18">
        <v>2576834945.3324199</v>
      </c>
      <c r="Q11" s="18">
        <v>3067185126</v>
      </c>
      <c r="R11" s="18">
        <v>3314600030</v>
      </c>
      <c r="S11" s="18">
        <v>2449268057.2928224</v>
      </c>
      <c r="T11" s="18">
        <v>2403542184</v>
      </c>
      <c r="Z11" s="209"/>
      <c r="AA11" s="209"/>
      <c r="AB11" s="209"/>
      <c r="AC11" s="209"/>
    </row>
    <row r="12" spans="1:29" ht="15.75" customHeight="1">
      <c r="A12" s="23">
        <v>2</v>
      </c>
      <c r="B12" s="24" t="s">
        <v>10</v>
      </c>
      <c r="C12" s="23" t="s">
        <v>84</v>
      </c>
      <c r="D12" s="25">
        <f t="shared" ref="D12:N12" si="5">SUM(D13:D16)</f>
        <v>0</v>
      </c>
      <c r="E12" s="25">
        <f t="shared" si="5"/>
        <v>0</v>
      </c>
      <c r="F12" s="25">
        <f t="shared" si="5"/>
        <v>0</v>
      </c>
      <c r="G12" s="25">
        <f t="shared" si="5"/>
        <v>0</v>
      </c>
      <c r="H12" s="25">
        <f t="shared" si="5"/>
        <v>0</v>
      </c>
      <c r="I12" s="25">
        <f t="shared" si="5"/>
        <v>8468865794.0314217</v>
      </c>
      <c r="J12" s="25">
        <f t="shared" si="5"/>
        <v>8357714559.0084209</v>
      </c>
      <c r="K12" s="25">
        <f t="shared" si="5"/>
        <v>10857296197.835545</v>
      </c>
      <c r="L12" s="25">
        <f t="shared" si="5"/>
        <v>11003837627.464411</v>
      </c>
      <c r="M12" s="25">
        <f t="shared" si="5"/>
        <v>8848944014.1499996</v>
      </c>
      <c r="N12" s="25">
        <f t="shared" si="5"/>
        <v>11402328963.907291</v>
      </c>
      <c r="O12" s="25">
        <v>14963730518.929527</v>
      </c>
      <c r="P12" s="25">
        <f t="shared" ref="P12:S12" si="6">SUM(P13:P16)</f>
        <v>15644441881.41011</v>
      </c>
      <c r="Q12" s="25">
        <f t="shared" si="6"/>
        <v>16089157507</v>
      </c>
      <c r="R12" s="25">
        <f t="shared" si="6"/>
        <v>16514571849</v>
      </c>
      <c r="S12" s="25">
        <f t="shared" si="6"/>
        <v>15546244048.614212</v>
      </c>
      <c r="T12" s="25">
        <f>SUM(T13:T16)</f>
        <v>17248442113</v>
      </c>
      <c r="Z12" s="209"/>
      <c r="AA12" s="209"/>
      <c r="AB12" s="209"/>
      <c r="AC12" s="209"/>
    </row>
    <row r="13" spans="1:29" ht="15.75" customHeight="1">
      <c r="A13" s="14">
        <v>2.1</v>
      </c>
      <c r="B13" s="15" t="s">
        <v>11</v>
      </c>
      <c r="C13" s="14" t="s">
        <v>84</v>
      </c>
      <c r="D13" s="18"/>
      <c r="E13" s="18"/>
      <c r="F13" s="18"/>
      <c r="G13" s="18"/>
      <c r="H13" s="18"/>
      <c r="I13" s="18">
        <v>86402867.173651427</v>
      </c>
      <c r="J13" s="18">
        <v>86402867.173708498</v>
      </c>
      <c r="K13" s="18">
        <v>86402867.173651427</v>
      </c>
      <c r="L13" s="18">
        <v>60676651.773651436</v>
      </c>
      <c r="M13" s="18">
        <v>62039075.600000001</v>
      </c>
      <c r="N13" s="18">
        <v>83711477.599999994</v>
      </c>
      <c r="O13" s="18">
        <v>60230727.600000001</v>
      </c>
      <c r="P13" s="18">
        <v>61193727.600000001</v>
      </c>
      <c r="Q13" s="18">
        <v>60230728</v>
      </c>
      <c r="R13" s="18">
        <v>60230728</v>
      </c>
      <c r="S13" s="18">
        <v>59564227.600000001</v>
      </c>
      <c r="T13" s="18"/>
      <c r="Z13" s="209"/>
      <c r="AA13" s="209"/>
      <c r="AB13" s="209"/>
      <c r="AC13" s="209"/>
    </row>
    <row r="14" spans="1:29" ht="15.75" customHeight="1">
      <c r="A14" s="14">
        <v>2.2000000000000002</v>
      </c>
      <c r="B14" s="15" t="s">
        <v>12</v>
      </c>
      <c r="C14" s="14" t="s">
        <v>84</v>
      </c>
      <c r="D14" s="18"/>
      <c r="E14" s="18"/>
      <c r="F14" s="18"/>
      <c r="G14" s="18"/>
      <c r="H14" s="18"/>
      <c r="I14" s="18">
        <v>3470837981.8227339</v>
      </c>
      <c r="J14" s="18">
        <v>3809740090.0951657</v>
      </c>
      <c r="K14" s="18">
        <v>4161294400.9052081</v>
      </c>
      <c r="L14" s="18">
        <v>2335211922.0474763</v>
      </c>
      <c r="M14" s="18">
        <v>2390335826.3899999</v>
      </c>
      <c r="N14" s="18">
        <v>4556753756.3692904</v>
      </c>
      <c r="O14" s="18">
        <v>6482845969.7028465</v>
      </c>
      <c r="P14" s="18">
        <v>6973489322.7027197</v>
      </c>
      <c r="Q14" s="18">
        <v>7182801459</v>
      </c>
      <c r="R14" s="18">
        <v>6968573508</v>
      </c>
      <c r="S14" s="18">
        <v>5581601840.5292244</v>
      </c>
      <c r="T14" s="18">
        <v>6615954147</v>
      </c>
      <c r="Z14" s="209"/>
      <c r="AA14" s="209"/>
      <c r="AB14" s="209"/>
      <c r="AC14" s="209"/>
    </row>
    <row r="15" spans="1:29" ht="15.75" customHeight="1">
      <c r="A15" s="14">
        <v>2.2999999999999998</v>
      </c>
      <c r="B15" s="15" t="s">
        <v>13</v>
      </c>
      <c r="C15" s="14" t="s">
        <v>84</v>
      </c>
      <c r="D15" s="18"/>
      <c r="E15" s="18"/>
      <c r="F15" s="18"/>
      <c r="G15" s="18"/>
      <c r="H15" s="18"/>
      <c r="I15" s="18">
        <v>974516469.34676492</v>
      </c>
      <c r="J15" s="18">
        <v>816429672.43954647</v>
      </c>
      <c r="K15" s="18">
        <v>2844801897.3158369</v>
      </c>
      <c r="L15" s="18">
        <v>4734695918.84161</v>
      </c>
      <c r="M15" s="18">
        <v>4851526353.8999996</v>
      </c>
      <c r="N15" s="18">
        <v>5216208734.7649994</v>
      </c>
      <c r="O15" s="18">
        <v>6345450042.3542118</v>
      </c>
      <c r="P15" s="18">
        <v>5716695269.9242001</v>
      </c>
      <c r="Q15" s="18">
        <v>5923896810</v>
      </c>
      <c r="R15" s="18">
        <v>6479161003</v>
      </c>
      <c r="S15" s="18">
        <v>6881643414.2547407</v>
      </c>
      <c r="T15" s="18">
        <v>7541885227</v>
      </c>
      <c r="Z15" s="209"/>
      <c r="AA15" s="209"/>
      <c r="AB15" s="209"/>
      <c r="AC15" s="209"/>
    </row>
    <row r="16" spans="1:29" ht="15.75" customHeight="1">
      <c r="A16" s="14">
        <v>2.4</v>
      </c>
      <c r="B16" s="15" t="s">
        <v>14</v>
      </c>
      <c r="C16" s="14" t="s">
        <v>84</v>
      </c>
      <c r="D16" s="18"/>
      <c r="E16" s="18"/>
      <c r="F16" s="18"/>
      <c r="G16" s="18"/>
      <c r="H16" s="18"/>
      <c r="I16" s="18">
        <v>3937108475.6882715</v>
      </c>
      <c r="J16" s="18">
        <v>3645141929.3000002</v>
      </c>
      <c r="K16" s="18">
        <v>3764797032.4408488</v>
      </c>
      <c r="L16" s="18">
        <v>3873253134.8016734</v>
      </c>
      <c r="M16" s="18">
        <v>1545042758.26</v>
      </c>
      <c r="N16" s="18">
        <v>1545654995.1729999</v>
      </c>
      <c r="O16" s="18">
        <v>2075203779.2724679</v>
      </c>
      <c r="P16" s="18">
        <v>2893063561.1831899</v>
      </c>
      <c r="Q16" s="18">
        <v>2922228510</v>
      </c>
      <c r="R16" s="18">
        <v>3006606610</v>
      </c>
      <c r="S16" s="18">
        <v>3023434566.230247</v>
      </c>
      <c r="T16" s="18">
        <v>3090602739</v>
      </c>
      <c r="Z16" s="209"/>
      <c r="AA16" s="209"/>
      <c r="AB16" s="209"/>
      <c r="AC16" s="209"/>
    </row>
    <row r="17" spans="1:29" ht="15.75" customHeight="1">
      <c r="A17" s="17" t="s">
        <v>15</v>
      </c>
      <c r="B17" s="2"/>
      <c r="C17" s="2"/>
      <c r="D17" s="2"/>
      <c r="E17" s="2"/>
      <c r="F17" s="2"/>
      <c r="G17" s="2"/>
      <c r="H17" s="2"/>
      <c r="I17" s="2"/>
      <c r="J17" s="2"/>
      <c r="K17" s="2"/>
      <c r="L17" s="20"/>
      <c r="M17" s="2"/>
      <c r="N17" s="2"/>
      <c r="O17" s="205"/>
      <c r="P17" s="205"/>
      <c r="Q17" s="205"/>
      <c r="R17" s="205"/>
      <c r="S17" s="205"/>
      <c r="T17" s="205"/>
    </row>
    <row r="18" spans="1:29" ht="15.75" customHeight="1">
      <c r="A18" s="1"/>
      <c r="B18" s="2"/>
      <c r="C18" s="2"/>
      <c r="D18" s="2"/>
      <c r="E18" s="2"/>
      <c r="F18" s="2"/>
      <c r="G18" s="2"/>
      <c r="H18" s="2"/>
      <c r="I18" s="2"/>
      <c r="J18" s="2"/>
      <c r="K18" s="2"/>
      <c r="L18" s="2"/>
      <c r="M18" s="2"/>
      <c r="N18" s="2"/>
      <c r="O18" s="202"/>
      <c r="P18" s="202"/>
      <c r="Q18" s="202"/>
      <c r="R18" s="202"/>
      <c r="S18" s="202"/>
      <c r="T18" s="202"/>
    </row>
    <row r="19" spans="1:29" ht="15.75" customHeight="1">
      <c r="A19" s="1"/>
      <c r="B19" s="2"/>
      <c r="C19" s="2"/>
      <c r="D19" s="2"/>
      <c r="E19" s="2"/>
      <c r="F19" s="2"/>
      <c r="G19" s="2"/>
      <c r="H19" s="2"/>
      <c r="I19" s="2"/>
      <c r="J19" s="2"/>
      <c r="K19" s="2"/>
      <c r="L19" s="2"/>
      <c r="M19" s="2"/>
      <c r="N19" s="2"/>
      <c r="O19" s="202"/>
      <c r="P19" s="202"/>
      <c r="Q19" s="202"/>
      <c r="R19" s="202"/>
      <c r="S19" s="202"/>
      <c r="T19" s="202"/>
    </row>
    <row r="20" spans="1:29" ht="15.75" customHeight="1">
      <c r="A20" s="6" t="s">
        <v>90</v>
      </c>
      <c r="B20" s="2"/>
      <c r="C20" s="2"/>
      <c r="D20" s="2"/>
      <c r="E20" s="2"/>
      <c r="F20" s="2"/>
      <c r="G20" s="2"/>
      <c r="H20" s="2"/>
      <c r="I20" s="2"/>
      <c r="J20" s="2"/>
      <c r="K20" s="2"/>
      <c r="L20" s="2"/>
      <c r="M20" s="2"/>
      <c r="N20" s="2"/>
      <c r="O20" s="205"/>
      <c r="P20" s="205"/>
      <c r="Q20" s="205"/>
      <c r="R20" s="205"/>
      <c r="S20" s="205"/>
      <c r="T20" s="205"/>
    </row>
    <row r="21" spans="1:29" ht="15.75" customHeight="1" thickBot="1">
      <c r="A21" s="7"/>
      <c r="B21" s="2"/>
      <c r="C21" s="2"/>
      <c r="D21" s="2"/>
      <c r="E21" s="2"/>
      <c r="F21" s="2"/>
      <c r="G21" s="2"/>
      <c r="H21" s="2"/>
      <c r="I21" s="2"/>
      <c r="J21" s="2"/>
      <c r="K21" s="2"/>
      <c r="L21" s="2"/>
      <c r="M21" s="2"/>
      <c r="N21" s="2"/>
      <c r="O21" s="2"/>
      <c r="P21" s="2"/>
      <c r="Q21" s="2"/>
      <c r="R21" s="2"/>
      <c r="S21" s="2"/>
      <c r="T21" s="2"/>
    </row>
    <row r="22" spans="1:29" ht="15.75" customHeight="1" thickBot="1">
      <c r="A22" s="69" t="s">
        <v>3</v>
      </c>
      <c r="B22" s="67" t="s">
        <v>4</v>
      </c>
      <c r="C22" s="68" t="s">
        <v>5</v>
      </c>
      <c r="D22" s="68">
        <f t="shared" ref="D22:T22" si="7">D$3</f>
        <v>2008</v>
      </c>
      <c r="E22" s="68">
        <f t="shared" si="7"/>
        <v>2009</v>
      </c>
      <c r="F22" s="68">
        <f t="shared" si="7"/>
        <v>2010</v>
      </c>
      <c r="G22" s="68">
        <f t="shared" si="7"/>
        <v>2011</v>
      </c>
      <c r="H22" s="68">
        <f t="shared" si="7"/>
        <v>2012</v>
      </c>
      <c r="I22" s="68">
        <f t="shared" si="7"/>
        <v>2013</v>
      </c>
      <c r="J22" s="68">
        <f t="shared" si="7"/>
        <v>2014</v>
      </c>
      <c r="K22" s="68">
        <f t="shared" si="7"/>
        <v>2015</v>
      </c>
      <c r="L22" s="68">
        <f t="shared" si="7"/>
        <v>2016</v>
      </c>
      <c r="M22" s="68">
        <f t="shared" si="7"/>
        <v>2017</v>
      </c>
      <c r="N22" s="68">
        <f t="shared" si="7"/>
        <v>2018</v>
      </c>
      <c r="O22" s="68">
        <v>2019</v>
      </c>
      <c r="P22" s="68">
        <f t="shared" si="7"/>
        <v>2020</v>
      </c>
      <c r="Q22" s="68">
        <f t="shared" si="7"/>
        <v>2021</v>
      </c>
      <c r="R22" s="68">
        <f t="shared" si="7"/>
        <v>2022</v>
      </c>
      <c r="S22" s="68">
        <f t="shared" si="7"/>
        <v>2023</v>
      </c>
      <c r="T22" s="68">
        <f t="shared" si="7"/>
        <v>2024</v>
      </c>
    </row>
    <row r="23" spans="1:29" ht="15.75" customHeight="1">
      <c r="A23" s="9">
        <v>-1</v>
      </c>
      <c r="B23" s="9">
        <f t="shared" ref="B23:T23" si="8">A23-1</f>
        <v>-2</v>
      </c>
      <c r="C23" s="9">
        <f t="shared" si="8"/>
        <v>-3</v>
      </c>
      <c r="D23" s="9">
        <f t="shared" si="8"/>
        <v>-4</v>
      </c>
      <c r="E23" s="9">
        <f t="shared" si="8"/>
        <v>-5</v>
      </c>
      <c r="F23" s="9">
        <f t="shared" si="8"/>
        <v>-6</v>
      </c>
      <c r="G23" s="9">
        <f t="shared" si="8"/>
        <v>-7</v>
      </c>
      <c r="H23" s="9">
        <f t="shared" si="8"/>
        <v>-8</v>
      </c>
      <c r="I23" s="9">
        <f t="shared" si="8"/>
        <v>-9</v>
      </c>
      <c r="J23" s="9">
        <f t="shared" si="8"/>
        <v>-10</v>
      </c>
      <c r="K23" s="9">
        <f t="shared" si="8"/>
        <v>-11</v>
      </c>
      <c r="L23" s="9">
        <f t="shared" si="8"/>
        <v>-12</v>
      </c>
      <c r="M23" s="9">
        <f t="shared" si="8"/>
        <v>-13</v>
      </c>
      <c r="N23" s="9">
        <f t="shared" si="8"/>
        <v>-14</v>
      </c>
      <c r="O23" s="9">
        <v>-15</v>
      </c>
      <c r="P23" s="9">
        <f t="shared" si="8"/>
        <v>-16</v>
      </c>
      <c r="Q23" s="9">
        <f t="shared" si="8"/>
        <v>-17</v>
      </c>
      <c r="R23" s="9">
        <f t="shared" si="8"/>
        <v>-18</v>
      </c>
      <c r="S23" s="9">
        <f t="shared" si="8"/>
        <v>-19</v>
      </c>
      <c r="T23" s="9">
        <f t="shared" si="8"/>
        <v>-20</v>
      </c>
    </row>
    <row r="24" spans="1:29" ht="15.75" customHeight="1">
      <c r="A24" s="23">
        <v>1</v>
      </c>
      <c r="B24" s="24" t="s">
        <v>6</v>
      </c>
      <c r="C24" s="23" t="s">
        <v>84</v>
      </c>
      <c r="D24" s="34">
        <f t="shared" ref="D24:S24" si="9">SUM(D25:D26)</f>
        <v>0</v>
      </c>
      <c r="E24" s="34">
        <f t="shared" si="9"/>
        <v>0</v>
      </c>
      <c r="F24" s="34">
        <f t="shared" si="9"/>
        <v>3008</v>
      </c>
      <c r="G24" s="34">
        <f t="shared" si="9"/>
        <v>2740</v>
      </c>
      <c r="H24" s="34">
        <f t="shared" si="9"/>
        <v>2736</v>
      </c>
      <c r="I24" s="34">
        <f t="shared" si="9"/>
        <v>2872.0160942234552</v>
      </c>
      <c r="J24" s="34">
        <f t="shared" si="9"/>
        <v>2575.1800000000003</v>
      </c>
      <c r="K24" s="34">
        <f t="shared" si="9"/>
        <v>2763.9040674136604</v>
      </c>
      <c r="L24" s="34">
        <f t="shared" si="9"/>
        <v>2672.6259061977894</v>
      </c>
      <c r="M24" s="34">
        <f t="shared" si="9"/>
        <v>3888.3401127231209</v>
      </c>
      <c r="N24" s="34">
        <f t="shared" si="9"/>
        <v>2657.5506183774414</v>
      </c>
      <c r="O24" s="34">
        <v>4684.5935031666313</v>
      </c>
      <c r="P24" s="34">
        <f t="shared" si="9"/>
        <v>2237.7861214703189</v>
      </c>
      <c r="Q24" s="34">
        <f t="shared" si="9"/>
        <v>1987</v>
      </c>
      <c r="R24" s="34">
        <v>3324</v>
      </c>
      <c r="S24" s="34">
        <f t="shared" si="9"/>
        <v>3418.2687070398169</v>
      </c>
      <c r="T24" s="34">
        <f t="shared" ref="T24" si="10">SUM(T25:T26)</f>
        <v>3444</v>
      </c>
      <c r="Z24" s="209"/>
      <c r="AA24" s="209"/>
      <c r="AB24" s="209"/>
      <c r="AC24" s="209"/>
    </row>
    <row r="25" spans="1:29" ht="15.75" customHeight="1">
      <c r="A25" s="14">
        <v>1.1000000000000001</v>
      </c>
      <c r="B25" s="15" t="s">
        <v>8</v>
      </c>
      <c r="C25" s="14" t="s">
        <v>84</v>
      </c>
      <c r="D25" s="16"/>
      <c r="E25" s="16"/>
      <c r="F25" s="16">
        <v>3008</v>
      </c>
      <c r="G25" s="16">
        <v>2740</v>
      </c>
      <c r="H25" s="16">
        <v>2736</v>
      </c>
      <c r="I25" s="16">
        <v>2584.9930268873745</v>
      </c>
      <c r="J25" s="16">
        <v>2392.3200000000002</v>
      </c>
      <c r="K25" s="16">
        <v>2486.2528121426317</v>
      </c>
      <c r="L25" s="16">
        <v>2379.0723208575214</v>
      </c>
      <c r="M25" s="16">
        <v>2357.2785804868004</v>
      </c>
      <c r="N25" s="16">
        <v>1129.8396597490259</v>
      </c>
      <c r="O25" s="16">
        <v>3095.1175885890566</v>
      </c>
      <c r="P25" s="16">
        <v>943.85143108299906</v>
      </c>
      <c r="Q25" s="16">
        <v>542</v>
      </c>
      <c r="R25" s="16">
        <v>541</v>
      </c>
      <c r="S25" s="16">
        <v>844.21164540540553</v>
      </c>
      <c r="T25" s="16">
        <v>857</v>
      </c>
      <c r="Z25" s="209"/>
      <c r="AA25" s="209"/>
      <c r="AB25" s="209"/>
      <c r="AC25" s="209"/>
    </row>
    <row r="26" spans="1:29" ht="15.75" customHeight="1">
      <c r="A26" s="14">
        <v>1.2</v>
      </c>
      <c r="B26" s="15" t="s">
        <v>9</v>
      </c>
      <c r="C26" s="14" t="s">
        <v>84</v>
      </c>
      <c r="D26" s="16"/>
      <c r="E26" s="16"/>
      <c r="F26" s="16"/>
      <c r="G26" s="16"/>
      <c r="H26" s="16"/>
      <c r="I26" s="16">
        <v>287.02306733608054</v>
      </c>
      <c r="J26" s="16">
        <v>182.86000000000004</v>
      </c>
      <c r="K26" s="16">
        <v>277.65125527102884</v>
      </c>
      <c r="L26" s="16">
        <v>293.55358534026794</v>
      </c>
      <c r="M26" s="16">
        <v>1531.0615322363208</v>
      </c>
      <c r="N26" s="16">
        <v>1527.7109586284157</v>
      </c>
      <c r="O26" s="16">
        <v>1589.4759145775749</v>
      </c>
      <c r="P26" s="16">
        <v>1293.93469038732</v>
      </c>
      <c r="Q26" s="16">
        <v>1445</v>
      </c>
      <c r="R26" s="16">
        <v>2784</v>
      </c>
      <c r="S26" s="16">
        <v>2574.0570616344116</v>
      </c>
      <c r="T26" s="16">
        <v>2587</v>
      </c>
      <c r="Z26" s="209"/>
      <c r="AA26" s="209"/>
      <c r="AB26" s="209"/>
      <c r="AC26" s="209"/>
    </row>
    <row r="27" spans="1:29" ht="15.75" customHeight="1">
      <c r="A27" s="23">
        <v>2</v>
      </c>
      <c r="B27" s="24" t="s">
        <v>10</v>
      </c>
      <c r="C27" s="23" t="s">
        <v>84</v>
      </c>
      <c r="D27" s="34">
        <f t="shared" ref="D27:N27" si="11">SUM(D28:D31)</f>
        <v>0</v>
      </c>
      <c r="E27" s="34">
        <f t="shared" si="11"/>
        <v>0</v>
      </c>
      <c r="F27" s="34">
        <f t="shared" si="11"/>
        <v>6057</v>
      </c>
      <c r="G27" s="34">
        <f t="shared" si="11"/>
        <v>6815</v>
      </c>
      <c r="H27" s="34">
        <f t="shared" si="11"/>
        <v>7100</v>
      </c>
      <c r="I27" s="34">
        <f t="shared" si="11"/>
        <v>7902.3618047892214</v>
      </c>
      <c r="J27" s="34">
        <f t="shared" si="11"/>
        <v>7454.9820221711143</v>
      </c>
      <c r="K27" s="34">
        <f t="shared" si="11"/>
        <v>7579.1536268753025</v>
      </c>
      <c r="L27" s="34">
        <f t="shared" si="11"/>
        <v>6932.8422278361813</v>
      </c>
      <c r="M27" s="34">
        <f t="shared" si="11"/>
        <v>6784.7810740846789</v>
      </c>
      <c r="N27" s="34">
        <f t="shared" si="11"/>
        <v>8846.0477787537602</v>
      </c>
      <c r="O27" s="34">
        <v>13329.568229506767</v>
      </c>
      <c r="P27" s="34">
        <f t="shared" ref="P27:S27" si="12">SUM(P28:P31)</f>
        <v>8656.1563218100291</v>
      </c>
      <c r="Q27" s="34">
        <f t="shared" si="12"/>
        <v>8897</v>
      </c>
      <c r="R27" s="34">
        <f t="shared" si="12"/>
        <v>12483</v>
      </c>
      <c r="S27" s="34">
        <f t="shared" si="12"/>
        <v>12252.49967247838</v>
      </c>
      <c r="T27" s="34">
        <f>SUM(T28:T31)</f>
        <v>12364</v>
      </c>
      <c r="Z27" s="209"/>
      <c r="AA27" s="209"/>
      <c r="AB27" s="209"/>
      <c r="AC27" s="209"/>
    </row>
    <row r="28" spans="1:29" ht="15.75" customHeight="1">
      <c r="A28" s="14">
        <v>2.1</v>
      </c>
      <c r="B28" s="15" t="s">
        <v>11</v>
      </c>
      <c r="C28" s="14" t="s">
        <v>84</v>
      </c>
      <c r="D28" s="16"/>
      <c r="E28" s="16"/>
      <c r="F28" s="16">
        <v>6057</v>
      </c>
      <c r="G28" s="16">
        <v>6815</v>
      </c>
      <c r="H28" s="16">
        <v>7100</v>
      </c>
      <c r="I28" s="16">
        <v>274.25362344097493</v>
      </c>
      <c r="J28" s="16">
        <v>53.363026490980502</v>
      </c>
      <c r="K28" s="16">
        <v>274.25362344097493</v>
      </c>
      <c r="L28" s="16">
        <v>53.363008926974999</v>
      </c>
      <c r="M28" s="16">
        <v>30.525602356</v>
      </c>
      <c r="N28" s="16">
        <v>247.63135846599994</v>
      </c>
      <c r="O28" s="16">
        <v>232.58549346599995</v>
      </c>
      <c r="P28" s="16">
        <v>198.6441731461</v>
      </c>
      <c r="Q28" s="16">
        <v>198</v>
      </c>
      <c r="R28" s="16">
        <v>198</v>
      </c>
      <c r="S28" s="16">
        <v>198.26764014609998</v>
      </c>
      <c r="T28" s="16"/>
      <c r="Z28" s="209"/>
      <c r="AA28" s="209"/>
      <c r="AB28" s="209"/>
      <c r="AC28" s="209"/>
    </row>
    <row r="29" spans="1:29" ht="15.75" customHeight="1">
      <c r="A29" s="14">
        <v>2.2000000000000002</v>
      </c>
      <c r="B29" s="15" t="s">
        <v>12</v>
      </c>
      <c r="C29" s="14" t="s">
        <v>84</v>
      </c>
      <c r="D29" s="16"/>
      <c r="E29" s="16"/>
      <c r="F29" s="16"/>
      <c r="G29" s="16"/>
      <c r="H29" s="16"/>
      <c r="I29" s="16">
        <v>3904.282258273206</v>
      </c>
      <c r="J29" s="16">
        <v>3792.0732108505317</v>
      </c>
      <c r="K29" s="16">
        <v>3021.2947152594934</v>
      </c>
      <c r="L29" s="16">
        <v>2321.9944588552985</v>
      </c>
      <c r="M29" s="16">
        <v>2337.4500274069378</v>
      </c>
      <c r="N29" s="16">
        <v>3573.1719495919988</v>
      </c>
      <c r="O29" s="16">
        <v>4383.8739916665763</v>
      </c>
      <c r="P29" s="16">
        <v>3569.3059090818601</v>
      </c>
      <c r="Q29" s="16">
        <v>3638</v>
      </c>
      <c r="R29" s="16">
        <v>5237</v>
      </c>
      <c r="S29" s="16">
        <v>4688.7352923973876</v>
      </c>
      <c r="T29" s="16">
        <v>4765</v>
      </c>
      <c r="Z29" s="209"/>
      <c r="AA29" s="209"/>
      <c r="AB29" s="209"/>
      <c r="AC29" s="209"/>
    </row>
    <row r="30" spans="1:29" ht="15.75" customHeight="1">
      <c r="A30" s="14">
        <v>2.2999999999999998</v>
      </c>
      <c r="B30" s="15" t="s">
        <v>13</v>
      </c>
      <c r="C30" s="14" t="s">
        <v>84</v>
      </c>
      <c r="D30" s="16"/>
      <c r="E30" s="16"/>
      <c r="F30" s="16"/>
      <c r="G30" s="16"/>
      <c r="H30" s="16"/>
      <c r="I30" s="16">
        <v>878.85797905640436</v>
      </c>
      <c r="J30" s="16">
        <v>929.72578482960239</v>
      </c>
      <c r="K30" s="16">
        <v>1556.1906478113528</v>
      </c>
      <c r="L30" s="16">
        <v>1733.8193715209409</v>
      </c>
      <c r="M30" s="16">
        <v>2662.0791958406007</v>
      </c>
      <c r="N30" s="16">
        <v>3193.6878300519998</v>
      </c>
      <c r="O30" s="16">
        <v>4196.6392547578025</v>
      </c>
      <c r="P30" s="16">
        <v>2852.5600660119499</v>
      </c>
      <c r="Q30" s="16">
        <v>2999</v>
      </c>
      <c r="R30" s="16">
        <v>4607</v>
      </c>
      <c r="S30" s="16">
        <v>4880.5051842148623</v>
      </c>
      <c r="T30" s="16">
        <v>5108</v>
      </c>
      <c r="Z30" s="209"/>
      <c r="AA30" s="209"/>
      <c r="AB30" s="209"/>
      <c r="AC30" s="209"/>
    </row>
    <row r="31" spans="1:29" ht="15.75" customHeight="1">
      <c r="A31" s="14">
        <v>2.4</v>
      </c>
      <c r="B31" s="15" t="s">
        <v>14</v>
      </c>
      <c r="C31" s="14" t="s">
        <v>84</v>
      </c>
      <c r="D31" s="16"/>
      <c r="E31" s="16"/>
      <c r="F31" s="16"/>
      <c r="G31" s="16"/>
      <c r="H31" s="16"/>
      <c r="I31" s="16">
        <v>2844.9679440186369</v>
      </c>
      <c r="J31" s="16">
        <v>2679.8199999999993</v>
      </c>
      <c r="K31" s="16">
        <v>2727.4146403634818</v>
      </c>
      <c r="L31" s="16">
        <v>2823.6653885329665</v>
      </c>
      <c r="M31" s="16">
        <v>1754.7262484811411</v>
      </c>
      <c r="N31" s="16">
        <v>1831.556640643762</v>
      </c>
      <c r="O31" s="16">
        <v>4516.4694896163892</v>
      </c>
      <c r="P31" s="16">
        <v>2035.64617357012</v>
      </c>
      <c r="Q31" s="16">
        <v>2062</v>
      </c>
      <c r="R31" s="16">
        <v>2441</v>
      </c>
      <c r="S31" s="16">
        <v>2484.9915557200297</v>
      </c>
      <c r="T31" s="16">
        <v>2491</v>
      </c>
      <c r="Z31" s="209"/>
      <c r="AA31" s="209"/>
      <c r="AB31" s="209"/>
      <c r="AC31" s="209"/>
    </row>
    <row r="32" spans="1:29" ht="15.75" customHeight="1">
      <c r="A32" s="17" t="s">
        <v>15</v>
      </c>
      <c r="B32" s="2"/>
      <c r="C32" s="2"/>
      <c r="D32" s="2"/>
      <c r="E32" s="2"/>
      <c r="F32" s="2"/>
      <c r="G32" s="2"/>
      <c r="H32" s="2"/>
      <c r="I32" s="2"/>
      <c r="J32" s="2"/>
      <c r="K32" s="2"/>
      <c r="L32" s="2"/>
      <c r="M32" s="2"/>
      <c r="N32" s="2"/>
      <c r="O32" s="2"/>
      <c r="P32" s="2"/>
      <c r="Q32" s="2"/>
      <c r="R32" s="2"/>
      <c r="S32" s="2"/>
      <c r="T32" s="2"/>
    </row>
    <row r="33" spans="1:29" ht="15.75" customHeight="1">
      <c r="A33" s="1"/>
      <c r="B33" s="2"/>
      <c r="C33" s="2"/>
      <c r="D33" s="2"/>
      <c r="E33" s="2"/>
      <c r="F33" s="2"/>
      <c r="G33" s="2"/>
      <c r="H33" s="2"/>
      <c r="I33" s="2"/>
      <c r="J33" s="2"/>
      <c r="K33" s="2"/>
      <c r="L33" s="2"/>
      <c r="M33" s="2"/>
      <c r="N33" s="2"/>
      <c r="O33" s="2"/>
      <c r="P33" s="2"/>
      <c r="Q33" s="2"/>
      <c r="R33" s="2"/>
      <c r="S33" s="2"/>
      <c r="T33" s="2"/>
    </row>
    <row r="34" spans="1:29" ht="15.75" customHeight="1">
      <c r="A34" s="1"/>
      <c r="B34" s="2"/>
      <c r="C34" s="2"/>
      <c r="D34" s="2"/>
      <c r="E34" s="2"/>
      <c r="F34" s="2"/>
      <c r="G34" s="2"/>
      <c r="H34" s="2"/>
      <c r="I34" s="2"/>
      <c r="J34" s="2"/>
      <c r="K34" s="2"/>
      <c r="L34" s="2"/>
      <c r="M34" s="2"/>
      <c r="N34" s="2"/>
      <c r="O34" s="2"/>
      <c r="P34" s="192"/>
      <c r="Q34" s="192"/>
      <c r="R34" s="192"/>
      <c r="S34" s="192"/>
      <c r="T34" s="192"/>
    </row>
    <row r="35" spans="1:29" ht="15.75" customHeight="1">
      <c r="A35" s="6" t="s">
        <v>91</v>
      </c>
      <c r="B35" s="2"/>
      <c r="C35" s="2"/>
      <c r="D35" s="2"/>
      <c r="E35" s="2"/>
      <c r="F35" s="2"/>
      <c r="G35" s="2"/>
      <c r="H35" s="2"/>
      <c r="I35" s="2"/>
      <c r="J35" s="2"/>
      <c r="K35" s="2"/>
      <c r="L35" s="2"/>
      <c r="M35" s="2"/>
      <c r="N35" s="2"/>
      <c r="O35" s="2"/>
      <c r="P35" s="192"/>
      <c r="Q35" s="192"/>
      <c r="R35" s="192"/>
      <c r="S35" s="192"/>
      <c r="T35" s="192"/>
    </row>
    <row r="36" spans="1:29" ht="7.5" customHeight="1" thickBot="1">
      <c r="A36" s="7"/>
      <c r="B36" s="2"/>
      <c r="C36" s="2"/>
      <c r="D36" s="2"/>
      <c r="E36" s="2"/>
      <c r="F36" s="2"/>
      <c r="G36" s="2"/>
      <c r="H36" s="2"/>
      <c r="I36" s="2"/>
      <c r="J36" s="2"/>
      <c r="K36" s="2"/>
      <c r="L36" s="2"/>
      <c r="M36" s="2"/>
      <c r="N36" s="2"/>
      <c r="O36" s="2"/>
      <c r="P36" s="2"/>
      <c r="Q36" s="2"/>
      <c r="R36" s="2"/>
      <c r="S36" s="2"/>
      <c r="T36" s="2"/>
    </row>
    <row r="37" spans="1:29" ht="15.75" customHeight="1" thickBot="1">
      <c r="A37" s="69" t="s">
        <v>3</v>
      </c>
      <c r="B37" s="67" t="s">
        <v>4</v>
      </c>
      <c r="C37" s="68" t="s">
        <v>5</v>
      </c>
      <c r="D37" s="68">
        <f t="shared" ref="D37:T37" si="13">D$3</f>
        <v>2008</v>
      </c>
      <c r="E37" s="68">
        <f t="shared" si="13"/>
        <v>2009</v>
      </c>
      <c r="F37" s="68">
        <f t="shared" si="13"/>
        <v>2010</v>
      </c>
      <c r="G37" s="68">
        <f t="shared" si="13"/>
        <v>2011</v>
      </c>
      <c r="H37" s="68">
        <f t="shared" si="13"/>
        <v>2012</v>
      </c>
      <c r="I37" s="68">
        <f t="shared" si="13"/>
        <v>2013</v>
      </c>
      <c r="J37" s="68">
        <f t="shared" si="13"/>
        <v>2014</v>
      </c>
      <c r="K37" s="68">
        <f t="shared" si="13"/>
        <v>2015</v>
      </c>
      <c r="L37" s="68">
        <f t="shared" si="13"/>
        <v>2016</v>
      </c>
      <c r="M37" s="68">
        <f t="shared" si="13"/>
        <v>2017</v>
      </c>
      <c r="N37" s="68">
        <f t="shared" si="13"/>
        <v>2018</v>
      </c>
      <c r="O37" s="68">
        <v>2019</v>
      </c>
      <c r="P37" s="68">
        <f t="shared" si="13"/>
        <v>2020</v>
      </c>
      <c r="Q37" s="68">
        <f t="shared" si="13"/>
        <v>2021</v>
      </c>
      <c r="R37" s="68">
        <f t="shared" si="13"/>
        <v>2022</v>
      </c>
      <c r="S37" s="68">
        <f t="shared" si="13"/>
        <v>2023</v>
      </c>
      <c r="T37" s="68">
        <f t="shared" si="13"/>
        <v>2024</v>
      </c>
    </row>
    <row r="38" spans="1:29" ht="15.75" customHeight="1">
      <c r="A38" s="9">
        <v>-1</v>
      </c>
      <c r="B38" s="9">
        <f t="shared" ref="B38:T38" si="14">A38-1</f>
        <v>-2</v>
      </c>
      <c r="C38" s="9">
        <f t="shared" si="14"/>
        <v>-3</v>
      </c>
      <c r="D38" s="9">
        <f t="shared" si="14"/>
        <v>-4</v>
      </c>
      <c r="E38" s="9">
        <f t="shared" si="14"/>
        <v>-5</v>
      </c>
      <c r="F38" s="9">
        <f t="shared" si="14"/>
        <v>-6</v>
      </c>
      <c r="G38" s="9">
        <f t="shared" si="14"/>
        <v>-7</v>
      </c>
      <c r="H38" s="9">
        <f t="shared" si="14"/>
        <v>-8</v>
      </c>
      <c r="I38" s="9">
        <f t="shared" si="14"/>
        <v>-9</v>
      </c>
      <c r="J38" s="9">
        <f t="shared" si="14"/>
        <v>-10</v>
      </c>
      <c r="K38" s="9">
        <f t="shared" si="14"/>
        <v>-11</v>
      </c>
      <c r="L38" s="9">
        <f t="shared" si="14"/>
        <v>-12</v>
      </c>
      <c r="M38" s="9">
        <f t="shared" si="14"/>
        <v>-13</v>
      </c>
      <c r="N38" s="9">
        <f t="shared" si="14"/>
        <v>-14</v>
      </c>
      <c r="O38" s="9">
        <v>-15</v>
      </c>
      <c r="P38" s="9">
        <f t="shared" si="14"/>
        <v>-16</v>
      </c>
      <c r="Q38" s="9">
        <f t="shared" si="14"/>
        <v>-17</v>
      </c>
      <c r="R38" s="9">
        <f t="shared" si="14"/>
        <v>-18</v>
      </c>
      <c r="S38" s="9">
        <f t="shared" si="14"/>
        <v>-19</v>
      </c>
      <c r="T38" s="9">
        <f t="shared" si="14"/>
        <v>-20</v>
      </c>
    </row>
    <row r="39" spans="1:29" ht="15.75" customHeight="1">
      <c r="A39" s="14">
        <v>1</v>
      </c>
      <c r="B39" s="15" t="s">
        <v>92</v>
      </c>
      <c r="C39" s="14"/>
      <c r="D39" s="18"/>
      <c r="E39" s="18"/>
      <c r="F39" s="18"/>
      <c r="G39" s="18"/>
      <c r="H39" s="18"/>
      <c r="I39" s="18"/>
      <c r="J39" s="18"/>
      <c r="K39" s="18"/>
      <c r="L39" s="18"/>
      <c r="M39" s="18"/>
      <c r="N39" s="18"/>
      <c r="O39" s="18"/>
      <c r="P39" s="18"/>
      <c r="Q39" s="18"/>
      <c r="R39" s="18"/>
      <c r="S39" s="18"/>
      <c r="T39" s="18"/>
    </row>
    <row r="40" spans="1:29" ht="15.75" customHeight="1">
      <c r="A40" s="14"/>
      <c r="B40" s="15" t="s">
        <v>93</v>
      </c>
      <c r="C40" s="14" t="s">
        <v>84</v>
      </c>
      <c r="D40" s="18">
        <v>61.822457999999997</v>
      </c>
      <c r="E40" s="18">
        <v>126.20956871976399</v>
      </c>
      <c r="F40" s="18">
        <v>104.53536699999999</v>
      </c>
      <c r="G40" s="18">
        <v>76.0845287213414</v>
      </c>
      <c r="H40" s="18">
        <v>53.975434641963098</v>
      </c>
      <c r="I40" s="18">
        <v>57.001516323642697</v>
      </c>
      <c r="J40" s="18">
        <v>69.646401394897694</v>
      </c>
      <c r="K40" s="18">
        <v>97.4401688897442</v>
      </c>
      <c r="L40" s="18">
        <v>91.084844614577619</v>
      </c>
      <c r="M40" s="18">
        <v>101.5114067937825</v>
      </c>
      <c r="N40" s="18">
        <v>134.95323982969387</v>
      </c>
      <c r="O40" s="18">
        <v>109.02131007883099</v>
      </c>
      <c r="P40" s="18">
        <v>66.191909679999995</v>
      </c>
      <c r="Q40" s="18">
        <v>79.276419959999998</v>
      </c>
      <c r="R40" s="18">
        <v>105.42461091999999</v>
      </c>
      <c r="S40" s="18">
        <v>105.03974450999999</v>
      </c>
      <c r="T40" s="18">
        <v>60.803000000000011</v>
      </c>
      <c r="Z40" s="209"/>
      <c r="AA40" s="209"/>
      <c r="AB40" s="209"/>
      <c r="AC40" s="209"/>
    </row>
    <row r="41" spans="1:29" ht="15.75" customHeight="1">
      <c r="A41" s="14"/>
      <c r="B41" s="170" t="s">
        <v>266</v>
      </c>
      <c r="C41" s="14" t="s">
        <v>84</v>
      </c>
      <c r="D41" s="18"/>
      <c r="E41" s="18"/>
      <c r="F41" s="18"/>
      <c r="G41" s="18"/>
      <c r="H41" s="18"/>
      <c r="I41" s="18"/>
      <c r="J41" s="18"/>
      <c r="K41" s="18"/>
      <c r="L41" s="18"/>
      <c r="M41" s="18"/>
      <c r="N41" s="18"/>
      <c r="O41" s="18"/>
      <c r="P41" s="18"/>
      <c r="Q41" s="169">
        <v>22924128</v>
      </c>
      <c r="R41" s="169">
        <f>Lakin!F10*1000000-Silver!R41</f>
        <v>26691820.204739582</v>
      </c>
      <c r="S41" s="169">
        <f>Lakin!G10*1000000-Silver!S41</f>
        <v>12315657.272550292</v>
      </c>
      <c r="T41" s="169">
        <f>Lakin!H10*1000000-Silver!T41</f>
        <v>23190021.19504825</v>
      </c>
      <c r="Z41" s="209"/>
      <c r="AA41" s="209"/>
      <c r="AB41" s="209"/>
      <c r="AC41" s="209"/>
    </row>
    <row r="42" spans="1:29" ht="15.75" customHeight="1">
      <c r="A42" s="14"/>
      <c r="B42" s="15"/>
      <c r="C42" s="14"/>
      <c r="D42" s="18"/>
      <c r="E42" s="18"/>
      <c r="F42" s="18"/>
      <c r="G42" s="18"/>
      <c r="H42" s="18"/>
      <c r="I42" s="18"/>
      <c r="J42" s="18"/>
      <c r="K42" s="18"/>
      <c r="L42" s="18"/>
      <c r="M42" s="18"/>
      <c r="N42" s="18"/>
      <c r="O42" s="18"/>
      <c r="P42" s="18"/>
      <c r="Q42" s="18"/>
      <c r="R42" s="18"/>
      <c r="S42" s="18"/>
      <c r="T42" s="18"/>
      <c r="Z42" s="209"/>
      <c r="AA42" s="209"/>
      <c r="AB42" s="209"/>
      <c r="AC42" s="209"/>
    </row>
    <row r="43" spans="1:29" ht="15.75" customHeight="1">
      <c r="A43" s="14"/>
      <c r="B43" s="15"/>
      <c r="C43" s="14"/>
      <c r="D43" s="18"/>
      <c r="E43" s="18"/>
      <c r="F43" s="18"/>
      <c r="G43" s="18"/>
      <c r="H43" s="18"/>
      <c r="I43" s="18"/>
      <c r="J43" s="18"/>
      <c r="K43" s="18"/>
      <c r="L43" s="18"/>
      <c r="M43" s="18"/>
      <c r="N43" s="18"/>
      <c r="O43" s="18"/>
      <c r="P43" s="18"/>
      <c r="Q43" s="18"/>
      <c r="R43" s="18"/>
      <c r="S43" s="18"/>
      <c r="T43" s="18"/>
      <c r="Z43" s="209"/>
      <c r="AA43" s="209"/>
      <c r="AB43" s="209"/>
      <c r="AC43" s="209"/>
    </row>
    <row r="44" spans="1:29" ht="15.75" customHeight="1">
      <c r="A44" s="14"/>
      <c r="B44" s="15"/>
      <c r="C44" s="14"/>
      <c r="D44" s="18"/>
      <c r="E44" s="18"/>
      <c r="F44" s="18"/>
      <c r="G44" s="18"/>
      <c r="H44" s="18"/>
      <c r="I44" s="18"/>
      <c r="J44" s="18"/>
      <c r="K44" s="18"/>
      <c r="L44" s="18"/>
      <c r="M44" s="18"/>
      <c r="N44" s="18"/>
      <c r="O44" s="18"/>
      <c r="P44" s="18"/>
      <c r="Q44" s="18"/>
      <c r="R44" s="18"/>
      <c r="S44" s="18"/>
      <c r="T44" s="18"/>
      <c r="Z44" s="209"/>
      <c r="AA44" s="209"/>
      <c r="AB44" s="209"/>
      <c r="AC44" s="209"/>
    </row>
    <row r="45" spans="1:29" ht="15.75" customHeight="1">
      <c r="A45" s="31">
        <v>2</v>
      </c>
      <c r="B45" s="32" t="s">
        <v>94</v>
      </c>
      <c r="C45" s="31" t="s">
        <v>84</v>
      </c>
      <c r="D45" s="35">
        <f t="shared" ref="D45:N45" si="15">D40</f>
        <v>61.822457999999997</v>
      </c>
      <c r="E45" s="35">
        <f t="shared" si="15"/>
        <v>126.20956871976399</v>
      </c>
      <c r="F45" s="35">
        <f t="shared" si="15"/>
        <v>104.53536699999999</v>
      </c>
      <c r="G45" s="35">
        <f t="shared" si="15"/>
        <v>76.0845287213414</v>
      </c>
      <c r="H45" s="35">
        <f t="shared" si="15"/>
        <v>53.975434641963098</v>
      </c>
      <c r="I45" s="35">
        <f t="shared" si="15"/>
        <v>57.001516323642697</v>
      </c>
      <c r="J45" s="35">
        <f t="shared" si="15"/>
        <v>69.646401394897694</v>
      </c>
      <c r="K45" s="35">
        <f t="shared" si="15"/>
        <v>97.4401688897442</v>
      </c>
      <c r="L45" s="35">
        <f t="shared" si="15"/>
        <v>91.084844614577619</v>
      </c>
      <c r="M45" s="35">
        <f t="shared" si="15"/>
        <v>101.5114067937825</v>
      </c>
      <c r="N45" s="35">
        <f t="shared" si="15"/>
        <v>134.95323982969387</v>
      </c>
      <c r="O45" s="35">
        <v>109.02131007883099</v>
      </c>
      <c r="P45" s="35">
        <f>P40/Lakin!D$32</f>
        <v>67.914712808657541</v>
      </c>
      <c r="Q45" s="35">
        <f>Q40/Lakin!E$32</f>
        <v>76.844627936687118</v>
      </c>
      <c r="R45" s="35">
        <f>R40/Lakin!F$32</f>
        <v>108.35730421510115</v>
      </c>
      <c r="S45" s="35">
        <f>S40/Lakin!G$32</f>
        <v>90.52738167341829</v>
      </c>
      <c r="T45" s="35">
        <f>T40/Lakin!H$32</f>
        <v>60.15113875653244</v>
      </c>
      <c r="Z45" s="209"/>
      <c r="AA45" s="209"/>
      <c r="AB45" s="209"/>
      <c r="AC45" s="209"/>
    </row>
    <row r="46" spans="1:29" ht="15.75" customHeight="1">
      <c r="A46" s="31">
        <v>3</v>
      </c>
      <c r="B46" s="32" t="s">
        <v>95</v>
      </c>
      <c r="C46" s="31" t="s">
        <v>84</v>
      </c>
      <c r="D46" s="35">
        <f>D45/'Conversion Factor'!$B$11*100</f>
        <v>29439265.714285709</v>
      </c>
      <c r="E46" s="35">
        <f>E45/'Conversion Factor'!$B$11*100</f>
        <v>60099794.628459044</v>
      </c>
      <c r="F46" s="35">
        <f>F45/'Conversion Factor'!$B$11*100</f>
        <v>49778746.190476187</v>
      </c>
      <c r="G46" s="35">
        <f>G45/'Conversion Factor'!$B$11*100</f>
        <v>36230727.962543525</v>
      </c>
      <c r="H46" s="35">
        <f>H45/'Conversion Factor'!$B$11*100</f>
        <v>25702587.92474433</v>
      </c>
      <c r="I46" s="35">
        <f>I45/'Conversion Factor'!$B$11*100</f>
        <v>27143579.201734617</v>
      </c>
      <c r="J46" s="35">
        <f>J45/'Conversion Factor'!$B$11*100</f>
        <v>33164953.045189373</v>
      </c>
      <c r="K46" s="35">
        <f>K45/'Conversion Factor'!$B$11*100</f>
        <v>46400080.423687711</v>
      </c>
      <c r="L46" s="35">
        <f>L45/'Conversion Factor'!$B$11*100</f>
        <v>43373735.530751243</v>
      </c>
      <c r="M46" s="35">
        <f>M45/'Conversion Factor'!$B$11*100</f>
        <v>48338765.13989643</v>
      </c>
      <c r="N46" s="35">
        <f>N45/'Conversion Factor'!$B$11*100</f>
        <v>64263447.537949458</v>
      </c>
      <c r="O46" s="35">
        <v>51914909.561348088</v>
      </c>
      <c r="P46" s="35">
        <f>P45/'Conversion Factor'!$B$11*100</f>
        <v>32340339.432694063</v>
      </c>
      <c r="Q46" s="35">
        <f>Q41</f>
        <v>22924128</v>
      </c>
      <c r="R46" s="35">
        <f>R41</f>
        <v>26691820.204739582</v>
      </c>
      <c r="S46" s="35">
        <f>S41</f>
        <v>12315657.272550292</v>
      </c>
      <c r="T46" s="35">
        <f>T41</f>
        <v>23190021.19504825</v>
      </c>
      <c r="Z46" s="209"/>
      <c r="AA46" s="209"/>
      <c r="AB46" s="209"/>
      <c r="AC46" s="209"/>
    </row>
    <row r="47" spans="1:29" ht="15.75" customHeight="1">
      <c r="A47" s="14">
        <v>4</v>
      </c>
      <c r="B47" s="15" t="s">
        <v>19</v>
      </c>
      <c r="C47" s="14" t="s">
        <v>96</v>
      </c>
      <c r="D47" s="18">
        <f t="shared" ref="D47:J47" si="16">D48/D45</f>
        <v>378152.93163621548</v>
      </c>
      <c r="E47" s="18">
        <f t="shared" si="16"/>
        <v>451131.08540630445</v>
      </c>
      <c r="F47" s="18">
        <f t="shared" si="16"/>
        <v>405036.22846543224</v>
      </c>
      <c r="G47" s="18">
        <f t="shared" si="16"/>
        <v>436664.46625761525</v>
      </c>
      <c r="H47" s="18">
        <f t="shared" si="16"/>
        <v>411763.80682920909</v>
      </c>
      <c r="I47" s="18">
        <f t="shared" si="16"/>
        <v>435504.40562196251</v>
      </c>
      <c r="J47" s="18">
        <f t="shared" si="16"/>
        <v>432617.37440344534</v>
      </c>
      <c r="K47" s="18">
        <v>496138.43083333335</v>
      </c>
      <c r="L47" s="18">
        <v>532036.83333333337</v>
      </c>
      <c r="M47" s="18">
        <v>496138.43083333335</v>
      </c>
      <c r="N47" s="18">
        <f t="shared" ref="N47" si="17">N48/N45</f>
        <v>313916.23719101486</v>
      </c>
      <c r="O47" s="18">
        <v>223408.63804470497</v>
      </c>
      <c r="P47" s="18">
        <f>P48/P45</f>
        <v>513808.02275805164</v>
      </c>
      <c r="Q47" s="18">
        <f>Q48/Q45</f>
        <v>633176.52280364279</v>
      </c>
      <c r="R47" s="18">
        <f t="shared" ref="R47:S47" si="18">R48/R45</f>
        <v>604192.13386564318</v>
      </c>
      <c r="S47" s="18">
        <f t="shared" si="18"/>
        <v>812297.39756328519</v>
      </c>
      <c r="T47" s="18">
        <f>T48/T45</f>
        <v>1537379.2432950509</v>
      </c>
      <c r="Z47" s="209"/>
      <c r="AA47" s="209"/>
      <c r="AB47" s="209"/>
      <c r="AC47" s="209"/>
    </row>
    <row r="48" spans="1:29" ht="15.75" customHeight="1">
      <c r="A48" s="14">
        <v>5</v>
      </c>
      <c r="B48" s="15" t="s">
        <v>21</v>
      </c>
      <c r="C48" s="14" t="s">
        <v>22</v>
      </c>
      <c r="D48" s="18">
        <v>23378343.733656801</v>
      </c>
      <c r="E48" s="18">
        <v>56937059.7252087</v>
      </c>
      <c r="F48" s="18">
        <v>42340610.790929802</v>
      </c>
      <c r="G48" s="18">
        <v>33223410.124566741</v>
      </c>
      <c r="H48" s="18">
        <v>22225130.443435892</v>
      </c>
      <c r="I48" s="18">
        <v>24824411.486078605</v>
      </c>
      <c r="J48" s="18">
        <v>30130243.308109093</v>
      </c>
      <c r="K48" s="18">
        <f t="shared" ref="K48:M48" si="19">K45*K47</f>
        <v>48343812.493092671</v>
      </c>
      <c r="L48" s="18">
        <f t="shared" si="19"/>
        <v>48460492.293398604</v>
      </c>
      <c r="M48" s="18">
        <f t="shared" si="19"/>
        <v>50363710.078351423</v>
      </c>
      <c r="N48" s="18">
        <v>42364013.244074099</v>
      </c>
      <c r="O48" s="18">
        <v>24356302.402561098</v>
      </c>
      <c r="P48" s="18">
        <v>34895124.304397255</v>
      </c>
      <c r="Q48" s="18">
        <v>48656214.313091218</v>
      </c>
      <c r="R48" s="18">
        <v>65468630.853650622</v>
      </c>
      <c r="S48" s="18">
        <v>73535156.541535914</v>
      </c>
      <c r="T48" s="18">
        <v>92475112.184853449</v>
      </c>
      <c r="Z48" s="209"/>
      <c r="AA48" s="209"/>
      <c r="AB48" s="209"/>
      <c r="AC48" s="209"/>
    </row>
    <row r="49" spans="1:29" ht="15.75" customHeight="1">
      <c r="A49" s="17" t="s">
        <v>23</v>
      </c>
      <c r="B49" s="2"/>
      <c r="C49" s="2"/>
      <c r="D49" s="2"/>
      <c r="E49" s="2"/>
      <c r="F49" s="2"/>
      <c r="G49" s="2"/>
      <c r="H49" s="2"/>
      <c r="I49" s="2"/>
      <c r="J49" s="2"/>
      <c r="K49" s="2"/>
      <c r="L49" s="2"/>
      <c r="M49" s="2"/>
      <c r="N49" s="2"/>
      <c r="O49" s="2"/>
      <c r="P49" s="185"/>
      <c r="Q49" s="185"/>
      <c r="R49" s="185"/>
      <c r="S49" s="185"/>
      <c r="T49" s="185"/>
      <c r="Z49" s="209"/>
      <c r="AA49" s="209"/>
      <c r="AB49" s="209"/>
      <c r="AC49" s="209"/>
    </row>
    <row r="50" spans="1:29" ht="15.75" customHeight="1">
      <c r="A50" s="19"/>
      <c r="B50" s="2"/>
      <c r="C50" s="2"/>
      <c r="D50" s="2"/>
      <c r="E50" s="2"/>
      <c r="F50" s="2"/>
      <c r="G50" s="2"/>
      <c r="H50" s="2"/>
      <c r="I50" s="2"/>
      <c r="J50" s="2"/>
      <c r="K50" s="70"/>
      <c r="L50" s="2"/>
      <c r="M50" s="2"/>
      <c r="N50" s="60"/>
      <c r="O50" s="2"/>
      <c r="P50" s="2"/>
      <c r="Q50" s="2"/>
      <c r="R50" s="177"/>
      <c r="S50" s="177"/>
      <c r="T50" s="177"/>
      <c r="Z50" s="209"/>
      <c r="AA50" s="209"/>
      <c r="AB50" s="209"/>
      <c r="AC50" s="209"/>
    </row>
    <row r="51" spans="1:29" ht="15.75" customHeight="1">
      <c r="A51" s="19"/>
      <c r="B51" s="2"/>
      <c r="C51" s="2"/>
      <c r="D51" s="2"/>
      <c r="E51" s="2"/>
      <c r="F51" s="2"/>
      <c r="G51" s="2"/>
      <c r="H51" s="2"/>
      <c r="I51" s="2"/>
      <c r="J51" s="2"/>
      <c r="K51" s="2"/>
      <c r="L51" s="2"/>
      <c r="M51" s="2"/>
      <c r="N51" s="2"/>
      <c r="O51" s="2"/>
      <c r="P51" s="2"/>
      <c r="Q51" s="2"/>
      <c r="R51" s="2"/>
      <c r="S51" s="2"/>
      <c r="T51" s="2"/>
      <c r="Z51" s="209"/>
      <c r="AA51" s="209"/>
      <c r="AB51" s="209"/>
      <c r="AC51" s="209"/>
    </row>
    <row r="52" spans="1:29" ht="15.75" customHeight="1">
      <c r="A52" s="6" t="s">
        <v>97</v>
      </c>
      <c r="B52" s="2"/>
      <c r="C52" s="2"/>
      <c r="D52" s="2"/>
      <c r="E52" s="2"/>
      <c r="F52" s="2"/>
      <c r="G52" s="2"/>
      <c r="H52" s="2"/>
      <c r="I52" s="2"/>
      <c r="J52" s="2"/>
      <c r="K52" s="2"/>
      <c r="L52" s="2"/>
      <c r="M52" s="2"/>
      <c r="N52" s="2"/>
      <c r="O52" s="2"/>
      <c r="P52" s="2"/>
      <c r="Q52" s="2"/>
      <c r="R52" s="2"/>
      <c r="S52" s="2"/>
      <c r="T52" s="2"/>
      <c r="Z52" s="209"/>
      <c r="AA52" s="209"/>
      <c r="AB52" s="209"/>
      <c r="AC52" s="209"/>
    </row>
    <row r="53" spans="1:29" ht="7.5" customHeight="1" thickBot="1">
      <c r="A53" s="19"/>
      <c r="B53" s="2"/>
      <c r="C53" s="2"/>
      <c r="D53" s="2"/>
      <c r="E53" s="2"/>
      <c r="F53" s="2"/>
      <c r="G53" s="2"/>
      <c r="H53" s="2"/>
      <c r="I53" s="2"/>
      <c r="J53" s="2"/>
      <c r="K53" s="2"/>
      <c r="L53" s="2"/>
      <c r="M53" s="2"/>
      <c r="N53" s="2"/>
      <c r="O53" s="2"/>
      <c r="P53" s="2"/>
      <c r="Q53" s="2"/>
      <c r="R53" s="2"/>
      <c r="S53" s="2"/>
      <c r="T53" s="2"/>
      <c r="Z53" s="209"/>
      <c r="AA53" s="209"/>
      <c r="AB53" s="209"/>
      <c r="AC53" s="209"/>
    </row>
    <row r="54" spans="1:29" ht="15.75" customHeight="1" thickBot="1">
      <c r="A54" s="69" t="s">
        <v>3</v>
      </c>
      <c r="B54" s="67" t="s">
        <v>4</v>
      </c>
      <c r="C54" s="68" t="s">
        <v>5</v>
      </c>
      <c r="D54" s="68">
        <f t="shared" ref="D54:T54" si="20">D$3</f>
        <v>2008</v>
      </c>
      <c r="E54" s="68">
        <f t="shared" si="20"/>
        <v>2009</v>
      </c>
      <c r="F54" s="68">
        <f t="shared" si="20"/>
        <v>2010</v>
      </c>
      <c r="G54" s="68">
        <f t="shared" si="20"/>
        <v>2011</v>
      </c>
      <c r="H54" s="68">
        <f t="shared" si="20"/>
        <v>2012</v>
      </c>
      <c r="I54" s="68">
        <f t="shared" si="20"/>
        <v>2013</v>
      </c>
      <c r="J54" s="68">
        <f t="shared" si="20"/>
        <v>2014</v>
      </c>
      <c r="K54" s="68">
        <f t="shared" si="20"/>
        <v>2015</v>
      </c>
      <c r="L54" s="68">
        <f t="shared" si="20"/>
        <v>2016</v>
      </c>
      <c r="M54" s="68">
        <f t="shared" si="20"/>
        <v>2017</v>
      </c>
      <c r="N54" s="68">
        <f t="shared" si="20"/>
        <v>2018</v>
      </c>
      <c r="O54" s="68">
        <v>2019</v>
      </c>
      <c r="P54" s="68">
        <f t="shared" si="20"/>
        <v>2020</v>
      </c>
      <c r="Q54" s="68">
        <f t="shared" si="20"/>
        <v>2021</v>
      </c>
      <c r="R54" s="68">
        <f t="shared" si="20"/>
        <v>2022</v>
      </c>
      <c r="S54" s="68">
        <f t="shared" si="20"/>
        <v>2023</v>
      </c>
      <c r="T54" s="68">
        <f t="shared" si="20"/>
        <v>2024</v>
      </c>
      <c r="Z54" s="209"/>
      <c r="AA54" s="209"/>
      <c r="AB54" s="209"/>
      <c r="AC54" s="209"/>
    </row>
    <row r="55" spans="1:29" ht="15.75" customHeight="1">
      <c r="A55" s="9">
        <v>-1</v>
      </c>
      <c r="B55" s="9">
        <f t="shared" ref="B55:T55" si="21">A55-1</f>
        <v>-2</v>
      </c>
      <c r="C55" s="9">
        <f t="shared" si="21"/>
        <v>-3</v>
      </c>
      <c r="D55" s="9">
        <f t="shared" si="21"/>
        <v>-4</v>
      </c>
      <c r="E55" s="9">
        <f t="shared" si="21"/>
        <v>-5</v>
      </c>
      <c r="F55" s="9">
        <f t="shared" si="21"/>
        <v>-6</v>
      </c>
      <c r="G55" s="9">
        <f t="shared" si="21"/>
        <v>-7</v>
      </c>
      <c r="H55" s="9">
        <f t="shared" si="21"/>
        <v>-8</v>
      </c>
      <c r="I55" s="9">
        <f t="shared" si="21"/>
        <v>-9</v>
      </c>
      <c r="J55" s="9">
        <f t="shared" si="21"/>
        <v>-10</v>
      </c>
      <c r="K55" s="9">
        <f t="shared" si="21"/>
        <v>-11</v>
      </c>
      <c r="L55" s="9">
        <f t="shared" si="21"/>
        <v>-12</v>
      </c>
      <c r="M55" s="9">
        <f t="shared" si="21"/>
        <v>-13</v>
      </c>
      <c r="N55" s="9">
        <f t="shared" si="21"/>
        <v>-14</v>
      </c>
      <c r="O55" s="9">
        <v>-15</v>
      </c>
      <c r="P55" s="9">
        <f t="shared" si="21"/>
        <v>-16</v>
      </c>
      <c r="Q55" s="9">
        <f t="shared" si="21"/>
        <v>-17</v>
      </c>
      <c r="R55" s="9">
        <f t="shared" si="21"/>
        <v>-18</v>
      </c>
      <c r="S55" s="9">
        <f t="shared" si="21"/>
        <v>-19</v>
      </c>
      <c r="T55" s="9">
        <f t="shared" si="21"/>
        <v>-20</v>
      </c>
      <c r="Z55" s="209"/>
      <c r="AA55" s="209"/>
      <c r="AB55" s="209"/>
      <c r="AC55" s="209"/>
    </row>
    <row r="56" spans="1:29" ht="15.75" customHeight="1">
      <c r="A56" s="14">
        <v>1</v>
      </c>
      <c r="B56" s="21" t="s">
        <v>25</v>
      </c>
      <c r="C56" s="14" t="s">
        <v>22</v>
      </c>
      <c r="D56" s="18"/>
      <c r="E56" s="18"/>
      <c r="F56" s="22">
        <v>79145788</v>
      </c>
      <c r="G56" s="18"/>
      <c r="H56" s="18"/>
      <c r="I56" s="18"/>
      <c r="J56" s="18"/>
      <c r="K56" s="18"/>
      <c r="L56" s="18">
        <v>12867708</v>
      </c>
      <c r="M56" s="18"/>
      <c r="N56" s="18"/>
      <c r="O56" s="18"/>
      <c r="P56" s="18"/>
      <c r="Q56" s="18"/>
      <c r="R56" s="18"/>
      <c r="S56" s="18"/>
      <c r="T56" s="18"/>
      <c r="Z56" s="209"/>
      <c r="AA56" s="209"/>
      <c r="AB56" s="209"/>
      <c r="AC56" s="209"/>
    </row>
    <row r="57" spans="1:29" ht="15.75" customHeight="1">
      <c r="A57" s="14">
        <v>2</v>
      </c>
      <c r="B57" s="15" t="s">
        <v>26</v>
      </c>
      <c r="C57" s="14" t="s">
        <v>22</v>
      </c>
      <c r="D57" s="18"/>
      <c r="E57" s="18"/>
      <c r="F57" s="22">
        <v>18280023</v>
      </c>
      <c r="G57" s="18"/>
      <c r="H57" s="18"/>
      <c r="I57" s="18"/>
      <c r="J57" s="18"/>
      <c r="K57" s="18"/>
      <c r="L57" s="18">
        <v>10116882</v>
      </c>
      <c r="M57" s="18"/>
      <c r="N57" s="18"/>
      <c r="O57" s="18"/>
      <c r="P57" s="18"/>
      <c r="Q57" s="18"/>
      <c r="R57" s="18"/>
      <c r="S57" s="18"/>
      <c r="T57" s="18"/>
    </row>
    <row r="58" spans="1:29" ht="15.75" customHeight="1">
      <c r="A58" s="14">
        <v>3</v>
      </c>
      <c r="B58" s="21" t="s">
        <v>27</v>
      </c>
      <c r="C58" s="14" t="s">
        <v>22</v>
      </c>
      <c r="D58" s="18"/>
      <c r="E58" s="18"/>
      <c r="F58" s="22">
        <v>1506374</v>
      </c>
      <c r="G58" s="18"/>
      <c r="H58" s="18"/>
      <c r="I58" s="18"/>
      <c r="J58" s="18"/>
      <c r="K58" s="18"/>
      <c r="L58" s="18">
        <v>151614</v>
      </c>
      <c r="M58" s="18"/>
      <c r="N58" s="18"/>
      <c r="O58" s="18"/>
      <c r="P58" s="18"/>
      <c r="Q58" s="18"/>
      <c r="R58" s="18"/>
      <c r="S58" s="18"/>
      <c r="T58" s="18"/>
    </row>
    <row r="59" spans="1:29" ht="15.75" customHeight="1">
      <c r="A59" s="14">
        <v>4</v>
      </c>
      <c r="B59" s="21" t="s">
        <v>28</v>
      </c>
      <c r="C59" s="14" t="s">
        <v>22</v>
      </c>
      <c r="D59" s="18"/>
      <c r="E59" s="18"/>
      <c r="F59" s="22">
        <v>151748081</v>
      </c>
      <c r="G59" s="18"/>
      <c r="H59" s="18"/>
      <c r="I59" s="18"/>
      <c r="J59" s="18"/>
      <c r="K59" s="18"/>
      <c r="L59" s="18">
        <v>14620667</v>
      </c>
      <c r="M59" s="18"/>
      <c r="N59" s="18"/>
      <c r="O59" s="18"/>
      <c r="P59" s="18"/>
      <c r="Q59" s="18"/>
      <c r="R59" s="18"/>
      <c r="S59" s="18"/>
      <c r="T59" s="18"/>
    </row>
    <row r="60" spans="1:29" ht="15.75" customHeight="1">
      <c r="A60" s="14">
        <v>5</v>
      </c>
      <c r="B60" s="21" t="s">
        <v>29</v>
      </c>
      <c r="C60" s="14" t="s">
        <v>22</v>
      </c>
      <c r="D60" s="18"/>
      <c r="E60" s="18"/>
      <c r="F60" s="22">
        <v>250680266</v>
      </c>
      <c r="G60" s="18"/>
      <c r="H60" s="18"/>
      <c r="I60" s="18"/>
      <c r="J60" s="18"/>
      <c r="K60" s="18"/>
      <c r="L60" s="18">
        <v>37756871</v>
      </c>
      <c r="M60" s="18"/>
      <c r="N60" s="18"/>
      <c r="O60" s="18"/>
      <c r="P60" s="18"/>
      <c r="Q60" s="18"/>
      <c r="R60" s="18"/>
      <c r="S60" s="18"/>
      <c r="T60" s="18"/>
    </row>
    <row r="61" spans="1:29" ht="15.75" customHeight="1">
      <c r="A61" s="17" t="s">
        <v>30</v>
      </c>
      <c r="B61" s="2"/>
      <c r="C61" s="2"/>
      <c r="D61" s="2"/>
      <c r="E61" s="2"/>
      <c r="F61" s="2"/>
      <c r="G61" s="2"/>
      <c r="H61" s="2"/>
      <c r="I61" s="2"/>
      <c r="J61" s="2"/>
      <c r="K61" s="2"/>
      <c r="L61" s="2"/>
      <c r="M61" s="2"/>
      <c r="N61" s="2"/>
      <c r="O61" s="2"/>
      <c r="P61" s="2"/>
      <c r="Q61" s="2"/>
      <c r="R61" s="2"/>
      <c r="S61" s="2"/>
      <c r="T61" s="2"/>
    </row>
    <row r="62" spans="1:29" ht="15.75" customHeight="1">
      <c r="A62" s="19"/>
      <c r="B62" s="2"/>
      <c r="C62" s="2"/>
      <c r="D62" s="2"/>
      <c r="E62" s="2"/>
      <c r="F62" s="2"/>
      <c r="G62" s="2"/>
      <c r="H62" s="2"/>
      <c r="I62" s="2"/>
      <c r="J62" s="2"/>
      <c r="K62" s="2"/>
      <c r="L62" s="2"/>
      <c r="M62" s="2"/>
      <c r="N62" s="2"/>
      <c r="O62" s="2"/>
      <c r="P62" s="2"/>
      <c r="Q62" s="2"/>
      <c r="R62" s="2"/>
      <c r="S62" s="2"/>
      <c r="T62" s="2"/>
    </row>
    <row r="63" spans="1:29" ht="15.75" customHeight="1">
      <c r="A63" s="19"/>
      <c r="B63" s="2"/>
      <c r="C63" s="2"/>
      <c r="D63" s="2"/>
      <c r="E63" s="2"/>
      <c r="F63" s="2"/>
      <c r="G63" s="2"/>
      <c r="H63" s="2"/>
      <c r="I63" s="2"/>
      <c r="J63" s="2"/>
      <c r="K63" s="2"/>
      <c r="L63" s="2"/>
      <c r="M63" s="2"/>
      <c r="N63" s="2"/>
      <c r="O63" s="2"/>
      <c r="P63" s="2"/>
      <c r="Q63" s="2"/>
      <c r="R63" s="2"/>
      <c r="S63" s="2"/>
      <c r="T63" s="2"/>
    </row>
    <row r="64" spans="1:29" ht="15.75" customHeight="1">
      <c r="A64" s="6" t="s">
        <v>98</v>
      </c>
      <c r="B64" s="2"/>
      <c r="C64" s="2"/>
      <c r="D64" s="2"/>
      <c r="E64" s="2"/>
      <c r="F64" s="2"/>
      <c r="G64" s="2"/>
      <c r="H64" s="2"/>
      <c r="I64" s="2"/>
      <c r="J64" s="2"/>
      <c r="K64" s="2"/>
      <c r="L64" s="2"/>
      <c r="M64" s="2"/>
      <c r="N64" s="2"/>
      <c r="O64" s="2"/>
      <c r="P64" s="2"/>
      <c r="Q64" s="2"/>
      <c r="R64" s="2"/>
      <c r="S64" s="2"/>
      <c r="T64" s="2"/>
    </row>
    <row r="65" spans="1:29" ht="7.5" customHeight="1" thickBot="1">
      <c r="A65" s="7"/>
      <c r="B65" s="2"/>
      <c r="C65" s="2"/>
      <c r="D65" s="2"/>
      <c r="E65" s="2"/>
      <c r="F65" s="2"/>
      <c r="G65" s="2"/>
      <c r="H65" s="2"/>
      <c r="I65" s="2"/>
      <c r="J65" s="2"/>
      <c r="K65" s="2"/>
      <c r="L65" s="2"/>
      <c r="M65" s="2"/>
      <c r="N65" s="2"/>
      <c r="O65" s="2"/>
      <c r="P65" s="2"/>
      <c r="Q65" s="2"/>
      <c r="R65" s="2"/>
      <c r="S65" s="2"/>
      <c r="T65" s="2"/>
    </row>
    <row r="66" spans="1:29" ht="15.75" customHeight="1" thickBot="1">
      <c r="A66" s="69" t="s">
        <v>3</v>
      </c>
      <c r="B66" s="67" t="s">
        <v>4</v>
      </c>
      <c r="C66" s="68" t="s">
        <v>5</v>
      </c>
      <c r="D66" s="68">
        <f t="shared" ref="D66:T66" si="22">D$3</f>
        <v>2008</v>
      </c>
      <c r="E66" s="68">
        <f t="shared" si="22"/>
        <v>2009</v>
      </c>
      <c r="F66" s="68">
        <f t="shared" si="22"/>
        <v>2010</v>
      </c>
      <c r="G66" s="68">
        <f t="shared" si="22"/>
        <v>2011</v>
      </c>
      <c r="H66" s="68">
        <f t="shared" si="22"/>
        <v>2012</v>
      </c>
      <c r="I66" s="68">
        <f t="shared" si="22"/>
        <v>2013</v>
      </c>
      <c r="J66" s="68">
        <f t="shared" si="22"/>
        <v>2014</v>
      </c>
      <c r="K66" s="68">
        <f t="shared" si="22"/>
        <v>2015</v>
      </c>
      <c r="L66" s="68">
        <f t="shared" si="22"/>
        <v>2016</v>
      </c>
      <c r="M66" s="68">
        <f t="shared" si="22"/>
        <v>2017</v>
      </c>
      <c r="N66" s="68">
        <f t="shared" si="22"/>
        <v>2018</v>
      </c>
      <c r="O66" s="68">
        <v>2019</v>
      </c>
      <c r="P66" s="68">
        <f t="shared" si="22"/>
        <v>2020</v>
      </c>
      <c r="Q66" s="68">
        <f t="shared" si="22"/>
        <v>2021</v>
      </c>
      <c r="R66" s="68">
        <f t="shared" si="22"/>
        <v>2022</v>
      </c>
      <c r="S66" s="68">
        <f t="shared" si="22"/>
        <v>2023</v>
      </c>
      <c r="T66" s="68">
        <f t="shared" si="22"/>
        <v>2024</v>
      </c>
    </row>
    <row r="67" spans="1:29" ht="15.75" customHeight="1">
      <c r="A67" s="9">
        <v>-1</v>
      </c>
      <c r="B67" s="9">
        <f t="shared" ref="B67:T67" si="23">A67-1</f>
        <v>-2</v>
      </c>
      <c r="C67" s="9">
        <f t="shared" si="23"/>
        <v>-3</v>
      </c>
      <c r="D67" s="9">
        <f t="shared" si="23"/>
        <v>-4</v>
      </c>
      <c r="E67" s="9">
        <f t="shared" si="23"/>
        <v>-5</v>
      </c>
      <c r="F67" s="9">
        <f t="shared" si="23"/>
        <v>-6</v>
      </c>
      <c r="G67" s="9">
        <f t="shared" si="23"/>
        <v>-7</v>
      </c>
      <c r="H67" s="9">
        <f t="shared" si="23"/>
        <v>-8</v>
      </c>
      <c r="I67" s="9">
        <f t="shared" si="23"/>
        <v>-9</v>
      </c>
      <c r="J67" s="9">
        <f t="shared" si="23"/>
        <v>-10</v>
      </c>
      <c r="K67" s="9">
        <f t="shared" si="23"/>
        <v>-11</v>
      </c>
      <c r="L67" s="9">
        <f t="shared" si="23"/>
        <v>-12</v>
      </c>
      <c r="M67" s="9">
        <f t="shared" si="23"/>
        <v>-13</v>
      </c>
      <c r="N67" s="9">
        <f t="shared" si="23"/>
        <v>-14</v>
      </c>
      <c r="O67" s="9">
        <v>-15</v>
      </c>
      <c r="P67" s="9">
        <f t="shared" si="23"/>
        <v>-16</v>
      </c>
      <c r="Q67" s="9">
        <f t="shared" si="23"/>
        <v>-17</v>
      </c>
      <c r="R67" s="9">
        <f t="shared" si="23"/>
        <v>-18</v>
      </c>
      <c r="S67" s="9">
        <f t="shared" si="23"/>
        <v>-19</v>
      </c>
      <c r="T67" s="9">
        <f t="shared" si="23"/>
        <v>-20</v>
      </c>
    </row>
    <row r="68" spans="1:29" ht="15.75" customHeight="1">
      <c r="A68" s="14">
        <v>1</v>
      </c>
      <c r="B68" s="15" t="s">
        <v>21</v>
      </c>
      <c r="C68" s="14" t="s">
        <v>22</v>
      </c>
      <c r="D68" s="18">
        <f t="shared" ref="D68:Q68" si="24">D48</f>
        <v>23378343.733656801</v>
      </c>
      <c r="E68" s="18">
        <f t="shared" si="24"/>
        <v>56937059.7252087</v>
      </c>
      <c r="F68" s="18">
        <f t="shared" si="24"/>
        <v>42340610.790929802</v>
      </c>
      <c r="G68" s="18">
        <f t="shared" si="24"/>
        <v>33223410.124566741</v>
      </c>
      <c r="H68" s="18">
        <f t="shared" si="24"/>
        <v>22225130.443435892</v>
      </c>
      <c r="I68" s="18">
        <f t="shared" si="24"/>
        <v>24824411.486078605</v>
      </c>
      <c r="J68" s="18">
        <f t="shared" si="24"/>
        <v>30130243.308109093</v>
      </c>
      <c r="K68" s="18">
        <f t="shared" si="24"/>
        <v>48343812.493092671</v>
      </c>
      <c r="L68" s="18">
        <f t="shared" si="24"/>
        <v>48460492.293398604</v>
      </c>
      <c r="M68" s="18">
        <f t="shared" si="24"/>
        <v>50363710.078351423</v>
      </c>
      <c r="N68" s="18">
        <f t="shared" si="24"/>
        <v>42364013.244074099</v>
      </c>
      <c r="O68" s="18">
        <v>24356302.402561098</v>
      </c>
      <c r="P68" s="18">
        <f t="shared" si="24"/>
        <v>34895124.304397255</v>
      </c>
      <c r="Q68" s="18">
        <f t="shared" si="24"/>
        <v>48656214.313091218</v>
      </c>
      <c r="R68" s="18">
        <f t="shared" ref="R68:S68" si="25">R48</f>
        <v>65468630.853650622</v>
      </c>
      <c r="S68" s="18">
        <f t="shared" si="25"/>
        <v>73535156.541535914</v>
      </c>
      <c r="T68" s="18">
        <f t="shared" ref="T68" si="26">T48</f>
        <v>92475112.184853449</v>
      </c>
      <c r="Z68" s="209"/>
      <c r="AA68" s="209"/>
      <c r="AB68" s="209"/>
      <c r="AC68" s="209"/>
    </row>
    <row r="69" spans="1:29" ht="15.75" customHeight="1">
      <c r="A69" s="14">
        <f t="shared" ref="A69:A78" si="27">A68+1</f>
        <v>2</v>
      </c>
      <c r="B69" s="15" t="s">
        <v>32</v>
      </c>
      <c r="C69" s="14" t="s">
        <v>22</v>
      </c>
      <c r="D69" s="18">
        <f t="shared" ref="D69:M69" si="28">$F56/$F$60*D$68</f>
        <v>7381105.2878615092</v>
      </c>
      <c r="E69" s="18">
        <f t="shared" si="28"/>
        <v>17976398.901518263</v>
      </c>
      <c r="F69" s="18">
        <f t="shared" si="28"/>
        <v>13367948.977082394</v>
      </c>
      <c r="G69" s="18">
        <f t="shared" si="28"/>
        <v>10489429.488462457</v>
      </c>
      <c r="H69" s="18">
        <f t="shared" si="28"/>
        <v>7017008.1212077662</v>
      </c>
      <c r="I69" s="18">
        <f t="shared" si="28"/>
        <v>7837663.6504045445</v>
      </c>
      <c r="J69" s="18">
        <f t="shared" si="28"/>
        <v>9512842.3441676944</v>
      </c>
      <c r="K69" s="18">
        <f t="shared" si="28"/>
        <v>15263304.111421615</v>
      </c>
      <c r="L69" s="18">
        <f t="shared" si="28"/>
        <v>15300142.730137998</v>
      </c>
      <c r="M69" s="18">
        <f t="shared" si="28"/>
        <v>15901034.350883707</v>
      </c>
      <c r="N69" s="18">
        <f t="shared" ref="N69:Q69" si="29">$L56/$L$60*N$68</f>
        <v>14437842.376633335</v>
      </c>
      <c r="O69" s="18">
        <v>8300735.1768067498</v>
      </c>
      <c r="P69" s="18">
        <f t="shared" si="29"/>
        <v>11892412.116795562</v>
      </c>
      <c r="Q69" s="18">
        <f t="shared" si="29"/>
        <v>16582252.225463238</v>
      </c>
      <c r="R69" s="18">
        <f t="shared" ref="R69:S69" si="30">$L56/$L$60*R$68</f>
        <v>22311997.8608547</v>
      </c>
      <c r="S69" s="18">
        <f t="shared" si="30"/>
        <v>25061105.357771143</v>
      </c>
      <c r="T69" s="18">
        <f t="shared" ref="T69" si="31">$L56/$L$60*T$68</f>
        <v>31515925.693681981</v>
      </c>
      <c r="Z69" s="209"/>
      <c r="AA69" s="209"/>
      <c r="AB69" s="209"/>
      <c r="AC69" s="209"/>
    </row>
    <row r="70" spans="1:29" ht="15.75" customHeight="1">
      <c r="A70" s="14">
        <f t="shared" si="27"/>
        <v>3</v>
      </c>
      <c r="B70" s="15" t="s">
        <v>26</v>
      </c>
      <c r="C70" s="14" t="s">
        <v>22</v>
      </c>
      <c r="D70" s="18">
        <f t="shared" ref="D70:M70" si="32">$F57/$F$60*D$68</f>
        <v>1704787.807880945</v>
      </c>
      <c r="E70" s="18">
        <f t="shared" si="32"/>
        <v>4151945.3363320935</v>
      </c>
      <c r="F70" s="18">
        <f t="shared" si="32"/>
        <v>3087547.9408189431</v>
      </c>
      <c r="G70" s="18">
        <f t="shared" si="32"/>
        <v>2422706.4655161682</v>
      </c>
      <c r="H70" s="18">
        <f t="shared" si="32"/>
        <v>1620693.5718027693</v>
      </c>
      <c r="I70" s="18">
        <f t="shared" si="32"/>
        <v>1810237.4796705421</v>
      </c>
      <c r="J70" s="18">
        <f t="shared" si="32"/>
        <v>2197147.5834792289</v>
      </c>
      <c r="K70" s="18">
        <f t="shared" si="32"/>
        <v>3525311.41913429</v>
      </c>
      <c r="L70" s="18">
        <f t="shared" si="32"/>
        <v>3533819.9047333435</v>
      </c>
      <c r="M70" s="18">
        <f t="shared" si="32"/>
        <v>3672605.7191817234</v>
      </c>
      <c r="N70" s="18">
        <f t="shared" ref="N70:Q70" si="33">$L57/$L$60*N$68</f>
        <v>11351357.029472459</v>
      </c>
      <c r="O70" s="18">
        <v>6526225.0508795371</v>
      </c>
      <c r="P70" s="18">
        <f t="shared" si="33"/>
        <v>9350082.398589626</v>
      </c>
      <c r="Q70" s="18">
        <f t="shared" si="33"/>
        <v>13037340.376331896</v>
      </c>
      <c r="R70" s="18">
        <f t="shared" ref="R70:S70" si="34">$L57/$L$60*R$68</f>
        <v>17542195.513180703</v>
      </c>
      <c r="S70" s="18">
        <f t="shared" si="34"/>
        <v>19703605.777667511</v>
      </c>
      <c r="T70" s="18">
        <f t="shared" ref="T70" si="35">$L57/$L$60*T$68</f>
        <v>24778530.983431451</v>
      </c>
      <c r="Z70" s="209"/>
      <c r="AA70" s="209"/>
      <c r="AB70" s="209"/>
      <c r="AC70" s="209"/>
    </row>
    <row r="71" spans="1:29" ht="15.75" customHeight="1">
      <c r="A71" s="14">
        <f t="shared" si="27"/>
        <v>4</v>
      </c>
      <c r="B71" s="21" t="s">
        <v>27</v>
      </c>
      <c r="C71" s="14" t="s">
        <v>22</v>
      </c>
      <c r="D71" s="18">
        <f t="shared" ref="D71:M71" si="36">$F58/$F$60*D$68</f>
        <v>140483.85110395378</v>
      </c>
      <c r="E71" s="18">
        <f t="shared" si="36"/>
        <v>342143.03253731801</v>
      </c>
      <c r="F71" s="18">
        <f t="shared" si="36"/>
        <v>254430.85830926991</v>
      </c>
      <c r="G71" s="18">
        <f t="shared" si="36"/>
        <v>199644.27994896137</v>
      </c>
      <c r="H71" s="18">
        <f t="shared" si="36"/>
        <v>133554.02553546158</v>
      </c>
      <c r="I71" s="18">
        <f t="shared" si="36"/>
        <v>149173.48152139815</v>
      </c>
      <c r="J71" s="18">
        <f t="shared" si="36"/>
        <v>181056.99286679999</v>
      </c>
      <c r="K71" s="18">
        <f t="shared" si="36"/>
        <v>290504.96619654127</v>
      </c>
      <c r="L71" s="18">
        <f t="shared" si="36"/>
        <v>291206.11200395017</v>
      </c>
      <c r="M71" s="18">
        <f t="shared" si="36"/>
        <v>302642.82313138503</v>
      </c>
      <c r="N71" s="18">
        <f t="shared" ref="N71:Q71" si="37">$L58/$L$60*N$68</f>
        <v>170114.13641737023</v>
      </c>
      <c r="O71" s="18">
        <v>97803.56090582555</v>
      </c>
      <c r="P71" s="18">
        <f t="shared" si="37"/>
        <v>140122.55878636992</v>
      </c>
      <c r="Q71" s="18">
        <f t="shared" si="37"/>
        <v>195380.68387248012</v>
      </c>
      <c r="R71" s="18">
        <f t="shared" ref="R71:S71" si="38">$L58/$L$60*R$68</f>
        <v>262891.51445429324</v>
      </c>
      <c r="S71" s="18">
        <f t="shared" si="38"/>
        <v>295282.92277949688</v>
      </c>
      <c r="T71" s="18">
        <f t="shared" ref="T71" si="39">$L58/$L$60*T$68</f>
        <v>371336.95900792128</v>
      </c>
      <c r="Z71" s="209"/>
      <c r="AA71" s="209"/>
      <c r="AB71" s="209"/>
      <c r="AC71" s="209"/>
    </row>
    <row r="72" spans="1:29" ht="15.75" customHeight="1">
      <c r="A72" s="23">
        <f t="shared" si="27"/>
        <v>5</v>
      </c>
      <c r="B72" s="24" t="s">
        <v>33</v>
      </c>
      <c r="C72" s="23" t="s">
        <v>22</v>
      </c>
      <c r="D72" s="25">
        <f t="shared" ref="D72:M72" si="40">$F59/$F$60*D$68</f>
        <v>14151966.786810394</v>
      </c>
      <c r="E72" s="25">
        <f t="shared" si="40"/>
        <v>34466572.454821028</v>
      </c>
      <c r="F72" s="25">
        <f t="shared" si="40"/>
        <v>25630683.014719196</v>
      </c>
      <c r="G72" s="25">
        <f t="shared" si="40"/>
        <v>20111629.890639156</v>
      </c>
      <c r="H72" s="25">
        <f t="shared" si="40"/>
        <v>13453874.724889895</v>
      </c>
      <c r="I72" s="25">
        <f t="shared" si="40"/>
        <v>15027336.874482121</v>
      </c>
      <c r="J72" s="25">
        <f t="shared" si="40"/>
        <v>18239196.38759537</v>
      </c>
      <c r="K72" s="25">
        <f t="shared" si="40"/>
        <v>29264691.996340226</v>
      </c>
      <c r="L72" s="25">
        <f t="shared" si="40"/>
        <v>29335323.546523314</v>
      </c>
      <c r="M72" s="25">
        <f t="shared" si="40"/>
        <v>30487427.185154609</v>
      </c>
      <c r="N72" s="25">
        <f t="shared" ref="N72:Q72" si="41">$L59/$L$60*N$68</f>
        <v>16404699.701550934</v>
      </c>
      <c r="O72" s="25">
        <v>9431538.6139689852</v>
      </c>
      <c r="P72" s="25">
        <f t="shared" si="41"/>
        <v>13512507.230225697</v>
      </c>
      <c r="Q72" s="25">
        <f t="shared" si="41"/>
        <v>18841241.027423605</v>
      </c>
      <c r="R72" s="25">
        <f t="shared" ref="R72:S72" si="42">$L59/$L$60*R$68</f>
        <v>25351545.965160925</v>
      </c>
      <c r="S72" s="25">
        <f t="shared" si="42"/>
        <v>28475162.483317759</v>
      </c>
      <c r="T72" s="25">
        <f t="shared" ref="T72" si="43">$L59/$L$60*T$68</f>
        <v>35809318.548732094</v>
      </c>
      <c r="Z72" s="209"/>
      <c r="AA72" s="209"/>
      <c r="AB72" s="209"/>
      <c r="AC72" s="209"/>
    </row>
    <row r="73" spans="1:29" ht="15.75" customHeight="1">
      <c r="A73" s="14">
        <f t="shared" si="27"/>
        <v>6</v>
      </c>
      <c r="B73" s="21" t="s">
        <v>34</v>
      </c>
      <c r="C73" s="14" t="s">
        <v>22</v>
      </c>
      <c r="D73" s="18"/>
      <c r="E73" s="18"/>
      <c r="F73" s="18"/>
      <c r="G73" s="18"/>
      <c r="H73" s="18"/>
      <c r="I73" s="18"/>
      <c r="J73" s="18"/>
      <c r="K73" s="18"/>
      <c r="L73" s="18"/>
      <c r="M73" s="18"/>
      <c r="N73" s="18"/>
      <c r="O73" s="18"/>
      <c r="P73" s="18"/>
      <c r="Q73" s="18"/>
      <c r="R73" s="18"/>
      <c r="S73" s="18"/>
      <c r="T73" s="18"/>
      <c r="Z73" s="209"/>
      <c r="AA73" s="209"/>
      <c r="AB73" s="209"/>
      <c r="AC73" s="209"/>
    </row>
    <row r="74" spans="1:29" ht="15.75" customHeight="1">
      <c r="A74" s="14">
        <f t="shared" si="27"/>
        <v>7</v>
      </c>
      <c r="B74" s="15" t="s">
        <v>35</v>
      </c>
      <c r="C74" s="14" t="s">
        <v>22</v>
      </c>
      <c r="D74" s="18"/>
      <c r="E74" s="18"/>
      <c r="F74" s="18"/>
      <c r="G74" s="18"/>
      <c r="H74" s="18"/>
      <c r="I74" s="18"/>
      <c r="J74" s="18"/>
      <c r="K74" s="18"/>
      <c r="L74" s="18"/>
      <c r="M74" s="18"/>
      <c r="N74" s="18"/>
      <c r="O74" s="18"/>
      <c r="P74" s="18"/>
      <c r="Q74" s="18"/>
      <c r="R74" s="18"/>
      <c r="S74" s="18"/>
      <c r="T74" s="18"/>
      <c r="Z74" s="209"/>
      <c r="AA74" s="209"/>
      <c r="AB74" s="209"/>
      <c r="AC74" s="209"/>
    </row>
    <row r="75" spans="1:29" ht="15.75" customHeight="1">
      <c r="A75" s="14">
        <f t="shared" si="27"/>
        <v>8</v>
      </c>
      <c r="B75" s="21" t="s">
        <v>36</v>
      </c>
      <c r="C75" s="14" t="s">
        <v>22</v>
      </c>
      <c r="D75" s="18"/>
      <c r="E75" s="18"/>
      <c r="F75" s="18"/>
      <c r="G75" s="18"/>
      <c r="H75" s="18"/>
      <c r="I75" s="18"/>
      <c r="J75" s="18"/>
      <c r="K75" s="18"/>
      <c r="L75" s="18"/>
      <c r="M75" s="18"/>
      <c r="N75" s="18"/>
      <c r="O75" s="18"/>
      <c r="P75" s="18"/>
      <c r="Q75" s="18"/>
      <c r="R75" s="18"/>
      <c r="S75" s="18"/>
      <c r="T75" s="18"/>
      <c r="Z75" s="209"/>
      <c r="AA75" s="209"/>
      <c r="AB75" s="209"/>
      <c r="AC75" s="209"/>
    </row>
    <row r="76" spans="1:29" ht="15.75" customHeight="1">
      <c r="A76" s="23">
        <f t="shared" si="27"/>
        <v>9</v>
      </c>
      <c r="B76" s="24" t="s">
        <v>37</v>
      </c>
      <c r="C76" s="23" t="s">
        <v>22</v>
      </c>
      <c r="D76" s="25">
        <f t="shared" ref="D76:Q76" si="44">D72+D73-D74-D75</f>
        <v>14151966.786810394</v>
      </c>
      <c r="E76" s="25">
        <f t="shared" si="44"/>
        <v>34466572.454821028</v>
      </c>
      <c r="F76" s="25">
        <f t="shared" si="44"/>
        <v>25630683.014719196</v>
      </c>
      <c r="G76" s="25">
        <f t="shared" si="44"/>
        <v>20111629.890639156</v>
      </c>
      <c r="H76" s="25">
        <f t="shared" si="44"/>
        <v>13453874.724889895</v>
      </c>
      <c r="I76" s="25">
        <f t="shared" si="44"/>
        <v>15027336.874482121</v>
      </c>
      <c r="J76" s="25">
        <f t="shared" si="44"/>
        <v>18239196.38759537</v>
      </c>
      <c r="K76" s="25">
        <f t="shared" si="44"/>
        <v>29264691.996340226</v>
      </c>
      <c r="L76" s="25">
        <f t="shared" si="44"/>
        <v>29335323.546523314</v>
      </c>
      <c r="M76" s="25">
        <f t="shared" si="44"/>
        <v>30487427.185154609</v>
      </c>
      <c r="N76" s="25">
        <f t="shared" si="44"/>
        <v>16404699.701550934</v>
      </c>
      <c r="O76" s="25">
        <v>9431538.6139689852</v>
      </c>
      <c r="P76" s="25">
        <f t="shared" si="44"/>
        <v>13512507.230225697</v>
      </c>
      <c r="Q76" s="25">
        <f t="shared" si="44"/>
        <v>18841241.027423605</v>
      </c>
      <c r="R76" s="25">
        <f t="shared" ref="R76:S76" si="45">R72+R73-R74-R75</f>
        <v>25351545.965160925</v>
      </c>
      <c r="S76" s="25">
        <f t="shared" si="45"/>
        <v>28475162.483317759</v>
      </c>
      <c r="T76" s="25">
        <f t="shared" ref="T76" si="46">T72+T73-T74-T75</f>
        <v>35809318.548732094</v>
      </c>
    </row>
    <row r="77" spans="1:29" ht="15.75" customHeight="1">
      <c r="A77" s="14">
        <f t="shared" si="27"/>
        <v>10</v>
      </c>
      <c r="B77" s="21" t="s">
        <v>99</v>
      </c>
      <c r="C77" s="26" t="s">
        <v>84</v>
      </c>
      <c r="D77" s="18">
        <f t="shared" ref="D77:Q77" si="47">D40</f>
        <v>61.822457999999997</v>
      </c>
      <c r="E77" s="18">
        <f t="shared" si="47"/>
        <v>126.20956871976399</v>
      </c>
      <c r="F77" s="18">
        <f t="shared" si="47"/>
        <v>104.53536699999999</v>
      </c>
      <c r="G77" s="18">
        <f t="shared" si="47"/>
        <v>76.0845287213414</v>
      </c>
      <c r="H77" s="18">
        <f t="shared" si="47"/>
        <v>53.975434641963098</v>
      </c>
      <c r="I77" s="18">
        <f t="shared" si="47"/>
        <v>57.001516323642697</v>
      </c>
      <c r="J77" s="18">
        <f t="shared" si="47"/>
        <v>69.646401394897694</v>
      </c>
      <c r="K77" s="18">
        <f t="shared" si="47"/>
        <v>97.4401688897442</v>
      </c>
      <c r="L77" s="18">
        <f t="shared" si="47"/>
        <v>91.084844614577619</v>
      </c>
      <c r="M77" s="18">
        <f t="shared" si="47"/>
        <v>101.5114067937825</v>
      </c>
      <c r="N77" s="18">
        <f t="shared" si="47"/>
        <v>134.95323982969387</v>
      </c>
      <c r="O77" s="18">
        <v>109.02131007883099</v>
      </c>
      <c r="P77" s="18">
        <f t="shared" si="47"/>
        <v>66.191909679999995</v>
      </c>
      <c r="Q77" s="18">
        <f t="shared" si="47"/>
        <v>79.276419959999998</v>
      </c>
      <c r="R77" s="18">
        <f t="shared" ref="R77:S77" si="48">R40</f>
        <v>105.42461091999999</v>
      </c>
      <c r="S77" s="18">
        <f t="shared" si="48"/>
        <v>105.03974450999999</v>
      </c>
      <c r="T77" s="18">
        <f t="shared" ref="T77" si="49">T40</f>
        <v>60.803000000000011</v>
      </c>
    </row>
    <row r="78" spans="1:29" ht="15.75" customHeight="1">
      <c r="A78" s="23">
        <f t="shared" si="27"/>
        <v>11</v>
      </c>
      <c r="B78" s="24" t="s">
        <v>39</v>
      </c>
      <c r="C78" s="23" t="s">
        <v>96</v>
      </c>
      <c r="D78" s="25">
        <f t="shared" ref="D78:Q78" si="50">D76/D77</f>
        <v>228913.03976963184</v>
      </c>
      <c r="E78" s="25">
        <f t="shared" si="50"/>
        <v>273090.01056291285</v>
      </c>
      <c r="F78" s="25">
        <f t="shared" si="50"/>
        <v>245186.71288272415</v>
      </c>
      <c r="G78" s="25">
        <f t="shared" si="50"/>
        <v>264332.7129526916</v>
      </c>
      <c r="H78" s="25">
        <f t="shared" si="50"/>
        <v>249259.21975680036</v>
      </c>
      <c r="I78" s="25">
        <f t="shared" si="50"/>
        <v>263630.47588348429</v>
      </c>
      <c r="J78" s="25">
        <f t="shared" si="50"/>
        <v>261882.82556306745</v>
      </c>
      <c r="K78" s="25">
        <f t="shared" si="50"/>
        <v>300334.98843227478</v>
      </c>
      <c r="L78" s="25">
        <f t="shared" si="50"/>
        <v>322065.9119599394</v>
      </c>
      <c r="M78" s="25">
        <f t="shared" si="50"/>
        <v>300334.98843227484</v>
      </c>
      <c r="N78" s="25">
        <f t="shared" si="50"/>
        <v>121558.3984664101</v>
      </c>
      <c r="O78" s="25">
        <v>86510.963839539632</v>
      </c>
      <c r="P78" s="25">
        <f t="shared" si="50"/>
        <v>204141.37158983533</v>
      </c>
      <c r="Q78" s="25">
        <f t="shared" si="50"/>
        <v>237665.13468860238</v>
      </c>
      <c r="R78" s="25">
        <f t="shared" ref="R78:S78" si="51">R76/R77</f>
        <v>240470.85157751822</v>
      </c>
      <c r="S78" s="25">
        <f t="shared" si="51"/>
        <v>271089.41111911088</v>
      </c>
      <c r="T78" s="25">
        <f t="shared" ref="T78" si="52">T76/T77</f>
        <v>588939.99553857686</v>
      </c>
    </row>
    <row r="79" spans="1:29" ht="15.75" customHeight="1">
      <c r="A79" s="19"/>
      <c r="B79" s="2"/>
      <c r="C79" s="2"/>
      <c r="D79" s="2"/>
      <c r="E79" s="2"/>
      <c r="F79" s="2"/>
      <c r="G79" s="2"/>
      <c r="H79" s="2"/>
      <c r="I79" s="2"/>
      <c r="J79" s="2"/>
      <c r="K79" s="2"/>
      <c r="L79" s="2"/>
      <c r="M79" s="2"/>
      <c r="N79" s="2"/>
      <c r="O79" s="2"/>
      <c r="P79" s="2"/>
      <c r="Q79" s="2"/>
      <c r="R79" s="2"/>
      <c r="S79" s="2"/>
      <c r="T79" s="2"/>
    </row>
    <row r="80" spans="1:29" ht="15.75" customHeight="1">
      <c r="A80" s="19"/>
      <c r="B80" s="2"/>
      <c r="C80" s="2"/>
      <c r="D80" s="2"/>
      <c r="E80" s="2"/>
      <c r="F80" s="2"/>
      <c r="G80" s="2"/>
      <c r="H80" s="2"/>
      <c r="I80" s="2"/>
      <c r="J80" s="2"/>
      <c r="K80" s="2"/>
      <c r="L80" s="2"/>
      <c r="M80" s="2"/>
      <c r="N80" s="2"/>
      <c r="O80" s="2"/>
      <c r="P80" s="2"/>
      <c r="Q80" s="2"/>
      <c r="R80" s="2"/>
      <c r="S80" s="2"/>
      <c r="T80" s="2"/>
    </row>
    <row r="81" spans="1:20" ht="15.75" customHeight="1">
      <c r="A81" s="6" t="s">
        <v>100</v>
      </c>
      <c r="B81" s="2"/>
      <c r="C81" s="2"/>
      <c r="D81" s="2"/>
      <c r="E81" s="2"/>
      <c r="F81" s="2"/>
      <c r="G81" s="2"/>
      <c r="H81" s="2"/>
      <c r="I81" s="2"/>
      <c r="J81" s="2"/>
      <c r="K81" s="2"/>
      <c r="L81" s="2"/>
      <c r="M81" s="2"/>
      <c r="N81" s="2"/>
      <c r="O81" s="2"/>
      <c r="P81" s="2"/>
      <c r="Q81" s="2"/>
      <c r="R81" s="2"/>
      <c r="S81" s="2"/>
      <c r="T81" s="2"/>
    </row>
    <row r="82" spans="1:20" ht="15.75" customHeight="1" thickBot="1">
      <c r="A82" s="19"/>
      <c r="B82" s="2"/>
      <c r="C82" s="2"/>
      <c r="D82" s="2"/>
      <c r="E82" s="2"/>
      <c r="F82" s="2"/>
      <c r="G82" s="2"/>
      <c r="H82" s="2"/>
      <c r="I82" s="2"/>
      <c r="J82" s="2"/>
      <c r="K82" s="2"/>
      <c r="L82" s="2"/>
      <c r="M82" s="2"/>
      <c r="N82" s="2"/>
      <c r="O82" s="2"/>
      <c r="P82" s="2"/>
      <c r="Q82" s="2"/>
      <c r="R82" s="2"/>
      <c r="S82" s="2"/>
      <c r="T82" s="2"/>
    </row>
    <row r="83" spans="1:20" ht="15.75" customHeight="1" thickBot="1">
      <c r="A83" s="69" t="s">
        <v>3</v>
      </c>
      <c r="B83" s="67" t="s">
        <v>4</v>
      </c>
      <c r="C83" s="68" t="s">
        <v>5</v>
      </c>
      <c r="D83" s="68">
        <f t="shared" ref="D83:T83" si="53">D$3</f>
        <v>2008</v>
      </c>
      <c r="E83" s="68">
        <f t="shared" si="53"/>
        <v>2009</v>
      </c>
      <c r="F83" s="68">
        <f t="shared" si="53"/>
        <v>2010</v>
      </c>
      <c r="G83" s="68">
        <f t="shared" si="53"/>
        <v>2011</v>
      </c>
      <c r="H83" s="68">
        <f t="shared" si="53"/>
        <v>2012</v>
      </c>
      <c r="I83" s="68">
        <f t="shared" si="53"/>
        <v>2013</v>
      </c>
      <c r="J83" s="68">
        <f t="shared" si="53"/>
        <v>2014</v>
      </c>
      <c r="K83" s="68">
        <f t="shared" si="53"/>
        <v>2015</v>
      </c>
      <c r="L83" s="68">
        <f t="shared" si="53"/>
        <v>2016</v>
      </c>
      <c r="M83" s="68">
        <f t="shared" si="53"/>
        <v>2017</v>
      </c>
      <c r="N83" s="68">
        <f t="shared" si="53"/>
        <v>2018</v>
      </c>
      <c r="O83" s="68">
        <v>2019</v>
      </c>
      <c r="P83" s="68">
        <f t="shared" si="53"/>
        <v>2020</v>
      </c>
      <c r="Q83" s="68">
        <f t="shared" si="53"/>
        <v>2021</v>
      </c>
      <c r="R83" s="68">
        <f t="shared" si="53"/>
        <v>2022</v>
      </c>
      <c r="S83" s="68">
        <f t="shared" si="53"/>
        <v>2023</v>
      </c>
      <c r="T83" s="68">
        <f t="shared" si="53"/>
        <v>2024</v>
      </c>
    </row>
    <row r="84" spans="1:20" ht="15.75" customHeight="1">
      <c r="A84" s="9">
        <v>-1</v>
      </c>
      <c r="B84" s="9">
        <f t="shared" ref="B84:T84" si="54">A84-1</f>
        <v>-2</v>
      </c>
      <c r="C84" s="9">
        <f t="shared" si="54"/>
        <v>-3</v>
      </c>
      <c r="D84" s="9">
        <f t="shared" si="54"/>
        <v>-4</v>
      </c>
      <c r="E84" s="9">
        <f t="shared" si="54"/>
        <v>-5</v>
      </c>
      <c r="F84" s="9">
        <f t="shared" si="54"/>
        <v>-6</v>
      </c>
      <c r="G84" s="9">
        <f t="shared" si="54"/>
        <v>-7</v>
      </c>
      <c r="H84" s="9">
        <f t="shared" si="54"/>
        <v>-8</v>
      </c>
      <c r="I84" s="9">
        <f t="shared" si="54"/>
        <v>-9</v>
      </c>
      <c r="J84" s="9">
        <f t="shared" si="54"/>
        <v>-10</v>
      </c>
      <c r="K84" s="9">
        <f t="shared" si="54"/>
        <v>-11</v>
      </c>
      <c r="L84" s="9">
        <f t="shared" si="54"/>
        <v>-12</v>
      </c>
      <c r="M84" s="9">
        <f t="shared" si="54"/>
        <v>-13</v>
      </c>
      <c r="N84" s="9">
        <f t="shared" si="54"/>
        <v>-14</v>
      </c>
      <c r="O84" s="9">
        <v>-15</v>
      </c>
      <c r="P84" s="9">
        <f t="shared" si="54"/>
        <v>-16</v>
      </c>
      <c r="Q84" s="9">
        <f t="shared" si="54"/>
        <v>-17</v>
      </c>
      <c r="R84" s="9">
        <f t="shared" si="54"/>
        <v>-18</v>
      </c>
      <c r="S84" s="9">
        <f t="shared" si="54"/>
        <v>-19</v>
      </c>
      <c r="T84" s="9">
        <f t="shared" si="54"/>
        <v>-20</v>
      </c>
    </row>
    <row r="85" spans="1:20" ht="15.75" customHeight="1">
      <c r="A85" s="23">
        <v>1</v>
      </c>
      <c r="B85" s="24" t="s">
        <v>41</v>
      </c>
      <c r="C85" s="23" t="s">
        <v>86</v>
      </c>
      <c r="D85" s="25"/>
      <c r="E85" s="25">
        <f t="shared" ref="E85:T85" si="55">D9/1000000</f>
        <v>0</v>
      </c>
      <c r="F85" s="25">
        <f t="shared" si="55"/>
        <v>0</v>
      </c>
      <c r="G85" s="25">
        <f t="shared" si="55"/>
        <v>0</v>
      </c>
      <c r="H85" s="25">
        <f t="shared" si="55"/>
        <v>0</v>
      </c>
      <c r="I85" s="25">
        <f t="shared" si="55"/>
        <v>0</v>
      </c>
      <c r="J85" s="25">
        <f t="shared" si="55"/>
        <v>3702.4919997017719</v>
      </c>
      <c r="K85" s="25">
        <f t="shared" si="55"/>
        <v>2807.1618141299996</v>
      </c>
      <c r="L85" s="25">
        <f t="shared" si="55"/>
        <v>3540.4160475162048</v>
      </c>
      <c r="M85" s="25">
        <f t="shared" si="55"/>
        <v>3366.5781904258765</v>
      </c>
      <c r="N85" s="25">
        <f t="shared" si="55"/>
        <v>4670.1292667800008</v>
      </c>
      <c r="O85" s="25">
        <v>3026.4023192468844</v>
      </c>
      <c r="P85" s="25">
        <f t="shared" si="55"/>
        <v>3565.7005663538143</v>
      </c>
      <c r="Q85" s="25">
        <f t="shared" si="55"/>
        <v>3676.9154991241599</v>
      </c>
      <c r="R85" s="25">
        <f t="shared" si="55"/>
        <v>3619.4712639999998</v>
      </c>
      <c r="S85" s="25">
        <f t="shared" si="55"/>
        <v>3870.6103819999998</v>
      </c>
      <c r="T85" s="25">
        <f t="shared" si="55"/>
        <v>3477.2356250888588</v>
      </c>
    </row>
    <row r="86" spans="1:20" ht="15.75" customHeight="1">
      <c r="A86" s="23">
        <v>2</v>
      </c>
      <c r="B86" s="24" t="s">
        <v>43</v>
      </c>
      <c r="C86" s="23" t="s">
        <v>86</v>
      </c>
      <c r="D86" s="25">
        <f t="shared" ref="D86:Q86" si="56">SUM(D87:D89)</f>
        <v>0</v>
      </c>
      <c r="E86" s="25">
        <f t="shared" si="56"/>
        <v>0</v>
      </c>
      <c r="F86" s="25">
        <f t="shared" si="56"/>
        <v>0</v>
      </c>
      <c r="G86" s="25">
        <f t="shared" si="56"/>
        <v>0</v>
      </c>
      <c r="H86" s="25">
        <f t="shared" si="56"/>
        <v>0</v>
      </c>
      <c r="I86" s="25">
        <f t="shared" si="56"/>
        <v>0</v>
      </c>
      <c r="J86" s="25">
        <f t="shared" si="56"/>
        <v>0</v>
      </c>
      <c r="K86" s="25">
        <f t="shared" si="56"/>
        <v>0</v>
      </c>
      <c r="L86" s="25">
        <f t="shared" si="56"/>
        <v>0</v>
      </c>
      <c r="M86" s="25">
        <f t="shared" si="56"/>
        <v>0</v>
      </c>
      <c r="N86" s="25">
        <f t="shared" si="56"/>
        <v>0</v>
      </c>
      <c r="O86" s="25">
        <v>0</v>
      </c>
      <c r="P86" s="25">
        <f t="shared" si="56"/>
        <v>0</v>
      </c>
      <c r="Q86" s="25">
        <f t="shared" si="56"/>
        <v>0</v>
      </c>
      <c r="R86" s="25">
        <f t="shared" ref="R86:S86" si="57">SUM(R87:R89)</f>
        <v>0</v>
      </c>
      <c r="S86" s="25">
        <f t="shared" si="57"/>
        <v>0</v>
      </c>
      <c r="T86" s="25">
        <f t="shared" ref="T86" si="58">SUM(T87:T89)</f>
        <v>0</v>
      </c>
    </row>
    <row r="87" spans="1:20" ht="15.75" customHeight="1">
      <c r="A87" s="14">
        <v>2.1</v>
      </c>
      <c r="B87" s="15" t="s">
        <v>44</v>
      </c>
      <c r="C87" s="14" t="s">
        <v>86</v>
      </c>
      <c r="D87" s="18"/>
      <c r="E87" s="18"/>
      <c r="F87" s="18"/>
      <c r="G87" s="18"/>
      <c r="H87" s="18"/>
      <c r="I87" s="18"/>
      <c r="J87" s="18"/>
      <c r="K87" s="18"/>
      <c r="L87" s="18"/>
      <c r="M87" s="18"/>
      <c r="N87" s="18"/>
      <c r="O87" s="18"/>
      <c r="P87" s="18"/>
      <c r="Q87" s="18"/>
      <c r="R87" s="18"/>
      <c r="S87" s="18"/>
      <c r="T87" s="18"/>
    </row>
    <row r="88" spans="1:20" ht="15.75" customHeight="1">
      <c r="A88" s="14">
        <v>2.2000000000000002</v>
      </c>
      <c r="B88" s="15" t="s">
        <v>45</v>
      </c>
      <c r="C88" s="14" t="s">
        <v>86</v>
      </c>
      <c r="D88" s="18"/>
      <c r="E88" s="18"/>
      <c r="F88" s="18"/>
      <c r="G88" s="18"/>
      <c r="H88" s="18"/>
      <c r="I88" s="18"/>
      <c r="J88" s="18"/>
      <c r="K88" s="18"/>
      <c r="L88" s="18"/>
      <c r="M88" s="18"/>
      <c r="N88" s="18"/>
      <c r="O88" s="18"/>
      <c r="P88" s="18"/>
      <c r="Q88" s="18"/>
      <c r="R88" s="18"/>
      <c r="S88" s="18"/>
      <c r="T88" s="18"/>
    </row>
    <row r="89" spans="1:20" ht="15.75" customHeight="1">
      <c r="A89" s="14">
        <v>2.2999999999999998</v>
      </c>
      <c r="B89" s="15" t="s">
        <v>46</v>
      </c>
      <c r="C89" s="14" t="s">
        <v>86</v>
      </c>
      <c r="D89" s="18"/>
      <c r="E89" s="18"/>
      <c r="F89" s="18"/>
      <c r="G89" s="18"/>
      <c r="H89" s="18"/>
      <c r="I89" s="18"/>
      <c r="J89" s="18"/>
      <c r="K89" s="18"/>
      <c r="L89" s="18"/>
      <c r="M89" s="18"/>
      <c r="N89" s="18"/>
      <c r="O89" s="18"/>
      <c r="P89" s="18"/>
      <c r="Q89" s="18"/>
      <c r="R89" s="18"/>
      <c r="S89" s="18"/>
      <c r="T89" s="18"/>
    </row>
    <row r="90" spans="1:20" ht="15.75" customHeight="1">
      <c r="A90" s="23">
        <v>3</v>
      </c>
      <c r="B90" s="24" t="s">
        <v>47</v>
      </c>
      <c r="C90" s="23" t="s">
        <v>86</v>
      </c>
      <c r="D90" s="25">
        <f t="shared" ref="D90:Q90" si="59">SUM(D91:D94)</f>
        <v>29.43926571428571</v>
      </c>
      <c r="E90" s="25">
        <f t="shared" si="59"/>
        <v>60.099794628459044</v>
      </c>
      <c r="F90" s="25">
        <f t="shared" si="59"/>
        <v>49.778746190476184</v>
      </c>
      <c r="G90" s="25">
        <f t="shared" si="59"/>
        <v>36.230727962543526</v>
      </c>
      <c r="H90" s="25">
        <f t="shared" si="59"/>
        <v>25.702587924744332</v>
      </c>
      <c r="I90" s="25">
        <f t="shared" si="59"/>
        <v>27.143579201734617</v>
      </c>
      <c r="J90" s="25">
        <f t="shared" si="59"/>
        <v>33.164953045189371</v>
      </c>
      <c r="K90" s="25">
        <f t="shared" si="59"/>
        <v>46.400080423687712</v>
      </c>
      <c r="L90" s="25">
        <f t="shared" si="59"/>
        <v>43.37373553075124</v>
      </c>
      <c r="M90" s="25">
        <f t="shared" si="59"/>
        <v>48.338765139896431</v>
      </c>
      <c r="N90" s="25">
        <f t="shared" si="59"/>
        <v>64.26344753794946</v>
      </c>
      <c r="O90" s="25">
        <v>51.91490956134809</v>
      </c>
      <c r="P90" s="25">
        <f t="shared" si="59"/>
        <v>32.340339432694066</v>
      </c>
      <c r="Q90" s="25">
        <f t="shared" si="59"/>
        <v>22.924128</v>
      </c>
      <c r="R90" s="25">
        <f t="shared" ref="R90:S90" si="60">SUM(R91:R94)</f>
        <v>26.691820204739582</v>
      </c>
      <c r="S90" s="25">
        <f t="shared" si="60"/>
        <v>12.315657272550292</v>
      </c>
      <c r="T90" s="25">
        <f t="shared" ref="T90" si="61">SUM(T91:T94)</f>
        <v>23.190021195048249</v>
      </c>
    </row>
    <row r="91" spans="1:20" ht="15.75" customHeight="1">
      <c r="A91" s="14">
        <v>3.1</v>
      </c>
      <c r="B91" s="15" t="s">
        <v>48</v>
      </c>
      <c r="C91" s="14" t="s">
        <v>86</v>
      </c>
      <c r="D91" s="18">
        <f t="shared" ref="D91:Q91" si="62">D46/1000000</f>
        <v>29.43926571428571</v>
      </c>
      <c r="E91" s="18">
        <f t="shared" si="62"/>
        <v>60.099794628459044</v>
      </c>
      <c r="F91" s="18">
        <f t="shared" si="62"/>
        <v>49.778746190476184</v>
      </c>
      <c r="G91" s="18">
        <f t="shared" si="62"/>
        <v>36.230727962543526</v>
      </c>
      <c r="H91" s="18">
        <f t="shared" si="62"/>
        <v>25.702587924744332</v>
      </c>
      <c r="I91" s="18">
        <f t="shared" si="62"/>
        <v>27.143579201734617</v>
      </c>
      <c r="J91" s="18">
        <f t="shared" si="62"/>
        <v>33.164953045189371</v>
      </c>
      <c r="K91" s="18">
        <f t="shared" si="62"/>
        <v>46.400080423687712</v>
      </c>
      <c r="L91" s="18">
        <f t="shared" si="62"/>
        <v>43.37373553075124</v>
      </c>
      <c r="M91" s="18">
        <f t="shared" si="62"/>
        <v>48.338765139896431</v>
      </c>
      <c r="N91" s="18">
        <f t="shared" si="62"/>
        <v>64.26344753794946</v>
      </c>
      <c r="O91" s="18">
        <v>51.91490956134809</v>
      </c>
      <c r="P91" s="18">
        <f t="shared" si="62"/>
        <v>32.340339432694066</v>
      </c>
      <c r="Q91" s="18">
        <f t="shared" si="62"/>
        <v>22.924128</v>
      </c>
      <c r="R91" s="18">
        <f t="shared" ref="R91:S91" si="63">R46/1000000</f>
        <v>26.691820204739582</v>
      </c>
      <c r="S91" s="18">
        <f t="shared" si="63"/>
        <v>12.315657272550292</v>
      </c>
      <c r="T91" s="18">
        <f t="shared" ref="T91" si="64">T46/1000000</f>
        <v>23.190021195048249</v>
      </c>
    </row>
    <row r="92" spans="1:20" ht="15.75" customHeight="1">
      <c r="A92" s="14">
        <v>3.2</v>
      </c>
      <c r="B92" s="15" t="s">
        <v>49</v>
      </c>
      <c r="C92" s="14" t="s">
        <v>86</v>
      </c>
      <c r="D92" s="18"/>
      <c r="E92" s="18"/>
      <c r="F92" s="18"/>
      <c r="G92" s="18"/>
      <c r="H92" s="18"/>
      <c r="I92" s="18"/>
      <c r="J92" s="18"/>
      <c r="K92" s="18"/>
      <c r="L92" s="18"/>
      <c r="M92" s="18"/>
      <c r="N92" s="18"/>
      <c r="O92" s="18"/>
      <c r="P92" s="18"/>
      <c r="Q92" s="18"/>
      <c r="R92" s="18"/>
      <c r="S92" s="18"/>
      <c r="T92" s="18"/>
    </row>
    <row r="93" spans="1:20" ht="15.75" customHeight="1">
      <c r="A93" s="14">
        <v>3.3</v>
      </c>
      <c r="B93" s="15" t="s">
        <v>50</v>
      </c>
      <c r="C93" s="14" t="s">
        <v>86</v>
      </c>
      <c r="D93" s="18"/>
      <c r="E93" s="18"/>
      <c r="F93" s="18"/>
      <c r="G93" s="18"/>
      <c r="H93" s="18"/>
      <c r="I93" s="18"/>
      <c r="J93" s="18"/>
      <c r="K93" s="18"/>
      <c r="L93" s="18"/>
      <c r="M93" s="18"/>
      <c r="N93" s="18"/>
      <c r="O93" s="18"/>
      <c r="P93" s="18"/>
      <c r="Q93" s="18"/>
      <c r="R93" s="18"/>
      <c r="S93" s="18"/>
      <c r="T93" s="18"/>
    </row>
    <row r="94" spans="1:20" ht="15.75" customHeight="1">
      <c r="A94" s="14">
        <v>3.4</v>
      </c>
      <c r="B94" s="15" t="s">
        <v>46</v>
      </c>
      <c r="C94" s="14" t="s">
        <v>86</v>
      </c>
      <c r="D94" s="18"/>
      <c r="E94" s="18"/>
      <c r="F94" s="18"/>
      <c r="G94" s="18"/>
      <c r="H94" s="18"/>
      <c r="I94" s="18"/>
      <c r="J94" s="18"/>
      <c r="K94" s="18"/>
      <c r="L94" s="18"/>
      <c r="M94" s="18"/>
      <c r="N94" s="18"/>
      <c r="O94" s="18"/>
      <c r="P94" s="18"/>
      <c r="Q94" s="18"/>
      <c r="R94" s="18"/>
      <c r="S94" s="18"/>
      <c r="T94" s="18"/>
    </row>
    <row r="95" spans="1:20" ht="15.75" customHeight="1">
      <c r="A95" s="23">
        <v>4</v>
      </c>
      <c r="B95" s="24" t="s">
        <v>51</v>
      </c>
      <c r="C95" s="23" t="s">
        <v>86</v>
      </c>
      <c r="D95" s="25">
        <f t="shared" ref="D95:Q95" si="65">D96-D85-D86+D90</f>
        <v>29.43926571428571</v>
      </c>
      <c r="E95" s="25">
        <f t="shared" si="65"/>
        <v>60.099794628459044</v>
      </c>
      <c r="F95" s="25">
        <f t="shared" si="65"/>
        <v>49.778746190476184</v>
      </c>
      <c r="G95" s="25">
        <f t="shared" si="65"/>
        <v>36.230727962543526</v>
      </c>
      <c r="H95" s="25">
        <f t="shared" si="65"/>
        <v>25.702587924744332</v>
      </c>
      <c r="I95" s="25">
        <f t="shared" si="65"/>
        <v>3729.6355789035065</v>
      </c>
      <c r="J95" s="25">
        <f t="shared" si="65"/>
        <v>-862.16523252658294</v>
      </c>
      <c r="K95" s="25">
        <f t="shared" si="65"/>
        <v>779.65431380989298</v>
      </c>
      <c r="L95" s="25">
        <f t="shared" si="65"/>
        <v>-130.46412155957702</v>
      </c>
      <c r="M95" s="25">
        <f t="shared" si="65"/>
        <v>1351.8898414940206</v>
      </c>
      <c r="N95" s="25">
        <f t="shared" si="65"/>
        <v>-1579.4634999951668</v>
      </c>
      <c r="O95" s="25">
        <v>591.21315666827797</v>
      </c>
      <c r="P95" s="25">
        <f t="shared" si="65"/>
        <v>143.55527220303958</v>
      </c>
      <c r="Q95" s="25">
        <f t="shared" si="65"/>
        <v>-34.520107124160063</v>
      </c>
      <c r="R95" s="25">
        <f t="shared" ref="R95:S95" si="66">R96-R85-R86+R90</f>
        <v>277.83093820473965</v>
      </c>
      <c r="S95" s="25">
        <f t="shared" si="66"/>
        <v>-381.05909963859074</v>
      </c>
      <c r="T95" s="25">
        <f t="shared" ref="T95" si="67">T96-T85-T86+T90</f>
        <v>6.8064601061896077</v>
      </c>
    </row>
    <row r="96" spans="1:20" ht="15.75" customHeight="1">
      <c r="A96" s="23">
        <v>5</v>
      </c>
      <c r="B96" s="24" t="s">
        <v>52</v>
      </c>
      <c r="C96" s="23" t="s">
        <v>86</v>
      </c>
      <c r="D96" s="25">
        <f t="shared" ref="D96:Q96" si="68">D9/1000000</f>
        <v>0</v>
      </c>
      <c r="E96" s="25">
        <f t="shared" si="68"/>
        <v>0</v>
      </c>
      <c r="F96" s="25">
        <f t="shared" si="68"/>
        <v>0</v>
      </c>
      <c r="G96" s="25">
        <f t="shared" si="68"/>
        <v>0</v>
      </c>
      <c r="H96" s="25">
        <f t="shared" si="68"/>
        <v>0</v>
      </c>
      <c r="I96" s="25">
        <f t="shared" si="68"/>
        <v>3702.4919997017719</v>
      </c>
      <c r="J96" s="25">
        <f t="shared" si="68"/>
        <v>2807.1618141299996</v>
      </c>
      <c r="K96" s="25">
        <f t="shared" si="68"/>
        <v>3540.4160475162048</v>
      </c>
      <c r="L96" s="25">
        <f t="shared" si="68"/>
        <v>3366.5781904258765</v>
      </c>
      <c r="M96" s="25">
        <f t="shared" si="68"/>
        <v>4670.1292667800008</v>
      </c>
      <c r="N96" s="25">
        <f t="shared" si="68"/>
        <v>3026.4023192468844</v>
      </c>
      <c r="O96" s="25">
        <v>3565.7005663538143</v>
      </c>
      <c r="P96" s="25">
        <f t="shared" si="68"/>
        <v>3676.9154991241599</v>
      </c>
      <c r="Q96" s="25">
        <f t="shared" si="68"/>
        <v>3619.4712639999998</v>
      </c>
      <c r="R96" s="25">
        <f t="shared" ref="R96:S96" si="69">R9/1000000</f>
        <v>3870.6103819999998</v>
      </c>
      <c r="S96" s="25">
        <f t="shared" si="69"/>
        <v>3477.2356250888588</v>
      </c>
      <c r="T96" s="25">
        <f t="shared" ref="T96" si="70">T9/1000000</f>
        <v>3460.8520640000002</v>
      </c>
    </row>
    <row r="97" spans="1:20" ht="15.75" customHeight="1">
      <c r="A97" s="1"/>
      <c r="B97" s="2"/>
      <c r="C97" s="2"/>
      <c r="D97" s="20"/>
      <c r="E97" s="2"/>
      <c r="F97" s="2"/>
      <c r="G97" s="2"/>
      <c r="H97" s="2"/>
      <c r="I97" s="2"/>
      <c r="J97" s="2"/>
      <c r="K97" s="2"/>
      <c r="L97" s="2"/>
      <c r="M97" s="2"/>
      <c r="N97" s="2"/>
      <c r="O97" s="2"/>
      <c r="P97" s="2"/>
      <c r="Q97" s="2"/>
      <c r="R97" s="2"/>
      <c r="S97" s="2"/>
      <c r="T97" s="2"/>
    </row>
    <row r="98" spans="1:20" ht="15.75" customHeight="1">
      <c r="A98" s="28"/>
      <c r="B98" s="29" t="s">
        <v>53</v>
      </c>
      <c r="C98" s="30"/>
      <c r="D98" s="2"/>
      <c r="E98" s="2" t="b">
        <f t="shared" ref="E98:Q98" si="71">E85+E86-E90+E95=E96</f>
        <v>1</v>
      </c>
      <c r="F98" s="2" t="b">
        <f t="shared" si="71"/>
        <v>1</v>
      </c>
      <c r="G98" s="2" t="b">
        <f t="shared" si="71"/>
        <v>1</v>
      </c>
      <c r="H98" s="2" t="b">
        <f t="shared" si="71"/>
        <v>1</v>
      </c>
      <c r="I98" s="2" t="b">
        <f t="shared" si="71"/>
        <v>1</v>
      </c>
      <c r="J98" s="2" t="b">
        <f t="shared" si="71"/>
        <v>1</v>
      </c>
      <c r="K98" s="2" t="b">
        <f t="shared" si="71"/>
        <v>0</v>
      </c>
      <c r="L98" s="2" t="b">
        <f t="shared" si="71"/>
        <v>1</v>
      </c>
      <c r="M98" s="2" t="b">
        <f t="shared" si="71"/>
        <v>1</v>
      </c>
      <c r="N98" s="2" t="b">
        <f t="shared" si="71"/>
        <v>1</v>
      </c>
      <c r="O98" s="2" t="b">
        <v>1</v>
      </c>
      <c r="P98" s="2" t="b">
        <f t="shared" si="71"/>
        <v>1</v>
      </c>
      <c r="Q98" s="2" t="b">
        <f t="shared" si="71"/>
        <v>1</v>
      </c>
      <c r="R98" s="2" t="b">
        <f t="shared" ref="R98:S98" si="72">R85+R86-R90+R95=R96</f>
        <v>1</v>
      </c>
      <c r="S98" s="2" t="b">
        <f t="shared" si="72"/>
        <v>1</v>
      </c>
      <c r="T98" s="2" t="b">
        <f t="shared" ref="T98" si="73">T85+T86-T90+T95=T96</f>
        <v>1</v>
      </c>
    </row>
    <row r="99" spans="1:20" ht="15.75" customHeight="1">
      <c r="A99" s="19"/>
      <c r="B99" s="2"/>
      <c r="C99" s="2"/>
      <c r="D99" s="2"/>
      <c r="E99" s="2"/>
      <c r="F99" s="2"/>
      <c r="G99" s="2"/>
      <c r="H99" s="2"/>
      <c r="I99" s="2"/>
      <c r="J99" s="2"/>
      <c r="K99" s="2"/>
      <c r="L99" s="2"/>
      <c r="M99" s="2"/>
      <c r="N99" s="2"/>
      <c r="O99" s="2"/>
      <c r="P99" s="2"/>
      <c r="Q99" s="2"/>
      <c r="R99" s="2"/>
      <c r="S99" s="2"/>
      <c r="T99" s="2"/>
    </row>
    <row r="100" spans="1:20" ht="15.75" customHeight="1">
      <c r="A100" s="19"/>
      <c r="B100" s="2"/>
      <c r="C100" s="2"/>
      <c r="D100" s="2"/>
      <c r="E100" s="2"/>
      <c r="F100" s="2"/>
      <c r="G100" s="2"/>
      <c r="H100" s="2"/>
      <c r="I100" s="2"/>
      <c r="J100" s="2"/>
      <c r="K100" s="2"/>
      <c r="L100" s="2"/>
      <c r="M100" s="2"/>
      <c r="N100" s="2"/>
      <c r="O100" s="2"/>
      <c r="P100" s="2"/>
      <c r="Q100" s="2"/>
      <c r="R100" s="2"/>
      <c r="S100" s="2"/>
      <c r="T100" s="2"/>
    </row>
    <row r="101" spans="1:20" ht="15.75" customHeight="1">
      <c r="A101" s="6" t="s">
        <v>101</v>
      </c>
      <c r="B101" s="2"/>
      <c r="C101" s="2"/>
      <c r="D101" s="2"/>
      <c r="E101" s="2"/>
      <c r="F101" s="2"/>
      <c r="G101" s="2"/>
      <c r="H101" s="2"/>
      <c r="I101" s="2"/>
      <c r="J101" s="2"/>
      <c r="K101" s="2"/>
      <c r="L101" s="2"/>
      <c r="M101" s="2"/>
      <c r="N101" s="2"/>
      <c r="O101" s="2"/>
      <c r="P101" s="2"/>
      <c r="Q101" s="2"/>
      <c r="R101" s="2"/>
      <c r="S101" s="2"/>
      <c r="T101" s="2"/>
    </row>
    <row r="102" spans="1:20" ht="15.75" customHeight="1" thickBot="1">
      <c r="A102" s="19"/>
      <c r="B102" s="2"/>
      <c r="C102" s="2"/>
      <c r="D102" s="2"/>
      <c r="E102" s="2"/>
      <c r="F102" s="2"/>
      <c r="G102" s="2"/>
      <c r="H102" s="2"/>
      <c r="I102" s="2"/>
      <c r="J102" s="2"/>
      <c r="K102" s="2"/>
      <c r="L102" s="2"/>
      <c r="M102" s="2"/>
      <c r="N102" s="2"/>
      <c r="O102" s="2"/>
      <c r="P102" s="2"/>
      <c r="Q102" s="2"/>
      <c r="R102" s="2"/>
      <c r="S102" s="2"/>
      <c r="T102" s="2"/>
    </row>
    <row r="103" spans="1:20" ht="15.75" customHeight="1" thickBot="1">
      <c r="A103" s="69" t="s">
        <v>3</v>
      </c>
      <c r="B103" s="67" t="s">
        <v>4</v>
      </c>
      <c r="C103" s="68" t="s">
        <v>5</v>
      </c>
      <c r="D103" s="68">
        <f t="shared" ref="D103:T103" si="74">D$3</f>
        <v>2008</v>
      </c>
      <c r="E103" s="68">
        <f t="shared" si="74"/>
        <v>2009</v>
      </c>
      <c r="F103" s="68">
        <f t="shared" si="74"/>
        <v>2010</v>
      </c>
      <c r="G103" s="68">
        <f t="shared" si="74"/>
        <v>2011</v>
      </c>
      <c r="H103" s="68">
        <f t="shared" si="74"/>
        <v>2012</v>
      </c>
      <c r="I103" s="68">
        <f t="shared" si="74"/>
        <v>2013</v>
      </c>
      <c r="J103" s="68">
        <f t="shared" si="74"/>
        <v>2014</v>
      </c>
      <c r="K103" s="68">
        <f t="shared" si="74"/>
        <v>2015</v>
      </c>
      <c r="L103" s="68">
        <f t="shared" si="74"/>
        <v>2016</v>
      </c>
      <c r="M103" s="68">
        <f t="shared" si="74"/>
        <v>2017</v>
      </c>
      <c r="N103" s="68">
        <f t="shared" si="74"/>
        <v>2018</v>
      </c>
      <c r="O103" s="68">
        <v>2019</v>
      </c>
      <c r="P103" s="68">
        <f t="shared" si="74"/>
        <v>2020</v>
      </c>
      <c r="Q103" s="68">
        <f t="shared" si="74"/>
        <v>2021</v>
      </c>
      <c r="R103" s="68">
        <f t="shared" si="74"/>
        <v>2022</v>
      </c>
      <c r="S103" s="68">
        <f t="shared" si="74"/>
        <v>2023</v>
      </c>
      <c r="T103" s="68">
        <f t="shared" si="74"/>
        <v>2024</v>
      </c>
    </row>
    <row r="104" spans="1:20" ht="15.75" customHeight="1">
      <c r="A104" s="9">
        <v>-1</v>
      </c>
      <c r="B104" s="9">
        <f t="shared" ref="B104:T104" si="75">A104-1</f>
        <v>-2</v>
      </c>
      <c r="C104" s="9">
        <f t="shared" si="75"/>
        <v>-3</v>
      </c>
      <c r="D104" s="9">
        <f t="shared" si="75"/>
        <v>-4</v>
      </c>
      <c r="E104" s="9">
        <f t="shared" si="75"/>
        <v>-5</v>
      </c>
      <c r="F104" s="9">
        <f t="shared" si="75"/>
        <v>-6</v>
      </c>
      <c r="G104" s="9">
        <f t="shared" si="75"/>
        <v>-7</v>
      </c>
      <c r="H104" s="9">
        <f t="shared" si="75"/>
        <v>-8</v>
      </c>
      <c r="I104" s="9">
        <f t="shared" si="75"/>
        <v>-9</v>
      </c>
      <c r="J104" s="9">
        <f t="shared" si="75"/>
        <v>-10</v>
      </c>
      <c r="K104" s="9">
        <f t="shared" si="75"/>
        <v>-11</v>
      </c>
      <c r="L104" s="9">
        <f t="shared" si="75"/>
        <v>-12</v>
      </c>
      <c r="M104" s="9">
        <f t="shared" si="75"/>
        <v>-13</v>
      </c>
      <c r="N104" s="9">
        <f t="shared" si="75"/>
        <v>-14</v>
      </c>
      <c r="O104" s="9">
        <v>-15</v>
      </c>
      <c r="P104" s="9">
        <f t="shared" si="75"/>
        <v>-16</v>
      </c>
      <c r="Q104" s="9">
        <f t="shared" si="75"/>
        <v>-17</v>
      </c>
      <c r="R104" s="9">
        <f t="shared" si="75"/>
        <v>-18</v>
      </c>
      <c r="S104" s="9">
        <f t="shared" si="75"/>
        <v>-19</v>
      </c>
      <c r="T104" s="9">
        <f t="shared" si="75"/>
        <v>-20</v>
      </c>
    </row>
    <row r="105" spans="1:20" ht="15.75" customHeight="1">
      <c r="A105" s="23">
        <v>1</v>
      </c>
      <c r="B105" s="24" t="s">
        <v>41</v>
      </c>
      <c r="C105" s="23" t="s">
        <v>84</v>
      </c>
      <c r="D105" s="25"/>
      <c r="E105" s="25">
        <f t="shared" ref="E105:T105" si="76">D24</f>
        <v>0</v>
      </c>
      <c r="F105" s="25">
        <f t="shared" si="76"/>
        <v>0</v>
      </c>
      <c r="G105" s="25">
        <f t="shared" si="76"/>
        <v>3008</v>
      </c>
      <c r="H105" s="25">
        <f t="shared" si="76"/>
        <v>2740</v>
      </c>
      <c r="I105" s="25">
        <f t="shared" si="76"/>
        <v>2736</v>
      </c>
      <c r="J105" s="25">
        <f t="shared" si="76"/>
        <v>2872.0160942234552</v>
      </c>
      <c r="K105" s="25">
        <f t="shared" si="76"/>
        <v>2575.1800000000003</v>
      </c>
      <c r="L105" s="25">
        <f t="shared" si="76"/>
        <v>2763.9040674136604</v>
      </c>
      <c r="M105" s="25">
        <f t="shared" si="76"/>
        <v>2672.6259061977894</v>
      </c>
      <c r="N105" s="25">
        <f t="shared" si="76"/>
        <v>3888.3401127231209</v>
      </c>
      <c r="O105" s="25">
        <v>2657.5506183774414</v>
      </c>
      <c r="P105" s="25">
        <f t="shared" si="76"/>
        <v>4684.5935031666313</v>
      </c>
      <c r="Q105" s="25">
        <f t="shared" si="76"/>
        <v>2237.7861214703189</v>
      </c>
      <c r="R105" s="25">
        <f t="shared" si="76"/>
        <v>1987</v>
      </c>
      <c r="S105" s="25">
        <f t="shared" si="76"/>
        <v>3324</v>
      </c>
      <c r="T105" s="25">
        <f t="shared" si="76"/>
        <v>3418.2687070398169</v>
      </c>
    </row>
    <row r="106" spans="1:20" ht="15.75" customHeight="1">
      <c r="A106" s="23">
        <v>2</v>
      </c>
      <c r="B106" s="24" t="s">
        <v>43</v>
      </c>
      <c r="C106" s="23" t="s">
        <v>84</v>
      </c>
      <c r="D106" s="25">
        <f t="shared" ref="D106:Q106" si="77">SUM(D107:D109)</f>
        <v>0</v>
      </c>
      <c r="E106" s="25">
        <f t="shared" si="77"/>
        <v>0</v>
      </c>
      <c r="F106" s="25">
        <f t="shared" si="77"/>
        <v>0</v>
      </c>
      <c r="G106" s="25">
        <f t="shared" si="77"/>
        <v>0</v>
      </c>
      <c r="H106" s="25">
        <f t="shared" si="77"/>
        <v>0</v>
      </c>
      <c r="I106" s="25">
        <f t="shared" si="77"/>
        <v>0</v>
      </c>
      <c r="J106" s="25">
        <f t="shared" si="77"/>
        <v>0</v>
      </c>
      <c r="K106" s="25">
        <f t="shared" si="77"/>
        <v>0</v>
      </c>
      <c r="L106" s="25">
        <f t="shared" si="77"/>
        <v>0</v>
      </c>
      <c r="M106" s="25">
        <f t="shared" si="77"/>
        <v>0</v>
      </c>
      <c r="N106" s="25">
        <f t="shared" si="77"/>
        <v>0</v>
      </c>
      <c r="O106" s="25">
        <v>0</v>
      </c>
      <c r="P106" s="25">
        <f t="shared" si="77"/>
        <v>0</v>
      </c>
      <c r="Q106" s="25">
        <f t="shared" si="77"/>
        <v>0</v>
      </c>
      <c r="R106" s="25">
        <f t="shared" ref="R106:S106" si="78">SUM(R107:R109)</f>
        <v>0</v>
      </c>
      <c r="S106" s="25">
        <f t="shared" si="78"/>
        <v>0</v>
      </c>
      <c r="T106" s="25">
        <f t="shared" ref="T106" si="79">SUM(T107:T109)</f>
        <v>0</v>
      </c>
    </row>
    <row r="107" spans="1:20" ht="15.75" customHeight="1">
      <c r="A107" s="14">
        <v>2.1</v>
      </c>
      <c r="B107" s="15" t="s">
        <v>44</v>
      </c>
      <c r="C107" s="14" t="s">
        <v>84</v>
      </c>
      <c r="D107" s="18"/>
      <c r="E107" s="18"/>
      <c r="F107" s="18"/>
      <c r="G107" s="18"/>
      <c r="H107" s="18"/>
      <c r="I107" s="18"/>
      <c r="J107" s="18"/>
      <c r="K107" s="18"/>
      <c r="L107" s="18"/>
      <c r="M107" s="18"/>
      <c r="N107" s="18"/>
      <c r="O107" s="18"/>
      <c r="P107" s="18"/>
      <c r="Q107" s="18"/>
      <c r="R107" s="18"/>
      <c r="S107" s="18"/>
      <c r="T107" s="18"/>
    </row>
    <row r="108" spans="1:20" ht="15.75" customHeight="1">
      <c r="A108" s="14">
        <v>2.2000000000000002</v>
      </c>
      <c r="B108" s="15" t="s">
        <v>45</v>
      </c>
      <c r="C108" s="14" t="s">
        <v>84</v>
      </c>
      <c r="D108" s="18"/>
      <c r="E108" s="18"/>
      <c r="F108" s="18"/>
      <c r="G108" s="18"/>
      <c r="H108" s="18"/>
      <c r="I108" s="18"/>
      <c r="J108" s="18"/>
      <c r="K108" s="18"/>
      <c r="L108" s="18"/>
      <c r="M108" s="18"/>
      <c r="N108" s="18"/>
      <c r="O108" s="18"/>
      <c r="P108" s="18"/>
      <c r="Q108" s="18"/>
      <c r="R108" s="18"/>
      <c r="S108" s="18"/>
      <c r="T108" s="18"/>
    </row>
    <row r="109" spans="1:20" ht="15.75" customHeight="1">
      <c r="A109" s="14">
        <v>2.2999999999999998</v>
      </c>
      <c r="B109" s="15" t="s">
        <v>46</v>
      </c>
      <c r="C109" s="14" t="s">
        <v>84</v>
      </c>
      <c r="D109" s="18"/>
      <c r="E109" s="18"/>
      <c r="F109" s="18"/>
      <c r="G109" s="18"/>
      <c r="H109" s="18"/>
      <c r="I109" s="18"/>
      <c r="J109" s="18"/>
      <c r="K109" s="18"/>
      <c r="L109" s="18"/>
      <c r="M109" s="18"/>
      <c r="N109" s="18"/>
      <c r="O109" s="18"/>
      <c r="P109" s="18"/>
      <c r="Q109" s="18"/>
      <c r="R109" s="18"/>
      <c r="S109" s="18"/>
      <c r="T109" s="18"/>
    </row>
    <row r="110" spans="1:20" ht="15.75" customHeight="1">
      <c r="A110" s="23">
        <v>3</v>
      </c>
      <c r="B110" s="24" t="s">
        <v>47</v>
      </c>
      <c r="C110" s="23" t="s">
        <v>84</v>
      </c>
      <c r="D110" s="25">
        <f t="shared" ref="D110:Q110" si="80">SUM(D111:D114)</f>
        <v>0</v>
      </c>
      <c r="E110" s="25">
        <f t="shared" si="80"/>
        <v>126.20956871976399</v>
      </c>
      <c r="F110" s="25">
        <f t="shared" si="80"/>
        <v>104.53536699999999</v>
      </c>
      <c r="G110" s="25">
        <f t="shared" si="80"/>
        <v>76.0845287213414</v>
      </c>
      <c r="H110" s="25">
        <f t="shared" si="80"/>
        <v>53.975434641963098</v>
      </c>
      <c r="I110" s="25">
        <f t="shared" si="80"/>
        <v>57.001516323642697</v>
      </c>
      <c r="J110" s="25">
        <f t="shared" si="80"/>
        <v>69.646401394897694</v>
      </c>
      <c r="K110" s="25">
        <f t="shared" si="80"/>
        <v>97.4401688897442</v>
      </c>
      <c r="L110" s="25">
        <f t="shared" si="80"/>
        <v>91.084844614577619</v>
      </c>
      <c r="M110" s="25">
        <f t="shared" si="80"/>
        <v>101.5114067937825</v>
      </c>
      <c r="N110" s="25">
        <f t="shared" si="80"/>
        <v>134.95323982969387</v>
      </c>
      <c r="O110" s="25">
        <v>109.02131007883099</v>
      </c>
      <c r="P110" s="25">
        <f t="shared" si="80"/>
        <v>66.191909679999995</v>
      </c>
      <c r="Q110" s="25">
        <f t="shared" si="80"/>
        <v>79.276419959999998</v>
      </c>
      <c r="R110" s="25">
        <f t="shared" ref="R110:S110" si="81">SUM(R111:R114)</f>
        <v>105.42461091999999</v>
      </c>
      <c r="S110" s="25">
        <f t="shared" si="81"/>
        <v>105.03974450999999</v>
      </c>
      <c r="T110" s="25">
        <f t="shared" ref="T110" si="82">SUM(T111:T114)</f>
        <v>60.803000000000011</v>
      </c>
    </row>
    <row r="111" spans="1:20" ht="15.75" customHeight="1">
      <c r="A111" s="14">
        <v>3.1</v>
      </c>
      <c r="B111" s="15" t="s">
        <v>48</v>
      </c>
      <c r="C111" s="14" t="s">
        <v>84</v>
      </c>
      <c r="D111" s="18">
        <f>D39/1000000</f>
        <v>0</v>
      </c>
      <c r="E111" s="18">
        <f t="shared" ref="E111:Q111" si="83">E40</f>
        <v>126.20956871976399</v>
      </c>
      <c r="F111" s="18">
        <f t="shared" si="83"/>
        <v>104.53536699999999</v>
      </c>
      <c r="G111" s="18">
        <f t="shared" si="83"/>
        <v>76.0845287213414</v>
      </c>
      <c r="H111" s="18">
        <f t="shared" si="83"/>
        <v>53.975434641963098</v>
      </c>
      <c r="I111" s="18">
        <f t="shared" si="83"/>
        <v>57.001516323642697</v>
      </c>
      <c r="J111" s="18">
        <f t="shared" si="83"/>
        <v>69.646401394897694</v>
      </c>
      <c r="K111" s="18">
        <f t="shared" si="83"/>
        <v>97.4401688897442</v>
      </c>
      <c r="L111" s="18">
        <f t="shared" si="83"/>
        <v>91.084844614577619</v>
      </c>
      <c r="M111" s="18">
        <f t="shared" si="83"/>
        <v>101.5114067937825</v>
      </c>
      <c r="N111" s="18">
        <f t="shared" si="83"/>
        <v>134.95323982969387</v>
      </c>
      <c r="O111" s="18">
        <v>109.02131007883099</v>
      </c>
      <c r="P111" s="18">
        <f t="shared" si="83"/>
        <v>66.191909679999995</v>
      </c>
      <c r="Q111" s="18">
        <f t="shared" si="83"/>
        <v>79.276419959999998</v>
      </c>
      <c r="R111" s="18">
        <f t="shared" ref="R111:S111" si="84">R40</f>
        <v>105.42461091999999</v>
      </c>
      <c r="S111" s="18">
        <f t="shared" si="84"/>
        <v>105.03974450999999</v>
      </c>
      <c r="T111" s="18">
        <f t="shared" ref="T111" si="85">T40</f>
        <v>60.803000000000011</v>
      </c>
    </row>
    <row r="112" spans="1:20" ht="15.75" customHeight="1">
      <c r="A112" s="14">
        <v>3.2</v>
      </c>
      <c r="B112" s="15" t="s">
        <v>49</v>
      </c>
      <c r="C112" s="14" t="s">
        <v>84</v>
      </c>
      <c r="D112" s="18"/>
      <c r="E112" s="18"/>
      <c r="F112" s="18"/>
      <c r="G112" s="18"/>
      <c r="H112" s="18"/>
      <c r="I112" s="18"/>
      <c r="J112" s="18"/>
      <c r="K112" s="18"/>
      <c r="L112" s="18"/>
      <c r="M112" s="18"/>
      <c r="N112" s="18"/>
      <c r="O112" s="18"/>
      <c r="P112" s="18"/>
      <c r="Q112" s="18"/>
      <c r="R112" s="18"/>
      <c r="S112" s="18"/>
      <c r="T112" s="18"/>
    </row>
    <row r="113" spans="1:20" ht="15.75" customHeight="1">
      <c r="A113" s="14">
        <v>3.3</v>
      </c>
      <c r="B113" s="15" t="s">
        <v>50</v>
      </c>
      <c r="C113" s="14" t="s">
        <v>84</v>
      </c>
      <c r="D113" s="18"/>
      <c r="E113" s="18"/>
      <c r="F113" s="18"/>
      <c r="G113" s="18"/>
      <c r="H113" s="18"/>
      <c r="I113" s="18"/>
      <c r="J113" s="18"/>
      <c r="K113" s="18"/>
      <c r="L113" s="18"/>
      <c r="M113" s="18"/>
      <c r="N113" s="18"/>
      <c r="O113" s="18"/>
      <c r="P113" s="18"/>
      <c r="Q113" s="18"/>
      <c r="R113" s="18"/>
      <c r="S113" s="18"/>
      <c r="T113" s="18"/>
    </row>
    <row r="114" spans="1:20" ht="15.75" customHeight="1">
      <c r="A114" s="14">
        <v>3.4</v>
      </c>
      <c r="B114" s="15" t="s">
        <v>46</v>
      </c>
      <c r="C114" s="14" t="s">
        <v>84</v>
      </c>
      <c r="D114" s="18"/>
      <c r="E114" s="18"/>
      <c r="F114" s="18"/>
      <c r="G114" s="18"/>
      <c r="H114" s="18"/>
      <c r="I114" s="18"/>
      <c r="J114" s="18"/>
      <c r="K114" s="18"/>
      <c r="L114" s="18"/>
      <c r="M114" s="18"/>
      <c r="N114" s="18"/>
      <c r="O114" s="18"/>
      <c r="P114" s="18"/>
      <c r="Q114" s="18"/>
      <c r="R114" s="18"/>
      <c r="S114" s="18"/>
      <c r="T114" s="18"/>
    </row>
    <row r="115" spans="1:20" ht="15.75" customHeight="1">
      <c r="A115" s="23">
        <v>4</v>
      </c>
      <c r="B115" s="24" t="s">
        <v>51</v>
      </c>
      <c r="C115" s="23" t="s">
        <v>84</v>
      </c>
      <c r="D115" s="25">
        <f t="shared" ref="D115:Q115" si="86">D116-D105-D106+D110</f>
        <v>0</v>
      </c>
      <c r="E115" s="25">
        <f t="shared" si="86"/>
        <v>126.20956871976399</v>
      </c>
      <c r="F115" s="25">
        <f t="shared" si="86"/>
        <v>3112.535367</v>
      </c>
      <c r="G115" s="25">
        <f t="shared" si="86"/>
        <v>-191.9154712786586</v>
      </c>
      <c r="H115" s="25">
        <f t="shared" si="86"/>
        <v>49.975434641963098</v>
      </c>
      <c r="I115" s="25">
        <f t="shared" si="86"/>
        <v>193.01761054709789</v>
      </c>
      <c r="J115" s="25">
        <f t="shared" si="86"/>
        <v>-227.18969282855721</v>
      </c>
      <c r="K115" s="25">
        <f t="shared" si="86"/>
        <v>286.16423630340432</v>
      </c>
      <c r="L115" s="25">
        <f t="shared" si="86"/>
        <v>-0.19331660129340378</v>
      </c>
      <c r="M115" s="25">
        <f t="shared" si="86"/>
        <v>1317.225613319114</v>
      </c>
      <c r="N115" s="25">
        <f t="shared" si="86"/>
        <v>-1095.8362545159857</v>
      </c>
      <c r="O115" s="25">
        <v>2136.0641948680209</v>
      </c>
      <c r="P115" s="25">
        <f t="shared" si="86"/>
        <v>-2380.6154720163122</v>
      </c>
      <c r="Q115" s="25">
        <f t="shared" si="86"/>
        <v>-171.50970151031891</v>
      </c>
      <c r="R115" s="25">
        <f t="shared" ref="R115:S115" si="87">R116-R105-R106+R110</f>
        <v>1442.4246109200001</v>
      </c>
      <c r="S115" s="25">
        <f t="shared" si="87"/>
        <v>199.30845154981694</v>
      </c>
      <c r="T115" s="25">
        <f t="shared" ref="T115" si="88">T116-T105-T106+T110</f>
        <v>86.534292960183066</v>
      </c>
    </row>
    <row r="116" spans="1:20" ht="15.75" customHeight="1">
      <c r="A116" s="23">
        <v>5</v>
      </c>
      <c r="B116" s="24" t="s">
        <v>52</v>
      </c>
      <c r="C116" s="23" t="s">
        <v>84</v>
      </c>
      <c r="D116" s="25">
        <f t="shared" ref="D116:Q116" si="89">D24</f>
        <v>0</v>
      </c>
      <c r="E116" s="25">
        <f t="shared" si="89"/>
        <v>0</v>
      </c>
      <c r="F116" s="25">
        <f t="shared" si="89"/>
        <v>3008</v>
      </c>
      <c r="G116" s="25">
        <f t="shared" si="89"/>
        <v>2740</v>
      </c>
      <c r="H116" s="25">
        <f t="shared" si="89"/>
        <v>2736</v>
      </c>
      <c r="I116" s="25">
        <f t="shared" si="89"/>
        <v>2872.0160942234552</v>
      </c>
      <c r="J116" s="25">
        <f t="shared" si="89"/>
        <v>2575.1800000000003</v>
      </c>
      <c r="K116" s="25">
        <f t="shared" si="89"/>
        <v>2763.9040674136604</v>
      </c>
      <c r="L116" s="25">
        <f t="shared" si="89"/>
        <v>2672.6259061977894</v>
      </c>
      <c r="M116" s="25">
        <f t="shared" si="89"/>
        <v>3888.3401127231209</v>
      </c>
      <c r="N116" s="25">
        <f t="shared" si="89"/>
        <v>2657.5506183774414</v>
      </c>
      <c r="O116" s="25">
        <v>4684.5935031666313</v>
      </c>
      <c r="P116" s="25">
        <f t="shared" si="89"/>
        <v>2237.7861214703189</v>
      </c>
      <c r="Q116" s="25">
        <f t="shared" si="89"/>
        <v>1987</v>
      </c>
      <c r="R116" s="25">
        <f t="shared" ref="R116:S116" si="90">R24</f>
        <v>3324</v>
      </c>
      <c r="S116" s="25">
        <f t="shared" si="90"/>
        <v>3418.2687070398169</v>
      </c>
      <c r="T116" s="25">
        <f t="shared" ref="T116" si="91">T24</f>
        <v>3444</v>
      </c>
    </row>
    <row r="117" spans="1:20" ht="15.75" customHeight="1">
      <c r="A117" s="1"/>
      <c r="B117" s="2"/>
      <c r="C117" s="2"/>
      <c r="D117" s="20"/>
      <c r="E117" s="2"/>
      <c r="F117" s="2"/>
      <c r="G117" s="2"/>
      <c r="H117" s="2"/>
      <c r="I117" s="2"/>
      <c r="J117" s="2"/>
      <c r="K117" s="2"/>
      <c r="L117" s="2"/>
      <c r="M117" s="2"/>
      <c r="N117" s="2"/>
      <c r="O117" s="2"/>
      <c r="P117" s="2"/>
      <c r="Q117" s="2"/>
      <c r="R117" s="2"/>
      <c r="S117" s="2"/>
      <c r="T117" s="2"/>
    </row>
    <row r="118" spans="1:20" ht="15.75" customHeight="1">
      <c r="A118" s="28"/>
      <c r="B118" s="29" t="s">
        <v>53</v>
      </c>
      <c r="C118" s="30"/>
      <c r="D118" s="2"/>
      <c r="E118" s="2" t="b">
        <f t="shared" ref="E118:Q118" si="92">E105+E106-E110+E115=E116</f>
        <v>1</v>
      </c>
      <c r="F118" s="2" t="b">
        <f t="shared" si="92"/>
        <v>1</v>
      </c>
      <c r="G118" s="2" t="b">
        <f t="shared" si="92"/>
        <v>1</v>
      </c>
      <c r="H118" s="2" t="b">
        <f t="shared" si="92"/>
        <v>1</v>
      </c>
      <c r="I118" s="2" t="b">
        <f t="shared" si="92"/>
        <v>1</v>
      </c>
      <c r="J118" s="2" t="b">
        <f t="shared" si="92"/>
        <v>1</v>
      </c>
      <c r="K118" s="2" t="b">
        <f t="shared" si="92"/>
        <v>1</v>
      </c>
      <c r="L118" s="2" t="b">
        <f t="shared" si="92"/>
        <v>1</v>
      </c>
      <c r="M118" s="2" t="b">
        <f t="shared" si="92"/>
        <v>1</v>
      </c>
      <c r="N118" s="2" t="b">
        <f t="shared" si="92"/>
        <v>1</v>
      </c>
      <c r="O118" s="2" t="b">
        <v>1</v>
      </c>
      <c r="P118" s="2" t="b">
        <f t="shared" si="92"/>
        <v>1</v>
      </c>
      <c r="Q118" s="2" t="b">
        <f t="shared" si="92"/>
        <v>1</v>
      </c>
      <c r="R118" s="2" t="b">
        <f t="shared" ref="R118:S118" si="93">R105+R106-R110+R115=R116</f>
        <v>1</v>
      </c>
      <c r="S118" s="2" t="b">
        <f t="shared" si="93"/>
        <v>1</v>
      </c>
      <c r="T118" s="2" t="b">
        <f t="shared" ref="T118" si="94">T105+T106-T110+T115=T116</f>
        <v>1</v>
      </c>
    </row>
    <row r="119" spans="1:20" ht="15.75" customHeight="1">
      <c r="A119" s="1"/>
      <c r="B119" s="2"/>
      <c r="C119" s="2"/>
      <c r="D119" s="20"/>
      <c r="E119" s="2"/>
      <c r="F119" s="2"/>
      <c r="G119" s="2"/>
      <c r="H119" s="2"/>
      <c r="I119" s="2"/>
      <c r="J119" s="2"/>
      <c r="K119" s="2"/>
      <c r="L119" s="2"/>
      <c r="M119" s="2"/>
      <c r="N119" s="2"/>
      <c r="O119" s="2"/>
      <c r="P119" s="2"/>
      <c r="Q119" s="2"/>
      <c r="R119" s="2"/>
      <c r="S119" s="2"/>
      <c r="T119" s="2"/>
    </row>
    <row r="120" spans="1:20" ht="15.75" customHeight="1">
      <c r="A120" s="6" t="s">
        <v>102</v>
      </c>
      <c r="B120" s="2"/>
      <c r="C120" s="2"/>
      <c r="D120" s="2"/>
      <c r="E120" s="2"/>
      <c r="F120" s="2"/>
      <c r="G120" s="2"/>
      <c r="H120" s="2"/>
      <c r="I120" s="2"/>
      <c r="J120" s="2"/>
      <c r="K120" s="2"/>
      <c r="L120" s="2"/>
      <c r="M120" s="2"/>
      <c r="N120" s="2"/>
      <c r="O120" s="2"/>
      <c r="P120" s="2"/>
      <c r="Q120" s="2"/>
      <c r="R120" s="2"/>
      <c r="S120" s="2"/>
      <c r="T120" s="2"/>
    </row>
    <row r="121" spans="1:20" ht="15.75" customHeight="1" thickBot="1">
      <c r="A121" s="7"/>
      <c r="B121" s="2"/>
      <c r="C121" s="2"/>
      <c r="D121" s="2"/>
      <c r="E121" s="2"/>
      <c r="F121" s="2"/>
      <c r="G121" s="2"/>
      <c r="H121" s="2"/>
      <c r="I121" s="2"/>
      <c r="J121" s="2"/>
      <c r="K121" s="2"/>
      <c r="L121" s="2"/>
      <c r="M121" s="2"/>
      <c r="N121" s="2"/>
      <c r="O121" s="2"/>
      <c r="P121" s="2"/>
      <c r="Q121" s="2"/>
      <c r="R121" s="2"/>
      <c r="S121" s="2"/>
      <c r="T121" s="2"/>
    </row>
    <row r="122" spans="1:20" ht="15.75" customHeight="1" thickBot="1">
      <c r="A122" s="69" t="s">
        <v>3</v>
      </c>
      <c r="B122" s="67" t="s">
        <v>4</v>
      </c>
      <c r="C122" s="68" t="s">
        <v>5</v>
      </c>
      <c r="D122" s="68">
        <f t="shared" ref="D122:T122" si="95">D$3</f>
        <v>2008</v>
      </c>
      <c r="E122" s="68">
        <f t="shared" si="95"/>
        <v>2009</v>
      </c>
      <c r="F122" s="68">
        <f t="shared" si="95"/>
        <v>2010</v>
      </c>
      <c r="G122" s="68">
        <f t="shared" si="95"/>
        <v>2011</v>
      </c>
      <c r="H122" s="68">
        <f t="shared" si="95"/>
        <v>2012</v>
      </c>
      <c r="I122" s="68">
        <f t="shared" si="95"/>
        <v>2013</v>
      </c>
      <c r="J122" s="68">
        <f t="shared" si="95"/>
        <v>2014</v>
      </c>
      <c r="K122" s="68">
        <f t="shared" si="95"/>
        <v>2015</v>
      </c>
      <c r="L122" s="68">
        <f t="shared" si="95"/>
        <v>2016</v>
      </c>
      <c r="M122" s="68">
        <f t="shared" si="95"/>
        <v>2017</v>
      </c>
      <c r="N122" s="68">
        <f t="shared" si="95"/>
        <v>2018</v>
      </c>
      <c r="O122" s="68">
        <v>2019</v>
      </c>
      <c r="P122" s="68">
        <f t="shared" si="95"/>
        <v>2020</v>
      </c>
      <c r="Q122" s="68">
        <f t="shared" si="95"/>
        <v>2021</v>
      </c>
      <c r="R122" s="68">
        <f t="shared" si="95"/>
        <v>2022</v>
      </c>
      <c r="S122" s="68">
        <f t="shared" si="95"/>
        <v>2023</v>
      </c>
      <c r="T122" s="68">
        <f t="shared" si="95"/>
        <v>2024</v>
      </c>
    </row>
    <row r="123" spans="1:20" ht="15.75" customHeight="1">
      <c r="A123" s="9">
        <v>-1</v>
      </c>
      <c r="B123" s="9">
        <f t="shared" ref="B123:T123" si="96">A123-1</f>
        <v>-2</v>
      </c>
      <c r="C123" s="9">
        <f t="shared" si="96"/>
        <v>-3</v>
      </c>
      <c r="D123" s="9">
        <f t="shared" si="96"/>
        <v>-4</v>
      </c>
      <c r="E123" s="9">
        <f t="shared" si="96"/>
        <v>-5</v>
      </c>
      <c r="F123" s="9">
        <f t="shared" si="96"/>
        <v>-6</v>
      </c>
      <c r="G123" s="9">
        <f t="shared" si="96"/>
        <v>-7</v>
      </c>
      <c r="H123" s="9">
        <f t="shared" si="96"/>
        <v>-8</v>
      </c>
      <c r="I123" s="9">
        <f t="shared" si="96"/>
        <v>-9</v>
      </c>
      <c r="J123" s="9">
        <f t="shared" si="96"/>
        <v>-10</v>
      </c>
      <c r="K123" s="9">
        <f t="shared" si="96"/>
        <v>-11</v>
      </c>
      <c r="L123" s="9">
        <f t="shared" si="96"/>
        <v>-12</v>
      </c>
      <c r="M123" s="9">
        <f t="shared" si="96"/>
        <v>-13</v>
      </c>
      <c r="N123" s="9">
        <f t="shared" si="96"/>
        <v>-14</v>
      </c>
      <c r="O123" s="9">
        <v>-15</v>
      </c>
      <c r="P123" s="9">
        <f t="shared" si="96"/>
        <v>-16</v>
      </c>
      <c r="Q123" s="9">
        <f t="shared" si="96"/>
        <v>-17</v>
      </c>
      <c r="R123" s="9">
        <f t="shared" si="96"/>
        <v>-18</v>
      </c>
      <c r="S123" s="9">
        <f t="shared" si="96"/>
        <v>-19</v>
      </c>
      <c r="T123" s="9">
        <f t="shared" si="96"/>
        <v>-20</v>
      </c>
    </row>
    <row r="124" spans="1:20" ht="15.75" customHeight="1">
      <c r="A124" s="14">
        <v>1</v>
      </c>
      <c r="B124" s="15" t="s">
        <v>55</v>
      </c>
      <c r="C124" s="14" t="s">
        <v>96</v>
      </c>
      <c r="D124" s="18">
        <f t="shared" ref="D124:Q124" si="97">D78</f>
        <v>228913.03976963184</v>
      </c>
      <c r="E124" s="18">
        <f t="shared" si="97"/>
        <v>273090.01056291285</v>
      </c>
      <c r="F124" s="18">
        <f t="shared" si="97"/>
        <v>245186.71288272415</v>
      </c>
      <c r="G124" s="18">
        <f t="shared" si="97"/>
        <v>264332.7129526916</v>
      </c>
      <c r="H124" s="18">
        <f t="shared" si="97"/>
        <v>249259.21975680036</v>
      </c>
      <c r="I124" s="18">
        <f t="shared" si="97"/>
        <v>263630.47588348429</v>
      </c>
      <c r="J124" s="18">
        <f t="shared" si="97"/>
        <v>261882.82556306745</v>
      </c>
      <c r="K124" s="18">
        <f t="shared" si="97"/>
        <v>300334.98843227478</v>
      </c>
      <c r="L124" s="18">
        <f t="shared" si="97"/>
        <v>322065.9119599394</v>
      </c>
      <c r="M124" s="18">
        <f t="shared" si="97"/>
        <v>300334.98843227484</v>
      </c>
      <c r="N124" s="18">
        <f t="shared" si="97"/>
        <v>121558.3984664101</v>
      </c>
      <c r="O124" s="18">
        <v>86510.963839539632</v>
      </c>
      <c r="P124" s="18">
        <f t="shared" si="97"/>
        <v>204141.37158983533</v>
      </c>
      <c r="Q124" s="18">
        <f t="shared" si="97"/>
        <v>237665.13468860238</v>
      </c>
      <c r="R124" s="18">
        <f t="shared" ref="R124:S124" si="98">R78</f>
        <v>240470.85157751822</v>
      </c>
      <c r="S124" s="18">
        <f t="shared" si="98"/>
        <v>271089.41111911088</v>
      </c>
      <c r="T124" s="18">
        <f t="shared" ref="T124" si="99">T78</f>
        <v>588939.99553857686</v>
      </c>
    </row>
    <row r="125" spans="1:20" ht="15.75" customHeight="1">
      <c r="A125" s="14">
        <f t="shared" ref="A125:A132" si="100">A124+1</f>
        <v>2</v>
      </c>
      <c r="B125" s="15" t="s">
        <v>56</v>
      </c>
      <c r="C125" s="14" t="s">
        <v>84</v>
      </c>
      <c r="D125" s="18">
        <f t="shared" ref="D125:Q125" si="101">D77</f>
        <v>61.822457999999997</v>
      </c>
      <c r="E125" s="18">
        <f t="shared" si="101"/>
        <v>126.20956871976399</v>
      </c>
      <c r="F125" s="18">
        <f t="shared" si="101"/>
        <v>104.53536699999999</v>
      </c>
      <c r="G125" s="18">
        <f t="shared" si="101"/>
        <v>76.0845287213414</v>
      </c>
      <c r="H125" s="18">
        <f t="shared" si="101"/>
        <v>53.975434641963098</v>
      </c>
      <c r="I125" s="18">
        <f t="shared" si="101"/>
        <v>57.001516323642697</v>
      </c>
      <c r="J125" s="18">
        <f t="shared" si="101"/>
        <v>69.646401394897694</v>
      </c>
      <c r="K125" s="18">
        <f t="shared" si="101"/>
        <v>97.4401688897442</v>
      </c>
      <c r="L125" s="18">
        <f t="shared" si="101"/>
        <v>91.084844614577619</v>
      </c>
      <c r="M125" s="18">
        <f t="shared" si="101"/>
        <v>101.5114067937825</v>
      </c>
      <c r="N125" s="18">
        <f t="shared" si="101"/>
        <v>134.95323982969387</v>
      </c>
      <c r="O125" s="18">
        <v>109.02131007883099</v>
      </c>
      <c r="P125" s="18">
        <f t="shared" si="101"/>
        <v>66.191909679999995</v>
      </c>
      <c r="Q125" s="18">
        <f t="shared" si="101"/>
        <v>79.276419959999998</v>
      </c>
      <c r="R125" s="18">
        <f t="shared" ref="R125:S125" si="102">R77</f>
        <v>105.42461091999999</v>
      </c>
      <c r="S125" s="18">
        <f t="shared" si="102"/>
        <v>105.03974450999999</v>
      </c>
      <c r="T125" s="18">
        <f t="shared" ref="T125" si="103">T77</f>
        <v>60.803000000000011</v>
      </c>
    </row>
    <row r="126" spans="1:20" ht="15.75" customHeight="1">
      <c r="A126" s="14">
        <f t="shared" si="100"/>
        <v>3</v>
      </c>
      <c r="B126" s="15" t="s">
        <v>57</v>
      </c>
      <c r="C126" s="14" t="s">
        <v>58</v>
      </c>
      <c r="D126" s="18">
        <f t="shared" ref="D126:Q126" si="104">D124*D125/1000</f>
        <v>14151.966786810395</v>
      </c>
      <c r="E126" s="18">
        <f t="shared" si="104"/>
        <v>34466.572454821027</v>
      </c>
      <c r="F126" s="18">
        <f t="shared" si="104"/>
        <v>25630.683014719194</v>
      </c>
      <c r="G126" s="18">
        <f t="shared" si="104"/>
        <v>20111.629890639157</v>
      </c>
      <c r="H126" s="18">
        <f t="shared" si="104"/>
        <v>13453.874724889894</v>
      </c>
      <c r="I126" s="18">
        <f t="shared" si="104"/>
        <v>15027.336874482124</v>
      </c>
      <c r="J126" s="18">
        <f t="shared" si="104"/>
        <v>18239.19638759537</v>
      </c>
      <c r="K126" s="18">
        <f t="shared" si="104"/>
        <v>29264.691996340225</v>
      </c>
      <c r="L126" s="18">
        <f t="shared" si="104"/>
        <v>29335.323546523319</v>
      </c>
      <c r="M126" s="18">
        <f t="shared" si="104"/>
        <v>30487.427185154615</v>
      </c>
      <c r="N126" s="18">
        <f t="shared" si="104"/>
        <v>16404.699701550933</v>
      </c>
      <c r="O126" s="18">
        <v>9431.5386139689854</v>
      </c>
      <c r="P126" s="18">
        <f t="shared" si="104"/>
        <v>13512.507230225698</v>
      </c>
      <c r="Q126" s="18">
        <f t="shared" si="104"/>
        <v>18841.241027423606</v>
      </c>
      <c r="R126" s="18">
        <f t="shared" ref="R126:S126" si="105">R124*R125/1000</f>
        <v>25351.545965160924</v>
      </c>
      <c r="S126" s="18">
        <f t="shared" si="105"/>
        <v>28475.162483317759</v>
      </c>
      <c r="T126" s="18">
        <f t="shared" ref="T126" si="106">T124*T125/1000</f>
        <v>35809.318548732095</v>
      </c>
    </row>
    <row r="127" spans="1:20" ht="15.75" customHeight="1">
      <c r="A127" s="14">
        <f t="shared" si="100"/>
        <v>4</v>
      </c>
      <c r="B127" s="21" t="s">
        <v>59</v>
      </c>
      <c r="C127" s="14" t="s">
        <v>60</v>
      </c>
      <c r="D127" s="18">
        <f t="shared" ref="D127:M127" si="107">D116/D125</f>
        <v>0</v>
      </c>
      <c r="E127" s="18">
        <f t="shared" si="107"/>
        <v>0</v>
      </c>
      <c r="F127" s="18">
        <f t="shared" si="107"/>
        <v>28.774950395496294</v>
      </c>
      <c r="G127" s="18">
        <f t="shared" si="107"/>
        <v>36.012577669176537</v>
      </c>
      <c r="H127" s="18">
        <f t="shared" si="107"/>
        <v>50.689726134653526</v>
      </c>
      <c r="I127" s="18">
        <f t="shared" si="107"/>
        <v>50.384906919260672</v>
      </c>
      <c r="J127" s="18">
        <f t="shared" si="107"/>
        <v>36.975061861396597</v>
      </c>
      <c r="K127" s="18">
        <f t="shared" si="107"/>
        <v>28.365140361580053</v>
      </c>
      <c r="L127" s="18">
        <f t="shared" si="107"/>
        <v>29.342158045138177</v>
      </c>
      <c r="M127" s="18">
        <f t="shared" si="107"/>
        <v>38.304464843268029</v>
      </c>
      <c r="N127" s="18">
        <f t="shared" ref="N127" si="108">AVERAGE(J116/J125,K116/125,L116/L125,M116/M125,N116/N125)</f>
        <v>29.285059661478108</v>
      </c>
      <c r="O127" s="18">
        <v>31.734733109214169</v>
      </c>
      <c r="P127" s="18">
        <f t="shared" ref="P127:T127" si="109">AVERAGE(L116/L125,M116/M125,N116/N125,O116/O125,P116/P125)</f>
        <v>32.823214509245261</v>
      </c>
      <c r="Q127" s="18">
        <f t="shared" si="109"/>
        <v>31.967622786283545</v>
      </c>
      <c r="R127" s="18">
        <f t="shared" si="109"/>
        <v>30.612657761765053</v>
      </c>
      <c r="S127" s="18">
        <f t="shared" si="109"/>
        <v>33.182705970436722</v>
      </c>
      <c r="T127" s="18">
        <f t="shared" si="109"/>
        <v>35.91719011676355</v>
      </c>
    </row>
    <row r="128" spans="1:20" ht="15.75" customHeight="1">
      <c r="A128" s="31">
        <f t="shared" si="100"/>
        <v>5</v>
      </c>
      <c r="B128" s="32" t="s">
        <v>61</v>
      </c>
      <c r="C128" s="31"/>
      <c r="D128" s="33">
        <v>0.1318648305084745</v>
      </c>
      <c r="E128" s="33">
        <v>0.11456120218579237</v>
      </c>
      <c r="F128" s="33">
        <v>9.6083870967741916E-2</v>
      </c>
      <c r="G128" s="33">
        <v>8.4860816326530641E-2</v>
      </c>
      <c r="H128" s="33">
        <v>6.6462195121951215E-2</v>
      </c>
      <c r="I128" s="33">
        <v>7.5548571428571409E-2</v>
      </c>
      <c r="J128" s="33">
        <v>8.6841975308642003E-2</v>
      </c>
      <c r="K128" s="33">
        <v>8.4721074380165282E-2</v>
      </c>
      <c r="L128" s="33">
        <v>7.9230487804878069E-2</v>
      </c>
      <c r="M128" s="33">
        <v>7.6071308016877698E-2</v>
      </c>
      <c r="N128" s="33">
        <f>Bond!M26</f>
        <v>8.3599999999999994E-2</v>
      </c>
      <c r="O128" s="33">
        <v>7.6499999999999999E-2</v>
      </c>
      <c r="P128" s="33">
        <f>Bond!O26</f>
        <v>6.4799999999999996E-2</v>
      </c>
      <c r="Q128" s="33">
        <f>Bond!P26</f>
        <v>7.0499999999999993E-2</v>
      </c>
      <c r="R128" s="33">
        <f>Bond!Q26</f>
        <v>7.0900000000000005E-2</v>
      </c>
      <c r="S128" s="33">
        <f>Bond!R26</f>
        <v>6.7699999999999996E-2</v>
      </c>
      <c r="T128" s="33">
        <f>Bond!S26</f>
        <v>7.0900000000000005E-2</v>
      </c>
    </row>
    <row r="129" spans="1:20" ht="15.75" customHeight="1">
      <c r="A129" s="14">
        <f t="shared" si="100"/>
        <v>6</v>
      </c>
      <c r="B129" s="21" t="s">
        <v>62</v>
      </c>
      <c r="C129" s="14"/>
      <c r="D129" s="16" t="e">
        <f t="shared" ref="D129:Q129" si="110">PV(D128,D127,-1/D127)</f>
        <v>#DIV/0!</v>
      </c>
      <c r="E129" s="16" t="e">
        <f t="shared" si="110"/>
        <v>#DIV/0!</v>
      </c>
      <c r="F129" s="16">
        <f t="shared" si="110"/>
        <v>0.33587607654931129</v>
      </c>
      <c r="G129" s="16">
        <f t="shared" si="110"/>
        <v>0.30980384129889255</v>
      </c>
      <c r="H129" s="16">
        <f t="shared" si="110"/>
        <v>0.2854531899064755</v>
      </c>
      <c r="I129" s="16">
        <f t="shared" si="110"/>
        <v>0.25601227085235839</v>
      </c>
      <c r="J129" s="16">
        <f t="shared" si="110"/>
        <v>0.29710529401335667</v>
      </c>
      <c r="K129" s="16">
        <f t="shared" si="110"/>
        <v>0.37468465355136205</v>
      </c>
      <c r="L129" s="16">
        <f t="shared" si="110"/>
        <v>0.38422874669441492</v>
      </c>
      <c r="M129" s="16">
        <f t="shared" si="110"/>
        <v>0.32249065285087358</v>
      </c>
      <c r="N129" s="16">
        <f t="shared" si="110"/>
        <v>0.3695530519003738</v>
      </c>
      <c r="O129" s="16">
        <v>0.37220615402404278</v>
      </c>
      <c r="P129" s="16">
        <f t="shared" si="110"/>
        <v>0.41028670375873011</v>
      </c>
      <c r="Q129" s="16">
        <f t="shared" si="110"/>
        <v>0.39344411978349469</v>
      </c>
      <c r="R129" s="16">
        <f t="shared" ref="R129:S129" si="111">PV(R128,R127,-1/R127)</f>
        <v>0.40414406605565933</v>
      </c>
      <c r="S129" s="16">
        <f t="shared" si="111"/>
        <v>0.39450496839174121</v>
      </c>
      <c r="T129" s="16">
        <f t="shared" ref="T129" si="112">PV(T128,T127,-1/T127)</f>
        <v>0.3591521303911599</v>
      </c>
    </row>
    <row r="130" spans="1:20" ht="15.75" customHeight="1">
      <c r="A130" s="23">
        <f t="shared" si="100"/>
        <v>7</v>
      </c>
      <c r="B130" s="24" t="s">
        <v>63</v>
      </c>
      <c r="C130" s="23" t="s">
        <v>58</v>
      </c>
      <c r="D130" s="25" t="e">
        <f t="shared" ref="D130:Q130" si="113">D126*D127*D129</f>
        <v>#DIV/0!</v>
      </c>
      <c r="E130" s="25" t="e">
        <f t="shared" si="113"/>
        <v>#DIV/0!</v>
      </c>
      <c r="F130" s="25">
        <f t="shared" si="113"/>
        <v>247715.87224437617</v>
      </c>
      <c r="G130" s="25">
        <f t="shared" si="113"/>
        <v>224382.13419914182</v>
      </c>
      <c r="H130" s="25">
        <f t="shared" si="113"/>
        <v>194671.43257973457</v>
      </c>
      <c r="I130" s="25">
        <f t="shared" si="113"/>
        <v>193839.93912204154</v>
      </c>
      <c r="J130" s="25">
        <f t="shared" si="113"/>
        <v>200366.44797565616</v>
      </c>
      <c r="K130" s="25">
        <f t="shared" si="113"/>
        <v>311024.64287169016</v>
      </c>
      <c r="L130" s="25">
        <f t="shared" si="113"/>
        <v>330729.38911953254</v>
      </c>
      <c r="M130" s="25">
        <f t="shared" si="113"/>
        <v>376606.06230149657</v>
      </c>
      <c r="N130" s="25">
        <f t="shared" si="113"/>
        <v>177537.94600791659</v>
      </c>
      <c r="O130" s="25">
        <v>111404.04160600067</v>
      </c>
      <c r="P130" s="25">
        <f t="shared" si="113"/>
        <v>181971.96855984296</v>
      </c>
      <c r="Q130" s="25">
        <f t="shared" si="113"/>
        <v>236975.2042414587</v>
      </c>
      <c r="R130" s="25">
        <f t="shared" ref="R130:S130" si="114">R126*R127*R129</f>
        <v>313647.39947191282</v>
      </c>
      <c r="S130" s="25">
        <f t="shared" si="114"/>
        <v>372761.01601355977</v>
      </c>
      <c r="T130" s="25">
        <f t="shared" ref="T130" si="115">T126*T127*T129</f>
        <v>461930.7322744503</v>
      </c>
    </row>
    <row r="131" spans="1:20" ht="15.75" customHeight="1">
      <c r="A131" s="14">
        <f t="shared" si="100"/>
        <v>8</v>
      </c>
      <c r="B131" s="21" t="s">
        <v>64</v>
      </c>
      <c r="C131" s="14" t="s">
        <v>84</v>
      </c>
      <c r="D131" s="18">
        <f t="shared" ref="D131:Q131" si="116">D116</f>
        <v>0</v>
      </c>
      <c r="E131" s="18">
        <f t="shared" si="116"/>
        <v>0</v>
      </c>
      <c r="F131" s="18">
        <f t="shared" si="116"/>
        <v>3008</v>
      </c>
      <c r="G131" s="18">
        <f t="shared" si="116"/>
        <v>2740</v>
      </c>
      <c r="H131" s="18">
        <f t="shared" si="116"/>
        <v>2736</v>
      </c>
      <c r="I131" s="18">
        <f t="shared" si="116"/>
        <v>2872.0160942234552</v>
      </c>
      <c r="J131" s="18">
        <f t="shared" si="116"/>
        <v>2575.1800000000003</v>
      </c>
      <c r="K131" s="18">
        <f t="shared" si="116"/>
        <v>2763.9040674136604</v>
      </c>
      <c r="L131" s="18">
        <f t="shared" si="116"/>
        <v>2672.6259061977894</v>
      </c>
      <c r="M131" s="18">
        <f t="shared" si="116"/>
        <v>3888.3401127231209</v>
      </c>
      <c r="N131" s="18">
        <f t="shared" si="116"/>
        <v>2657.5506183774414</v>
      </c>
      <c r="O131" s="18">
        <v>4684.5935031666313</v>
      </c>
      <c r="P131" s="18">
        <f t="shared" si="116"/>
        <v>2237.7861214703189</v>
      </c>
      <c r="Q131" s="18">
        <f t="shared" si="116"/>
        <v>1987</v>
      </c>
      <c r="R131" s="18">
        <f t="shared" ref="R131:S131" si="117">R116</f>
        <v>3324</v>
      </c>
      <c r="S131" s="18">
        <f t="shared" si="117"/>
        <v>3418.2687070398169</v>
      </c>
      <c r="T131" s="18">
        <f t="shared" ref="T131" si="118">T116</f>
        <v>3444</v>
      </c>
    </row>
    <row r="132" spans="1:20" ht="15.75" customHeight="1">
      <c r="A132" s="14">
        <f t="shared" si="100"/>
        <v>9</v>
      </c>
      <c r="B132" s="15" t="s">
        <v>65</v>
      </c>
      <c r="C132" s="14" t="s">
        <v>96</v>
      </c>
      <c r="D132" s="18" t="e">
        <f t="shared" ref="D132:Q132" si="119">D130/D131*1000</f>
        <v>#DIV/0!</v>
      </c>
      <c r="E132" s="18" t="e">
        <f t="shared" si="119"/>
        <v>#DIV/0!</v>
      </c>
      <c r="F132" s="18">
        <f t="shared" si="119"/>
        <v>82352.351145071865</v>
      </c>
      <c r="G132" s="18">
        <f t="shared" si="119"/>
        <v>81891.289853701397</v>
      </c>
      <c r="H132" s="18">
        <f t="shared" si="119"/>
        <v>71151.839393177841</v>
      </c>
      <c r="I132" s="18">
        <f t="shared" si="119"/>
        <v>67492.636796818711</v>
      </c>
      <c r="J132" s="18">
        <f t="shared" si="119"/>
        <v>77806.773885963747</v>
      </c>
      <c r="K132" s="18">
        <f t="shared" si="119"/>
        <v>112530.91109009919</v>
      </c>
      <c r="L132" s="18">
        <f t="shared" si="119"/>
        <v>123746.98170536131</v>
      </c>
      <c r="M132" s="18">
        <f t="shared" si="119"/>
        <v>96855.226493483904</v>
      </c>
      <c r="N132" s="18">
        <f t="shared" si="119"/>
        <v>66805.104211453101</v>
      </c>
      <c r="O132" s="18">
        <v>23780.94097827169</v>
      </c>
      <c r="P132" s="18">
        <f t="shared" si="119"/>
        <v>81317.85554210149</v>
      </c>
      <c r="Q132" s="18">
        <f t="shared" si="119"/>
        <v>119262.810388253</v>
      </c>
      <c r="R132" s="18">
        <f t="shared" ref="R132:S132" si="120">R130/R131*1000</f>
        <v>94358.423427169924</v>
      </c>
      <c r="S132" s="18">
        <f t="shared" si="120"/>
        <v>109049.6528976409</v>
      </c>
      <c r="T132" s="18">
        <f t="shared" ref="T132" si="121">T130/T131*1000</f>
        <v>134126.228883406</v>
      </c>
    </row>
    <row r="133" spans="1:20" ht="15.75" customHeight="1">
      <c r="A133" s="1"/>
      <c r="B133" s="2"/>
      <c r="C133" s="2"/>
      <c r="D133" s="2"/>
      <c r="E133" s="2"/>
      <c r="F133" s="2"/>
      <c r="G133" s="2"/>
      <c r="H133" s="2"/>
      <c r="I133" s="2"/>
      <c r="J133" s="2"/>
      <c r="K133" s="2"/>
      <c r="L133" s="2"/>
      <c r="M133" s="2"/>
      <c r="N133" s="2"/>
      <c r="O133" s="2"/>
      <c r="P133" s="2"/>
      <c r="Q133" s="2"/>
      <c r="R133" s="2"/>
      <c r="S133" s="2"/>
      <c r="T133" s="2"/>
    </row>
    <row r="134" spans="1:20" ht="15.75" customHeight="1">
      <c r="A134" s="1"/>
      <c r="B134" s="2"/>
      <c r="C134" s="2"/>
      <c r="D134" s="2"/>
      <c r="E134" s="2"/>
      <c r="F134" s="2"/>
      <c r="G134" s="2"/>
      <c r="H134" s="2"/>
      <c r="I134" s="2"/>
      <c r="J134" s="2"/>
      <c r="K134" s="2"/>
      <c r="L134" s="2"/>
      <c r="M134" s="2"/>
      <c r="N134" s="2"/>
      <c r="O134" s="2"/>
      <c r="P134" s="2"/>
      <c r="Q134" s="2"/>
      <c r="R134" s="2"/>
      <c r="S134" s="2"/>
      <c r="T134" s="2"/>
    </row>
    <row r="135" spans="1:20" ht="15.75" customHeight="1">
      <c r="A135" s="6" t="s">
        <v>103</v>
      </c>
      <c r="B135" s="2"/>
      <c r="C135" s="2"/>
      <c r="D135" s="2"/>
      <c r="E135" s="2"/>
      <c r="F135" s="2"/>
      <c r="G135" s="2"/>
      <c r="H135" s="2"/>
      <c r="I135" s="2"/>
      <c r="J135" s="2"/>
      <c r="K135" s="2"/>
      <c r="L135" s="2"/>
      <c r="M135" s="2"/>
      <c r="N135" s="2"/>
      <c r="O135" s="2"/>
      <c r="P135" s="2"/>
      <c r="Q135" s="2"/>
      <c r="R135" s="2"/>
      <c r="S135" s="2"/>
      <c r="T135" s="2"/>
    </row>
    <row r="136" spans="1:20" ht="15.75" customHeight="1" thickBot="1">
      <c r="A136" s="19"/>
      <c r="B136" s="2"/>
      <c r="C136" s="2"/>
      <c r="D136" s="2"/>
      <c r="E136" s="2"/>
      <c r="F136" s="2"/>
      <c r="G136" s="2"/>
      <c r="H136" s="2"/>
      <c r="I136" s="2"/>
      <c r="J136" s="2"/>
      <c r="K136" s="2"/>
      <c r="L136" s="2"/>
      <c r="M136" s="2"/>
      <c r="N136" s="2"/>
      <c r="O136" s="2"/>
      <c r="P136" s="2"/>
      <c r="Q136" s="2"/>
      <c r="R136" s="2"/>
      <c r="S136" s="2"/>
      <c r="T136" s="2"/>
    </row>
    <row r="137" spans="1:20" ht="15.75" customHeight="1" thickBot="1">
      <c r="A137" s="69" t="s">
        <v>3</v>
      </c>
      <c r="B137" s="67" t="s">
        <v>4</v>
      </c>
      <c r="C137" s="68" t="s">
        <v>5</v>
      </c>
      <c r="D137" s="68">
        <f t="shared" ref="D137:T137" si="122">D$3</f>
        <v>2008</v>
      </c>
      <c r="E137" s="68">
        <f t="shared" si="122"/>
        <v>2009</v>
      </c>
      <c r="F137" s="68">
        <f t="shared" si="122"/>
        <v>2010</v>
      </c>
      <c r="G137" s="68">
        <f t="shared" si="122"/>
        <v>2011</v>
      </c>
      <c r="H137" s="68">
        <f t="shared" si="122"/>
        <v>2012</v>
      </c>
      <c r="I137" s="68">
        <f t="shared" si="122"/>
        <v>2013</v>
      </c>
      <c r="J137" s="68">
        <f t="shared" si="122"/>
        <v>2014</v>
      </c>
      <c r="K137" s="68">
        <f t="shared" si="122"/>
        <v>2015</v>
      </c>
      <c r="L137" s="68">
        <f t="shared" si="122"/>
        <v>2016</v>
      </c>
      <c r="M137" s="68">
        <f t="shared" si="122"/>
        <v>2017</v>
      </c>
      <c r="N137" s="68">
        <f t="shared" si="122"/>
        <v>2018</v>
      </c>
      <c r="O137" s="68">
        <v>2019</v>
      </c>
      <c r="P137" s="68">
        <f t="shared" si="122"/>
        <v>2020</v>
      </c>
      <c r="Q137" s="68">
        <f t="shared" si="122"/>
        <v>2021</v>
      </c>
      <c r="R137" s="68">
        <f t="shared" si="122"/>
        <v>2022</v>
      </c>
      <c r="S137" s="68">
        <f t="shared" si="122"/>
        <v>2023</v>
      </c>
      <c r="T137" s="68">
        <f t="shared" si="122"/>
        <v>2024</v>
      </c>
    </row>
    <row r="138" spans="1:20" ht="15.75" customHeight="1">
      <c r="A138" s="9">
        <v>-1</v>
      </c>
      <c r="B138" s="9">
        <f t="shared" ref="B138:T138" si="123">A138-1</f>
        <v>-2</v>
      </c>
      <c r="C138" s="9">
        <f t="shared" si="123"/>
        <v>-3</v>
      </c>
      <c r="D138" s="9">
        <f t="shared" si="123"/>
        <v>-4</v>
      </c>
      <c r="E138" s="9">
        <f t="shared" si="123"/>
        <v>-5</v>
      </c>
      <c r="F138" s="9">
        <f t="shared" si="123"/>
        <v>-6</v>
      </c>
      <c r="G138" s="9">
        <f t="shared" si="123"/>
        <v>-7</v>
      </c>
      <c r="H138" s="9">
        <f t="shared" si="123"/>
        <v>-8</v>
      </c>
      <c r="I138" s="9">
        <f t="shared" si="123"/>
        <v>-9</v>
      </c>
      <c r="J138" s="9">
        <f t="shared" si="123"/>
        <v>-10</v>
      </c>
      <c r="K138" s="9">
        <f t="shared" si="123"/>
        <v>-11</v>
      </c>
      <c r="L138" s="9">
        <f t="shared" si="123"/>
        <v>-12</v>
      </c>
      <c r="M138" s="9">
        <f t="shared" si="123"/>
        <v>-13</v>
      </c>
      <c r="N138" s="9">
        <f t="shared" si="123"/>
        <v>-14</v>
      </c>
      <c r="O138" s="9">
        <v>-15</v>
      </c>
      <c r="P138" s="9">
        <f t="shared" si="123"/>
        <v>-16</v>
      </c>
      <c r="Q138" s="9">
        <f t="shared" si="123"/>
        <v>-17</v>
      </c>
      <c r="R138" s="9">
        <f t="shared" si="123"/>
        <v>-18</v>
      </c>
      <c r="S138" s="9">
        <f t="shared" si="123"/>
        <v>-19</v>
      </c>
      <c r="T138" s="9">
        <f t="shared" si="123"/>
        <v>-20</v>
      </c>
    </row>
    <row r="139" spans="1:20" ht="15.75" customHeight="1">
      <c r="A139" s="31">
        <v>1</v>
      </c>
      <c r="B139" s="32" t="s">
        <v>41</v>
      </c>
      <c r="C139" s="31" t="s">
        <v>58</v>
      </c>
      <c r="D139" s="35"/>
      <c r="E139" s="35" t="e">
        <f t="shared" ref="E139:T139" si="124">D151</f>
        <v>#DIV/0!</v>
      </c>
      <c r="F139" s="35" t="e">
        <f t="shared" si="124"/>
        <v>#DIV/0!</v>
      </c>
      <c r="G139" s="35">
        <f t="shared" si="124"/>
        <v>247715.87224437617</v>
      </c>
      <c r="H139" s="35">
        <f t="shared" si="124"/>
        <v>224382.13419914182</v>
      </c>
      <c r="I139" s="35">
        <f t="shared" si="124"/>
        <v>194671.43257973457</v>
      </c>
      <c r="J139" s="35">
        <f t="shared" si="124"/>
        <v>193839.93912204154</v>
      </c>
      <c r="K139" s="35">
        <f t="shared" si="124"/>
        <v>200366.44797565616</v>
      </c>
      <c r="L139" s="35">
        <f t="shared" si="124"/>
        <v>311024.64287169016</v>
      </c>
      <c r="M139" s="35">
        <f t="shared" si="124"/>
        <v>330729.38911953254</v>
      </c>
      <c r="N139" s="35">
        <f t="shared" si="124"/>
        <v>376606.06230149657</v>
      </c>
      <c r="O139" s="35">
        <v>177537.94600791659</v>
      </c>
      <c r="P139" s="35">
        <f t="shared" si="124"/>
        <v>111404.04160600067</v>
      </c>
      <c r="Q139" s="35">
        <f t="shared" si="124"/>
        <v>181971.96855984296</v>
      </c>
      <c r="R139" s="35">
        <f t="shared" si="124"/>
        <v>236975.2042414587</v>
      </c>
      <c r="S139" s="35">
        <f t="shared" si="124"/>
        <v>313647.39947191282</v>
      </c>
      <c r="T139" s="35">
        <f t="shared" si="124"/>
        <v>372761.01601355977</v>
      </c>
    </row>
    <row r="140" spans="1:20" ht="15.75" customHeight="1">
      <c r="A140" s="31">
        <v>2</v>
      </c>
      <c r="B140" s="32" t="s">
        <v>43</v>
      </c>
      <c r="C140" s="31" t="s">
        <v>58</v>
      </c>
      <c r="D140" s="35">
        <f t="shared" ref="D140:Q140" si="125">SUM(D141:D143)</f>
        <v>0</v>
      </c>
      <c r="E140" s="35" t="e">
        <f t="shared" si="125"/>
        <v>#DIV/0!</v>
      </c>
      <c r="F140" s="35" t="e">
        <f t="shared" si="125"/>
        <v>#DIV/0!</v>
      </c>
      <c r="G140" s="35">
        <f t="shared" si="125"/>
        <v>0</v>
      </c>
      <c r="H140" s="35">
        <f t="shared" si="125"/>
        <v>0</v>
      </c>
      <c r="I140" s="35">
        <f t="shared" si="125"/>
        <v>0</v>
      </c>
      <c r="J140" s="35">
        <f t="shared" si="125"/>
        <v>0</v>
      </c>
      <c r="K140" s="35">
        <f t="shared" si="125"/>
        <v>0</v>
      </c>
      <c r="L140" s="35">
        <f t="shared" si="125"/>
        <v>0</v>
      </c>
      <c r="M140" s="35">
        <f t="shared" si="125"/>
        <v>0</v>
      </c>
      <c r="N140" s="35">
        <f t="shared" si="125"/>
        <v>0</v>
      </c>
      <c r="O140" s="35">
        <v>0</v>
      </c>
      <c r="P140" s="35">
        <f t="shared" si="125"/>
        <v>0</v>
      </c>
      <c r="Q140" s="35">
        <f t="shared" si="125"/>
        <v>0</v>
      </c>
      <c r="R140" s="35">
        <f t="shared" ref="R140:S140" si="126">SUM(R141:R143)</f>
        <v>0</v>
      </c>
      <c r="S140" s="35">
        <f t="shared" si="126"/>
        <v>0</v>
      </c>
      <c r="T140" s="35">
        <f t="shared" ref="T140" si="127">SUM(T141:T143)</f>
        <v>0</v>
      </c>
    </row>
    <row r="141" spans="1:20" ht="15.75" customHeight="1">
      <c r="A141" s="14">
        <v>2.1</v>
      </c>
      <c r="B141" s="15" t="s">
        <v>44</v>
      </c>
      <c r="C141" s="14" t="s">
        <v>58</v>
      </c>
      <c r="D141" s="18"/>
      <c r="E141" s="18" t="e">
        <f t="shared" ref="E141:T141" si="128">0.5*(D$132+E$132)*E107/1000</f>
        <v>#DIV/0!</v>
      </c>
      <c r="F141" s="18" t="e">
        <f t="shared" si="128"/>
        <v>#DIV/0!</v>
      </c>
      <c r="G141" s="18">
        <f t="shared" si="128"/>
        <v>0</v>
      </c>
      <c r="H141" s="18">
        <f t="shared" si="128"/>
        <v>0</v>
      </c>
      <c r="I141" s="18">
        <f t="shared" si="128"/>
        <v>0</v>
      </c>
      <c r="J141" s="18">
        <f t="shared" si="128"/>
        <v>0</v>
      </c>
      <c r="K141" s="18">
        <f t="shared" si="128"/>
        <v>0</v>
      </c>
      <c r="L141" s="18">
        <f t="shared" si="128"/>
        <v>0</v>
      </c>
      <c r="M141" s="18">
        <f t="shared" si="128"/>
        <v>0</v>
      </c>
      <c r="N141" s="18">
        <f t="shared" si="128"/>
        <v>0</v>
      </c>
      <c r="O141" s="18">
        <v>0</v>
      </c>
      <c r="P141" s="18">
        <f t="shared" si="128"/>
        <v>0</v>
      </c>
      <c r="Q141" s="18">
        <f t="shared" si="128"/>
        <v>0</v>
      </c>
      <c r="R141" s="18">
        <f t="shared" si="128"/>
        <v>0</v>
      </c>
      <c r="S141" s="18">
        <f t="shared" si="128"/>
        <v>0</v>
      </c>
      <c r="T141" s="18">
        <f t="shared" si="128"/>
        <v>0</v>
      </c>
    </row>
    <row r="142" spans="1:20" ht="15.75" customHeight="1">
      <c r="A142" s="14">
        <v>2.2000000000000002</v>
      </c>
      <c r="B142" s="15" t="s">
        <v>45</v>
      </c>
      <c r="C142" s="14" t="s">
        <v>58</v>
      </c>
      <c r="D142" s="18"/>
      <c r="E142" s="18" t="e">
        <f t="shared" ref="E142:T142" si="129">0.5*(D$132+E$132)*E108/1000</f>
        <v>#DIV/0!</v>
      </c>
      <c r="F142" s="18" t="e">
        <f t="shared" si="129"/>
        <v>#DIV/0!</v>
      </c>
      <c r="G142" s="18">
        <f t="shared" si="129"/>
        <v>0</v>
      </c>
      <c r="H142" s="18">
        <f t="shared" si="129"/>
        <v>0</v>
      </c>
      <c r="I142" s="18">
        <f t="shared" si="129"/>
        <v>0</v>
      </c>
      <c r="J142" s="18">
        <f t="shared" si="129"/>
        <v>0</v>
      </c>
      <c r="K142" s="18">
        <f t="shared" si="129"/>
        <v>0</v>
      </c>
      <c r="L142" s="18">
        <f t="shared" si="129"/>
        <v>0</v>
      </c>
      <c r="M142" s="18">
        <f t="shared" si="129"/>
        <v>0</v>
      </c>
      <c r="N142" s="18">
        <f t="shared" si="129"/>
        <v>0</v>
      </c>
      <c r="O142" s="18">
        <v>0</v>
      </c>
      <c r="P142" s="18">
        <f t="shared" si="129"/>
        <v>0</v>
      </c>
      <c r="Q142" s="18">
        <f t="shared" si="129"/>
        <v>0</v>
      </c>
      <c r="R142" s="18">
        <f t="shared" si="129"/>
        <v>0</v>
      </c>
      <c r="S142" s="18">
        <f t="shared" si="129"/>
        <v>0</v>
      </c>
      <c r="T142" s="18">
        <f t="shared" si="129"/>
        <v>0</v>
      </c>
    </row>
    <row r="143" spans="1:20" ht="15.75" customHeight="1">
      <c r="A143" s="14">
        <v>2.2999999999999998</v>
      </c>
      <c r="B143" s="15" t="s">
        <v>46</v>
      </c>
      <c r="C143" s="14" t="s">
        <v>58</v>
      </c>
      <c r="D143" s="18"/>
      <c r="E143" s="18" t="e">
        <f t="shared" ref="E143:T143" si="130">0.5*(D$132+E$132)*E109/1000</f>
        <v>#DIV/0!</v>
      </c>
      <c r="F143" s="18" t="e">
        <f t="shared" si="130"/>
        <v>#DIV/0!</v>
      </c>
      <c r="G143" s="18">
        <f t="shared" si="130"/>
        <v>0</v>
      </c>
      <c r="H143" s="18">
        <f t="shared" si="130"/>
        <v>0</v>
      </c>
      <c r="I143" s="18">
        <f t="shared" si="130"/>
        <v>0</v>
      </c>
      <c r="J143" s="18">
        <f t="shared" si="130"/>
        <v>0</v>
      </c>
      <c r="K143" s="18">
        <f t="shared" si="130"/>
        <v>0</v>
      </c>
      <c r="L143" s="18">
        <f t="shared" si="130"/>
        <v>0</v>
      </c>
      <c r="M143" s="18">
        <f t="shared" si="130"/>
        <v>0</v>
      </c>
      <c r="N143" s="18">
        <f t="shared" si="130"/>
        <v>0</v>
      </c>
      <c r="O143" s="18">
        <v>0</v>
      </c>
      <c r="P143" s="18">
        <f t="shared" si="130"/>
        <v>0</v>
      </c>
      <c r="Q143" s="18">
        <f t="shared" si="130"/>
        <v>0</v>
      </c>
      <c r="R143" s="18">
        <f t="shared" si="130"/>
        <v>0</v>
      </c>
      <c r="S143" s="18">
        <f t="shared" si="130"/>
        <v>0</v>
      </c>
      <c r="T143" s="18">
        <f t="shared" si="130"/>
        <v>0</v>
      </c>
    </row>
    <row r="144" spans="1:20" ht="15.75" customHeight="1">
      <c r="A144" s="31">
        <v>3</v>
      </c>
      <c r="B144" s="32" t="s">
        <v>47</v>
      </c>
      <c r="C144" s="31" t="s">
        <v>58</v>
      </c>
      <c r="D144" s="35">
        <f t="shared" ref="D144:Q144" si="131">SUM(D145:D148)</f>
        <v>0</v>
      </c>
      <c r="E144" s="35" t="e">
        <f t="shared" si="131"/>
        <v>#DIV/0!</v>
      </c>
      <c r="F144" s="35" t="e">
        <f t="shared" si="131"/>
        <v>#DIV/0!</v>
      </c>
      <c r="G144" s="35">
        <f t="shared" si="131"/>
        <v>6248.2000104344252</v>
      </c>
      <c r="H144" s="35">
        <f t="shared" si="131"/>
        <v>4130.284710033221</v>
      </c>
      <c r="I144" s="35">
        <f t="shared" si="131"/>
        <v>3951.4726863634896</v>
      </c>
      <c r="J144" s="35">
        <f t="shared" si="131"/>
        <v>5059.7905394275776</v>
      </c>
      <c r="K144" s="35">
        <f t="shared" si="131"/>
        <v>9273.2680850752495</v>
      </c>
      <c r="L144" s="35">
        <f t="shared" si="131"/>
        <v>10760.667575567175</v>
      </c>
      <c r="M144" s="35">
        <f t="shared" si="131"/>
        <v>11196.820248039838</v>
      </c>
      <c r="N144" s="35">
        <f t="shared" si="131"/>
        <v>11043.245930115187</v>
      </c>
      <c r="O144" s="35">
        <v>4937.9046607219925</v>
      </c>
      <c r="P144" s="35">
        <f t="shared" si="131"/>
        <v>3478.3450233766193</v>
      </c>
      <c r="Q144" s="35">
        <f t="shared" si="131"/>
        <v>7950.6585540756241</v>
      </c>
      <c r="R144" s="35">
        <f t="shared" ref="R144:S144" si="132">SUM(R145:R148)</f>
        <v>11260.467729620654</v>
      </c>
      <c r="S144" s="35">
        <f t="shared" si="132"/>
        <v>10682.966184214354</v>
      </c>
      <c r="T144" s="35">
        <f t="shared" ref="T144" si="133">SUM(T145:T148)</f>
        <v>7392.9115699664999</v>
      </c>
    </row>
    <row r="145" spans="1:20" ht="15.75" customHeight="1">
      <c r="A145" s="14">
        <v>3.1</v>
      </c>
      <c r="B145" s="15" t="s">
        <v>67</v>
      </c>
      <c r="C145" s="14" t="s">
        <v>58</v>
      </c>
      <c r="D145" s="18"/>
      <c r="E145" s="18" t="e">
        <f t="shared" ref="E145:T145" si="134">0.5*(D$132+E$132)*E111/1000</f>
        <v>#DIV/0!</v>
      </c>
      <c r="F145" s="18" t="e">
        <f t="shared" si="134"/>
        <v>#DIV/0!</v>
      </c>
      <c r="G145" s="18">
        <f t="shared" si="134"/>
        <v>6248.2000104344252</v>
      </c>
      <c r="H145" s="18">
        <f t="shared" si="134"/>
        <v>4130.284710033221</v>
      </c>
      <c r="I145" s="18">
        <f t="shared" si="134"/>
        <v>3951.4726863634896</v>
      </c>
      <c r="J145" s="18">
        <f t="shared" si="134"/>
        <v>5059.7905394275776</v>
      </c>
      <c r="K145" s="18">
        <f t="shared" si="134"/>
        <v>9273.2680850752495</v>
      </c>
      <c r="L145" s="18">
        <f t="shared" si="134"/>
        <v>10760.667575567175</v>
      </c>
      <c r="M145" s="18">
        <f t="shared" si="134"/>
        <v>11196.820248039838</v>
      </c>
      <c r="N145" s="18">
        <f t="shared" si="134"/>
        <v>11043.245930115187</v>
      </c>
      <c r="O145" s="18">
        <v>4937.9046607219925</v>
      </c>
      <c r="P145" s="18">
        <f t="shared" si="134"/>
        <v>3478.3450233766193</v>
      </c>
      <c r="Q145" s="18">
        <f t="shared" si="134"/>
        <v>7950.6585540756241</v>
      </c>
      <c r="R145" s="18">
        <f t="shared" si="134"/>
        <v>11260.467729620654</v>
      </c>
      <c r="S145" s="18">
        <f t="shared" si="134"/>
        <v>10682.966184214354</v>
      </c>
      <c r="T145" s="18">
        <f t="shared" si="134"/>
        <v>7392.9115699664999</v>
      </c>
    </row>
    <row r="146" spans="1:20" ht="15.75" customHeight="1">
      <c r="A146" s="14">
        <v>3.2</v>
      </c>
      <c r="B146" s="15" t="s">
        <v>49</v>
      </c>
      <c r="C146" s="14" t="s">
        <v>58</v>
      </c>
      <c r="D146" s="18"/>
      <c r="E146" s="18" t="e">
        <f t="shared" ref="E146:T146" si="135">0.5*(D$132+E$132)*E112/1000</f>
        <v>#DIV/0!</v>
      </c>
      <c r="F146" s="18" t="e">
        <f t="shared" si="135"/>
        <v>#DIV/0!</v>
      </c>
      <c r="G146" s="18">
        <f t="shared" si="135"/>
        <v>0</v>
      </c>
      <c r="H146" s="18">
        <f t="shared" si="135"/>
        <v>0</v>
      </c>
      <c r="I146" s="18">
        <f t="shared" si="135"/>
        <v>0</v>
      </c>
      <c r="J146" s="18">
        <f t="shared" si="135"/>
        <v>0</v>
      </c>
      <c r="K146" s="18">
        <f t="shared" si="135"/>
        <v>0</v>
      </c>
      <c r="L146" s="18">
        <f t="shared" si="135"/>
        <v>0</v>
      </c>
      <c r="M146" s="18">
        <f t="shared" si="135"/>
        <v>0</v>
      </c>
      <c r="N146" s="18">
        <f t="shared" si="135"/>
        <v>0</v>
      </c>
      <c r="O146" s="18">
        <v>0</v>
      </c>
      <c r="P146" s="18">
        <f t="shared" si="135"/>
        <v>0</v>
      </c>
      <c r="Q146" s="18">
        <f t="shared" si="135"/>
        <v>0</v>
      </c>
      <c r="R146" s="18">
        <f t="shared" si="135"/>
        <v>0</v>
      </c>
      <c r="S146" s="18">
        <f t="shared" si="135"/>
        <v>0</v>
      </c>
      <c r="T146" s="18">
        <f t="shared" si="135"/>
        <v>0</v>
      </c>
    </row>
    <row r="147" spans="1:20" ht="15.75" customHeight="1">
      <c r="A147" s="14">
        <v>3.3</v>
      </c>
      <c r="B147" s="15" t="s">
        <v>50</v>
      </c>
      <c r="C147" s="14" t="s">
        <v>58</v>
      </c>
      <c r="D147" s="18"/>
      <c r="E147" s="18" t="e">
        <f t="shared" ref="E147:T147" si="136">0.5*(D$132+E$132)*E113/1000</f>
        <v>#DIV/0!</v>
      </c>
      <c r="F147" s="18" t="e">
        <f t="shared" si="136"/>
        <v>#DIV/0!</v>
      </c>
      <c r="G147" s="18">
        <f t="shared" si="136"/>
        <v>0</v>
      </c>
      <c r="H147" s="18">
        <f t="shared" si="136"/>
        <v>0</v>
      </c>
      <c r="I147" s="18">
        <f t="shared" si="136"/>
        <v>0</v>
      </c>
      <c r="J147" s="18">
        <f t="shared" si="136"/>
        <v>0</v>
      </c>
      <c r="K147" s="18">
        <f t="shared" si="136"/>
        <v>0</v>
      </c>
      <c r="L147" s="18">
        <f t="shared" si="136"/>
        <v>0</v>
      </c>
      <c r="M147" s="18">
        <f t="shared" si="136"/>
        <v>0</v>
      </c>
      <c r="N147" s="18">
        <f t="shared" si="136"/>
        <v>0</v>
      </c>
      <c r="O147" s="18">
        <v>0</v>
      </c>
      <c r="P147" s="18">
        <f t="shared" si="136"/>
        <v>0</v>
      </c>
      <c r="Q147" s="18">
        <f t="shared" si="136"/>
        <v>0</v>
      </c>
      <c r="R147" s="18">
        <f t="shared" si="136"/>
        <v>0</v>
      </c>
      <c r="S147" s="18">
        <f t="shared" si="136"/>
        <v>0</v>
      </c>
      <c r="T147" s="18">
        <f t="shared" si="136"/>
        <v>0</v>
      </c>
    </row>
    <row r="148" spans="1:20" ht="15.75" customHeight="1">
      <c r="A148" s="14">
        <v>3.4</v>
      </c>
      <c r="B148" s="15" t="s">
        <v>46</v>
      </c>
      <c r="C148" s="14" t="s">
        <v>58</v>
      </c>
      <c r="D148" s="18"/>
      <c r="E148" s="18" t="e">
        <f t="shared" ref="E148:T148" si="137">0.5*(D$132+E$132)*E114/1000</f>
        <v>#DIV/0!</v>
      </c>
      <c r="F148" s="18" t="e">
        <f t="shared" si="137"/>
        <v>#DIV/0!</v>
      </c>
      <c r="G148" s="18">
        <f t="shared" si="137"/>
        <v>0</v>
      </c>
      <c r="H148" s="18">
        <f t="shared" si="137"/>
        <v>0</v>
      </c>
      <c r="I148" s="18">
        <f t="shared" si="137"/>
        <v>0</v>
      </c>
      <c r="J148" s="18">
        <f t="shared" si="137"/>
        <v>0</v>
      </c>
      <c r="K148" s="18">
        <f t="shared" si="137"/>
        <v>0</v>
      </c>
      <c r="L148" s="18">
        <f t="shared" si="137"/>
        <v>0</v>
      </c>
      <c r="M148" s="18">
        <f t="shared" si="137"/>
        <v>0</v>
      </c>
      <c r="N148" s="18">
        <f t="shared" si="137"/>
        <v>0</v>
      </c>
      <c r="O148" s="18">
        <v>0</v>
      </c>
      <c r="P148" s="18">
        <f t="shared" si="137"/>
        <v>0</v>
      </c>
      <c r="Q148" s="18">
        <f t="shared" si="137"/>
        <v>0</v>
      </c>
      <c r="R148" s="18">
        <f t="shared" si="137"/>
        <v>0</v>
      </c>
      <c r="S148" s="18">
        <f t="shared" si="137"/>
        <v>0</v>
      </c>
      <c r="T148" s="18">
        <f t="shared" si="137"/>
        <v>0</v>
      </c>
    </row>
    <row r="149" spans="1:20" ht="15.75" customHeight="1">
      <c r="A149" s="31">
        <v>4</v>
      </c>
      <c r="B149" s="32" t="s">
        <v>68</v>
      </c>
      <c r="C149" s="31" t="s">
        <v>58</v>
      </c>
      <c r="D149" s="35"/>
      <c r="E149" s="35" t="e">
        <f t="shared" ref="E149:T149" si="138">0.5*(D$132+E$132)*E115/1000</f>
        <v>#DIV/0!</v>
      </c>
      <c r="F149" s="35" t="e">
        <f t="shared" si="138"/>
        <v>#DIV/0!</v>
      </c>
      <c r="G149" s="35">
        <f t="shared" si="138"/>
        <v>-15760.447883401193</v>
      </c>
      <c r="H149" s="35">
        <f t="shared" si="138"/>
        <v>3824.1984515394624</v>
      </c>
      <c r="I149" s="35">
        <f t="shared" si="138"/>
        <v>13380.412754873571</v>
      </c>
      <c r="J149" s="35">
        <f t="shared" si="138"/>
        <v>-16505.264240595869</v>
      </c>
      <c r="K149" s="35">
        <f t="shared" si="138"/>
        <v>27233.919130466504</v>
      </c>
      <c r="L149" s="35">
        <f t="shared" si="138"/>
        <v>-22.838219597992818</v>
      </c>
      <c r="M149" s="35">
        <f t="shared" si="138"/>
        <v>145291.43949713738</v>
      </c>
      <c r="N149" s="35">
        <f t="shared" si="138"/>
        <v>-89672.46190627286</v>
      </c>
      <c r="O149" s="35">
        <v>96748.803842233829</v>
      </c>
      <c r="P149" s="35">
        <f t="shared" si="138"/>
        <v>-125099.91054334727</v>
      </c>
      <c r="Q149" s="35">
        <f t="shared" si="138"/>
        <v>-17200.765071228045</v>
      </c>
      <c r="R149" s="35">
        <f t="shared" si="138"/>
        <v>154066.26253523087</v>
      </c>
      <c r="S149" s="35">
        <f t="shared" si="138"/>
        <v>20270.474362512512</v>
      </c>
      <c r="T149" s="35">
        <f t="shared" si="138"/>
        <v>10521.526497445979</v>
      </c>
    </row>
    <row r="150" spans="1:20" ht="15.75" customHeight="1">
      <c r="A150" s="31">
        <v>5</v>
      </c>
      <c r="B150" s="32" t="s">
        <v>69</v>
      </c>
      <c r="C150" s="31" t="s">
        <v>58</v>
      </c>
      <c r="D150" s="35"/>
      <c r="E150" s="35" t="e">
        <f t="shared" ref="E150:T150" si="139">0.5*(D131+E131)*(E132-D132)/1000</f>
        <v>#DIV/0!</v>
      </c>
      <c r="F150" s="35" t="e">
        <f t="shared" si="139"/>
        <v>#DIV/0!</v>
      </c>
      <c r="G150" s="35">
        <f t="shared" si="139"/>
        <v>-1325.0901513987253</v>
      </c>
      <c r="H150" s="35">
        <f t="shared" si="139"/>
        <v>-29404.615360913496</v>
      </c>
      <c r="I150" s="35">
        <f t="shared" si="139"/>
        <v>-10260.433526203125</v>
      </c>
      <c r="J150" s="35">
        <f t="shared" si="139"/>
        <v>28091.563633638059</v>
      </c>
      <c r="K150" s="35">
        <f t="shared" si="139"/>
        <v>92697.54385064276</v>
      </c>
      <c r="L150" s="35">
        <f t="shared" si="139"/>
        <v>30488.252043007549</v>
      </c>
      <c r="M150" s="35">
        <f t="shared" si="139"/>
        <v>-88217.946067133453</v>
      </c>
      <c r="N150" s="35">
        <f t="shared" si="139"/>
        <v>-98352.408457191952</v>
      </c>
      <c r="O150" s="35">
        <v>-157944.80358342777</v>
      </c>
      <c r="P150" s="35">
        <f t="shared" si="139"/>
        <v>199146.18252056619</v>
      </c>
      <c r="Q150" s="35">
        <f t="shared" si="139"/>
        <v>80154.659306919406</v>
      </c>
      <c r="R150" s="35">
        <f t="shared" si="139"/>
        <v>-66133.599575156099</v>
      </c>
      <c r="S150" s="35">
        <f t="shared" si="139"/>
        <v>49526.108363348809</v>
      </c>
      <c r="T150" s="35">
        <f t="shared" si="139"/>
        <v>86041.101333410988</v>
      </c>
    </row>
    <row r="151" spans="1:20" ht="15.75" customHeight="1">
      <c r="A151" s="31">
        <v>6</v>
      </c>
      <c r="B151" s="32" t="s">
        <v>52</v>
      </c>
      <c r="C151" s="31" t="s">
        <v>58</v>
      </c>
      <c r="D151" s="35" t="e">
        <f t="shared" ref="D151:Q151" si="140">D130</f>
        <v>#DIV/0!</v>
      </c>
      <c r="E151" s="35" t="e">
        <f t="shared" si="140"/>
        <v>#DIV/0!</v>
      </c>
      <c r="F151" s="35">
        <f t="shared" si="140"/>
        <v>247715.87224437617</v>
      </c>
      <c r="G151" s="35">
        <f t="shared" si="140"/>
        <v>224382.13419914182</v>
      </c>
      <c r="H151" s="35">
        <f t="shared" si="140"/>
        <v>194671.43257973457</v>
      </c>
      <c r="I151" s="35">
        <f t="shared" si="140"/>
        <v>193839.93912204154</v>
      </c>
      <c r="J151" s="35">
        <f t="shared" si="140"/>
        <v>200366.44797565616</v>
      </c>
      <c r="K151" s="35">
        <f t="shared" si="140"/>
        <v>311024.64287169016</v>
      </c>
      <c r="L151" s="35">
        <f t="shared" si="140"/>
        <v>330729.38911953254</v>
      </c>
      <c r="M151" s="35">
        <f t="shared" si="140"/>
        <v>376606.06230149657</v>
      </c>
      <c r="N151" s="35">
        <f t="shared" si="140"/>
        <v>177537.94600791659</v>
      </c>
      <c r="O151" s="35">
        <v>111404.04160600067</v>
      </c>
      <c r="P151" s="35">
        <f t="shared" si="140"/>
        <v>181971.96855984296</v>
      </c>
      <c r="Q151" s="35">
        <f t="shared" si="140"/>
        <v>236975.2042414587</v>
      </c>
      <c r="R151" s="35">
        <f t="shared" ref="R151:S151" si="141">R130</f>
        <v>313647.39947191282</v>
      </c>
      <c r="S151" s="35">
        <f t="shared" si="141"/>
        <v>372761.01601355977</v>
      </c>
      <c r="T151" s="35">
        <f t="shared" ref="T151" si="142">T130</f>
        <v>461930.7322744503</v>
      </c>
    </row>
    <row r="152" spans="1:20" ht="15.75" customHeight="1">
      <c r="A152" s="1"/>
      <c r="B152" s="2"/>
      <c r="C152" s="2"/>
      <c r="D152" s="2"/>
      <c r="E152" s="2"/>
      <c r="F152" s="2"/>
      <c r="G152" s="2"/>
      <c r="H152" s="2"/>
      <c r="I152" s="2"/>
      <c r="J152" s="2"/>
      <c r="K152" s="2"/>
      <c r="L152" s="2"/>
      <c r="M152" s="2"/>
      <c r="N152" s="2"/>
      <c r="O152" s="2"/>
      <c r="P152" s="2"/>
      <c r="Q152" s="2"/>
      <c r="R152" s="2"/>
      <c r="S152" s="2"/>
      <c r="T152" s="2"/>
    </row>
    <row r="153" spans="1:20" ht="15.75" customHeight="1">
      <c r="A153" s="28"/>
      <c r="B153" s="29" t="s">
        <v>53</v>
      </c>
      <c r="C153" s="30"/>
      <c r="D153" s="2"/>
      <c r="E153" s="2" t="e">
        <f t="shared" ref="E153:Q153" si="143">E139+E140-E144+E149+E150=E151</f>
        <v>#DIV/0!</v>
      </c>
      <c r="F153" s="2" t="e">
        <f t="shared" si="143"/>
        <v>#DIV/0!</v>
      </c>
      <c r="G153" s="2" t="b">
        <f t="shared" si="143"/>
        <v>1</v>
      </c>
      <c r="H153" s="2" t="b">
        <f t="shared" si="143"/>
        <v>1</v>
      </c>
      <c r="I153" s="2" t="b">
        <f t="shared" si="143"/>
        <v>1</v>
      </c>
      <c r="J153" s="2" t="b">
        <f t="shared" si="143"/>
        <v>1</v>
      </c>
      <c r="K153" s="2" t="b">
        <f t="shared" si="143"/>
        <v>1</v>
      </c>
      <c r="L153" s="2" t="b">
        <f t="shared" si="143"/>
        <v>0</v>
      </c>
      <c r="M153" s="2" t="b">
        <f t="shared" si="143"/>
        <v>1</v>
      </c>
      <c r="N153" s="2" t="b">
        <f t="shared" si="143"/>
        <v>1</v>
      </c>
      <c r="O153" s="2" t="b">
        <v>1</v>
      </c>
      <c r="P153" s="2" t="b">
        <f t="shared" si="143"/>
        <v>1</v>
      </c>
      <c r="Q153" s="2" t="b">
        <f t="shared" si="143"/>
        <v>1</v>
      </c>
      <c r="R153" s="2" t="b">
        <f t="shared" ref="R153:S153" si="144">R139+R140-R144+R149+R150=R151</f>
        <v>1</v>
      </c>
      <c r="S153" s="2" t="b">
        <f t="shared" si="144"/>
        <v>1</v>
      </c>
      <c r="T153" s="2" t="b">
        <f t="shared" ref="T153" si="145">T139+T140-T144+T149+T150=T151</f>
        <v>1</v>
      </c>
    </row>
    <row r="154" spans="1:20" ht="15.75" customHeight="1">
      <c r="A154" s="1"/>
      <c r="B154" s="2"/>
      <c r="C154" s="2"/>
      <c r="D154" s="2"/>
      <c r="E154" s="2"/>
      <c r="F154" s="2"/>
      <c r="G154" s="2"/>
      <c r="H154" s="2"/>
      <c r="I154" s="2"/>
      <c r="J154" s="2"/>
      <c r="K154" s="2"/>
      <c r="L154" s="2"/>
      <c r="M154" s="2"/>
      <c r="N154" s="2"/>
      <c r="O154" s="2"/>
      <c r="P154" s="2"/>
      <c r="Q154" s="2"/>
      <c r="R154" s="2"/>
      <c r="S154" s="2"/>
      <c r="T154" s="2"/>
    </row>
    <row r="155" spans="1:20" ht="15.75" customHeight="1">
      <c r="A155" s="1"/>
      <c r="B155" s="2"/>
      <c r="C155" s="2"/>
      <c r="D155" s="2"/>
      <c r="E155" s="2"/>
      <c r="F155" s="2"/>
      <c r="G155" s="2"/>
      <c r="H155" s="2"/>
      <c r="I155" s="2"/>
      <c r="J155" s="2"/>
      <c r="K155" s="2"/>
      <c r="L155" s="2"/>
      <c r="M155" s="2"/>
      <c r="N155" s="2"/>
      <c r="O155" s="2"/>
      <c r="P155" s="2"/>
      <c r="Q155" s="2"/>
      <c r="R155" s="2"/>
      <c r="S155" s="2"/>
      <c r="T155" s="2"/>
    </row>
    <row r="156" spans="1:20" ht="15.75" customHeight="1">
      <c r="A156" s="1"/>
      <c r="B156" s="2"/>
      <c r="C156" s="2"/>
      <c r="D156" s="2"/>
      <c r="E156" s="2"/>
      <c r="F156" s="2"/>
      <c r="G156" s="2"/>
      <c r="H156" s="2"/>
      <c r="I156" s="2"/>
      <c r="J156" s="2"/>
      <c r="K156" s="2"/>
      <c r="L156" s="2"/>
      <c r="M156" s="2"/>
      <c r="N156" s="2"/>
      <c r="O156" s="2"/>
      <c r="P156" s="2"/>
      <c r="Q156" s="2"/>
      <c r="R156" s="2"/>
      <c r="S156" s="2"/>
      <c r="T156" s="2"/>
    </row>
    <row r="157" spans="1:20" ht="15.75" customHeight="1">
      <c r="A157" s="71"/>
      <c r="B157" s="72" t="s">
        <v>70</v>
      </c>
      <c r="C157" s="73"/>
      <c r="D157" s="74"/>
      <c r="E157" s="74"/>
      <c r="F157" s="74"/>
      <c r="G157" s="74"/>
      <c r="H157" s="74"/>
      <c r="I157" s="74"/>
      <c r="J157" s="74"/>
      <c r="K157" s="74"/>
      <c r="L157" s="74"/>
      <c r="M157" s="74"/>
      <c r="N157" s="74"/>
      <c r="O157" s="74"/>
      <c r="P157" s="74"/>
      <c r="Q157" s="74"/>
      <c r="R157" s="74"/>
      <c r="S157" s="74"/>
      <c r="T157" s="74"/>
    </row>
    <row r="158" spans="1:20" ht="15.75" customHeight="1">
      <c r="A158" s="1"/>
      <c r="B158" s="2"/>
      <c r="C158" s="2"/>
      <c r="D158" s="2"/>
      <c r="E158" s="2"/>
      <c r="F158" s="2"/>
      <c r="G158" s="2"/>
      <c r="H158" s="2"/>
      <c r="I158" s="2"/>
      <c r="J158" s="2"/>
      <c r="K158" s="2"/>
      <c r="L158" s="2"/>
      <c r="M158" s="2"/>
      <c r="N158" s="2"/>
      <c r="O158" s="2"/>
      <c r="P158" s="2"/>
      <c r="Q158" s="2"/>
      <c r="R158" s="2"/>
      <c r="S158" s="2"/>
      <c r="T158" s="2"/>
    </row>
    <row r="159" spans="1:20" ht="15.75" customHeight="1">
      <c r="A159" s="6" t="s">
        <v>104</v>
      </c>
      <c r="B159" s="2"/>
      <c r="C159" s="2"/>
      <c r="D159" s="2"/>
      <c r="E159" s="2"/>
      <c r="F159" s="2"/>
      <c r="G159" s="2"/>
      <c r="H159" s="2"/>
      <c r="I159" s="2"/>
      <c r="J159" s="2"/>
      <c r="K159" s="2"/>
      <c r="L159" s="2"/>
      <c r="M159" s="2"/>
      <c r="N159" s="2"/>
      <c r="O159" s="2"/>
      <c r="P159" s="2"/>
      <c r="Q159" s="2"/>
      <c r="R159" s="2"/>
      <c r="S159" s="2"/>
      <c r="T159" s="2"/>
    </row>
    <row r="160" spans="1:20" ht="15.75" customHeight="1">
      <c r="A160" s="1"/>
      <c r="B160" s="2"/>
      <c r="C160" s="2"/>
      <c r="D160" s="2"/>
      <c r="E160" s="2"/>
      <c r="F160" s="2"/>
      <c r="G160" s="2"/>
      <c r="H160" s="2"/>
      <c r="I160" s="2"/>
      <c r="J160" s="2"/>
      <c r="K160" s="2"/>
      <c r="L160" s="2"/>
      <c r="M160" s="2"/>
      <c r="N160" s="2"/>
      <c r="O160" s="2"/>
      <c r="P160" s="2"/>
      <c r="Q160" s="2"/>
      <c r="R160" s="2"/>
      <c r="S160" s="2"/>
      <c r="T160" s="2"/>
    </row>
    <row r="161" spans="1:20" ht="15.75" customHeight="1">
      <c r="A161" s="75" t="s">
        <v>3</v>
      </c>
      <c r="B161" s="75" t="s">
        <v>4</v>
      </c>
      <c r="C161" s="75" t="s">
        <v>5</v>
      </c>
      <c r="D161" s="75">
        <f t="shared" ref="D161:T161" si="146">D$3</f>
        <v>2008</v>
      </c>
      <c r="E161" s="75">
        <f t="shared" si="146"/>
        <v>2009</v>
      </c>
      <c r="F161" s="75">
        <f t="shared" si="146"/>
        <v>2010</v>
      </c>
      <c r="G161" s="75">
        <f t="shared" si="146"/>
        <v>2011</v>
      </c>
      <c r="H161" s="75">
        <f t="shared" si="146"/>
        <v>2012</v>
      </c>
      <c r="I161" s="75">
        <f t="shared" si="146"/>
        <v>2013</v>
      </c>
      <c r="J161" s="75">
        <f t="shared" si="146"/>
        <v>2014</v>
      </c>
      <c r="K161" s="75">
        <f t="shared" si="146"/>
        <v>2015</v>
      </c>
      <c r="L161" s="75">
        <f t="shared" si="146"/>
        <v>2016</v>
      </c>
      <c r="M161" s="75">
        <f t="shared" si="146"/>
        <v>2017</v>
      </c>
      <c r="N161" s="75">
        <f t="shared" si="146"/>
        <v>2018</v>
      </c>
      <c r="O161" s="75">
        <v>2019</v>
      </c>
      <c r="P161" s="75">
        <f t="shared" si="146"/>
        <v>2020</v>
      </c>
      <c r="Q161" s="75">
        <f t="shared" si="146"/>
        <v>2021</v>
      </c>
      <c r="R161" s="75">
        <f t="shared" si="146"/>
        <v>2022</v>
      </c>
      <c r="S161" s="75">
        <f t="shared" si="146"/>
        <v>2023</v>
      </c>
      <c r="T161" s="75">
        <f t="shared" si="146"/>
        <v>2024</v>
      </c>
    </row>
    <row r="162" spans="1:20" ht="15.75" customHeight="1">
      <c r="A162" s="9">
        <v>-1</v>
      </c>
      <c r="B162" s="9">
        <f t="shared" ref="B162:T162" si="147">A162-1</f>
        <v>-2</v>
      </c>
      <c r="C162" s="9">
        <f t="shared" si="147"/>
        <v>-3</v>
      </c>
      <c r="D162" s="9">
        <f t="shared" si="147"/>
        <v>-4</v>
      </c>
      <c r="E162" s="9">
        <f t="shared" si="147"/>
        <v>-5</v>
      </c>
      <c r="F162" s="9">
        <f t="shared" si="147"/>
        <v>-6</v>
      </c>
      <c r="G162" s="9">
        <f t="shared" si="147"/>
        <v>-7</v>
      </c>
      <c r="H162" s="9">
        <f t="shared" si="147"/>
        <v>-8</v>
      </c>
      <c r="I162" s="9">
        <f t="shared" si="147"/>
        <v>-9</v>
      </c>
      <c r="J162" s="9">
        <f t="shared" si="147"/>
        <v>-10</v>
      </c>
      <c r="K162" s="9">
        <f t="shared" si="147"/>
        <v>-11</v>
      </c>
      <c r="L162" s="9">
        <f t="shared" si="147"/>
        <v>-12</v>
      </c>
      <c r="M162" s="9">
        <f t="shared" si="147"/>
        <v>-13</v>
      </c>
      <c r="N162" s="9">
        <f t="shared" si="147"/>
        <v>-14</v>
      </c>
      <c r="O162" s="9">
        <v>-15</v>
      </c>
      <c r="P162" s="9">
        <f t="shared" si="147"/>
        <v>-16</v>
      </c>
      <c r="Q162" s="9">
        <f t="shared" si="147"/>
        <v>-17</v>
      </c>
      <c r="R162" s="9">
        <f t="shared" si="147"/>
        <v>-18</v>
      </c>
      <c r="S162" s="9">
        <f t="shared" si="147"/>
        <v>-19</v>
      </c>
      <c r="T162" s="9">
        <f t="shared" si="147"/>
        <v>-20</v>
      </c>
    </row>
    <row r="163" spans="1:20" ht="15.75" customHeight="1">
      <c r="A163" s="14">
        <v>1</v>
      </c>
      <c r="B163" s="21" t="s">
        <v>72</v>
      </c>
      <c r="C163" s="14" t="s">
        <v>22</v>
      </c>
      <c r="D163" s="22"/>
      <c r="E163" s="22"/>
      <c r="F163" s="22"/>
      <c r="G163" s="22"/>
      <c r="H163" s="22"/>
      <c r="I163" s="22"/>
      <c r="J163" s="22"/>
      <c r="K163" s="22"/>
      <c r="L163" s="40">
        <v>10124249.894723199</v>
      </c>
      <c r="M163" s="22"/>
      <c r="N163" s="22"/>
      <c r="O163" s="22"/>
      <c r="P163" s="22"/>
      <c r="Q163" s="22"/>
      <c r="R163" s="22"/>
      <c r="S163" s="22"/>
      <c r="T163" s="22"/>
    </row>
    <row r="164" spans="1:20" ht="15.75" customHeight="1">
      <c r="A164" s="14">
        <v>2</v>
      </c>
      <c r="B164" s="15" t="s">
        <v>26</v>
      </c>
      <c r="C164" s="14" t="s">
        <v>22</v>
      </c>
      <c r="D164" s="22"/>
      <c r="E164" s="22"/>
      <c r="F164" s="22"/>
      <c r="G164" s="22"/>
      <c r="H164" s="22"/>
      <c r="I164" s="22"/>
      <c r="J164" s="22"/>
      <c r="K164" s="22"/>
      <c r="L164" s="41">
        <v>8250655.5134855798</v>
      </c>
      <c r="M164" s="22"/>
      <c r="N164" s="22"/>
      <c r="O164" s="22"/>
      <c r="P164" s="22"/>
      <c r="Q164" s="22"/>
      <c r="R164" s="22"/>
      <c r="S164" s="22"/>
      <c r="T164" s="22"/>
    </row>
    <row r="165" spans="1:20" ht="15.75" customHeight="1">
      <c r="A165" s="14">
        <v>3</v>
      </c>
      <c r="B165" s="21" t="s">
        <v>73</v>
      </c>
      <c r="C165" s="14" t="s">
        <v>22</v>
      </c>
      <c r="D165" s="22"/>
      <c r="E165" s="22"/>
      <c r="F165" s="22"/>
      <c r="G165" s="22"/>
      <c r="H165" s="22"/>
      <c r="I165" s="22"/>
      <c r="J165" s="22"/>
      <c r="K165" s="22"/>
      <c r="L165" s="41">
        <v>4959326.59980975</v>
      </c>
      <c r="M165" s="22"/>
      <c r="N165" s="22"/>
      <c r="O165" s="22"/>
      <c r="P165" s="22"/>
      <c r="Q165" s="22"/>
      <c r="R165" s="22"/>
      <c r="S165" s="22"/>
      <c r="T165" s="22"/>
    </row>
    <row r="166" spans="1:20" ht="15.75" customHeight="1">
      <c r="A166" s="14">
        <v>4</v>
      </c>
      <c r="B166" s="21" t="s">
        <v>35</v>
      </c>
      <c r="C166" s="14" t="s">
        <v>22</v>
      </c>
      <c r="D166" s="22"/>
      <c r="E166" s="22"/>
      <c r="F166" s="22"/>
      <c r="G166" s="22"/>
      <c r="H166" s="22"/>
      <c r="I166" s="22"/>
      <c r="J166" s="22"/>
      <c r="K166" s="22"/>
      <c r="L166" s="41">
        <v>2443555.76492183</v>
      </c>
      <c r="M166" s="22"/>
      <c r="N166" s="22"/>
      <c r="O166" s="22"/>
      <c r="P166" s="22"/>
      <c r="Q166" s="22"/>
      <c r="R166" s="22"/>
      <c r="S166" s="22"/>
      <c r="T166" s="22"/>
    </row>
    <row r="167" spans="1:20" ht="15.75" customHeight="1">
      <c r="A167" s="14">
        <v>5</v>
      </c>
      <c r="B167" s="21" t="s">
        <v>74</v>
      </c>
      <c r="C167" s="14" t="s">
        <v>22</v>
      </c>
      <c r="D167" s="22"/>
      <c r="E167" s="22"/>
      <c r="F167" s="22"/>
      <c r="G167" s="22"/>
      <c r="H167" s="22"/>
      <c r="I167" s="22"/>
      <c r="J167" s="22"/>
      <c r="K167" s="22"/>
      <c r="L167" s="41">
        <v>97391.103259526702</v>
      </c>
      <c r="M167" s="22"/>
      <c r="N167" s="22"/>
      <c r="O167" s="22"/>
      <c r="P167" s="22"/>
      <c r="Q167" s="22"/>
      <c r="R167" s="22"/>
      <c r="S167" s="22"/>
      <c r="T167" s="22"/>
    </row>
    <row r="168" spans="1:20" ht="15.75" customHeight="1">
      <c r="A168" s="14">
        <v>6</v>
      </c>
      <c r="B168" s="21" t="s">
        <v>75</v>
      </c>
      <c r="C168" s="14" t="s">
        <v>22</v>
      </c>
      <c r="D168" s="22"/>
      <c r="E168" s="22"/>
      <c r="F168" s="22"/>
      <c r="G168" s="22"/>
      <c r="H168" s="22"/>
      <c r="I168" s="22"/>
      <c r="J168" s="22"/>
      <c r="K168" s="22"/>
      <c r="L168" s="41">
        <v>0</v>
      </c>
      <c r="M168" s="22"/>
      <c r="N168" s="22"/>
      <c r="O168" s="22"/>
      <c r="P168" s="22"/>
      <c r="Q168" s="22"/>
      <c r="R168" s="22"/>
      <c r="S168" s="22"/>
      <c r="T168" s="22"/>
    </row>
    <row r="169" spans="1:20" ht="15.75" customHeight="1">
      <c r="A169" s="31">
        <v>7</v>
      </c>
      <c r="B169" s="42" t="s">
        <v>29</v>
      </c>
      <c r="C169" s="31" t="s">
        <v>22</v>
      </c>
      <c r="D169" s="43"/>
      <c r="E169" s="43"/>
      <c r="F169" s="43"/>
      <c r="G169" s="43"/>
      <c r="H169" s="43"/>
      <c r="I169" s="43"/>
      <c r="J169" s="43"/>
      <c r="K169" s="43"/>
      <c r="L169" s="44">
        <f>SUM(L163:L168)</f>
        <v>25875178.876199886</v>
      </c>
      <c r="M169" s="43"/>
      <c r="N169" s="43"/>
      <c r="O169" s="43"/>
      <c r="P169" s="43"/>
      <c r="Q169" s="43"/>
      <c r="R169" s="43"/>
      <c r="S169" s="43"/>
      <c r="T169" s="43"/>
    </row>
    <row r="170" spans="1:20" ht="15.75" customHeight="1">
      <c r="A170" s="17" t="s">
        <v>76</v>
      </c>
      <c r="B170" s="2"/>
      <c r="C170" s="2"/>
      <c r="D170" s="2"/>
      <c r="E170" s="2"/>
      <c r="F170" s="2"/>
      <c r="G170" s="2"/>
      <c r="H170" s="2"/>
      <c r="I170" s="2"/>
      <c r="J170" s="2"/>
      <c r="K170" s="2"/>
      <c r="L170" s="2"/>
      <c r="M170" s="2"/>
      <c r="N170" s="2"/>
      <c r="O170" s="2"/>
      <c r="P170" s="2"/>
      <c r="Q170" s="2"/>
      <c r="R170" s="2"/>
      <c r="S170" s="2"/>
      <c r="T170" s="2"/>
    </row>
    <row r="171" spans="1:20" ht="15.75" customHeight="1">
      <c r="A171" s="1"/>
      <c r="B171" s="2"/>
      <c r="C171" s="2"/>
      <c r="D171" s="2"/>
      <c r="E171" s="2"/>
      <c r="F171" s="2"/>
      <c r="G171" s="2"/>
      <c r="H171" s="2"/>
      <c r="I171" s="2"/>
      <c r="J171" s="2"/>
      <c r="K171" s="2"/>
      <c r="L171" s="2"/>
      <c r="M171" s="2"/>
      <c r="N171" s="2"/>
      <c r="O171" s="2"/>
      <c r="P171" s="2"/>
      <c r="Q171" s="2"/>
      <c r="R171" s="2"/>
      <c r="S171" s="2"/>
      <c r="T171" s="2"/>
    </row>
    <row r="172" spans="1:20" ht="15.75" customHeight="1">
      <c r="A172" s="1"/>
      <c r="B172" s="2"/>
      <c r="C172" s="2"/>
      <c r="D172" s="2"/>
      <c r="E172" s="2"/>
      <c r="F172" s="2"/>
      <c r="G172" s="2"/>
      <c r="H172" s="2"/>
      <c r="I172" s="2"/>
      <c r="J172" s="2"/>
      <c r="K172" s="2"/>
      <c r="L172" s="2"/>
      <c r="M172" s="2"/>
      <c r="N172" s="2"/>
      <c r="O172" s="2"/>
      <c r="P172" s="2"/>
      <c r="Q172" s="2"/>
      <c r="R172" s="2"/>
      <c r="S172" s="2"/>
      <c r="T172" s="2"/>
    </row>
    <row r="173" spans="1:20" ht="15.75" customHeight="1">
      <c r="A173" s="1"/>
      <c r="B173" s="2"/>
      <c r="C173" s="2"/>
      <c r="D173" s="2"/>
      <c r="E173" s="2"/>
      <c r="F173" s="2"/>
      <c r="G173" s="2"/>
      <c r="H173" s="2"/>
      <c r="I173" s="2"/>
      <c r="J173" s="2"/>
      <c r="K173" s="2"/>
      <c r="L173" s="2"/>
      <c r="M173" s="2"/>
      <c r="N173" s="2"/>
      <c r="O173" s="2"/>
      <c r="P173" s="2"/>
      <c r="Q173" s="2"/>
      <c r="R173" s="2"/>
      <c r="S173" s="2"/>
      <c r="T173" s="2"/>
    </row>
    <row r="174" spans="1:20" ht="15.75" customHeight="1">
      <c r="A174" s="1"/>
      <c r="B174" s="2"/>
      <c r="C174" s="2"/>
      <c r="D174" s="2"/>
      <c r="E174" s="2"/>
      <c r="F174" s="2"/>
      <c r="G174" s="2"/>
      <c r="H174" s="2"/>
      <c r="I174" s="2"/>
      <c r="J174" s="2"/>
      <c r="K174" s="2"/>
      <c r="L174" s="2"/>
      <c r="M174" s="2"/>
      <c r="N174" s="2"/>
      <c r="O174" s="2"/>
      <c r="P174" s="2"/>
      <c r="Q174" s="2"/>
      <c r="R174" s="2"/>
      <c r="S174" s="2"/>
      <c r="T174" s="2"/>
    </row>
    <row r="175" spans="1:20" ht="15.75" customHeight="1">
      <c r="A175" s="1"/>
      <c r="B175" s="2"/>
      <c r="C175" s="2"/>
      <c r="D175" s="2"/>
      <c r="E175" s="2"/>
      <c r="F175" s="2"/>
      <c r="G175" s="2"/>
      <c r="H175" s="2"/>
      <c r="I175" s="2"/>
      <c r="J175" s="2"/>
      <c r="K175" s="2"/>
      <c r="L175" s="2"/>
      <c r="M175" s="2"/>
      <c r="N175" s="2"/>
      <c r="O175" s="2"/>
      <c r="P175" s="2"/>
      <c r="Q175" s="2"/>
      <c r="R175" s="2"/>
      <c r="S175" s="2"/>
      <c r="T175" s="2"/>
    </row>
    <row r="176" spans="1:20" ht="15.75" customHeight="1">
      <c r="A176" s="1"/>
      <c r="B176" s="2"/>
      <c r="C176" s="2"/>
      <c r="D176" s="2"/>
      <c r="E176" s="2"/>
      <c r="F176" s="2"/>
      <c r="G176" s="2"/>
      <c r="H176" s="2"/>
      <c r="I176" s="2"/>
      <c r="J176" s="2"/>
      <c r="K176" s="2"/>
      <c r="L176" s="2"/>
      <c r="M176" s="2"/>
      <c r="N176" s="2"/>
      <c r="O176" s="2"/>
      <c r="P176" s="2"/>
      <c r="Q176" s="2"/>
      <c r="R176" s="2"/>
      <c r="S176" s="2"/>
      <c r="T176" s="2"/>
    </row>
    <row r="177" spans="1:20" ht="15.75" customHeight="1">
      <c r="A177" s="1"/>
      <c r="B177" s="2"/>
      <c r="C177" s="2"/>
      <c r="D177" s="2"/>
      <c r="E177" s="2"/>
      <c r="F177" s="2"/>
      <c r="G177" s="2"/>
      <c r="H177" s="2"/>
      <c r="I177" s="2"/>
      <c r="J177" s="2"/>
      <c r="K177" s="2"/>
      <c r="L177" s="2"/>
      <c r="M177" s="2"/>
      <c r="N177" s="2"/>
      <c r="O177" s="2"/>
      <c r="P177" s="2"/>
      <c r="Q177" s="2"/>
      <c r="R177" s="2"/>
      <c r="S177" s="2"/>
      <c r="T177" s="2"/>
    </row>
    <row r="178" spans="1:20" ht="15.75" customHeight="1">
      <c r="A178" s="1"/>
      <c r="B178" s="2"/>
      <c r="C178" s="2"/>
      <c r="D178" s="2"/>
      <c r="E178" s="2"/>
      <c r="F178" s="2"/>
      <c r="G178" s="2"/>
      <c r="H178" s="2"/>
      <c r="I178" s="2"/>
      <c r="J178" s="2"/>
      <c r="K178" s="2"/>
      <c r="L178" s="2"/>
      <c r="M178" s="2"/>
      <c r="N178" s="2"/>
      <c r="O178" s="2"/>
      <c r="P178" s="2"/>
      <c r="Q178" s="2"/>
      <c r="R178" s="2"/>
      <c r="S178" s="2"/>
      <c r="T178" s="2"/>
    </row>
    <row r="179" spans="1:20" ht="15.75" customHeight="1">
      <c r="A179" s="1"/>
      <c r="B179" s="2"/>
      <c r="C179" s="2"/>
      <c r="D179" s="2"/>
      <c r="E179" s="2"/>
      <c r="F179" s="2"/>
      <c r="G179" s="2"/>
      <c r="H179" s="2"/>
      <c r="I179" s="2"/>
      <c r="J179" s="2"/>
      <c r="K179" s="2"/>
      <c r="L179" s="2"/>
      <c r="M179" s="2"/>
      <c r="N179" s="2"/>
      <c r="O179" s="2"/>
      <c r="P179" s="2"/>
      <c r="Q179" s="2"/>
      <c r="R179" s="2"/>
      <c r="S179" s="2"/>
      <c r="T179" s="2"/>
    </row>
    <row r="180" spans="1:20" ht="15.75" customHeight="1">
      <c r="A180" s="1"/>
      <c r="B180" s="2"/>
      <c r="C180" s="2"/>
      <c r="D180" s="2"/>
      <c r="E180" s="2"/>
      <c r="F180" s="2"/>
      <c r="G180" s="2"/>
      <c r="H180" s="2"/>
      <c r="I180" s="2"/>
      <c r="J180" s="2"/>
      <c r="K180" s="2"/>
      <c r="L180" s="2"/>
      <c r="M180" s="2"/>
      <c r="N180" s="2"/>
      <c r="O180" s="2"/>
      <c r="P180" s="2"/>
      <c r="Q180" s="2"/>
      <c r="R180" s="2"/>
      <c r="S180" s="2"/>
      <c r="T180" s="2"/>
    </row>
    <row r="181" spans="1:20" ht="15.75" customHeight="1">
      <c r="A181" s="1"/>
      <c r="B181" s="2"/>
      <c r="C181" s="2"/>
      <c r="D181" s="2"/>
      <c r="E181" s="2"/>
      <c r="F181" s="2"/>
      <c r="G181" s="2"/>
      <c r="H181" s="2"/>
      <c r="I181" s="2"/>
      <c r="J181" s="2"/>
      <c r="K181" s="2"/>
      <c r="L181" s="2"/>
      <c r="M181" s="2"/>
      <c r="N181" s="2"/>
      <c r="O181" s="2"/>
      <c r="P181" s="2"/>
      <c r="Q181" s="2"/>
      <c r="R181" s="2"/>
      <c r="S181" s="2"/>
      <c r="T181" s="2"/>
    </row>
    <row r="182" spans="1:20" ht="15.75" customHeight="1">
      <c r="A182" s="1"/>
      <c r="B182" s="2"/>
      <c r="C182" s="2"/>
      <c r="D182" s="2"/>
      <c r="E182" s="2"/>
      <c r="F182" s="2"/>
      <c r="G182" s="2"/>
      <c r="H182" s="2"/>
      <c r="I182" s="2"/>
      <c r="J182" s="2"/>
      <c r="K182" s="2"/>
      <c r="L182" s="2"/>
      <c r="M182" s="2"/>
      <c r="N182" s="2"/>
      <c r="O182" s="2"/>
      <c r="P182" s="2"/>
      <c r="Q182" s="2"/>
      <c r="R182" s="2"/>
      <c r="S182" s="2"/>
      <c r="T182" s="2"/>
    </row>
    <row r="183" spans="1:20" ht="15.75" customHeight="1">
      <c r="A183" s="1"/>
      <c r="B183" s="2"/>
      <c r="C183" s="2"/>
      <c r="D183" s="2"/>
      <c r="E183" s="2"/>
      <c r="F183" s="2"/>
      <c r="G183" s="2"/>
      <c r="H183" s="2"/>
      <c r="I183" s="2"/>
      <c r="J183" s="2"/>
      <c r="K183" s="2"/>
      <c r="L183" s="2"/>
      <c r="M183" s="2"/>
      <c r="N183" s="2"/>
      <c r="O183" s="2"/>
      <c r="P183" s="2"/>
      <c r="Q183" s="2"/>
      <c r="R183" s="2"/>
      <c r="S183" s="2"/>
      <c r="T183" s="2"/>
    </row>
    <row r="184" spans="1:20" ht="15.75" customHeight="1">
      <c r="A184" s="1"/>
      <c r="B184" s="2"/>
      <c r="C184" s="2"/>
      <c r="D184" s="2"/>
      <c r="E184" s="2"/>
      <c r="F184" s="2"/>
      <c r="G184" s="2"/>
      <c r="H184" s="2"/>
      <c r="I184" s="2"/>
      <c r="J184" s="2"/>
      <c r="K184" s="2"/>
      <c r="L184" s="2"/>
      <c r="M184" s="2"/>
      <c r="N184" s="2"/>
      <c r="O184" s="2"/>
      <c r="P184" s="2"/>
      <c r="Q184" s="2"/>
      <c r="R184" s="2"/>
      <c r="S184" s="2"/>
      <c r="T184" s="2"/>
    </row>
    <row r="185" spans="1:20" ht="15.75" customHeight="1">
      <c r="A185" s="1"/>
      <c r="B185" s="2"/>
      <c r="C185" s="2"/>
      <c r="D185" s="2"/>
      <c r="E185" s="2"/>
      <c r="F185" s="2"/>
      <c r="G185" s="2"/>
      <c r="H185" s="2"/>
      <c r="I185" s="2"/>
      <c r="J185" s="2"/>
      <c r="K185" s="2"/>
      <c r="L185" s="2"/>
      <c r="M185" s="2"/>
      <c r="N185" s="2"/>
      <c r="O185" s="2"/>
      <c r="P185" s="2"/>
      <c r="Q185" s="2"/>
      <c r="R185" s="2"/>
      <c r="S185" s="2"/>
      <c r="T185" s="2"/>
    </row>
    <row r="186" spans="1:20" ht="15.75" customHeight="1">
      <c r="A186" s="1"/>
      <c r="B186" s="2"/>
      <c r="C186" s="2"/>
      <c r="D186" s="2"/>
      <c r="E186" s="2"/>
      <c r="F186" s="2"/>
      <c r="G186" s="2"/>
      <c r="H186" s="2"/>
      <c r="I186" s="2"/>
      <c r="J186" s="2"/>
      <c r="K186" s="2"/>
      <c r="L186" s="2"/>
      <c r="M186" s="2"/>
      <c r="N186" s="2"/>
      <c r="O186" s="2"/>
      <c r="P186" s="2"/>
      <c r="Q186" s="2"/>
      <c r="R186" s="2"/>
      <c r="S186" s="2"/>
      <c r="T186" s="2"/>
    </row>
    <row r="187" spans="1:20" ht="15.75" customHeight="1">
      <c r="A187" s="1"/>
      <c r="B187" s="2"/>
      <c r="C187" s="2"/>
      <c r="D187" s="2"/>
      <c r="E187" s="2"/>
      <c r="F187" s="2"/>
      <c r="G187" s="2"/>
      <c r="H187" s="2"/>
      <c r="I187" s="2"/>
      <c r="J187" s="2"/>
      <c r="K187" s="2"/>
      <c r="L187" s="2"/>
      <c r="M187" s="2"/>
      <c r="N187" s="2"/>
      <c r="O187" s="2"/>
      <c r="P187" s="2"/>
      <c r="Q187" s="2"/>
      <c r="R187" s="2"/>
      <c r="S187" s="2"/>
      <c r="T187" s="2"/>
    </row>
    <row r="188" spans="1:20" ht="15.75" customHeight="1">
      <c r="A188" s="1"/>
      <c r="B188" s="2"/>
      <c r="C188" s="2"/>
      <c r="D188" s="2"/>
      <c r="E188" s="2"/>
      <c r="F188" s="2"/>
      <c r="G188" s="2"/>
      <c r="H188" s="2"/>
      <c r="I188" s="2"/>
      <c r="J188" s="2"/>
      <c r="K188" s="2"/>
      <c r="L188" s="2"/>
      <c r="M188" s="2"/>
      <c r="N188" s="2"/>
      <c r="O188" s="2"/>
      <c r="P188" s="2"/>
      <c r="Q188" s="2"/>
      <c r="R188" s="2"/>
      <c r="S188" s="2"/>
      <c r="T188" s="2"/>
    </row>
    <row r="189" spans="1:20" ht="15.75" customHeight="1">
      <c r="A189" s="1"/>
      <c r="B189" s="2"/>
      <c r="C189" s="2"/>
      <c r="D189" s="2"/>
      <c r="E189" s="2"/>
      <c r="F189" s="2"/>
      <c r="G189" s="2"/>
      <c r="H189" s="2"/>
      <c r="I189" s="2"/>
      <c r="J189" s="2"/>
      <c r="K189" s="2"/>
      <c r="L189" s="2"/>
      <c r="M189" s="2"/>
      <c r="N189" s="2"/>
      <c r="O189" s="2"/>
      <c r="P189" s="2"/>
      <c r="Q189" s="2"/>
      <c r="R189" s="2"/>
      <c r="S189" s="2"/>
      <c r="T189" s="2"/>
    </row>
    <row r="190" spans="1:20" ht="15.75" customHeight="1">
      <c r="A190" s="1"/>
      <c r="B190" s="2"/>
      <c r="C190" s="2"/>
      <c r="D190" s="2"/>
      <c r="E190" s="2"/>
      <c r="F190" s="2"/>
      <c r="G190" s="2"/>
      <c r="H190" s="2"/>
      <c r="I190" s="2"/>
      <c r="J190" s="2"/>
      <c r="K190" s="2"/>
      <c r="L190" s="2"/>
      <c r="M190" s="2"/>
      <c r="N190" s="2"/>
      <c r="O190" s="2"/>
      <c r="P190" s="2"/>
      <c r="Q190" s="2"/>
      <c r="R190" s="2"/>
      <c r="S190" s="2"/>
      <c r="T190" s="2"/>
    </row>
    <row r="191" spans="1:20" ht="15.75" customHeight="1">
      <c r="A191" s="1"/>
      <c r="B191" s="2"/>
      <c r="C191" s="2"/>
      <c r="D191" s="2"/>
      <c r="E191" s="2"/>
      <c r="F191" s="2"/>
      <c r="G191" s="2"/>
      <c r="H191" s="2"/>
      <c r="I191" s="2"/>
      <c r="J191" s="2"/>
      <c r="K191" s="2"/>
      <c r="L191" s="2"/>
      <c r="M191" s="2"/>
      <c r="N191" s="2"/>
      <c r="O191" s="2"/>
      <c r="P191" s="2"/>
      <c r="Q191" s="2"/>
      <c r="R191" s="2"/>
      <c r="S191" s="2"/>
      <c r="T191" s="2"/>
    </row>
    <row r="192" spans="1:20" ht="15.75" customHeight="1">
      <c r="A192" s="1"/>
      <c r="B192" s="2"/>
      <c r="C192" s="2"/>
      <c r="D192" s="2"/>
      <c r="E192" s="2"/>
      <c r="F192" s="2"/>
      <c r="G192" s="2"/>
      <c r="H192" s="2"/>
      <c r="I192" s="2"/>
      <c r="J192" s="2"/>
      <c r="K192" s="2"/>
      <c r="L192" s="2"/>
      <c r="M192" s="2"/>
      <c r="N192" s="2"/>
      <c r="O192" s="2"/>
      <c r="P192" s="2"/>
      <c r="Q192" s="2"/>
      <c r="R192" s="2"/>
      <c r="S192" s="2"/>
      <c r="T192" s="2"/>
    </row>
    <row r="193" spans="1:20" ht="15.75" customHeight="1">
      <c r="A193" s="1"/>
      <c r="B193" s="2"/>
      <c r="C193" s="2"/>
      <c r="D193" s="2"/>
      <c r="E193" s="2"/>
      <c r="F193" s="2"/>
      <c r="G193" s="2"/>
      <c r="H193" s="2"/>
      <c r="I193" s="2"/>
      <c r="J193" s="2"/>
      <c r="K193" s="2"/>
      <c r="L193" s="2"/>
      <c r="M193" s="2"/>
      <c r="N193" s="2"/>
      <c r="O193" s="2"/>
      <c r="P193" s="2"/>
      <c r="Q193" s="2"/>
      <c r="R193" s="2"/>
      <c r="S193" s="2"/>
      <c r="T193" s="2"/>
    </row>
    <row r="194" spans="1:20" ht="15.75" customHeight="1">
      <c r="A194" s="1"/>
      <c r="B194" s="2"/>
      <c r="C194" s="2"/>
      <c r="D194" s="2"/>
      <c r="E194" s="2"/>
      <c r="F194" s="2"/>
      <c r="G194" s="2"/>
      <c r="H194" s="2"/>
      <c r="I194" s="2"/>
      <c r="J194" s="2"/>
      <c r="K194" s="2"/>
      <c r="L194" s="2"/>
      <c r="M194" s="2"/>
      <c r="N194" s="2"/>
      <c r="O194" s="2"/>
      <c r="P194" s="2"/>
      <c r="Q194" s="2"/>
      <c r="R194" s="2"/>
      <c r="S194" s="2"/>
      <c r="T194" s="2"/>
    </row>
    <row r="195" spans="1:20" ht="15.75" customHeight="1">
      <c r="A195" s="1"/>
      <c r="B195" s="2"/>
      <c r="C195" s="2"/>
      <c r="D195" s="2"/>
      <c r="E195" s="2"/>
      <c r="F195" s="2"/>
      <c r="G195" s="2"/>
      <c r="H195" s="2"/>
      <c r="I195" s="2"/>
      <c r="J195" s="2"/>
      <c r="K195" s="2"/>
      <c r="L195" s="2"/>
      <c r="M195" s="2"/>
      <c r="N195" s="2"/>
      <c r="O195" s="2"/>
      <c r="P195" s="2"/>
      <c r="Q195" s="2"/>
      <c r="R195" s="2"/>
      <c r="S195" s="2"/>
      <c r="T195" s="2"/>
    </row>
    <row r="196" spans="1:20" ht="15.75" customHeight="1">
      <c r="A196" s="1"/>
      <c r="B196" s="2"/>
      <c r="C196" s="2"/>
      <c r="D196" s="2"/>
      <c r="E196" s="2"/>
      <c r="F196" s="2"/>
      <c r="G196" s="2"/>
      <c r="H196" s="2"/>
      <c r="I196" s="2"/>
      <c r="J196" s="2"/>
      <c r="K196" s="2"/>
      <c r="L196" s="2"/>
      <c r="M196" s="2"/>
      <c r="N196" s="2"/>
      <c r="O196" s="2"/>
      <c r="P196" s="2"/>
      <c r="Q196" s="2"/>
      <c r="R196" s="2"/>
      <c r="S196" s="2"/>
      <c r="T196" s="2"/>
    </row>
    <row r="197" spans="1:20" ht="15.75" customHeight="1">
      <c r="A197" s="1"/>
      <c r="B197" s="2"/>
      <c r="C197" s="2"/>
      <c r="D197" s="2"/>
      <c r="E197" s="2"/>
      <c r="F197" s="2"/>
      <c r="G197" s="2"/>
      <c r="H197" s="2"/>
      <c r="I197" s="2"/>
      <c r="J197" s="2"/>
      <c r="K197" s="2"/>
      <c r="L197" s="2"/>
      <c r="M197" s="2"/>
      <c r="N197" s="2"/>
      <c r="O197" s="2"/>
      <c r="P197" s="2"/>
      <c r="Q197" s="2"/>
      <c r="R197" s="2"/>
      <c r="S197" s="2"/>
      <c r="T197" s="2"/>
    </row>
    <row r="198" spans="1:20" ht="15.75" customHeight="1">
      <c r="A198" s="1"/>
      <c r="B198" s="2"/>
      <c r="C198" s="2"/>
      <c r="D198" s="2"/>
      <c r="E198" s="2"/>
      <c r="F198" s="2"/>
      <c r="G198" s="2"/>
      <c r="H198" s="2"/>
      <c r="I198" s="2"/>
      <c r="J198" s="2"/>
      <c r="K198" s="2"/>
      <c r="L198" s="2"/>
      <c r="M198" s="2"/>
      <c r="N198" s="2"/>
      <c r="O198" s="2"/>
      <c r="P198" s="2"/>
      <c r="Q198" s="2"/>
      <c r="R198" s="2"/>
      <c r="S198" s="2"/>
      <c r="T198" s="2"/>
    </row>
    <row r="199" spans="1:20" ht="15.75" customHeight="1">
      <c r="A199" s="1"/>
      <c r="B199" s="2"/>
      <c r="C199" s="2"/>
      <c r="D199" s="2"/>
      <c r="E199" s="2"/>
      <c r="F199" s="2"/>
      <c r="G199" s="2"/>
      <c r="H199" s="2"/>
      <c r="I199" s="2"/>
      <c r="J199" s="2"/>
      <c r="K199" s="2"/>
      <c r="L199" s="2"/>
      <c r="M199" s="2"/>
      <c r="N199" s="2"/>
      <c r="O199" s="2"/>
      <c r="P199" s="2"/>
      <c r="Q199" s="2"/>
      <c r="R199" s="2"/>
      <c r="S199" s="2"/>
      <c r="T199" s="2"/>
    </row>
    <row r="200" spans="1:20" ht="15.75" customHeight="1">
      <c r="A200" s="1"/>
      <c r="B200" s="2"/>
      <c r="C200" s="2"/>
      <c r="D200" s="2"/>
      <c r="E200" s="2"/>
      <c r="F200" s="2"/>
      <c r="G200" s="2"/>
      <c r="H200" s="2"/>
      <c r="I200" s="2"/>
      <c r="J200" s="2"/>
      <c r="K200" s="2"/>
      <c r="L200" s="2"/>
      <c r="M200" s="2"/>
      <c r="N200" s="2"/>
      <c r="O200" s="2"/>
      <c r="P200" s="2"/>
      <c r="Q200" s="2"/>
      <c r="R200" s="2"/>
      <c r="S200" s="2"/>
      <c r="T200" s="2"/>
    </row>
    <row r="201" spans="1:20" ht="15.75" customHeight="1">
      <c r="A201" s="1"/>
      <c r="B201" s="2"/>
      <c r="C201" s="2"/>
      <c r="D201" s="2"/>
      <c r="E201" s="2"/>
      <c r="F201" s="2"/>
      <c r="G201" s="2"/>
      <c r="H201" s="2"/>
      <c r="I201" s="2"/>
      <c r="J201" s="2"/>
      <c r="K201" s="2"/>
      <c r="L201" s="2"/>
      <c r="M201" s="2"/>
      <c r="N201" s="2"/>
      <c r="O201" s="2"/>
      <c r="P201" s="2"/>
      <c r="Q201" s="2"/>
      <c r="R201" s="2"/>
      <c r="S201" s="2"/>
      <c r="T201" s="2"/>
    </row>
    <row r="202" spans="1:20" ht="15.75" customHeight="1">
      <c r="A202" s="1"/>
      <c r="B202" s="2"/>
      <c r="C202" s="2"/>
      <c r="D202" s="2"/>
      <c r="E202" s="2"/>
      <c r="F202" s="2"/>
      <c r="G202" s="2"/>
      <c r="H202" s="2"/>
      <c r="I202" s="2"/>
      <c r="J202" s="2"/>
      <c r="K202" s="2"/>
      <c r="L202" s="2"/>
      <c r="M202" s="2"/>
      <c r="N202" s="2"/>
      <c r="O202" s="2"/>
      <c r="P202" s="2"/>
      <c r="Q202" s="2"/>
      <c r="R202" s="2"/>
      <c r="S202" s="2"/>
      <c r="T202" s="2"/>
    </row>
    <row r="203" spans="1:20" ht="15.75" customHeight="1">
      <c r="A203" s="1"/>
      <c r="B203" s="2"/>
      <c r="C203" s="2"/>
      <c r="D203" s="2"/>
      <c r="E203" s="2"/>
      <c r="F203" s="2"/>
      <c r="G203" s="2"/>
      <c r="H203" s="2"/>
      <c r="I203" s="2"/>
      <c r="J203" s="2"/>
      <c r="K203" s="2"/>
      <c r="L203" s="2"/>
      <c r="M203" s="2"/>
      <c r="N203" s="2"/>
      <c r="O203" s="2"/>
      <c r="P203" s="2"/>
      <c r="Q203" s="2"/>
      <c r="R203" s="2"/>
      <c r="S203" s="2"/>
      <c r="T203" s="2"/>
    </row>
    <row r="204" spans="1:20" ht="15.75" customHeight="1">
      <c r="A204" s="1"/>
      <c r="B204" s="2"/>
      <c r="C204" s="2"/>
      <c r="D204" s="2"/>
      <c r="E204" s="2"/>
      <c r="F204" s="2"/>
      <c r="G204" s="2"/>
      <c r="H204" s="2"/>
      <c r="I204" s="2"/>
      <c r="J204" s="2"/>
      <c r="K204" s="2"/>
      <c r="L204" s="2"/>
      <c r="M204" s="2"/>
      <c r="N204" s="2"/>
      <c r="O204" s="2"/>
      <c r="P204" s="2"/>
      <c r="Q204" s="2"/>
      <c r="R204" s="2"/>
      <c r="S204" s="2"/>
      <c r="T204" s="2"/>
    </row>
    <row r="205" spans="1:20" ht="15.75" customHeight="1">
      <c r="A205" s="1"/>
      <c r="B205" s="2"/>
      <c r="C205" s="2"/>
      <c r="D205" s="2"/>
      <c r="E205" s="2"/>
      <c r="F205" s="2"/>
      <c r="G205" s="2"/>
      <c r="H205" s="2"/>
      <c r="I205" s="2"/>
      <c r="J205" s="2"/>
      <c r="K205" s="2"/>
      <c r="L205" s="2"/>
      <c r="M205" s="2"/>
      <c r="N205" s="2"/>
      <c r="O205" s="2"/>
      <c r="P205" s="2"/>
      <c r="Q205" s="2"/>
      <c r="R205" s="2"/>
      <c r="S205" s="2"/>
      <c r="T205" s="2"/>
    </row>
    <row r="206" spans="1:20" ht="15.75" customHeight="1">
      <c r="A206" s="1"/>
      <c r="B206" s="2"/>
      <c r="C206" s="2"/>
      <c r="D206" s="2"/>
      <c r="E206" s="2"/>
      <c r="F206" s="2"/>
      <c r="G206" s="2"/>
      <c r="H206" s="2"/>
      <c r="I206" s="2"/>
      <c r="J206" s="2"/>
      <c r="K206" s="2"/>
      <c r="L206" s="2"/>
      <c r="M206" s="2"/>
      <c r="N206" s="2"/>
      <c r="O206" s="2"/>
      <c r="P206" s="2"/>
      <c r="Q206" s="2"/>
      <c r="R206" s="2"/>
      <c r="S206" s="2"/>
      <c r="T206" s="2"/>
    </row>
    <row r="207" spans="1:20" ht="15.75" customHeight="1">
      <c r="A207" s="1"/>
      <c r="B207" s="2"/>
      <c r="C207" s="2"/>
      <c r="D207" s="2"/>
      <c r="E207" s="2"/>
      <c r="F207" s="2"/>
      <c r="G207" s="2"/>
      <c r="H207" s="2"/>
      <c r="I207" s="2"/>
      <c r="J207" s="2"/>
      <c r="K207" s="2"/>
      <c r="L207" s="2"/>
      <c r="M207" s="2"/>
      <c r="N207" s="2"/>
      <c r="O207" s="2"/>
      <c r="P207" s="2"/>
      <c r="Q207" s="2"/>
      <c r="R207" s="2"/>
      <c r="S207" s="2"/>
      <c r="T207" s="2"/>
    </row>
    <row r="208" spans="1:20" ht="15.75" customHeight="1">
      <c r="A208" s="1"/>
      <c r="B208" s="2"/>
      <c r="C208" s="2"/>
      <c r="D208" s="2"/>
      <c r="E208" s="2"/>
      <c r="F208" s="2"/>
      <c r="G208" s="2"/>
      <c r="H208" s="2"/>
      <c r="I208" s="2"/>
      <c r="J208" s="2"/>
      <c r="K208" s="2"/>
      <c r="L208" s="2"/>
      <c r="M208" s="2"/>
      <c r="N208" s="2"/>
      <c r="O208" s="2"/>
      <c r="P208" s="2"/>
      <c r="Q208" s="2"/>
      <c r="R208" s="2"/>
      <c r="S208" s="2"/>
      <c r="T208" s="2"/>
    </row>
    <row r="209" spans="1:20" ht="15.75" customHeight="1">
      <c r="A209" s="1"/>
      <c r="B209" s="2"/>
      <c r="C209" s="2"/>
      <c r="D209" s="2"/>
      <c r="E209" s="2"/>
      <c r="F209" s="2"/>
      <c r="G209" s="2"/>
      <c r="H209" s="2"/>
      <c r="I209" s="2"/>
      <c r="J209" s="2"/>
      <c r="K209" s="2"/>
      <c r="L209" s="2"/>
      <c r="M209" s="2"/>
      <c r="N209" s="2"/>
      <c r="O209" s="2"/>
      <c r="P209" s="2"/>
      <c r="Q209" s="2"/>
      <c r="R209" s="2"/>
      <c r="S209" s="2"/>
      <c r="T209" s="2"/>
    </row>
    <row r="210" spans="1:20" ht="15.75" customHeight="1">
      <c r="A210" s="1"/>
      <c r="B210" s="2"/>
      <c r="C210" s="2"/>
      <c r="D210" s="2"/>
      <c r="E210" s="2"/>
      <c r="F210" s="2"/>
      <c r="G210" s="2"/>
      <c r="H210" s="2"/>
      <c r="I210" s="2"/>
      <c r="J210" s="2"/>
      <c r="K210" s="2"/>
      <c r="L210" s="2"/>
      <c r="M210" s="2"/>
      <c r="N210" s="2"/>
      <c r="O210" s="2"/>
      <c r="P210" s="2"/>
      <c r="Q210" s="2"/>
      <c r="R210" s="2"/>
      <c r="S210" s="2"/>
      <c r="T210" s="2"/>
    </row>
    <row r="211" spans="1:20" ht="15.75" customHeight="1">
      <c r="A211" s="1"/>
      <c r="B211" s="2"/>
      <c r="C211" s="2"/>
      <c r="D211" s="2"/>
      <c r="E211" s="2"/>
      <c r="F211" s="2"/>
      <c r="G211" s="2"/>
      <c r="H211" s="2"/>
      <c r="I211" s="2"/>
      <c r="J211" s="2"/>
      <c r="K211" s="2"/>
      <c r="L211" s="2"/>
      <c r="M211" s="2"/>
      <c r="N211" s="2"/>
      <c r="O211" s="2"/>
      <c r="P211" s="2"/>
      <c r="Q211" s="2"/>
      <c r="R211" s="2"/>
      <c r="S211" s="2"/>
      <c r="T211" s="2"/>
    </row>
    <row r="212" spans="1:20" ht="15.75" customHeight="1">
      <c r="A212" s="1"/>
      <c r="B212" s="2"/>
      <c r="C212" s="2"/>
      <c r="D212" s="2"/>
      <c r="E212" s="2"/>
      <c r="F212" s="2"/>
      <c r="G212" s="2"/>
      <c r="H212" s="2"/>
      <c r="I212" s="2"/>
      <c r="J212" s="2"/>
      <c r="K212" s="2"/>
      <c r="L212" s="2"/>
      <c r="M212" s="2"/>
      <c r="N212" s="2"/>
      <c r="O212" s="2"/>
      <c r="P212" s="2"/>
      <c r="Q212" s="2"/>
      <c r="R212" s="2"/>
      <c r="S212" s="2"/>
      <c r="T212" s="2"/>
    </row>
    <row r="213" spans="1:20" ht="15.75" customHeight="1">
      <c r="A213" s="1"/>
      <c r="B213" s="2"/>
      <c r="C213" s="2"/>
      <c r="D213" s="2"/>
      <c r="E213" s="2"/>
      <c r="F213" s="2"/>
      <c r="G213" s="2"/>
      <c r="H213" s="2"/>
      <c r="I213" s="2"/>
      <c r="J213" s="2"/>
      <c r="K213" s="2"/>
      <c r="L213" s="2"/>
      <c r="M213" s="2"/>
      <c r="N213" s="2"/>
      <c r="O213" s="2"/>
      <c r="P213" s="2"/>
      <c r="Q213" s="2"/>
      <c r="R213" s="2"/>
      <c r="S213" s="2"/>
      <c r="T213" s="2"/>
    </row>
    <row r="214" spans="1:20" ht="15.75" customHeight="1">
      <c r="A214" s="1"/>
      <c r="B214" s="2"/>
      <c r="C214" s="2"/>
      <c r="D214" s="2"/>
      <c r="E214" s="2"/>
      <c r="F214" s="2"/>
      <c r="G214" s="2"/>
      <c r="H214" s="2"/>
      <c r="I214" s="2"/>
      <c r="J214" s="2"/>
      <c r="K214" s="2"/>
      <c r="L214" s="2"/>
      <c r="M214" s="2"/>
      <c r="N214" s="2"/>
      <c r="O214" s="2"/>
      <c r="P214" s="2"/>
      <c r="Q214" s="2"/>
      <c r="R214" s="2"/>
      <c r="S214" s="2"/>
      <c r="T214" s="2"/>
    </row>
    <row r="215" spans="1:20" ht="15.75" customHeight="1">
      <c r="A215" s="1"/>
      <c r="B215" s="2"/>
      <c r="C215" s="2"/>
      <c r="D215" s="2"/>
      <c r="E215" s="2"/>
      <c r="F215" s="2"/>
      <c r="G215" s="2"/>
      <c r="H215" s="2"/>
      <c r="I215" s="2"/>
      <c r="J215" s="2"/>
      <c r="K215" s="2"/>
      <c r="L215" s="2"/>
      <c r="M215" s="2"/>
      <c r="N215" s="2"/>
      <c r="O215" s="2"/>
      <c r="P215" s="2"/>
      <c r="Q215" s="2"/>
      <c r="R215" s="2"/>
      <c r="S215" s="2"/>
      <c r="T215" s="2"/>
    </row>
    <row r="216" spans="1:20" ht="15.75" customHeight="1">
      <c r="A216" s="1"/>
      <c r="B216" s="2"/>
      <c r="C216" s="2"/>
      <c r="D216" s="2"/>
      <c r="E216" s="2"/>
      <c r="F216" s="2"/>
      <c r="G216" s="2"/>
      <c r="H216" s="2"/>
      <c r="I216" s="2"/>
      <c r="J216" s="2"/>
      <c r="K216" s="2"/>
      <c r="L216" s="2"/>
      <c r="M216" s="2"/>
      <c r="N216" s="2"/>
      <c r="O216" s="2"/>
      <c r="P216" s="2"/>
      <c r="Q216" s="2"/>
      <c r="R216" s="2"/>
      <c r="S216" s="2"/>
      <c r="T216" s="2"/>
    </row>
    <row r="217" spans="1:20" ht="15.75" customHeight="1">
      <c r="A217" s="1"/>
      <c r="B217" s="2"/>
      <c r="C217" s="2"/>
      <c r="D217" s="2"/>
      <c r="E217" s="2"/>
      <c r="F217" s="2"/>
      <c r="G217" s="2"/>
      <c r="H217" s="2"/>
      <c r="I217" s="2"/>
      <c r="J217" s="2"/>
      <c r="K217" s="2"/>
      <c r="L217" s="2"/>
      <c r="M217" s="2"/>
      <c r="N217" s="2"/>
      <c r="O217" s="2"/>
      <c r="P217" s="2"/>
      <c r="Q217" s="2"/>
      <c r="R217" s="2"/>
      <c r="S217" s="2"/>
      <c r="T217" s="2"/>
    </row>
    <row r="218" spans="1:20" ht="15.75" customHeight="1">
      <c r="A218" s="1"/>
      <c r="B218" s="2"/>
      <c r="C218" s="2"/>
      <c r="D218" s="2"/>
      <c r="E218" s="2"/>
      <c r="F218" s="2"/>
      <c r="G218" s="2"/>
      <c r="H218" s="2"/>
      <c r="I218" s="2"/>
      <c r="J218" s="2"/>
      <c r="K218" s="2"/>
      <c r="L218" s="2"/>
      <c r="M218" s="2"/>
      <c r="N218" s="2"/>
      <c r="O218" s="2"/>
      <c r="P218" s="2"/>
      <c r="Q218" s="2"/>
      <c r="R218" s="2"/>
      <c r="S218" s="2"/>
      <c r="T218" s="2"/>
    </row>
    <row r="219" spans="1:20" ht="15.75" customHeight="1">
      <c r="A219" s="1"/>
      <c r="B219" s="2"/>
      <c r="C219" s="2"/>
      <c r="D219" s="2"/>
      <c r="E219" s="2"/>
      <c r="F219" s="2"/>
      <c r="G219" s="2"/>
      <c r="H219" s="2"/>
      <c r="I219" s="2"/>
      <c r="J219" s="2"/>
      <c r="K219" s="2"/>
      <c r="L219" s="2"/>
      <c r="M219" s="2"/>
      <c r="N219" s="2"/>
      <c r="O219" s="2"/>
      <c r="P219" s="2"/>
      <c r="Q219" s="2"/>
      <c r="R219" s="2"/>
      <c r="S219" s="2"/>
      <c r="T219" s="2"/>
    </row>
    <row r="220" spans="1:20" ht="15.75" customHeight="1">
      <c r="A220" s="1"/>
      <c r="B220" s="2"/>
      <c r="C220" s="2"/>
      <c r="D220" s="2"/>
      <c r="E220" s="2"/>
      <c r="F220" s="2"/>
      <c r="G220" s="2"/>
      <c r="H220" s="2"/>
      <c r="I220" s="2"/>
      <c r="J220" s="2"/>
      <c r="K220" s="2"/>
      <c r="L220" s="2"/>
      <c r="M220" s="2"/>
      <c r="N220" s="2"/>
      <c r="O220" s="2"/>
      <c r="P220" s="2"/>
      <c r="Q220" s="2"/>
      <c r="R220" s="2"/>
      <c r="S220" s="2"/>
      <c r="T220" s="2"/>
    </row>
    <row r="221" spans="1:20" ht="15.75" customHeight="1">
      <c r="A221" s="1"/>
      <c r="B221" s="2"/>
      <c r="C221" s="2"/>
      <c r="D221" s="2"/>
      <c r="E221" s="2"/>
      <c r="F221" s="2"/>
      <c r="G221" s="2"/>
      <c r="H221" s="2"/>
      <c r="I221" s="2"/>
      <c r="J221" s="2"/>
      <c r="K221" s="2"/>
      <c r="L221" s="2"/>
      <c r="M221" s="2"/>
      <c r="N221" s="2"/>
      <c r="O221" s="2"/>
      <c r="P221" s="2"/>
      <c r="Q221" s="2"/>
      <c r="R221" s="2"/>
      <c r="S221" s="2"/>
      <c r="T221" s="2"/>
    </row>
    <row r="222" spans="1:20" ht="15.75" customHeight="1">
      <c r="A222" s="1"/>
      <c r="B222" s="2"/>
      <c r="C222" s="2"/>
      <c r="D222" s="2"/>
      <c r="E222" s="2"/>
      <c r="F222" s="2"/>
      <c r="G222" s="2"/>
      <c r="H222" s="2"/>
      <c r="I222" s="2"/>
      <c r="J222" s="2"/>
      <c r="K222" s="2"/>
      <c r="L222" s="2"/>
      <c r="M222" s="2"/>
      <c r="N222" s="2"/>
      <c r="O222" s="2"/>
      <c r="P222" s="2"/>
      <c r="Q222" s="2"/>
      <c r="R222" s="2"/>
      <c r="S222" s="2"/>
      <c r="T222" s="2"/>
    </row>
    <row r="223" spans="1:20" ht="15.75" customHeight="1">
      <c r="A223" s="1"/>
      <c r="B223" s="2"/>
      <c r="C223" s="2"/>
      <c r="D223" s="2"/>
      <c r="E223" s="2"/>
      <c r="F223" s="2"/>
      <c r="G223" s="2"/>
      <c r="H223" s="2"/>
      <c r="I223" s="2"/>
      <c r="J223" s="2"/>
      <c r="K223" s="2"/>
      <c r="L223" s="2"/>
      <c r="M223" s="2"/>
      <c r="N223" s="2"/>
      <c r="O223" s="2"/>
      <c r="P223" s="2"/>
      <c r="Q223" s="2"/>
      <c r="R223" s="2"/>
      <c r="S223" s="2"/>
      <c r="T223" s="2"/>
    </row>
    <row r="224" spans="1:20" ht="15.75" customHeight="1">
      <c r="A224" s="1"/>
      <c r="B224" s="2"/>
      <c r="C224" s="2"/>
      <c r="D224" s="2"/>
      <c r="E224" s="2"/>
      <c r="F224" s="2"/>
      <c r="G224" s="2"/>
      <c r="H224" s="2"/>
      <c r="I224" s="2"/>
      <c r="J224" s="2"/>
      <c r="K224" s="2"/>
      <c r="L224" s="2"/>
      <c r="M224" s="2"/>
      <c r="N224" s="2"/>
      <c r="O224" s="2"/>
      <c r="P224" s="2"/>
      <c r="Q224" s="2"/>
      <c r="R224" s="2"/>
      <c r="S224" s="2"/>
      <c r="T224" s="2"/>
    </row>
    <row r="225" spans="1:20" ht="15.75" customHeight="1">
      <c r="A225" s="1"/>
      <c r="B225" s="2"/>
      <c r="C225" s="2"/>
      <c r="D225" s="2"/>
      <c r="E225" s="2"/>
      <c r="F225" s="2"/>
      <c r="G225" s="2"/>
      <c r="H225" s="2"/>
      <c r="I225" s="2"/>
      <c r="J225" s="2"/>
      <c r="K225" s="2"/>
      <c r="L225" s="2"/>
      <c r="M225" s="2"/>
      <c r="N225" s="2"/>
      <c r="O225" s="2"/>
      <c r="P225" s="2"/>
      <c r="Q225" s="2"/>
      <c r="R225" s="2"/>
      <c r="S225" s="2"/>
      <c r="T225" s="2"/>
    </row>
    <row r="226" spans="1:20" ht="15.75" customHeight="1">
      <c r="A226" s="1"/>
      <c r="B226" s="2"/>
      <c r="C226" s="2"/>
      <c r="D226" s="2"/>
      <c r="E226" s="2"/>
      <c r="F226" s="2"/>
      <c r="G226" s="2"/>
      <c r="H226" s="2"/>
      <c r="I226" s="2"/>
      <c r="J226" s="2"/>
      <c r="K226" s="2"/>
      <c r="L226" s="2"/>
      <c r="M226" s="2"/>
      <c r="N226" s="2"/>
      <c r="O226" s="2"/>
      <c r="P226" s="2"/>
      <c r="Q226" s="2"/>
      <c r="R226" s="2"/>
      <c r="S226" s="2"/>
      <c r="T226" s="2"/>
    </row>
    <row r="227" spans="1:20" ht="15.75" customHeight="1">
      <c r="A227" s="1"/>
      <c r="B227" s="2"/>
      <c r="C227" s="2"/>
      <c r="D227" s="2"/>
      <c r="E227" s="2"/>
      <c r="F227" s="2"/>
      <c r="G227" s="2"/>
      <c r="H227" s="2"/>
      <c r="I227" s="2"/>
      <c r="J227" s="2"/>
      <c r="K227" s="2"/>
      <c r="L227" s="2"/>
      <c r="M227" s="2"/>
      <c r="N227" s="2"/>
      <c r="O227" s="2"/>
      <c r="P227" s="2"/>
      <c r="Q227" s="2"/>
      <c r="R227" s="2"/>
      <c r="S227" s="2"/>
      <c r="T227" s="2"/>
    </row>
    <row r="228" spans="1:20" ht="15.75" customHeight="1">
      <c r="A228" s="1"/>
      <c r="B228" s="2"/>
      <c r="C228" s="2"/>
      <c r="D228" s="2"/>
      <c r="E228" s="2"/>
      <c r="F228" s="2"/>
      <c r="G228" s="2"/>
      <c r="H228" s="2"/>
      <c r="I228" s="2"/>
      <c r="J228" s="2"/>
      <c r="K228" s="2"/>
      <c r="L228" s="2"/>
      <c r="M228" s="2"/>
      <c r="N228" s="2"/>
      <c r="O228" s="2"/>
      <c r="P228" s="2"/>
      <c r="Q228" s="2"/>
      <c r="R228" s="2"/>
      <c r="S228" s="2"/>
      <c r="T228" s="2"/>
    </row>
    <row r="229" spans="1:20" ht="15.75" customHeight="1">
      <c r="A229" s="1"/>
      <c r="B229" s="2"/>
      <c r="C229" s="2"/>
      <c r="D229" s="2"/>
      <c r="E229" s="2"/>
      <c r="F229" s="2"/>
      <c r="G229" s="2"/>
      <c r="H229" s="2"/>
      <c r="I229" s="2"/>
      <c r="J229" s="2"/>
      <c r="K229" s="2"/>
      <c r="L229" s="2"/>
      <c r="M229" s="2"/>
      <c r="N229" s="2"/>
      <c r="O229" s="2"/>
      <c r="P229" s="2"/>
      <c r="Q229" s="2"/>
      <c r="R229" s="2"/>
      <c r="S229" s="2"/>
      <c r="T229" s="2"/>
    </row>
    <row r="230" spans="1:20" ht="15.75" customHeight="1">
      <c r="A230" s="1"/>
      <c r="B230" s="2"/>
      <c r="C230" s="2"/>
      <c r="D230" s="2"/>
      <c r="E230" s="2"/>
      <c r="F230" s="2"/>
      <c r="G230" s="2"/>
      <c r="H230" s="2"/>
      <c r="I230" s="2"/>
      <c r="J230" s="2"/>
      <c r="K230" s="2"/>
      <c r="L230" s="2"/>
      <c r="M230" s="2"/>
      <c r="N230" s="2"/>
      <c r="O230" s="2"/>
      <c r="P230" s="2"/>
      <c r="Q230" s="2"/>
      <c r="R230" s="2"/>
      <c r="S230" s="2"/>
      <c r="T230" s="2"/>
    </row>
    <row r="231" spans="1:20" ht="15.75" customHeight="1">
      <c r="A231" s="1"/>
      <c r="B231" s="2"/>
      <c r="C231" s="2"/>
      <c r="D231" s="2"/>
      <c r="E231" s="2"/>
      <c r="F231" s="2"/>
      <c r="G231" s="2"/>
      <c r="H231" s="2"/>
      <c r="I231" s="2"/>
      <c r="J231" s="2"/>
      <c r="K231" s="2"/>
      <c r="L231" s="2"/>
      <c r="M231" s="2"/>
      <c r="N231" s="2"/>
      <c r="O231" s="2"/>
      <c r="P231" s="2"/>
      <c r="Q231" s="2"/>
      <c r="R231" s="2"/>
      <c r="S231" s="2"/>
      <c r="T231" s="2"/>
    </row>
    <row r="232" spans="1:20" ht="15.75" customHeight="1">
      <c r="A232" s="1"/>
      <c r="B232" s="2"/>
      <c r="C232" s="2"/>
      <c r="D232" s="2"/>
      <c r="E232" s="2"/>
      <c r="F232" s="2"/>
      <c r="G232" s="2"/>
      <c r="H232" s="2"/>
      <c r="I232" s="2"/>
      <c r="J232" s="2"/>
      <c r="K232" s="2"/>
      <c r="L232" s="2"/>
      <c r="M232" s="2"/>
      <c r="N232" s="2"/>
      <c r="O232" s="2"/>
      <c r="P232" s="2"/>
      <c r="Q232" s="2"/>
      <c r="R232" s="2"/>
      <c r="S232" s="2"/>
      <c r="T232" s="2"/>
    </row>
    <row r="233" spans="1:20" ht="15.75" customHeight="1">
      <c r="A233" s="1"/>
      <c r="B233" s="2"/>
      <c r="C233" s="2"/>
      <c r="D233" s="2"/>
      <c r="E233" s="2"/>
      <c r="F233" s="2"/>
      <c r="G233" s="2"/>
      <c r="H233" s="2"/>
      <c r="I233" s="2"/>
      <c r="J233" s="2"/>
      <c r="K233" s="2"/>
      <c r="L233" s="2"/>
      <c r="M233" s="2"/>
      <c r="N233" s="2"/>
      <c r="O233" s="2"/>
      <c r="P233" s="2"/>
      <c r="Q233" s="2"/>
      <c r="R233" s="2"/>
      <c r="S233" s="2"/>
      <c r="T233" s="2"/>
    </row>
    <row r="234" spans="1:20" ht="15.75" customHeight="1">
      <c r="A234" s="1"/>
      <c r="B234" s="2"/>
      <c r="C234" s="2"/>
      <c r="D234" s="2"/>
      <c r="E234" s="2"/>
      <c r="F234" s="2"/>
      <c r="G234" s="2"/>
      <c r="H234" s="2"/>
      <c r="I234" s="2"/>
      <c r="J234" s="2"/>
      <c r="K234" s="2"/>
      <c r="L234" s="2"/>
      <c r="M234" s="2"/>
      <c r="N234" s="2"/>
      <c r="O234" s="2"/>
      <c r="P234" s="2"/>
      <c r="Q234" s="2"/>
      <c r="R234" s="2"/>
      <c r="S234" s="2"/>
      <c r="T234" s="2"/>
    </row>
    <row r="235" spans="1:20" ht="15.75" customHeight="1">
      <c r="A235" s="1"/>
      <c r="B235" s="2"/>
      <c r="C235" s="2"/>
      <c r="D235" s="2"/>
      <c r="E235" s="2"/>
      <c r="F235" s="2"/>
      <c r="G235" s="2"/>
      <c r="H235" s="2"/>
      <c r="I235" s="2"/>
      <c r="J235" s="2"/>
      <c r="K235" s="2"/>
      <c r="L235" s="2"/>
      <c r="M235" s="2"/>
      <c r="N235" s="2"/>
      <c r="O235" s="2"/>
      <c r="P235" s="2"/>
      <c r="Q235" s="2"/>
      <c r="R235" s="2"/>
      <c r="S235" s="2"/>
      <c r="T235" s="2"/>
    </row>
    <row r="236" spans="1:20" ht="15.75" customHeight="1">
      <c r="A236" s="1"/>
      <c r="B236" s="2"/>
      <c r="C236" s="2"/>
      <c r="D236" s="2"/>
      <c r="E236" s="2"/>
      <c r="F236" s="2"/>
      <c r="G236" s="2"/>
      <c r="H236" s="2"/>
      <c r="I236" s="2"/>
      <c r="J236" s="2"/>
      <c r="K236" s="2"/>
      <c r="L236" s="2"/>
      <c r="M236" s="2"/>
      <c r="N236" s="2"/>
      <c r="O236" s="2"/>
      <c r="P236" s="2"/>
      <c r="Q236" s="2"/>
      <c r="R236" s="2"/>
      <c r="S236" s="2"/>
      <c r="T236" s="2"/>
    </row>
    <row r="237" spans="1:20" ht="15.75" customHeight="1">
      <c r="A237" s="1"/>
      <c r="B237" s="2"/>
      <c r="C237" s="2"/>
      <c r="D237" s="2"/>
      <c r="E237" s="2"/>
      <c r="F237" s="2"/>
      <c r="G237" s="2"/>
      <c r="H237" s="2"/>
      <c r="I237" s="2"/>
      <c r="J237" s="2"/>
      <c r="K237" s="2"/>
      <c r="L237" s="2"/>
      <c r="M237" s="2"/>
      <c r="N237" s="2"/>
      <c r="O237" s="2"/>
      <c r="P237" s="2"/>
      <c r="Q237" s="2"/>
      <c r="R237" s="2"/>
      <c r="S237" s="2"/>
      <c r="T237" s="2"/>
    </row>
    <row r="238" spans="1:20" ht="15.75" customHeight="1">
      <c r="A238" s="1"/>
      <c r="B238" s="2"/>
      <c r="C238" s="2"/>
      <c r="D238" s="2"/>
      <c r="E238" s="2"/>
      <c r="F238" s="2"/>
      <c r="G238" s="2"/>
      <c r="H238" s="2"/>
      <c r="I238" s="2"/>
      <c r="J238" s="2"/>
      <c r="K238" s="2"/>
      <c r="L238" s="2"/>
      <c r="M238" s="2"/>
      <c r="N238" s="2"/>
      <c r="O238" s="2"/>
      <c r="P238" s="2"/>
      <c r="Q238" s="2"/>
      <c r="R238" s="2"/>
      <c r="S238" s="2"/>
      <c r="T238" s="2"/>
    </row>
    <row r="239" spans="1:20" ht="15.75" customHeight="1">
      <c r="A239" s="1"/>
      <c r="B239" s="2"/>
      <c r="C239" s="2"/>
      <c r="D239" s="2"/>
      <c r="E239" s="2"/>
      <c r="F239" s="2"/>
      <c r="G239" s="2"/>
      <c r="H239" s="2"/>
      <c r="I239" s="2"/>
      <c r="J239" s="2"/>
      <c r="K239" s="2"/>
      <c r="L239" s="2"/>
      <c r="M239" s="2"/>
      <c r="N239" s="2"/>
      <c r="O239" s="2"/>
      <c r="P239" s="2"/>
      <c r="Q239" s="2"/>
      <c r="R239" s="2"/>
      <c r="S239" s="2"/>
      <c r="T239" s="2"/>
    </row>
    <row r="240" spans="1:20" ht="15.75" customHeight="1">
      <c r="A240" s="1"/>
      <c r="B240" s="2"/>
      <c r="C240" s="2"/>
      <c r="D240" s="2"/>
      <c r="E240" s="2"/>
      <c r="F240" s="2"/>
      <c r="G240" s="2"/>
      <c r="H240" s="2"/>
      <c r="I240" s="2"/>
      <c r="J240" s="2"/>
      <c r="K240" s="2"/>
      <c r="L240" s="2"/>
      <c r="M240" s="2"/>
      <c r="N240" s="2"/>
      <c r="O240" s="2"/>
      <c r="P240" s="2"/>
      <c r="Q240" s="2"/>
      <c r="R240" s="2"/>
      <c r="S240" s="2"/>
      <c r="T240" s="2"/>
    </row>
    <row r="241" spans="1:20" ht="15.75" customHeight="1">
      <c r="A241" s="1"/>
      <c r="B241" s="2"/>
      <c r="C241" s="2"/>
      <c r="D241" s="2"/>
      <c r="E241" s="2"/>
      <c r="F241" s="2"/>
      <c r="G241" s="2"/>
      <c r="H241" s="2"/>
      <c r="I241" s="2"/>
      <c r="J241" s="2"/>
      <c r="K241" s="2"/>
      <c r="L241" s="2"/>
      <c r="M241" s="2"/>
      <c r="N241" s="2"/>
      <c r="O241" s="2"/>
      <c r="P241" s="2"/>
      <c r="Q241" s="2"/>
      <c r="R241" s="2"/>
      <c r="S241" s="2"/>
      <c r="T241" s="2"/>
    </row>
    <row r="242" spans="1:20" ht="15.75" customHeight="1">
      <c r="A242" s="1"/>
      <c r="B242" s="2"/>
      <c r="C242" s="2"/>
      <c r="D242" s="2"/>
      <c r="E242" s="2"/>
      <c r="F242" s="2"/>
      <c r="G242" s="2"/>
      <c r="H242" s="2"/>
      <c r="I242" s="2"/>
      <c r="J242" s="2"/>
      <c r="K242" s="2"/>
      <c r="L242" s="2"/>
      <c r="M242" s="2"/>
      <c r="N242" s="2"/>
      <c r="O242" s="2"/>
      <c r="P242" s="2"/>
      <c r="Q242" s="2"/>
      <c r="R242" s="2"/>
      <c r="S242" s="2"/>
      <c r="T242" s="2"/>
    </row>
    <row r="243" spans="1:20" ht="15.75" customHeight="1">
      <c r="A243" s="1"/>
      <c r="B243" s="2"/>
      <c r="C243" s="2"/>
      <c r="D243" s="2"/>
      <c r="E243" s="2"/>
      <c r="F243" s="2"/>
      <c r="G243" s="2"/>
      <c r="H243" s="2"/>
      <c r="I243" s="2"/>
      <c r="J243" s="2"/>
      <c r="K243" s="2"/>
      <c r="L243" s="2"/>
      <c r="M243" s="2"/>
      <c r="N243" s="2"/>
      <c r="O243" s="2"/>
      <c r="P243" s="2"/>
      <c r="Q243" s="2"/>
      <c r="R243" s="2"/>
      <c r="S243" s="2"/>
      <c r="T243" s="2"/>
    </row>
    <row r="244" spans="1:20" ht="15.75" customHeight="1">
      <c r="A244" s="1"/>
      <c r="B244" s="2"/>
      <c r="C244" s="2"/>
      <c r="D244" s="2"/>
      <c r="E244" s="2"/>
      <c r="F244" s="2"/>
      <c r="G244" s="2"/>
      <c r="H244" s="2"/>
      <c r="I244" s="2"/>
      <c r="J244" s="2"/>
      <c r="K244" s="2"/>
      <c r="L244" s="2"/>
      <c r="M244" s="2"/>
      <c r="N244" s="2"/>
      <c r="O244" s="2"/>
      <c r="P244" s="2"/>
      <c r="Q244" s="2"/>
      <c r="R244" s="2"/>
      <c r="S244" s="2"/>
      <c r="T244" s="2"/>
    </row>
    <row r="245" spans="1:20" ht="15.75" customHeight="1">
      <c r="A245" s="1"/>
      <c r="B245" s="2"/>
      <c r="C245" s="2"/>
      <c r="D245" s="2"/>
      <c r="E245" s="2"/>
      <c r="F245" s="2"/>
      <c r="G245" s="2"/>
      <c r="H245" s="2"/>
      <c r="I245" s="2"/>
      <c r="J245" s="2"/>
      <c r="K245" s="2"/>
      <c r="L245" s="2"/>
      <c r="M245" s="2"/>
      <c r="N245" s="2"/>
      <c r="O245" s="2"/>
      <c r="P245" s="2"/>
      <c r="Q245" s="2"/>
      <c r="R245" s="2"/>
      <c r="S245" s="2"/>
      <c r="T245" s="2"/>
    </row>
    <row r="246" spans="1:20" ht="15.75" customHeight="1">
      <c r="A246" s="1"/>
      <c r="B246" s="2"/>
      <c r="C246" s="2"/>
      <c r="D246" s="2"/>
      <c r="E246" s="2"/>
      <c r="F246" s="2"/>
      <c r="G246" s="2"/>
      <c r="H246" s="2"/>
      <c r="I246" s="2"/>
      <c r="J246" s="2"/>
      <c r="K246" s="2"/>
      <c r="L246" s="2"/>
      <c r="M246" s="2"/>
      <c r="N246" s="2"/>
      <c r="O246" s="2"/>
      <c r="P246" s="2"/>
      <c r="Q246" s="2"/>
      <c r="R246" s="2"/>
      <c r="S246" s="2"/>
      <c r="T246" s="2"/>
    </row>
    <row r="247" spans="1:20" ht="15.75" customHeight="1">
      <c r="A247" s="1"/>
      <c r="B247" s="2"/>
      <c r="C247" s="2"/>
      <c r="D247" s="2"/>
      <c r="E247" s="2"/>
      <c r="F247" s="2"/>
      <c r="G247" s="2"/>
      <c r="H247" s="2"/>
      <c r="I247" s="2"/>
      <c r="J247" s="2"/>
      <c r="K247" s="2"/>
      <c r="L247" s="2"/>
      <c r="M247" s="2"/>
      <c r="N247" s="2"/>
      <c r="O247" s="2"/>
      <c r="P247" s="2"/>
      <c r="Q247" s="2"/>
      <c r="R247" s="2"/>
      <c r="S247" s="2"/>
      <c r="T247" s="2"/>
    </row>
    <row r="248" spans="1:20" ht="15.75" customHeight="1">
      <c r="A248" s="1"/>
      <c r="B248" s="2"/>
      <c r="C248" s="2"/>
      <c r="D248" s="2"/>
      <c r="E248" s="2"/>
      <c r="F248" s="2"/>
      <c r="G248" s="2"/>
      <c r="H248" s="2"/>
      <c r="I248" s="2"/>
      <c r="J248" s="2"/>
      <c r="K248" s="2"/>
      <c r="L248" s="2"/>
      <c r="M248" s="2"/>
      <c r="N248" s="2"/>
      <c r="O248" s="2"/>
      <c r="P248" s="2"/>
      <c r="Q248" s="2"/>
      <c r="R248" s="2"/>
      <c r="S248" s="2"/>
      <c r="T248" s="2"/>
    </row>
    <row r="249" spans="1:20" ht="15.75" customHeight="1">
      <c r="A249" s="1"/>
      <c r="B249" s="2"/>
      <c r="C249" s="2"/>
      <c r="D249" s="2"/>
      <c r="E249" s="2"/>
      <c r="F249" s="2"/>
      <c r="G249" s="2"/>
      <c r="H249" s="2"/>
      <c r="I249" s="2"/>
      <c r="J249" s="2"/>
      <c r="K249" s="2"/>
      <c r="L249" s="2"/>
      <c r="M249" s="2"/>
      <c r="N249" s="2"/>
      <c r="O249" s="2"/>
      <c r="P249" s="2"/>
      <c r="Q249" s="2"/>
      <c r="R249" s="2"/>
      <c r="S249" s="2"/>
      <c r="T249" s="2"/>
    </row>
    <row r="250" spans="1:20" ht="15.75" customHeight="1">
      <c r="A250" s="1"/>
      <c r="B250" s="2"/>
      <c r="C250" s="2"/>
      <c r="D250" s="2"/>
      <c r="E250" s="2"/>
      <c r="F250" s="2"/>
      <c r="G250" s="2"/>
      <c r="H250" s="2"/>
      <c r="I250" s="2"/>
      <c r="J250" s="2"/>
      <c r="K250" s="2"/>
      <c r="L250" s="2"/>
      <c r="M250" s="2"/>
      <c r="N250" s="2"/>
      <c r="O250" s="2"/>
      <c r="P250" s="2"/>
      <c r="Q250" s="2"/>
      <c r="R250" s="2"/>
      <c r="S250" s="2"/>
      <c r="T250" s="2"/>
    </row>
    <row r="251" spans="1:20" ht="15.75" customHeight="1">
      <c r="A251" s="1"/>
      <c r="B251" s="2"/>
      <c r="C251" s="2"/>
      <c r="D251" s="2"/>
      <c r="E251" s="2"/>
      <c r="F251" s="2"/>
      <c r="G251" s="2"/>
      <c r="H251" s="2"/>
      <c r="I251" s="2"/>
      <c r="J251" s="2"/>
      <c r="K251" s="2"/>
      <c r="L251" s="2"/>
      <c r="M251" s="2"/>
      <c r="N251" s="2"/>
      <c r="O251" s="2"/>
      <c r="P251" s="2"/>
      <c r="Q251" s="2"/>
      <c r="R251" s="2"/>
      <c r="S251" s="2"/>
      <c r="T251" s="2"/>
    </row>
    <row r="252" spans="1:20" ht="15.75" customHeight="1">
      <c r="A252" s="1"/>
      <c r="B252" s="2"/>
      <c r="C252" s="2"/>
      <c r="D252" s="2"/>
      <c r="E252" s="2"/>
      <c r="F252" s="2"/>
      <c r="G252" s="2"/>
      <c r="H252" s="2"/>
      <c r="I252" s="2"/>
      <c r="J252" s="2"/>
      <c r="K252" s="2"/>
      <c r="L252" s="2"/>
      <c r="M252" s="2"/>
      <c r="N252" s="2"/>
      <c r="O252" s="2"/>
      <c r="P252" s="2"/>
      <c r="Q252" s="2"/>
      <c r="R252" s="2"/>
      <c r="S252" s="2"/>
      <c r="T252" s="2"/>
    </row>
    <row r="253" spans="1:20" ht="15.75" customHeight="1">
      <c r="A253" s="1"/>
      <c r="B253" s="2"/>
      <c r="C253" s="2"/>
      <c r="D253" s="2"/>
      <c r="E253" s="2"/>
      <c r="F253" s="2"/>
      <c r="G253" s="2"/>
      <c r="H253" s="2"/>
      <c r="I253" s="2"/>
      <c r="J253" s="2"/>
      <c r="K253" s="2"/>
      <c r="L253" s="2"/>
      <c r="M253" s="2"/>
      <c r="N253" s="2"/>
      <c r="O253" s="2"/>
      <c r="P253" s="2"/>
      <c r="Q253" s="2"/>
      <c r="R253" s="2"/>
      <c r="S253" s="2"/>
      <c r="T253" s="2"/>
    </row>
    <row r="254" spans="1:20" ht="15.75" customHeight="1">
      <c r="A254" s="1"/>
      <c r="B254" s="2"/>
      <c r="C254" s="2"/>
      <c r="D254" s="2"/>
      <c r="E254" s="2"/>
      <c r="F254" s="2"/>
      <c r="G254" s="2"/>
      <c r="H254" s="2"/>
      <c r="I254" s="2"/>
      <c r="J254" s="2"/>
      <c r="K254" s="2"/>
      <c r="L254" s="2"/>
      <c r="M254" s="2"/>
      <c r="N254" s="2"/>
      <c r="O254" s="2"/>
      <c r="P254" s="2"/>
      <c r="Q254" s="2"/>
      <c r="R254" s="2"/>
      <c r="S254" s="2"/>
      <c r="T254" s="2"/>
    </row>
    <row r="255" spans="1:20" ht="15.75" customHeight="1">
      <c r="A255" s="1"/>
      <c r="B255" s="2"/>
      <c r="C255" s="2"/>
      <c r="D255" s="2"/>
      <c r="E255" s="2"/>
      <c r="F255" s="2"/>
      <c r="G255" s="2"/>
      <c r="H255" s="2"/>
      <c r="I255" s="2"/>
      <c r="J255" s="2"/>
      <c r="K255" s="2"/>
      <c r="L255" s="2"/>
      <c r="M255" s="2"/>
      <c r="N255" s="2"/>
      <c r="O255" s="2"/>
      <c r="P255" s="2"/>
      <c r="Q255" s="2"/>
      <c r="R255" s="2"/>
      <c r="S255" s="2"/>
      <c r="T255" s="2"/>
    </row>
    <row r="256" spans="1:20" ht="15.75" customHeight="1">
      <c r="A256" s="1"/>
      <c r="B256" s="2"/>
      <c r="C256" s="2"/>
      <c r="D256" s="2"/>
      <c r="E256" s="2"/>
      <c r="F256" s="2"/>
      <c r="G256" s="2"/>
      <c r="H256" s="2"/>
      <c r="I256" s="2"/>
      <c r="J256" s="2"/>
      <c r="K256" s="2"/>
      <c r="L256" s="2"/>
      <c r="M256" s="2"/>
      <c r="N256" s="2"/>
      <c r="O256" s="2"/>
      <c r="P256" s="2"/>
      <c r="Q256" s="2"/>
      <c r="R256" s="2"/>
      <c r="S256" s="2"/>
      <c r="T256" s="2"/>
    </row>
    <row r="257" spans="1:20" ht="15.75" customHeight="1">
      <c r="A257" s="1"/>
      <c r="B257" s="2"/>
      <c r="C257" s="2"/>
      <c r="D257" s="2"/>
      <c r="E257" s="2"/>
      <c r="F257" s="2"/>
      <c r="G257" s="2"/>
      <c r="H257" s="2"/>
      <c r="I257" s="2"/>
      <c r="J257" s="2"/>
      <c r="K257" s="2"/>
      <c r="L257" s="2"/>
      <c r="M257" s="2"/>
      <c r="N257" s="2"/>
      <c r="O257" s="2"/>
      <c r="P257" s="2"/>
      <c r="Q257" s="2"/>
      <c r="R257" s="2"/>
      <c r="S257" s="2"/>
      <c r="T257" s="2"/>
    </row>
    <row r="258" spans="1:20" ht="15.75" customHeight="1">
      <c r="A258" s="1"/>
      <c r="B258" s="2"/>
      <c r="C258" s="2"/>
      <c r="D258" s="2"/>
      <c r="E258" s="2"/>
      <c r="F258" s="2"/>
      <c r="G258" s="2"/>
      <c r="H258" s="2"/>
      <c r="I258" s="2"/>
      <c r="J258" s="2"/>
      <c r="K258" s="2"/>
      <c r="L258" s="2"/>
      <c r="M258" s="2"/>
      <c r="N258" s="2"/>
      <c r="O258" s="2"/>
      <c r="P258" s="2"/>
      <c r="Q258" s="2"/>
      <c r="R258" s="2"/>
      <c r="S258" s="2"/>
      <c r="T258" s="2"/>
    </row>
    <row r="259" spans="1:20" ht="15.75" customHeight="1">
      <c r="A259" s="1"/>
      <c r="B259" s="2"/>
      <c r="C259" s="2"/>
      <c r="D259" s="2"/>
      <c r="E259" s="2"/>
      <c r="F259" s="2"/>
      <c r="G259" s="2"/>
      <c r="H259" s="2"/>
      <c r="I259" s="2"/>
      <c r="J259" s="2"/>
      <c r="K259" s="2"/>
      <c r="L259" s="2"/>
      <c r="M259" s="2"/>
      <c r="N259" s="2"/>
      <c r="O259" s="2"/>
      <c r="P259" s="2"/>
      <c r="Q259" s="2"/>
      <c r="R259" s="2"/>
      <c r="S259" s="2"/>
      <c r="T259" s="2"/>
    </row>
    <row r="260" spans="1:20" ht="15.75" customHeight="1">
      <c r="A260" s="1"/>
      <c r="B260" s="2"/>
      <c r="C260" s="2"/>
      <c r="D260" s="2"/>
      <c r="E260" s="2"/>
      <c r="F260" s="2"/>
      <c r="G260" s="2"/>
      <c r="H260" s="2"/>
      <c r="I260" s="2"/>
      <c r="J260" s="2"/>
      <c r="K260" s="2"/>
      <c r="L260" s="2"/>
      <c r="M260" s="2"/>
      <c r="N260" s="2"/>
      <c r="O260" s="2"/>
      <c r="P260" s="2"/>
      <c r="Q260" s="2"/>
      <c r="R260" s="2"/>
      <c r="S260" s="2"/>
      <c r="T260" s="2"/>
    </row>
    <row r="261" spans="1:20" ht="15.75" customHeight="1">
      <c r="A261" s="1"/>
      <c r="B261" s="2"/>
      <c r="C261" s="2"/>
      <c r="D261" s="2"/>
      <c r="E261" s="2"/>
      <c r="F261" s="2"/>
      <c r="G261" s="2"/>
      <c r="H261" s="2"/>
      <c r="I261" s="2"/>
      <c r="J261" s="2"/>
      <c r="K261" s="2"/>
      <c r="L261" s="2"/>
      <c r="M261" s="2"/>
      <c r="N261" s="2"/>
      <c r="O261" s="2"/>
      <c r="P261" s="2"/>
      <c r="Q261" s="2"/>
      <c r="R261" s="2"/>
      <c r="S261" s="2"/>
      <c r="T261" s="2"/>
    </row>
    <row r="262" spans="1:20" ht="15.75" customHeight="1">
      <c r="A262" s="1"/>
      <c r="B262" s="2"/>
      <c r="C262" s="2"/>
      <c r="D262" s="2"/>
      <c r="E262" s="2"/>
      <c r="F262" s="2"/>
      <c r="G262" s="2"/>
      <c r="H262" s="2"/>
      <c r="I262" s="2"/>
      <c r="J262" s="2"/>
      <c r="K262" s="2"/>
      <c r="L262" s="2"/>
      <c r="M262" s="2"/>
      <c r="N262" s="2"/>
      <c r="O262" s="2"/>
      <c r="P262" s="2"/>
      <c r="Q262" s="2"/>
      <c r="R262" s="2"/>
      <c r="S262" s="2"/>
      <c r="T262" s="2"/>
    </row>
    <row r="263" spans="1:20" ht="15.75" customHeight="1">
      <c r="A263" s="1"/>
      <c r="B263" s="2"/>
      <c r="C263" s="2"/>
      <c r="D263" s="2"/>
      <c r="E263" s="2"/>
      <c r="F263" s="2"/>
      <c r="G263" s="2"/>
      <c r="H263" s="2"/>
      <c r="I263" s="2"/>
      <c r="J263" s="2"/>
      <c r="K263" s="2"/>
      <c r="L263" s="2"/>
      <c r="M263" s="2"/>
      <c r="N263" s="2"/>
      <c r="O263" s="2"/>
      <c r="P263" s="2"/>
      <c r="Q263" s="2"/>
      <c r="R263" s="2"/>
      <c r="S263" s="2"/>
      <c r="T263" s="2"/>
    </row>
    <row r="264" spans="1:20" ht="15.75" customHeight="1">
      <c r="A264" s="1"/>
      <c r="B264" s="2"/>
      <c r="C264" s="2"/>
      <c r="D264" s="2"/>
      <c r="E264" s="2"/>
      <c r="F264" s="2"/>
      <c r="G264" s="2"/>
      <c r="H264" s="2"/>
      <c r="I264" s="2"/>
      <c r="J264" s="2"/>
      <c r="K264" s="2"/>
      <c r="L264" s="2"/>
      <c r="M264" s="2"/>
      <c r="N264" s="2"/>
      <c r="O264" s="2"/>
      <c r="P264" s="2"/>
      <c r="Q264" s="2"/>
      <c r="R264" s="2"/>
      <c r="S264" s="2"/>
      <c r="T264" s="2"/>
    </row>
    <row r="265" spans="1:20" ht="15.75" customHeight="1">
      <c r="A265" s="1"/>
      <c r="B265" s="2"/>
      <c r="C265" s="2"/>
      <c r="D265" s="2"/>
      <c r="E265" s="2"/>
      <c r="F265" s="2"/>
      <c r="G265" s="2"/>
      <c r="H265" s="2"/>
      <c r="I265" s="2"/>
      <c r="J265" s="2"/>
      <c r="K265" s="2"/>
      <c r="L265" s="2"/>
      <c r="M265" s="2"/>
      <c r="N265" s="2"/>
      <c r="O265" s="2"/>
      <c r="P265" s="2"/>
      <c r="Q265" s="2"/>
      <c r="R265" s="2"/>
      <c r="S265" s="2"/>
      <c r="T265" s="2"/>
    </row>
    <row r="266" spans="1:20" ht="15.75" customHeight="1">
      <c r="A266" s="1"/>
      <c r="B266" s="2"/>
      <c r="C266" s="2"/>
      <c r="D266" s="2"/>
      <c r="E266" s="2"/>
      <c r="F266" s="2"/>
      <c r="G266" s="2"/>
      <c r="H266" s="2"/>
      <c r="I266" s="2"/>
      <c r="J266" s="2"/>
      <c r="K266" s="2"/>
      <c r="L266" s="2"/>
      <c r="M266" s="2"/>
      <c r="N266" s="2"/>
      <c r="O266" s="2"/>
      <c r="P266" s="2"/>
      <c r="Q266" s="2"/>
      <c r="R266" s="2"/>
      <c r="S266" s="2"/>
      <c r="T266" s="2"/>
    </row>
    <row r="267" spans="1:20" ht="15.75" customHeight="1">
      <c r="A267" s="1"/>
      <c r="B267" s="2"/>
      <c r="C267" s="2"/>
      <c r="D267" s="2"/>
      <c r="E267" s="2"/>
      <c r="F267" s="2"/>
      <c r="G267" s="2"/>
      <c r="H267" s="2"/>
      <c r="I267" s="2"/>
      <c r="J267" s="2"/>
      <c r="K267" s="2"/>
      <c r="L267" s="2"/>
      <c r="M267" s="2"/>
      <c r="N267" s="2"/>
      <c r="O267" s="2"/>
      <c r="P267" s="2"/>
      <c r="Q267" s="2"/>
      <c r="R267" s="2"/>
      <c r="S267" s="2"/>
      <c r="T267" s="2"/>
    </row>
    <row r="268" spans="1:20" ht="15.75" customHeight="1">
      <c r="A268" s="1"/>
      <c r="B268" s="2"/>
      <c r="C268" s="2"/>
      <c r="D268" s="2"/>
      <c r="E268" s="2"/>
      <c r="F268" s="2"/>
      <c r="G268" s="2"/>
      <c r="H268" s="2"/>
      <c r="I268" s="2"/>
      <c r="J268" s="2"/>
      <c r="K268" s="2"/>
      <c r="L268" s="2"/>
      <c r="M268" s="2"/>
      <c r="N268" s="2"/>
      <c r="O268" s="2"/>
      <c r="P268" s="2"/>
      <c r="Q268" s="2"/>
      <c r="R268" s="2"/>
      <c r="S268" s="2"/>
      <c r="T268" s="2"/>
    </row>
    <row r="269" spans="1:20" ht="15.75" customHeight="1">
      <c r="A269" s="1"/>
      <c r="B269" s="2"/>
      <c r="C269" s="2"/>
      <c r="D269" s="2"/>
      <c r="E269" s="2"/>
      <c r="F269" s="2"/>
      <c r="G269" s="2"/>
      <c r="H269" s="2"/>
      <c r="I269" s="2"/>
      <c r="J269" s="2"/>
      <c r="K269" s="2"/>
      <c r="L269" s="2"/>
      <c r="M269" s="2"/>
      <c r="N269" s="2"/>
      <c r="O269" s="2"/>
      <c r="P269" s="2"/>
      <c r="Q269" s="2"/>
      <c r="R269" s="2"/>
      <c r="S269" s="2"/>
      <c r="T269" s="2"/>
    </row>
    <row r="270" spans="1:20" ht="15.75" customHeight="1">
      <c r="A270" s="1"/>
      <c r="B270" s="2"/>
      <c r="C270" s="2"/>
      <c r="D270" s="2"/>
      <c r="E270" s="2"/>
      <c r="F270" s="2"/>
      <c r="G270" s="2"/>
      <c r="H270" s="2"/>
      <c r="I270" s="2"/>
      <c r="J270" s="2"/>
      <c r="K270" s="2"/>
      <c r="L270" s="2"/>
      <c r="M270" s="2"/>
      <c r="N270" s="2"/>
      <c r="O270" s="2"/>
      <c r="P270" s="2"/>
      <c r="Q270" s="2"/>
      <c r="R270" s="2"/>
      <c r="S270" s="2"/>
      <c r="T270" s="2"/>
    </row>
    <row r="271" spans="1:20" ht="15.75" customHeight="1">
      <c r="A271" s="1"/>
      <c r="B271" s="2"/>
      <c r="C271" s="2"/>
      <c r="D271" s="2"/>
      <c r="E271" s="2"/>
      <c r="F271" s="2"/>
      <c r="G271" s="2"/>
      <c r="H271" s="2"/>
      <c r="I271" s="2"/>
      <c r="J271" s="2"/>
      <c r="K271" s="2"/>
      <c r="L271" s="2"/>
      <c r="M271" s="2"/>
      <c r="N271" s="2"/>
      <c r="O271" s="2"/>
      <c r="P271" s="2"/>
      <c r="Q271" s="2"/>
      <c r="R271" s="2"/>
      <c r="S271" s="2"/>
      <c r="T271" s="2"/>
    </row>
    <row r="272" spans="1:20" ht="15.75" customHeight="1">
      <c r="A272" s="1"/>
      <c r="B272" s="2"/>
      <c r="C272" s="2"/>
      <c r="D272" s="2"/>
      <c r="E272" s="2"/>
      <c r="F272" s="2"/>
      <c r="G272" s="2"/>
      <c r="H272" s="2"/>
      <c r="I272" s="2"/>
      <c r="J272" s="2"/>
      <c r="K272" s="2"/>
      <c r="L272" s="2"/>
      <c r="M272" s="2"/>
      <c r="N272" s="2"/>
      <c r="O272" s="2"/>
      <c r="P272" s="2"/>
      <c r="Q272" s="2"/>
      <c r="R272" s="2"/>
      <c r="S272" s="2"/>
      <c r="T272" s="2"/>
    </row>
    <row r="273" spans="1:20" ht="15.75" customHeight="1">
      <c r="A273" s="1"/>
      <c r="B273" s="2"/>
      <c r="C273" s="2"/>
      <c r="D273" s="2"/>
      <c r="E273" s="2"/>
      <c r="F273" s="2"/>
      <c r="G273" s="2"/>
      <c r="H273" s="2"/>
      <c r="I273" s="2"/>
      <c r="J273" s="2"/>
      <c r="K273" s="2"/>
      <c r="L273" s="2"/>
      <c r="M273" s="2"/>
      <c r="N273" s="2"/>
      <c r="O273" s="2"/>
      <c r="P273" s="2"/>
      <c r="Q273" s="2"/>
      <c r="R273" s="2"/>
      <c r="S273" s="2"/>
      <c r="T273" s="2"/>
    </row>
    <row r="274" spans="1:20" ht="15.75" customHeight="1">
      <c r="A274" s="1"/>
      <c r="B274" s="2"/>
      <c r="C274" s="2"/>
      <c r="D274" s="2"/>
      <c r="E274" s="2"/>
      <c r="F274" s="2"/>
      <c r="G274" s="2"/>
      <c r="H274" s="2"/>
      <c r="I274" s="2"/>
      <c r="J274" s="2"/>
      <c r="K274" s="2"/>
      <c r="L274" s="2"/>
      <c r="M274" s="2"/>
      <c r="N274" s="2"/>
      <c r="O274" s="2"/>
      <c r="P274" s="2"/>
      <c r="Q274" s="2"/>
      <c r="R274" s="2"/>
      <c r="S274" s="2"/>
      <c r="T274" s="2"/>
    </row>
    <row r="275" spans="1:20" ht="15.75" customHeight="1">
      <c r="A275" s="1"/>
      <c r="B275" s="2"/>
      <c r="C275" s="2"/>
      <c r="D275" s="2"/>
      <c r="E275" s="2"/>
      <c r="F275" s="2"/>
      <c r="G275" s="2"/>
      <c r="H275" s="2"/>
      <c r="I275" s="2"/>
      <c r="J275" s="2"/>
      <c r="K275" s="2"/>
      <c r="L275" s="2"/>
      <c r="M275" s="2"/>
      <c r="N275" s="2"/>
      <c r="O275" s="2"/>
      <c r="P275" s="2"/>
      <c r="Q275" s="2"/>
      <c r="R275" s="2"/>
      <c r="S275" s="2"/>
      <c r="T275" s="2"/>
    </row>
    <row r="276" spans="1:20" ht="15.75" customHeight="1">
      <c r="A276" s="1"/>
      <c r="B276" s="2"/>
      <c r="C276" s="2"/>
      <c r="D276" s="2"/>
      <c r="E276" s="2"/>
      <c r="F276" s="2"/>
      <c r="G276" s="2"/>
      <c r="H276" s="2"/>
      <c r="I276" s="2"/>
      <c r="J276" s="2"/>
      <c r="K276" s="2"/>
      <c r="L276" s="2"/>
      <c r="M276" s="2"/>
      <c r="N276" s="2"/>
      <c r="O276" s="2"/>
      <c r="P276" s="2"/>
      <c r="Q276" s="2"/>
      <c r="R276" s="2"/>
      <c r="S276" s="2"/>
      <c r="T276" s="2"/>
    </row>
    <row r="277" spans="1:20" ht="15.75" customHeight="1">
      <c r="A277" s="1"/>
      <c r="B277" s="2"/>
      <c r="C277" s="2"/>
      <c r="D277" s="2"/>
      <c r="E277" s="2"/>
      <c r="F277" s="2"/>
      <c r="G277" s="2"/>
      <c r="H277" s="2"/>
      <c r="I277" s="2"/>
      <c r="J277" s="2"/>
      <c r="K277" s="2"/>
      <c r="L277" s="2"/>
      <c r="M277" s="2"/>
      <c r="N277" s="2"/>
      <c r="O277" s="2"/>
      <c r="P277" s="2"/>
      <c r="Q277" s="2"/>
      <c r="R277" s="2"/>
      <c r="S277" s="2"/>
      <c r="T277" s="2"/>
    </row>
    <row r="278" spans="1:20" ht="15.75" customHeight="1">
      <c r="A278" s="1"/>
      <c r="B278" s="2"/>
      <c r="C278" s="2"/>
      <c r="D278" s="2"/>
      <c r="E278" s="2"/>
      <c r="F278" s="2"/>
      <c r="G278" s="2"/>
      <c r="H278" s="2"/>
      <c r="I278" s="2"/>
      <c r="J278" s="2"/>
      <c r="K278" s="2"/>
      <c r="L278" s="2"/>
      <c r="M278" s="2"/>
      <c r="N278" s="2"/>
      <c r="O278" s="2"/>
      <c r="P278" s="2"/>
      <c r="Q278" s="2"/>
      <c r="R278" s="2"/>
      <c r="S278" s="2"/>
      <c r="T278" s="2"/>
    </row>
    <row r="279" spans="1:20" ht="15.75" customHeight="1">
      <c r="A279" s="1"/>
      <c r="B279" s="2"/>
      <c r="C279" s="2"/>
      <c r="D279" s="2"/>
      <c r="E279" s="2"/>
      <c r="F279" s="2"/>
      <c r="G279" s="2"/>
      <c r="H279" s="2"/>
      <c r="I279" s="2"/>
      <c r="J279" s="2"/>
      <c r="K279" s="2"/>
      <c r="L279" s="2"/>
      <c r="M279" s="2"/>
      <c r="N279" s="2"/>
      <c r="O279" s="2"/>
      <c r="P279" s="2"/>
      <c r="Q279" s="2"/>
      <c r="R279" s="2"/>
      <c r="S279" s="2"/>
      <c r="T279" s="2"/>
    </row>
    <row r="280" spans="1:20" ht="15.75" customHeight="1">
      <c r="A280" s="1"/>
      <c r="B280" s="2"/>
      <c r="C280" s="2"/>
      <c r="D280" s="2"/>
      <c r="E280" s="2"/>
      <c r="F280" s="2"/>
      <c r="G280" s="2"/>
      <c r="H280" s="2"/>
      <c r="I280" s="2"/>
      <c r="J280" s="2"/>
      <c r="K280" s="2"/>
      <c r="L280" s="2"/>
      <c r="M280" s="2"/>
      <c r="N280" s="2"/>
      <c r="O280" s="2"/>
      <c r="P280" s="2"/>
      <c r="Q280" s="2"/>
      <c r="R280" s="2"/>
      <c r="S280" s="2"/>
      <c r="T280" s="2"/>
    </row>
    <row r="281" spans="1:20" ht="15.75" customHeight="1">
      <c r="A281" s="1"/>
      <c r="B281" s="2"/>
      <c r="C281" s="2"/>
      <c r="D281" s="2"/>
      <c r="E281" s="2"/>
      <c r="F281" s="2"/>
      <c r="G281" s="2"/>
      <c r="H281" s="2"/>
      <c r="I281" s="2"/>
      <c r="J281" s="2"/>
      <c r="K281" s="2"/>
      <c r="L281" s="2"/>
      <c r="M281" s="2"/>
      <c r="N281" s="2"/>
      <c r="O281" s="2"/>
      <c r="P281" s="2"/>
      <c r="Q281" s="2"/>
      <c r="R281" s="2"/>
      <c r="S281" s="2"/>
      <c r="T281" s="2"/>
    </row>
    <row r="282" spans="1:20" ht="15.75" customHeight="1">
      <c r="A282" s="1"/>
      <c r="B282" s="2"/>
      <c r="C282" s="2"/>
      <c r="D282" s="2"/>
      <c r="E282" s="2"/>
      <c r="F282" s="2"/>
      <c r="G282" s="2"/>
      <c r="H282" s="2"/>
      <c r="I282" s="2"/>
      <c r="J282" s="2"/>
      <c r="K282" s="2"/>
      <c r="L282" s="2"/>
      <c r="M282" s="2"/>
      <c r="N282" s="2"/>
      <c r="O282" s="2"/>
      <c r="P282" s="2"/>
      <c r="Q282" s="2"/>
      <c r="R282" s="2"/>
      <c r="S282" s="2"/>
      <c r="T282" s="2"/>
    </row>
    <row r="283" spans="1:20" ht="15.75" customHeight="1">
      <c r="A283" s="1"/>
      <c r="B283" s="2"/>
      <c r="C283" s="2"/>
      <c r="D283" s="2"/>
      <c r="E283" s="2"/>
      <c r="F283" s="2"/>
      <c r="G283" s="2"/>
      <c r="H283" s="2"/>
      <c r="I283" s="2"/>
      <c r="J283" s="2"/>
      <c r="K283" s="2"/>
      <c r="L283" s="2"/>
      <c r="M283" s="2"/>
      <c r="N283" s="2"/>
      <c r="O283" s="2"/>
      <c r="P283" s="2"/>
      <c r="Q283" s="2"/>
      <c r="R283" s="2"/>
      <c r="S283" s="2"/>
      <c r="T283" s="2"/>
    </row>
    <row r="284" spans="1:20" ht="15.75" customHeight="1">
      <c r="A284" s="1"/>
      <c r="B284" s="2"/>
      <c r="C284" s="2"/>
      <c r="D284" s="2"/>
      <c r="E284" s="2"/>
      <c r="F284" s="2"/>
      <c r="G284" s="2"/>
      <c r="H284" s="2"/>
      <c r="I284" s="2"/>
      <c r="J284" s="2"/>
      <c r="K284" s="2"/>
      <c r="L284" s="2"/>
      <c r="M284" s="2"/>
      <c r="N284" s="2"/>
      <c r="O284" s="2"/>
      <c r="P284" s="2"/>
      <c r="Q284" s="2"/>
      <c r="R284" s="2"/>
      <c r="S284" s="2"/>
      <c r="T284" s="2"/>
    </row>
    <row r="285" spans="1:20" ht="15.75" customHeight="1">
      <c r="A285" s="1"/>
      <c r="B285" s="2"/>
      <c r="C285" s="2"/>
      <c r="D285" s="2"/>
      <c r="E285" s="2"/>
      <c r="F285" s="2"/>
      <c r="G285" s="2"/>
      <c r="H285" s="2"/>
      <c r="I285" s="2"/>
      <c r="J285" s="2"/>
      <c r="K285" s="2"/>
      <c r="L285" s="2"/>
      <c r="M285" s="2"/>
      <c r="N285" s="2"/>
      <c r="O285" s="2"/>
      <c r="P285" s="2"/>
      <c r="Q285" s="2"/>
      <c r="R285" s="2"/>
      <c r="S285" s="2"/>
      <c r="T285" s="2"/>
    </row>
    <row r="286" spans="1:20" ht="15.75" customHeight="1">
      <c r="A286" s="1"/>
      <c r="B286" s="2"/>
      <c r="C286" s="2"/>
      <c r="D286" s="2"/>
      <c r="E286" s="2"/>
      <c r="F286" s="2"/>
      <c r="G286" s="2"/>
      <c r="H286" s="2"/>
      <c r="I286" s="2"/>
      <c r="J286" s="2"/>
      <c r="K286" s="2"/>
      <c r="L286" s="2"/>
      <c r="M286" s="2"/>
      <c r="N286" s="2"/>
      <c r="O286" s="2"/>
      <c r="P286" s="2"/>
      <c r="Q286" s="2"/>
      <c r="R286" s="2"/>
      <c r="S286" s="2"/>
      <c r="T286" s="2"/>
    </row>
    <row r="287" spans="1:20" ht="15.75" customHeight="1">
      <c r="A287" s="1"/>
      <c r="B287" s="2"/>
      <c r="C287" s="2"/>
      <c r="D287" s="2"/>
      <c r="E287" s="2"/>
      <c r="F287" s="2"/>
      <c r="G287" s="2"/>
      <c r="H287" s="2"/>
      <c r="I287" s="2"/>
      <c r="J287" s="2"/>
      <c r="K287" s="2"/>
      <c r="L287" s="2"/>
      <c r="M287" s="2"/>
      <c r="N287" s="2"/>
      <c r="O287" s="2"/>
      <c r="P287" s="2"/>
      <c r="Q287" s="2"/>
      <c r="R287" s="2"/>
      <c r="S287" s="2"/>
      <c r="T287" s="2"/>
    </row>
    <row r="288" spans="1:20" ht="15.75" customHeight="1">
      <c r="A288" s="1"/>
      <c r="B288" s="2"/>
      <c r="C288" s="2"/>
      <c r="D288" s="2"/>
      <c r="E288" s="2"/>
      <c r="F288" s="2"/>
      <c r="G288" s="2"/>
      <c r="H288" s="2"/>
      <c r="I288" s="2"/>
      <c r="J288" s="2"/>
      <c r="K288" s="2"/>
      <c r="L288" s="2"/>
      <c r="M288" s="2"/>
      <c r="N288" s="2"/>
      <c r="O288" s="2"/>
      <c r="P288" s="2"/>
      <c r="Q288" s="2"/>
      <c r="R288" s="2"/>
      <c r="S288" s="2"/>
      <c r="T288" s="2"/>
    </row>
    <row r="289" spans="1:20" ht="15.75" customHeight="1">
      <c r="A289" s="1"/>
      <c r="B289" s="2"/>
      <c r="C289" s="2"/>
      <c r="D289" s="2"/>
      <c r="E289" s="2"/>
      <c r="F289" s="2"/>
      <c r="G289" s="2"/>
      <c r="H289" s="2"/>
      <c r="I289" s="2"/>
      <c r="J289" s="2"/>
      <c r="K289" s="2"/>
      <c r="L289" s="2"/>
      <c r="M289" s="2"/>
      <c r="N289" s="2"/>
      <c r="O289" s="2"/>
      <c r="P289" s="2"/>
      <c r="Q289" s="2"/>
      <c r="R289" s="2"/>
      <c r="S289" s="2"/>
      <c r="T289" s="2"/>
    </row>
    <row r="290" spans="1:20" ht="15.75" customHeight="1">
      <c r="A290" s="1"/>
      <c r="B290" s="2"/>
      <c r="C290" s="2"/>
      <c r="D290" s="2"/>
      <c r="E290" s="2"/>
      <c r="F290" s="2"/>
      <c r="G290" s="2"/>
      <c r="H290" s="2"/>
      <c r="I290" s="2"/>
      <c r="J290" s="2"/>
      <c r="K290" s="2"/>
      <c r="L290" s="2"/>
      <c r="M290" s="2"/>
      <c r="N290" s="2"/>
      <c r="O290" s="2"/>
      <c r="P290" s="2"/>
      <c r="Q290" s="2"/>
      <c r="R290" s="2"/>
      <c r="S290" s="2"/>
      <c r="T290" s="2"/>
    </row>
    <row r="291" spans="1:20" ht="15.75" customHeight="1">
      <c r="A291" s="1"/>
      <c r="B291" s="2"/>
      <c r="C291" s="2"/>
      <c r="D291" s="2"/>
      <c r="E291" s="2"/>
      <c r="F291" s="2"/>
      <c r="G291" s="2"/>
      <c r="H291" s="2"/>
      <c r="I291" s="2"/>
      <c r="J291" s="2"/>
      <c r="K291" s="2"/>
      <c r="L291" s="2"/>
      <c r="M291" s="2"/>
      <c r="N291" s="2"/>
      <c r="O291" s="2"/>
      <c r="P291" s="2"/>
      <c r="Q291" s="2"/>
      <c r="R291" s="2"/>
      <c r="S291" s="2"/>
      <c r="T291" s="2"/>
    </row>
    <row r="292" spans="1:20" ht="15.75" customHeight="1">
      <c r="A292" s="1"/>
      <c r="B292" s="2"/>
      <c r="C292" s="2"/>
      <c r="D292" s="2"/>
      <c r="E292" s="2"/>
      <c r="F292" s="2"/>
      <c r="G292" s="2"/>
      <c r="H292" s="2"/>
      <c r="I292" s="2"/>
      <c r="J292" s="2"/>
      <c r="K292" s="2"/>
      <c r="L292" s="2"/>
      <c r="M292" s="2"/>
      <c r="N292" s="2"/>
      <c r="O292" s="2"/>
      <c r="P292" s="2"/>
      <c r="Q292" s="2"/>
      <c r="R292" s="2"/>
      <c r="S292" s="2"/>
      <c r="T292" s="2"/>
    </row>
    <row r="293" spans="1:20" ht="15.75" customHeight="1">
      <c r="A293" s="1"/>
      <c r="B293" s="2"/>
      <c r="C293" s="2"/>
      <c r="D293" s="2"/>
      <c r="E293" s="2"/>
      <c r="F293" s="2"/>
      <c r="G293" s="2"/>
      <c r="H293" s="2"/>
      <c r="I293" s="2"/>
      <c r="J293" s="2"/>
      <c r="K293" s="2"/>
      <c r="L293" s="2"/>
      <c r="M293" s="2"/>
      <c r="N293" s="2"/>
      <c r="O293" s="2"/>
      <c r="P293" s="2"/>
      <c r="Q293" s="2"/>
      <c r="R293" s="2"/>
      <c r="S293" s="2"/>
      <c r="T293" s="2"/>
    </row>
    <row r="294" spans="1:20" ht="15.75" customHeight="1">
      <c r="A294" s="1"/>
      <c r="B294" s="2"/>
      <c r="C294" s="2"/>
      <c r="D294" s="2"/>
      <c r="E294" s="2"/>
      <c r="F294" s="2"/>
      <c r="G294" s="2"/>
      <c r="H294" s="2"/>
      <c r="I294" s="2"/>
      <c r="J294" s="2"/>
      <c r="K294" s="2"/>
      <c r="L294" s="2"/>
      <c r="M294" s="2"/>
      <c r="N294" s="2"/>
      <c r="O294" s="2"/>
      <c r="P294" s="2"/>
      <c r="Q294" s="2"/>
      <c r="R294" s="2"/>
      <c r="S294" s="2"/>
      <c r="T294" s="2"/>
    </row>
    <row r="295" spans="1:20" ht="15.75" customHeight="1">
      <c r="A295" s="1"/>
      <c r="B295" s="2"/>
      <c r="C295" s="2"/>
      <c r="D295" s="2"/>
      <c r="E295" s="2"/>
      <c r="F295" s="2"/>
      <c r="G295" s="2"/>
      <c r="H295" s="2"/>
      <c r="I295" s="2"/>
      <c r="J295" s="2"/>
      <c r="K295" s="2"/>
      <c r="L295" s="2"/>
      <c r="M295" s="2"/>
      <c r="N295" s="2"/>
      <c r="O295" s="2"/>
      <c r="P295" s="2"/>
      <c r="Q295" s="2"/>
      <c r="R295" s="2"/>
      <c r="S295" s="2"/>
      <c r="T295" s="2"/>
    </row>
    <row r="296" spans="1:20" ht="15.75" customHeight="1">
      <c r="A296" s="1"/>
      <c r="B296" s="2"/>
      <c r="C296" s="2"/>
      <c r="D296" s="2"/>
      <c r="E296" s="2"/>
      <c r="F296" s="2"/>
      <c r="G296" s="2"/>
      <c r="H296" s="2"/>
      <c r="I296" s="2"/>
      <c r="J296" s="2"/>
      <c r="K296" s="2"/>
      <c r="L296" s="2"/>
      <c r="M296" s="2"/>
      <c r="N296" s="2"/>
      <c r="O296" s="2"/>
      <c r="P296" s="2"/>
      <c r="Q296" s="2"/>
      <c r="R296" s="2"/>
      <c r="S296" s="2"/>
      <c r="T296" s="2"/>
    </row>
    <row r="297" spans="1:20" ht="15.75" customHeight="1">
      <c r="A297" s="1"/>
      <c r="B297" s="2"/>
      <c r="C297" s="2"/>
      <c r="D297" s="2"/>
      <c r="E297" s="2"/>
      <c r="F297" s="2"/>
      <c r="G297" s="2"/>
      <c r="H297" s="2"/>
      <c r="I297" s="2"/>
      <c r="J297" s="2"/>
      <c r="K297" s="2"/>
      <c r="L297" s="2"/>
      <c r="M297" s="2"/>
      <c r="N297" s="2"/>
      <c r="O297" s="2"/>
      <c r="P297" s="2"/>
      <c r="Q297" s="2"/>
      <c r="R297" s="2"/>
      <c r="S297" s="2"/>
      <c r="T297" s="2"/>
    </row>
    <row r="298" spans="1:20" ht="15.75" customHeight="1">
      <c r="A298" s="1"/>
      <c r="B298" s="2"/>
      <c r="C298" s="2"/>
      <c r="D298" s="2"/>
      <c r="E298" s="2"/>
      <c r="F298" s="2"/>
      <c r="G298" s="2"/>
      <c r="H298" s="2"/>
      <c r="I298" s="2"/>
      <c r="J298" s="2"/>
      <c r="K298" s="2"/>
      <c r="L298" s="2"/>
      <c r="M298" s="2"/>
      <c r="N298" s="2"/>
      <c r="O298" s="2"/>
      <c r="P298" s="2"/>
      <c r="Q298" s="2"/>
      <c r="R298" s="2"/>
      <c r="S298" s="2"/>
      <c r="T298" s="2"/>
    </row>
    <row r="299" spans="1:20" ht="15.75" customHeight="1">
      <c r="A299" s="1"/>
      <c r="B299" s="2"/>
      <c r="C299" s="2"/>
      <c r="D299" s="2"/>
      <c r="E299" s="2"/>
      <c r="F299" s="2"/>
      <c r="G299" s="2"/>
      <c r="H299" s="2"/>
      <c r="I299" s="2"/>
      <c r="J299" s="2"/>
      <c r="K299" s="2"/>
      <c r="L299" s="2"/>
      <c r="M299" s="2"/>
      <c r="N299" s="2"/>
      <c r="O299" s="2"/>
      <c r="P299" s="2"/>
      <c r="Q299" s="2"/>
      <c r="R299" s="2"/>
      <c r="S299" s="2"/>
      <c r="T299" s="2"/>
    </row>
    <row r="300" spans="1:20" ht="15.75" customHeight="1">
      <c r="A300" s="1"/>
      <c r="B300" s="2"/>
      <c r="C300" s="2"/>
      <c r="D300" s="2"/>
      <c r="E300" s="2"/>
      <c r="F300" s="2"/>
      <c r="G300" s="2"/>
      <c r="H300" s="2"/>
      <c r="I300" s="2"/>
      <c r="J300" s="2"/>
      <c r="K300" s="2"/>
      <c r="L300" s="2"/>
      <c r="M300" s="2"/>
      <c r="N300" s="2"/>
      <c r="O300" s="2"/>
      <c r="P300" s="2"/>
      <c r="Q300" s="2"/>
      <c r="R300" s="2"/>
      <c r="S300" s="2"/>
      <c r="T300" s="2"/>
    </row>
    <row r="301" spans="1:20" ht="15.75" customHeight="1">
      <c r="A301" s="1"/>
      <c r="B301" s="2"/>
      <c r="C301" s="2"/>
      <c r="D301" s="2"/>
      <c r="E301" s="2"/>
      <c r="F301" s="2"/>
      <c r="G301" s="2"/>
      <c r="H301" s="2"/>
      <c r="I301" s="2"/>
      <c r="J301" s="2"/>
      <c r="K301" s="2"/>
      <c r="L301" s="2"/>
      <c r="M301" s="2"/>
      <c r="N301" s="2"/>
      <c r="O301" s="2"/>
      <c r="P301" s="2"/>
      <c r="Q301" s="2"/>
      <c r="R301" s="2"/>
      <c r="S301" s="2"/>
      <c r="T301" s="2"/>
    </row>
    <row r="302" spans="1:20" ht="15.75" customHeight="1">
      <c r="A302" s="1"/>
      <c r="B302" s="2"/>
      <c r="C302" s="2"/>
      <c r="D302" s="2"/>
      <c r="E302" s="2"/>
      <c r="F302" s="2"/>
      <c r="G302" s="2"/>
      <c r="H302" s="2"/>
      <c r="I302" s="2"/>
      <c r="J302" s="2"/>
      <c r="K302" s="2"/>
      <c r="L302" s="2"/>
      <c r="M302" s="2"/>
      <c r="N302" s="2"/>
      <c r="O302" s="2"/>
      <c r="P302" s="2"/>
      <c r="Q302" s="2"/>
      <c r="R302" s="2"/>
      <c r="S302" s="2"/>
      <c r="T302" s="2"/>
    </row>
    <row r="303" spans="1:20" ht="15.75" customHeight="1">
      <c r="A303" s="1"/>
      <c r="B303" s="2"/>
      <c r="C303" s="2"/>
      <c r="D303" s="2"/>
      <c r="E303" s="2"/>
      <c r="F303" s="2"/>
      <c r="G303" s="2"/>
      <c r="H303" s="2"/>
      <c r="I303" s="2"/>
      <c r="J303" s="2"/>
      <c r="K303" s="2"/>
      <c r="L303" s="2"/>
      <c r="M303" s="2"/>
      <c r="N303" s="2"/>
      <c r="O303" s="2"/>
      <c r="P303" s="2"/>
      <c r="Q303" s="2"/>
      <c r="R303" s="2"/>
      <c r="S303" s="2"/>
      <c r="T303" s="2"/>
    </row>
    <row r="304" spans="1:20" ht="15.75" customHeight="1">
      <c r="A304" s="1"/>
      <c r="B304" s="2"/>
      <c r="C304" s="2"/>
      <c r="D304" s="2"/>
      <c r="E304" s="2"/>
      <c r="F304" s="2"/>
      <c r="G304" s="2"/>
      <c r="H304" s="2"/>
      <c r="I304" s="2"/>
      <c r="J304" s="2"/>
      <c r="K304" s="2"/>
      <c r="L304" s="2"/>
      <c r="M304" s="2"/>
      <c r="N304" s="2"/>
      <c r="O304" s="2"/>
      <c r="P304" s="2"/>
      <c r="Q304" s="2"/>
      <c r="R304" s="2"/>
      <c r="S304" s="2"/>
      <c r="T304" s="2"/>
    </row>
    <row r="305" spans="1:20" ht="15.75" customHeight="1">
      <c r="A305" s="1"/>
      <c r="B305" s="2"/>
      <c r="C305" s="2"/>
      <c r="D305" s="2"/>
      <c r="E305" s="2"/>
      <c r="F305" s="2"/>
      <c r="G305" s="2"/>
      <c r="H305" s="2"/>
      <c r="I305" s="2"/>
      <c r="J305" s="2"/>
      <c r="K305" s="2"/>
      <c r="L305" s="2"/>
      <c r="M305" s="2"/>
      <c r="N305" s="2"/>
      <c r="O305" s="2"/>
      <c r="P305" s="2"/>
      <c r="Q305" s="2"/>
      <c r="R305" s="2"/>
      <c r="S305" s="2"/>
      <c r="T305" s="2"/>
    </row>
    <row r="306" spans="1:20" ht="15.75" customHeight="1">
      <c r="A306" s="1"/>
      <c r="B306" s="2"/>
      <c r="C306" s="2"/>
      <c r="D306" s="2"/>
      <c r="E306" s="2"/>
      <c r="F306" s="2"/>
      <c r="G306" s="2"/>
      <c r="H306" s="2"/>
      <c r="I306" s="2"/>
      <c r="J306" s="2"/>
      <c r="K306" s="2"/>
      <c r="L306" s="2"/>
      <c r="M306" s="2"/>
      <c r="N306" s="2"/>
      <c r="O306" s="2"/>
      <c r="P306" s="2"/>
      <c r="Q306" s="2"/>
      <c r="R306" s="2"/>
      <c r="S306" s="2"/>
      <c r="T306" s="2"/>
    </row>
    <row r="307" spans="1:20" ht="15.75" customHeight="1">
      <c r="A307" s="1"/>
      <c r="B307" s="2"/>
      <c r="C307" s="2"/>
      <c r="D307" s="2"/>
      <c r="E307" s="2"/>
      <c r="F307" s="2"/>
      <c r="G307" s="2"/>
      <c r="H307" s="2"/>
      <c r="I307" s="2"/>
      <c r="J307" s="2"/>
      <c r="K307" s="2"/>
      <c r="L307" s="2"/>
      <c r="M307" s="2"/>
      <c r="N307" s="2"/>
      <c r="O307" s="2"/>
      <c r="P307" s="2"/>
      <c r="Q307" s="2"/>
      <c r="R307" s="2"/>
      <c r="S307" s="2"/>
      <c r="T307" s="2"/>
    </row>
    <row r="308" spans="1:20" ht="15.75" customHeight="1">
      <c r="A308" s="1"/>
      <c r="B308" s="2"/>
      <c r="C308" s="2"/>
      <c r="D308" s="2"/>
      <c r="E308" s="2"/>
      <c r="F308" s="2"/>
      <c r="G308" s="2"/>
      <c r="H308" s="2"/>
      <c r="I308" s="2"/>
      <c r="J308" s="2"/>
      <c r="K308" s="2"/>
      <c r="L308" s="2"/>
      <c r="M308" s="2"/>
      <c r="N308" s="2"/>
      <c r="O308" s="2"/>
      <c r="P308" s="2"/>
      <c r="Q308" s="2"/>
      <c r="R308" s="2"/>
      <c r="S308" s="2"/>
      <c r="T308" s="2"/>
    </row>
    <row r="309" spans="1:20" ht="15.75" customHeight="1">
      <c r="A309" s="1"/>
      <c r="B309" s="2"/>
      <c r="C309" s="2"/>
      <c r="D309" s="2"/>
      <c r="E309" s="2"/>
      <c r="F309" s="2"/>
      <c r="G309" s="2"/>
      <c r="H309" s="2"/>
      <c r="I309" s="2"/>
      <c r="J309" s="2"/>
      <c r="K309" s="2"/>
      <c r="L309" s="2"/>
      <c r="M309" s="2"/>
      <c r="N309" s="2"/>
      <c r="O309" s="2"/>
      <c r="P309" s="2"/>
      <c r="Q309" s="2"/>
      <c r="R309" s="2"/>
      <c r="S309" s="2"/>
      <c r="T309" s="2"/>
    </row>
    <row r="310" spans="1:20" ht="15.75" customHeight="1">
      <c r="A310" s="1"/>
      <c r="B310" s="2"/>
      <c r="C310" s="2"/>
      <c r="D310" s="2"/>
      <c r="E310" s="2"/>
      <c r="F310" s="2"/>
      <c r="G310" s="2"/>
      <c r="H310" s="2"/>
      <c r="I310" s="2"/>
      <c r="J310" s="2"/>
      <c r="K310" s="2"/>
      <c r="L310" s="2"/>
      <c r="M310" s="2"/>
      <c r="N310" s="2"/>
      <c r="O310" s="2"/>
      <c r="P310" s="2"/>
      <c r="Q310" s="2"/>
      <c r="R310" s="2"/>
      <c r="S310" s="2"/>
      <c r="T310" s="2"/>
    </row>
    <row r="311" spans="1:20" ht="15.75" customHeight="1">
      <c r="A311" s="1"/>
      <c r="B311" s="2"/>
      <c r="C311" s="2"/>
      <c r="D311" s="2"/>
      <c r="E311" s="2"/>
      <c r="F311" s="2"/>
      <c r="G311" s="2"/>
      <c r="H311" s="2"/>
      <c r="I311" s="2"/>
      <c r="J311" s="2"/>
      <c r="K311" s="2"/>
      <c r="L311" s="2"/>
      <c r="M311" s="2"/>
      <c r="N311" s="2"/>
      <c r="O311" s="2"/>
      <c r="P311" s="2"/>
      <c r="Q311" s="2"/>
      <c r="R311" s="2"/>
      <c r="S311" s="2"/>
      <c r="T311" s="2"/>
    </row>
    <row r="312" spans="1:20" ht="15.75" customHeight="1">
      <c r="A312" s="1"/>
      <c r="B312" s="2"/>
      <c r="C312" s="2"/>
      <c r="D312" s="2"/>
      <c r="E312" s="2"/>
      <c r="F312" s="2"/>
      <c r="G312" s="2"/>
      <c r="H312" s="2"/>
      <c r="I312" s="2"/>
      <c r="J312" s="2"/>
      <c r="K312" s="2"/>
      <c r="L312" s="2"/>
      <c r="M312" s="2"/>
      <c r="N312" s="2"/>
      <c r="O312" s="2"/>
      <c r="P312" s="2"/>
      <c r="Q312" s="2"/>
      <c r="R312" s="2"/>
      <c r="S312" s="2"/>
      <c r="T312" s="2"/>
    </row>
    <row r="313" spans="1:20" ht="15.75" customHeight="1">
      <c r="A313" s="1"/>
      <c r="B313" s="2"/>
      <c r="C313" s="2"/>
      <c r="D313" s="2"/>
      <c r="E313" s="2"/>
      <c r="F313" s="2"/>
      <c r="G313" s="2"/>
      <c r="H313" s="2"/>
      <c r="I313" s="2"/>
      <c r="J313" s="2"/>
      <c r="K313" s="2"/>
      <c r="L313" s="2"/>
      <c r="M313" s="2"/>
      <c r="N313" s="2"/>
      <c r="O313" s="2"/>
      <c r="P313" s="2"/>
      <c r="Q313" s="2"/>
      <c r="R313" s="2"/>
      <c r="S313" s="2"/>
      <c r="T313" s="2"/>
    </row>
    <row r="314" spans="1:20" ht="15.75" customHeight="1">
      <c r="A314" s="1"/>
      <c r="B314" s="2"/>
      <c r="C314" s="2"/>
      <c r="D314" s="2"/>
      <c r="E314" s="2"/>
      <c r="F314" s="2"/>
      <c r="G314" s="2"/>
      <c r="H314" s="2"/>
      <c r="I314" s="2"/>
      <c r="J314" s="2"/>
      <c r="K314" s="2"/>
      <c r="L314" s="2"/>
      <c r="M314" s="2"/>
      <c r="N314" s="2"/>
      <c r="O314" s="2"/>
      <c r="P314" s="2"/>
      <c r="Q314" s="2"/>
      <c r="R314" s="2"/>
      <c r="S314" s="2"/>
      <c r="T314" s="2"/>
    </row>
    <row r="315" spans="1:20" ht="15.75" customHeight="1">
      <c r="A315" s="1"/>
      <c r="B315" s="2"/>
      <c r="C315" s="2"/>
      <c r="D315" s="2"/>
      <c r="E315" s="2"/>
      <c r="F315" s="2"/>
      <c r="G315" s="2"/>
      <c r="H315" s="2"/>
      <c r="I315" s="2"/>
      <c r="J315" s="2"/>
      <c r="K315" s="2"/>
      <c r="L315" s="2"/>
      <c r="M315" s="2"/>
      <c r="N315" s="2"/>
      <c r="O315" s="2"/>
      <c r="P315" s="2"/>
      <c r="Q315" s="2"/>
      <c r="R315" s="2"/>
      <c r="S315" s="2"/>
      <c r="T315" s="2"/>
    </row>
    <row r="316" spans="1:20" ht="15.75" customHeight="1">
      <c r="A316" s="1"/>
      <c r="B316" s="2"/>
      <c r="C316" s="2"/>
      <c r="D316" s="2"/>
      <c r="E316" s="2"/>
      <c r="F316" s="2"/>
      <c r="G316" s="2"/>
      <c r="H316" s="2"/>
      <c r="I316" s="2"/>
      <c r="J316" s="2"/>
      <c r="K316" s="2"/>
      <c r="L316" s="2"/>
      <c r="M316" s="2"/>
      <c r="N316" s="2"/>
      <c r="O316" s="2"/>
      <c r="P316" s="2"/>
      <c r="Q316" s="2"/>
      <c r="R316" s="2"/>
      <c r="S316" s="2"/>
      <c r="T316" s="2"/>
    </row>
    <row r="317" spans="1:20" ht="15.75" customHeight="1">
      <c r="A317" s="1"/>
      <c r="B317" s="2"/>
      <c r="C317" s="2"/>
      <c r="D317" s="2"/>
      <c r="E317" s="2"/>
      <c r="F317" s="2"/>
      <c r="G317" s="2"/>
      <c r="H317" s="2"/>
      <c r="I317" s="2"/>
      <c r="J317" s="2"/>
      <c r="K317" s="2"/>
      <c r="L317" s="2"/>
      <c r="M317" s="2"/>
      <c r="N317" s="2"/>
      <c r="O317" s="2"/>
      <c r="P317" s="2"/>
      <c r="Q317" s="2"/>
      <c r="R317" s="2"/>
      <c r="S317" s="2"/>
      <c r="T317" s="2"/>
    </row>
    <row r="318" spans="1:20" ht="15.75" customHeight="1">
      <c r="A318" s="1"/>
      <c r="B318" s="2"/>
      <c r="C318" s="2"/>
      <c r="D318" s="2"/>
      <c r="E318" s="2"/>
      <c r="F318" s="2"/>
      <c r="G318" s="2"/>
      <c r="H318" s="2"/>
      <c r="I318" s="2"/>
      <c r="J318" s="2"/>
      <c r="K318" s="2"/>
      <c r="L318" s="2"/>
      <c r="M318" s="2"/>
      <c r="N318" s="2"/>
      <c r="O318" s="2"/>
      <c r="P318" s="2"/>
      <c r="Q318" s="2"/>
      <c r="R318" s="2"/>
      <c r="S318" s="2"/>
      <c r="T318" s="2"/>
    </row>
    <row r="319" spans="1:20" ht="15.75" customHeight="1">
      <c r="A319" s="1"/>
      <c r="B319" s="2"/>
      <c r="C319" s="2"/>
      <c r="D319" s="2"/>
      <c r="E319" s="2"/>
      <c r="F319" s="2"/>
      <c r="G319" s="2"/>
      <c r="H319" s="2"/>
      <c r="I319" s="2"/>
      <c r="J319" s="2"/>
      <c r="K319" s="2"/>
      <c r="L319" s="2"/>
      <c r="M319" s="2"/>
      <c r="N319" s="2"/>
      <c r="O319" s="2"/>
      <c r="P319" s="2"/>
      <c r="Q319" s="2"/>
      <c r="R319" s="2"/>
      <c r="S319" s="2"/>
      <c r="T319" s="2"/>
    </row>
    <row r="320" spans="1:20" ht="15.75" customHeight="1">
      <c r="A320" s="1"/>
      <c r="B320" s="2"/>
      <c r="C320" s="2"/>
      <c r="D320" s="2"/>
      <c r="E320" s="2"/>
      <c r="F320" s="2"/>
      <c r="G320" s="2"/>
      <c r="H320" s="2"/>
      <c r="I320" s="2"/>
      <c r="J320" s="2"/>
      <c r="K320" s="2"/>
      <c r="L320" s="2"/>
      <c r="M320" s="2"/>
      <c r="N320" s="2"/>
      <c r="O320" s="2"/>
      <c r="P320" s="2"/>
      <c r="Q320" s="2"/>
      <c r="R320" s="2"/>
      <c r="S320" s="2"/>
      <c r="T320" s="2"/>
    </row>
    <row r="321" spans="1:20" ht="15.75" customHeight="1">
      <c r="A321" s="1"/>
      <c r="B321" s="2"/>
      <c r="C321" s="2"/>
      <c r="D321" s="2"/>
      <c r="E321" s="2"/>
      <c r="F321" s="2"/>
      <c r="G321" s="2"/>
      <c r="H321" s="2"/>
      <c r="I321" s="2"/>
      <c r="J321" s="2"/>
      <c r="K321" s="2"/>
      <c r="L321" s="2"/>
      <c r="M321" s="2"/>
      <c r="N321" s="2"/>
      <c r="O321" s="2"/>
      <c r="P321" s="2"/>
      <c r="Q321" s="2"/>
      <c r="R321" s="2"/>
      <c r="S321" s="2"/>
      <c r="T321" s="2"/>
    </row>
    <row r="322" spans="1:20" ht="15.75" customHeight="1">
      <c r="A322" s="1"/>
      <c r="B322" s="2"/>
      <c r="C322" s="2"/>
      <c r="D322" s="2"/>
      <c r="E322" s="2"/>
      <c r="F322" s="2"/>
      <c r="G322" s="2"/>
      <c r="H322" s="2"/>
      <c r="I322" s="2"/>
      <c r="J322" s="2"/>
      <c r="K322" s="2"/>
      <c r="L322" s="2"/>
      <c r="M322" s="2"/>
      <c r="N322" s="2"/>
      <c r="O322" s="2"/>
      <c r="P322" s="2"/>
      <c r="Q322" s="2"/>
      <c r="R322" s="2"/>
      <c r="S322" s="2"/>
      <c r="T322" s="2"/>
    </row>
    <row r="323" spans="1:20" ht="15.75" customHeight="1">
      <c r="A323" s="1"/>
      <c r="B323" s="2"/>
      <c r="C323" s="2"/>
      <c r="D323" s="2"/>
      <c r="E323" s="2"/>
      <c r="F323" s="2"/>
      <c r="G323" s="2"/>
      <c r="H323" s="2"/>
      <c r="I323" s="2"/>
      <c r="J323" s="2"/>
      <c r="K323" s="2"/>
      <c r="L323" s="2"/>
      <c r="M323" s="2"/>
      <c r="N323" s="2"/>
      <c r="O323" s="2"/>
      <c r="P323" s="2"/>
      <c r="Q323" s="2"/>
      <c r="R323" s="2"/>
      <c r="S323" s="2"/>
      <c r="T323" s="2"/>
    </row>
    <row r="324" spans="1:20" ht="15.75" customHeight="1">
      <c r="A324" s="1"/>
      <c r="B324" s="2"/>
      <c r="C324" s="2"/>
      <c r="D324" s="2"/>
      <c r="E324" s="2"/>
      <c r="F324" s="2"/>
      <c r="G324" s="2"/>
      <c r="H324" s="2"/>
      <c r="I324" s="2"/>
      <c r="J324" s="2"/>
      <c r="K324" s="2"/>
      <c r="L324" s="2"/>
      <c r="M324" s="2"/>
      <c r="N324" s="2"/>
      <c r="O324" s="2"/>
      <c r="P324" s="2"/>
      <c r="Q324" s="2"/>
      <c r="R324" s="2"/>
      <c r="S324" s="2"/>
      <c r="T324" s="2"/>
    </row>
    <row r="325" spans="1:20" ht="15.75" customHeight="1">
      <c r="A325" s="1"/>
      <c r="B325" s="2"/>
      <c r="C325" s="2"/>
      <c r="D325" s="2"/>
      <c r="E325" s="2"/>
      <c r="F325" s="2"/>
      <c r="G325" s="2"/>
      <c r="H325" s="2"/>
      <c r="I325" s="2"/>
      <c r="J325" s="2"/>
      <c r="K325" s="2"/>
      <c r="L325" s="2"/>
      <c r="M325" s="2"/>
      <c r="N325" s="2"/>
      <c r="O325" s="2"/>
      <c r="P325" s="2"/>
      <c r="Q325" s="2"/>
      <c r="R325" s="2"/>
      <c r="S325" s="2"/>
      <c r="T325" s="2"/>
    </row>
    <row r="326" spans="1:20" ht="15.75" customHeight="1">
      <c r="A326" s="1"/>
      <c r="B326" s="2"/>
      <c r="C326" s="2"/>
      <c r="D326" s="2"/>
      <c r="E326" s="2"/>
      <c r="F326" s="2"/>
      <c r="G326" s="2"/>
      <c r="H326" s="2"/>
      <c r="I326" s="2"/>
      <c r="J326" s="2"/>
      <c r="K326" s="2"/>
      <c r="L326" s="2"/>
      <c r="M326" s="2"/>
      <c r="N326" s="2"/>
      <c r="O326" s="2"/>
      <c r="P326" s="2"/>
      <c r="Q326" s="2"/>
      <c r="R326" s="2"/>
      <c r="S326" s="2"/>
      <c r="T326" s="2"/>
    </row>
    <row r="327" spans="1:20" ht="15.75" customHeight="1">
      <c r="A327" s="1"/>
      <c r="B327" s="2"/>
      <c r="C327" s="2"/>
      <c r="D327" s="2"/>
      <c r="E327" s="2"/>
      <c r="F327" s="2"/>
      <c r="G327" s="2"/>
      <c r="H327" s="2"/>
      <c r="I327" s="2"/>
      <c r="J327" s="2"/>
      <c r="K327" s="2"/>
      <c r="L327" s="2"/>
      <c r="M327" s="2"/>
      <c r="N327" s="2"/>
      <c r="O327" s="2"/>
      <c r="P327" s="2"/>
      <c r="Q327" s="2"/>
      <c r="R327" s="2"/>
      <c r="S327" s="2"/>
      <c r="T327" s="2"/>
    </row>
    <row r="328" spans="1:20" ht="15.75" customHeight="1">
      <c r="A328" s="1"/>
      <c r="B328" s="2"/>
      <c r="C328" s="2"/>
      <c r="D328" s="2"/>
      <c r="E328" s="2"/>
      <c r="F328" s="2"/>
      <c r="G328" s="2"/>
      <c r="H328" s="2"/>
      <c r="I328" s="2"/>
      <c r="J328" s="2"/>
      <c r="K328" s="2"/>
      <c r="L328" s="2"/>
      <c r="M328" s="2"/>
      <c r="N328" s="2"/>
      <c r="O328" s="2"/>
      <c r="P328" s="2"/>
      <c r="Q328" s="2"/>
      <c r="R328" s="2"/>
      <c r="S328" s="2"/>
      <c r="T328" s="2"/>
    </row>
    <row r="329" spans="1:20" ht="15.75" customHeight="1">
      <c r="A329" s="1"/>
      <c r="B329" s="2"/>
      <c r="C329" s="2"/>
      <c r="D329" s="2"/>
      <c r="E329" s="2"/>
      <c r="F329" s="2"/>
      <c r="G329" s="2"/>
      <c r="H329" s="2"/>
      <c r="I329" s="2"/>
      <c r="J329" s="2"/>
      <c r="K329" s="2"/>
      <c r="L329" s="2"/>
      <c r="M329" s="2"/>
      <c r="N329" s="2"/>
      <c r="O329" s="2"/>
      <c r="P329" s="2"/>
      <c r="Q329" s="2"/>
      <c r="R329" s="2"/>
      <c r="S329" s="2"/>
      <c r="T329" s="2"/>
    </row>
    <row r="330" spans="1:20" ht="15.75" customHeight="1">
      <c r="A330" s="1"/>
      <c r="B330" s="2"/>
      <c r="C330" s="2"/>
      <c r="D330" s="2"/>
      <c r="E330" s="2"/>
      <c r="F330" s="2"/>
      <c r="G330" s="2"/>
      <c r="H330" s="2"/>
      <c r="I330" s="2"/>
      <c r="J330" s="2"/>
      <c r="K330" s="2"/>
      <c r="L330" s="2"/>
      <c r="M330" s="2"/>
      <c r="N330" s="2"/>
      <c r="O330" s="2"/>
      <c r="P330" s="2"/>
      <c r="Q330" s="2"/>
      <c r="R330" s="2"/>
      <c r="S330" s="2"/>
      <c r="T330" s="2"/>
    </row>
    <row r="331" spans="1:20" ht="15.75" customHeight="1">
      <c r="A331" s="1"/>
      <c r="B331" s="2"/>
      <c r="C331" s="2"/>
      <c r="D331" s="2"/>
      <c r="E331" s="2"/>
      <c r="F331" s="2"/>
      <c r="G331" s="2"/>
      <c r="H331" s="2"/>
      <c r="I331" s="2"/>
      <c r="J331" s="2"/>
      <c r="K331" s="2"/>
      <c r="L331" s="2"/>
      <c r="M331" s="2"/>
      <c r="N331" s="2"/>
      <c r="O331" s="2"/>
      <c r="P331" s="2"/>
      <c r="Q331" s="2"/>
      <c r="R331" s="2"/>
      <c r="S331" s="2"/>
      <c r="T331" s="2"/>
    </row>
    <row r="332" spans="1:20" ht="15.75" customHeight="1">
      <c r="A332" s="1"/>
      <c r="B332" s="2"/>
      <c r="C332" s="2"/>
      <c r="D332" s="2"/>
      <c r="E332" s="2"/>
      <c r="F332" s="2"/>
      <c r="G332" s="2"/>
      <c r="H332" s="2"/>
      <c r="I332" s="2"/>
      <c r="J332" s="2"/>
      <c r="K332" s="2"/>
      <c r="L332" s="2"/>
      <c r="M332" s="2"/>
      <c r="N332" s="2"/>
      <c r="O332" s="2"/>
      <c r="P332" s="2"/>
      <c r="Q332" s="2"/>
      <c r="R332" s="2"/>
      <c r="S332" s="2"/>
      <c r="T332" s="2"/>
    </row>
    <row r="333" spans="1:20" ht="15.75" customHeight="1">
      <c r="A333" s="1"/>
      <c r="B333" s="2"/>
      <c r="C333" s="2"/>
      <c r="D333" s="2"/>
      <c r="E333" s="2"/>
      <c r="F333" s="2"/>
      <c r="G333" s="2"/>
      <c r="H333" s="2"/>
      <c r="I333" s="2"/>
      <c r="J333" s="2"/>
      <c r="K333" s="2"/>
      <c r="L333" s="2"/>
      <c r="M333" s="2"/>
      <c r="N333" s="2"/>
      <c r="O333" s="2"/>
      <c r="P333" s="2"/>
      <c r="Q333" s="2"/>
      <c r="R333" s="2"/>
      <c r="S333" s="2"/>
      <c r="T333" s="2"/>
    </row>
    <row r="334" spans="1:20" ht="15.75" customHeight="1">
      <c r="A334" s="1"/>
      <c r="B334" s="2"/>
      <c r="C334" s="2"/>
      <c r="D334" s="2"/>
      <c r="E334" s="2"/>
      <c r="F334" s="2"/>
      <c r="G334" s="2"/>
      <c r="H334" s="2"/>
      <c r="I334" s="2"/>
      <c r="J334" s="2"/>
      <c r="K334" s="2"/>
      <c r="L334" s="2"/>
      <c r="M334" s="2"/>
      <c r="N334" s="2"/>
      <c r="O334" s="2"/>
      <c r="P334" s="2"/>
      <c r="Q334" s="2"/>
      <c r="R334" s="2"/>
      <c r="S334" s="2"/>
      <c r="T334" s="2"/>
    </row>
    <row r="335" spans="1:20" ht="15.75" customHeight="1">
      <c r="A335" s="1"/>
      <c r="B335" s="2"/>
      <c r="C335" s="2"/>
      <c r="D335" s="2"/>
      <c r="E335" s="2"/>
      <c r="F335" s="2"/>
      <c r="G335" s="2"/>
      <c r="H335" s="2"/>
      <c r="I335" s="2"/>
      <c r="J335" s="2"/>
      <c r="K335" s="2"/>
      <c r="L335" s="2"/>
      <c r="M335" s="2"/>
      <c r="N335" s="2"/>
      <c r="O335" s="2"/>
      <c r="P335" s="2"/>
      <c r="Q335" s="2"/>
      <c r="R335" s="2"/>
      <c r="S335" s="2"/>
      <c r="T335" s="2"/>
    </row>
    <row r="336" spans="1:20" ht="15.75" customHeight="1">
      <c r="A336" s="1"/>
      <c r="B336" s="2"/>
      <c r="C336" s="2"/>
      <c r="D336" s="2"/>
      <c r="E336" s="2"/>
      <c r="F336" s="2"/>
      <c r="G336" s="2"/>
      <c r="H336" s="2"/>
      <c r="I336" s="2"/>
      <c r="J336" s="2"/>
      <c r="K336" s="2"/>
      <c r="L336" s="2"/>
      <c r="M336" s="2"/>
      <c r="N336" s="2"/>
      <c r="O336" s="2"/>
      <c r="P336" s="2"/>
      <c r="Q336" s="2"/>
      <c r="R336" s="2"/>
      <c r="S336" s="2"/>
      <c r="T336" s="2"/>
    </row>
    <row r="337" spans="1:20" ht="15.75" customHeight="1">
      <c r="A337" s="1"/>
      <c r="B337" s="2"/>
      <c r="C337" s="2"/>
      <c r="D337" s="2"/>
      <c r="E337" s="2"/>
      <c r="F337" s="2"/>
      <c r="G337" s="2"/>
      <c r="H337" s="2"/>
      <c r="I337" s="2"/>
      <c r="J337" s="2"/>
      <c r="K337" s="2"/>
      <c r="L337" s="2"/>
      <c r="M337" s="2"/>
      <c r="N337" s="2"/>
      <c r="O337" s="2"/>
      <c r="P337" s="2"/>
      <c r="Q337" s="2"/>
      <c r="R337" s="2"/>
      <c r="S337" s="2"/>
      <c r="T337" s="2"/>
    </row>
    <row r="338" spans="1:20" ht="15.75" customHeight="1">
      <c r="A338" s="1"/>
      <c r="B338" s="2"/>
      <c r="C338" s="2"/>
      <c r="D338" s="2"/>
      <c r="E338" s="2"/>
      <c r="F338" s="2"/>
      <c r="G338" s="2"/>
      <c r="H338" s="2"/>
      <c r="I338" s="2"/>
      <c r="J338" s="2"/>
      <c r="K338" s="2"/>
      <c r="L338" s="2"/>
      <c r="M338" s="2"/>
      <c r="N338" s="2"/>
      <c r="O338" s="2"/>
      <c r="P338" s="2"/>
      <c r="Q338" s="2"/>
      <c r="R338" s="2"/>
      <c r="S338" s="2"/>
      <c r="T338" s="2"/>
    </row>
    <row r="339" spans="1:20" ht="15.75" customHeight="1">
      <c r="A339" s="1"/>
      <c r="B339" s="2"/>
      <c r="C339" s="2"/>
      <c r="D339" s="2"/>
      <c r="E339" s="2"/>
      <c r="F339" s="2"/>
      <c r="G339" s="2"/>
      <c r="H339" s="2"/>
      <c r="I339" s="2"/>
      <c r="J339" s="2"/>
      <c r="K339" s="2"/>
      <c r="L339" s="2"/>
      <c r="M339" s="2"/>
      <c r="N339" s="2"/>
      <c r="O339" s="2"/>
      <c r="P339" s="2"/>
      <c r="Q339" s="2"/>
      <c r="R339" s="2"/>
      <c r="S339" s="2"/>
      <c r="T339" s="2"/>
    </row>
    <row r="340" spans="1:20" ht="15.75" customHeight="1">
      <c r="A340" s="1"/>
      <c r="B340" s="2"/>
      <c r="C340" s="2"/>
      <c r="D340" s="2"/>
      <c r="E340" s="2"/>
      <c r="F340" s="2"/>
      <c r="G340" s="2"/>
      <c r="H340" s="2"/>
      <c r="I340" s="2"/>
      <c r="J340" s="2"/>
      <c r="K340" s="2"/>
      <c r="L340" s="2"/>
      <c r="M340" s="2"/>
      <c r="N340" s="2"/>
      <c r="O340" s="2"/>
      <c r="P340" s="2"/>
      <c r="Q340" s="2"/>
      <c r="R340" s="2"/>
      <c r="S340" s="2"/>
      <c r="T340" s="2"/>
    </row>
    <row r="341" spans="1:20" ht="15.75" customHeight="1">
      <c r="A341" s="1"/>
      <c r="B341" s="2"/>
      <c r="C341" s="2"/>
      <c r="D341" s="2"/>
      <c r="E341" s="2"/>
      <c r="F341" s="2"/>
      <c r="G341" s="2"/>
      <c r="H341" s="2"/>
      <c r="I341" s="2"/>
      <c r="J341" s="2"/>
      <c r="K341" s="2"/>
      <c r="L341" s="2"/>
      <c r="M341" s="2"/>
      <c r="N341" s="2"/>
      <c r="O341" s="2"/>
      <c r="P341" s="2"/>
      <c r="Q341" s="2"/>
      <c r="R341" s="2"/>
      <c r="S341" s="2"/>
      <c r="T341" s="2"/>
    </row>
    <row r="342" spans="1:20" ht="15.75" customHeight="1">
      <c r="A342" s="1"/>
      <c r="B342" s="2"/>
      <c r="C342" s="2"/>
      <c r="D342" s="2"/>
      <c r="E342" s="2"/>
      <c r="F342" s="2"/>
      <c r="G342" s="2"/>
      <c r="H342" s="2"/>
      <c r="I342" s="2"/>
      <c r="J342" s="2"/>
      <c r="K342" s="2"/>
      <c r="L342" s="2"/>
      <c r="M342" s="2"/>
      <c r="N342" s="2"/>
      <c r="O342" s="2"/>
      <c r="P342" s="2"/>
      <c r="Q342" s="2"/>
      <c r="R342" s="2"/>
      <c r="S342" s="2"/>
      <c r="T342" s="2"/>
    </row>
    <row r="343" spans="1:20" ht="15.75" customHeight="1">
      <c r="A343" s="1"/>
      <c r="B343" s="2"/>
      <c r="C343" s="2"/>
      <c r="D343" s="2"/>
      <c r="E343" s="2"/>
      <c r="F343" s="2"/>
      <c r="G343" s="2"/>
      <c r="H343" s="2"/>
      <c r="I343" s="2"/>
      <c r="J343" s="2"/>
      <c r="K343" s="2"/>
      <c r="L343" s="2"/>
      <c r="M343" s="2"/>
      <c r="N343" s="2"/>
      <c r="O343" s="2"/>
      <c r="P343" s="2"/>
      <c r="Q343" s="2"/>
      <c r="R343" s="2"/>
      <c r="S343" s="2"/>
      <c r="T343" s="2"/>
    </row>
    <row r="344" spans="1:20" ht="15.75" customHeight="1">
      <c r="A344" s="1"/>
      <c r="B344" s="2"/>
      <c r="C344" s="2"/>
      <c r="D344" s="2"/>
      <c r="E344" s="2"/>
      <c r="F344" s="2"/>
      <c r="G344" s="2"/>
      <c r="H344" s="2"/>
      <c r="I344" s="2"/>
      <c r="J344" s="2"/>
      <c r="K344" s="2"/>
      <c r="L344" s="2"/>
      <c r="M344" s="2"/>
      <c r="N344" s="2"/>
      <c r="O344" s="2"/>
      <c r="P344" s="2"/>
      <c r="Q344" s="2"/>
      <c r="R344" s="2"/>
      <c r="S344" s="2"/>
      <c r="T344" s="2"/>
    </row>
    <row r="345" spans="1:20" ht="15.75" customHeight="1">
      <c r="A345" s="1"/>
      <c r="B345" s="2"/>
      <c r="C345" s="2"/>
      <c r="D345" s="2"/>
      <c r="E345" s="2"/>
      <c r="F345" s="2"/>
      <c r="G345" s="2"/>
      <c r="H345" s="2"/>
      <c r="I345" s="2"/>
      <c r="J345" s="2"/>
      <c r="K345" s="2"/>
      <c r="L345" s="2"/>
      <c r="M345" s="2"/>
      <c r="N345" s="2"/>
      <c r="O345" s="2"/>
      <c r="P345" s="2"/>
      <c r="Q345" s="2"/>
      <c r="R345" s="2"/>
      <c r="S345" s="2"/>
      <c r="T345" s="2"/>
    </row>
    <row r="346" spans="1:20" ht="15.75" customHeight="1">
      <c r="A346" s="1"/>
      <c r="B346" s="2"/>
      <c r="C346" s="2"/>
      <c r="D346" s="2"/>
      <c r="E346" s="2"/>
      <c r="F346" s="2"/>
      <c r="G346" s="2"/>
      <c r="H346" s="2"/>
      <c r="I346" s="2"/>
      <c r="J346" s="2"/>
      <c r="K346" s="2"/>
      <c r="L346" s="2"/>
      <c r="M346" s="2"/>
      <c r="N346" s="2"/>
      <c r="O346" s="2"/>
      <c r="P346" s="2"/>
      <c r="Q346" s="2"/>
      <c r="R346" s="2"/>
      <c r="S346" s="2"/>
      <c r="T346" s="2"/>
    </row>
    <row r="347" spans="1:20" ht="15.75" customHeight="1">
      <c r="A347" s="1"/>
      <c r="B347" s="2"/>
      <c r="C347" s="2"/>
      <c r="D347" s="2"/>
      <c r="E347" s="2"/>
      <c r="F347" s="2"/>
      <c r="G347" s="2"/>
      <c r="H347" s="2"/>
      <c r="I347" s="2"/>
      <c r="J347" s="2"/>
      <c r="K347" s="2"/>
      <c r="L347" s="2"/>
      <c r="M347" s="2"/>
      <c r="N347" s="2"/>
      <c r="O347" s="2"/>
      <c r="P347" s="2"/>
      <c r="Q347" s="2"/>
      <c r="R347" s="2"/>
      <c r="S347" s="2"/>
      <c r="T347" s="2"/>
    </row>
    <row r="348" spans="1:20" ht="15.75" customHeight="1">
      <c r="A348" s="1"/>
      <c r="B348" s="2"/>
      <c r="C348" s="2"/>
      <c r="D348" s="2"/>
      <c r="E348" s="2"/>
      <c r="F348" s="2"/>
      <c r="G348" s="2"/>
      <c r="H348" s="2"/>
      <c r="I348" s="2"/>
      <c r="J348" s="2"/>
      <c r="K348" s="2"/>
      <c r="L348" s="2"/>
      <c r="M348" s="2"/>
      <c r="N348" s="2"/>
      <c r="O348" s="2"/>
      <c r="P348" s="2"/>
      <c r="Q348" s="2"/>
      <c r="R348" s="2"/>
      <c r="S348" s="2"/>
      <c r="T348" s="2"/>
    </row>
    <row r="349" spans="1:20" ht="15.75" customHeight="1">
      <c r="A349" s="1"/>
      <c r="B349" s="2"/>
      <c r="C349" s="2"/>
      <c r="D349" s="2"/>
      <c r="E349" s="2"/>
      <c r="F349" s="2"/>
      <c r="G349" s="2"/>
      <c r="H349" s="2"/>
      <c r="I349" s="2"/>
      <c r="J349" s="2"/>
      <c r="K349" s="2"/>
      <c r="L349" s="2"/>
      <c r="M349" s="2"/>
      <c r="N349" s="2"/>
      <c r="O349" s="2"/>
      <c r="P349" s="2"/>
      <c r="Q349" s="2"/>
      <c r="R349" s="2"/>
      <c r="S349" s="2"/>
      <c r="T349" s="2"/>
    </row>
    <row r="350" spans="1:20" ht="15.75" customHeight="1">
      <c r="A350" s="1"/>
      <c r="B350" s="2"/>
      <c r="C350" s="2"/>
      <c r="D350" s="2"/>
      <c r="E350" s="2"/>
      <c r="F350" s="2"/>
      <c r="G350" s="2"/>
      <c r="H350" s="2"/>
      <c r="I350" s="2"/>
      <c r="J350" s="2"/>
      <c r="K350" s="2"/>
      <c r="L350" s="2"/>
      <c r="M350" s="2"/>
      <c r="N350" s="2"/>
      <c r="O350" s="2"/>
      <c r="P350" s="2"/>
      <c r="Q350" s="2"/>
      <c r="R350" s="2"/>
      <c r="S350" s="2"/>
      <c r="T350" s="2"/>
    </row>
    <row r="351" spans="1:20" ht="15.75" customHeight="1">
      <c r="A351" s="1"/>
      <c r="B351" s="2"/>
      <c r="C351" s="2"/>
      <c r="D351" s="2"/>
      <c r="E351" s="2"/>
      <c r="F351" s="2"/>
      <c r="G351" s="2"/>
      <c r="H351" s="2"/>
      <c r="I351" s="2"/>
      <c r="J351" s="2"/>
      <c r="K351" s="2"/>
      <c r="L351" s="2"/>
      <c r="M351" s="2"/>
      <c r="N351" s="2"/>
      <c r="O351" s="2"/>
      <c r="P351" s="2"/>
      <c r="Q351" s="2"/>
      <c r="R351" s="2"/>
      <c r="S351" s="2"/>
      <c r="T351" s="2"/>
    </row>
    <row r="352" spans="1:20" ht="15.75" customHeight="1">
      <c r="A352" s="1"/>
      <c r="B352" s="2"/>
      <c r="C352" s="2"/>
      <c r="D352" s="2"/>
      <c r="E352" s="2"/>
      <c r="F352" s="2"/>
      <c r="G352" s="2"/>
      <c r="H352" s="2"/>
      <c r="I352" s="2"/>
      <c r="J352" s="2"/>
      <c r="K352" s="2"/>
      <c r="L352" s="2"/>
      <c r="M352" s="2"/>
      <c r="N352" s="2"/>
      <c r="O352" s="2"/>
      <c r="P352" s="2"/>
      <c r="Q352" s="2"/>
      <c r="R352" s="2"/>
      <c r="S352" s="2"/>
      <c r="T352" s="2"/>
    </row>
    <row r="353" spans="1:20" ht="15.75" customHeight="1">
      <c r="A353" s="1"/>
      <c r="B353" s="2"/>
      <c r="C353" s="2"/>
      <c r="D353" s="2"/>
      <c r="E353" s="2"/>
      <c r="F353" s="2"/>
      <c r="G353" s="2"/>
      <c r="H353" s="2"/>
      <c r="I353" s="2"/>
      <c r="J353" s="2"/>
      <c r="K353" s="2"/>
      <c r="L353" s="2"/>
      <c r="M353" s="2"/>
      <c r="N353" s="2"/>
      <c r="O353" s="2"/>
      <c r="P353" s="2"/>
      <c r="Q353" s="2"/>
      <c r="R353" s="2"/>
      <c r="S353" s="2"/>
      <c r="T353" s="2"/>
    </row>
    <row r="354" spans="1:20" ht="15.75" customHeight="1">
      <c r="A354" s="1"/>
      <c r="B354" s="2"/>
      <c r="C354" s="2"/>
      <c r="D354" s="2"/>
      <c r="E354" s="2"/>
      <c r="F354" s="2"/>
      <c r="G354" s="2"/>
      <c r="H354" s="2"/>
      <c r="I354" s="2"/>
      <c r="J354" s="2"/>
      <c r="K354" s="2"/>
      <c r="L354" s="2"/>
      <c r="M354" s="2"/>
      <c r="N354" s="2"/>
      <c r="O354" s="2"/>
      <c r="P354" s="2"/>
      <c r="Q354" s="2"/>
      <c r="R354" s="2"/>
      <c r="S354" s="2"/>
      <c r="T354" s="2"/>
    </row>
    <row r="355" spans="1:20" ht="15.75" customHeight="1">
      <c r="A355" s="1"/>
      <c r="B355" s="2"/>
      <c r="C355" s="2"/>
      <c r="D355" s="2"/>
      <c r="E355" s="2"/>
      <c r="F355" s="2"/>
      <c r="G355" s="2"/>
      <c r="H355" s="2"/>
      <c r="I355" s="2"/>
      <c r="J355" s="2"/>
      <c r="K355" s="2"/>
      <c r="L355" s="2"/>
      <c r="M355" s="2"/>
      <c r="N355" s="2"/>
      <c r="O355" s="2"/>
      <c r="P355" s="2"/>
      <c r="Q355" s="2"/>
      <c r="R355" s="2"/>
      <c r="S355" s="2"/>
      <c r="T355" s="2"/>
    </row>
    <row r="356" spans="1:20" ht="15.75" customHeight="1">
      <c r="A356" s="1"/>
      <c r="B356" s="2"/>
      <c r="C356" s="2"/>
      <c r="D356" s="2"/>
      <c r="E356" s="2"/>
      <c r="F356" s="2"/>
      <c r="G356" s="2"/>
      <c r="H356" s="2"/>
      <c r="I356" s="2"/>
      <c r="J356" s="2"/>
      <c r="K356" s="2"/>
      <c r="L356" s="2"/>
      <c r="M356" s="2"/>
      <c r="N356" s="2"/>
      <c r="O356" s="2"/>
      <c r="P356" s="2"/>
      <c r="Q356" s="2"/>
      <c r="R356" s="2"/>
      <c r="S356" s="2"/>
      <c r="T356" s="2"/>
    </row>
    <row r="357" spans="1:20" ht="15.75" customHeight="1">
      <c r="A357" s="1"/>
      <c r="B357" s="2"/>
      <c r="C357" s="2"/>
      <c r="D357" s="2"/>
      <c r="E357" s="2"/>
      <c r="F357" s="2"/>
      <c r="G357" s="2"/>
      <c r="H357" s="2"/>
      <c r="I357" s="2"/>
      <c r="J357" s="2"/>
      <c r="K357" s="2"/>
      <c r="L357" s="2"/>
      <c r="M357" s="2"/>
      <c r="N357" s="2"/>
      <c r="O357" s="2"/>
      <c r="P357" s="2"/>
      <c r="Q357" s="2"/>
      <c r="R357" s="2"/>
      <c r="S357" s="2"/>
      <c r="T357" s="2"/>
    </row>
    <row r="358" spans="1:20" ht="15.75" customHeight="1">
      <c r="A358" s="1"/>
      <c r="B358" s="2"/>
      <c r="C358" s="2"/>
      <c r="D358" s="2"/>
      <c r="E358" s="2"/>
      <c r="F358" s="2"/>
      <c r="G358" s="2"/>
      <c r="H358" s="2"/>
      <c r="I358" s="2"/>
      <c r="J358" s="2"/>
      <c r="K358" s="2"/>
      <c r="L358" s="2"/>
      <c r="M358" s="2"/>
      <c r="N358" s="2"/>
      <c r="O358" s="2"/>
      <c r="P358" s="2"/>
      <c r="Q358" s="2"/>
      <c r="R358" s="2"/>
      <c r="S358" s="2"/>
      <c r="T358" s="2"/>
    </row>
    <row r="359" spans="1:20" ht="15.75" customHeight="1">
      <c r="A359" s="1"/>
      <c r="B359" s="2"/>
      <c r="C359" s="2"/>
      <c r="D359" s="2"/>
      <c r="E359" s="2"/>
      <c r="F359" s="2"/>
      <c r="G359" s="2"/>
      <c r="H359" s="2"/>
      <c r="I359" s="2"/>
      <c r="J359" s="2"/>
      <c r="K359" s="2"/>
      <c r="L359" s="2"/>
      <c r="M359" s="2"/>
      <c r="N359" s="2"/>
      <c r="O359" s="2"/>
      <c r="P359" s="2"/>
      <c r="Q359" s="2"/>
      <c r="R359" s="2"/>
      <c r="S359" s="2"/>
      <c r="T359" s="2"/>
    </row>
    <row r="360" spans="1:20" ht="15.75" customHeight="1">
      <c r="A360" s="1"/>
      <c r="B360" s="2"/>
      <c r="C360" s="2"/>
      <c r="D360" s="2"/>
      <c r="E360" s="2"/>
      <c r="F360" s="2"/>
      <c r="G360" s="2"/>
      <c r="H360" s="2"/>
      <c r="I360" s="2"/>
      <c r="J360" s="2"/>
      <c r="K360" s="2"/>
      <c r="L360" s="2"/>
      <c r="M360" s="2"/>
      <c r="N360" s="2"/>
      <c r="O360" s="2"/>
      <c r="P360" s="2"/>
      <c r="Q360" s="2"/>
      <c r="R360" s="2"/>
      <c r="S360" s="2"/>
      <c r="T360" s="2"/>
    </row>
    <row r="361" spans="1:20" ht="15.75" customHeight="1">
      <c r="A361" s="1"/>
      <c r="B361" s="2"/>
      <c r="C361" s="2"/>
      <c r="D361" s="2"/>
      <c r="E361" s="2"/>
      <c r="F361" s="2"/>
      <c r="G361" s="2"/>
      <c r="H361" s="2"/>
      <c r="I361" s="2"/>
      <c r="J361" s="2"/>
      <c r="K361" s="2"/>
      <c r="L361" s="2"/>
      <c r="M361" s="2"/>
      <c r="N361" s="2"/>
      <c r="O361" s="2"/>
      <c r="P361" s="2"/>
      <c r="Q361" s="2"/>
      <c r="R361" s="2"/>
      <c r="S361" s="2"/>
      <c r="T361" s="2"/>
    </row>
    <row r="362" spans="1:20" ht="15.75" customHeight="1">
      <c r="A362" s="1"/>
      <c r="B362" s="2"/>
      <c r="C362" s="2"/>
      <c r="D362" s="2"/>
      <c r="E362" s="2"/>
      <c r="F362" s="2"/>
      <c r="G362" s="2"/>
      <c r="H362" s="2"/>
      <c r="I362" s="2"/>
      <c r="J362" s="2"/>
      <c r="K362" s="2"/>
      <c r="L362" s="2"/>
      <c r="M362" s="2"/>
      <c r="N362" s="2"/>
      <c r="O362" s="2"/>
      <c r="P362" s="2"/>
      <c r="Q362" s="2"/>
      <c r="R362" s="2"/>
      <c r="S362" s="2"/>
      <c r="T362" s="2"/>
    </row>
    <row r="363" spans="1:20" ht="15.75" customHeight="1">
      <c r="A363" s="1"/>
      <c r="B363" s="2"/>
      <c r="C363" s="2"/>
      <c r="D363" s="2"/>
      <c r="E363" s="2"/>
      <c r="F363" s="2"/>
      <c r="G363" s="2"/>
      <c r="H363" s="2"/>
      <c r="I363" s="2"/>
      <c r="J363" s="2"/>
      <c r="K363" s="2"/>
      <c r="L363" s="2"/>
      <c r="M363" s="2"/>
      <c r="N363" s="2"/>
      <c r="O363" s="2"/>
      <c r="P363" s="2"/>
      <c r="Q363" s="2"/>
      <c r="R363" s="2"/>
      <c r="S363" s="2"/>
      <c r="T363" s="2"/>
    </row>
    <row r="364" spans="1:20" ht="15.75" customHeight="1">
      <c r="A364" s="1"/>
      <c r="B364" s="2"/>
      <c r="C364" s="2"/>
      <c r="D364" s="2"/>
      <c r="E364" s="2"/>
      <c r="F364" s="2"/>
      <c r="G364" s="2"/>
      <c r="H364" s="2"/>
      <c r="I364" s="2"/>
      <c r="J364" s="2"/>
      <c r="K364" s="2"/>
      <c r="L364" s="2"/>
      <c r="M364" s="2"/>
      <c r="N364" s="2"/>
      <c r="O364" s="2"/>
      <c r="P364" s="2"/>
      <c r="Q364" s="2"/>
      <c r="R364" s="2"/>
      <c r="S364" s="2"/>
      <c r="T364" s="2"/>
    </row>
    <row r="365" spans="1:20" ht="15.75" customHeight="1">
      <c r="A365" s="1"/>
      <c r="B365" s="2"/>
      <c r="C365" s="2"/>
      <c r="D365" s="2"/>
      <c r="E365" s="2"/>
      <c r="F365" s="2"/>
      <c r="G365" s="2"/>
      <c r="H365" s="2"/>
      <c r="I365" s="2"/>
      <c r="J365" s="2"/>
      <c r="K365" s="2"/>
      <c r="L365" s="2"/>
      <c r="M365" s="2"/>
      <c r="N365" s="2"/>
      <c r="O365" s="2"/>
      <c r="P365" s="2"/>
      <c r="Q365" s="2"/>
      <c r="R365" s="2"/>
      <c r="S365" s="2"/>
      <c r="T365" s="2"/>
    </row>
    <row r="366" spans="1:20" ht="15.75" customHeight="1">
      <c r="A366" s="1"/>
      <c r="B366" s="2"/>
      <c r="C366" s="2"/>
      <c r="D366" s="2"/>
      <c r="E366" s="2"/>
      <c r="F366" s="2"/>
      <c r="G366" s="2"/>
      <c r="H366" s="2"/>
      <c r="I366" s="2"/>
      <c r="J366" s="2"/>
      <c r="K366" s="2"/>
      <c r="L366" s="2"/>
      <c r="M366" s="2"/>
      <c r="N366" s="2"/>
      <c r="O366" s="2"/>
      <c r="P366" s="2"/>
      <c r="Q366" s="2"/>
      <c r="R366" s="2"/>
      <c r="S366" s="2"/>
      <c r="T366" s="2"/>
    </row>
    <row r="367" spans="1:20" ht="15.75" customHeight="1">
      <c r="A367" s="1"/>
      <c r="B367" s="2"/>
      <c r="C367" s="2"/>
      <c r="D367" s="2"/>
      <c r="E367" s="2"/>
      <c r="F367" s="2"/>
      <c r="G367" s="2"/>
      <c r="H367" s="2"/>
      <c r="I367" s="2"/>
      <c r="J367" s="2"/>
      <c r="K367" s="2"/>
      <c r="L367" s="2"/>
      <c r="M367" s="2"/>
      <c r="N367" s="2"/>
      <c r="O367" s="2"/>
      <c r="P367" s="2"/>
      <c r="Q367" s="2"/>
      <c r="R367" s="2"/>
      <c r="S367" s="2"/>
      <c r="T367" s="2"/>
    </row>
    <row r="368" spans="1:20" ht="15.75" customHeight="1">
      <c r="A368" s="1"/>
      <c r="B368" s="2"/>
      <c r="C368" s="2"/>
      <c r="D368" s="2"/>
      <c r="E368" s="2"/>
      <c r="F368" s="2"/>
      <c r="G368" s="2"/>
      <c r="H368" s="2"/>
      <c r="I368" s="2"/>
      <c r="J368" s="2"/>
      <c r="K368" s="2"/>
      <c r="L368" s="2"/>
      <c r="M368" s="2"/>
      <c r="N368" s="2"/>
      <c r="O368" s="2"/>
      <c r="P368" s="2"/>
      <c r="Q368" s="2"/>
      <c r="R368" s="2"/>
      <c r="S368" s="2"/>
      <c r="T368" s="2"/>
    </row>
    <row r="369" spans="1:20" ht="15.75" customHeight="1">
      <c r="A369" s="1"/>
      <c r="B369" s="2"/>
      <c r="C369" s="2"/>
      <c r="D369" s="2"/>
      <c r="E369" s="2"/>
      <c r="F369" s="2"/>
      <c r="G369" s="2"/>
      <c r="H369" s="2"/>
      <c r="I369" s="2"/>
      <c r="J369" s="2"/>
      <c r="K369" s="2"/>
      <c r="L369" s="2"/>
      <c r="M369" s="2"/>
      <c r="N369" s="2"/>
      <c r="O369" s="2"/>
      <c r="P369" s="2"/>
      <c r="Q369" s="2"/>
      <c r="R369" s="2"/>
      <c r="S369" s="2"/>
      <c r="T369" s="2"/>
    </row>
    <row r="370" spans="1:20" ht="15.75" customHeight="1">
      <c r="A370" s="1"/>
      <c r="B370" s="2"/>
      <c r="C370" s="2"/>
      <c r="D370" s="2"/>
      <c r="E370" s="2"/>
      <c r="F370" s="2"/>
      <c r="G370" s="2"/>
      <c r="H370" s="2"/>
      <c r="I370" s="2"/>
      <c r="J370" s="2"/>
      <c r="K370" s="2"/>
      <c r="L370" s="2"/>
      <c r="M370" s="2"/>
      <c r="N370" s="2"/>
      <c r="O370" s="2"/>
      <c r="P370" s="2"/>
      <c r="Q370" s="2"/>
      <c r="R370" s="2"/>
      <c r="S370" s="2"/>
      <c r="T370" s="2"/>
    </row>
    <row r="371" spans="1:20" ht="15.75" customHeight="1">
      <c r="A371" s="1"/>
      <c r="B371" s="2"/>
      <c r="C371" s="2"/>
      <c r="D371" s="2"/>
      <c r="E371" s="2"/>
      <c r="F371" s="2"/>
      <c r="G371" s="2"/>
      <c r="H371" s="2"/>
      <c r="I371" s="2"/>
      <c r="J371" s="2"/>
      <c r="K371" s="2"/>
      <c r="L371" s="2"/>
      <c r="M371" s="2"/>
      <c r="N371" s="2"/>
      <c r="O371" s="2"/>
      <c r="P371" s="2"/>
      <c r="Q371" s="2"/>
      <c r="R371" s="2"/>
      <c r="S371" s="2"/>
      <c r="T371" s="2"/>
    </row>
    <row r="372" spans="1:20" ht="15.75" customHeight="1">
      <c r="A372" s="1"/>
      <c r="B372" s="2"/>
      <c r="C372" s="2"/>
      <c r="D372" s="2"/>
      <c r="E372" s="2"/>
      <c r="F372" s="2"/>
      <c r="G372" s="2"/>
      <c r="H372" s="2"/>
      <c r="I372" s="2"/>
      <c r="J372" s="2"/>
      <c r="K372" s="2"/>
      <c r="L372" s="2"/>
      <c r="M372" s="2"/>
      <c r="N372" s="2"/>
      <c r="O372" s="2"/>
      <c r="P372" s="2"/>
      <c r="Q372" s="2"/>
      <c r="R372" s="2"/>
      <c r="S372" s="2"/>
      <c r="T372" s="2"/>
    </row>
    <row r="373" spans="1:20" ht="15.75" customHeight="1">
      <c r="A373" s="1"/>
      <c r="B373" s="2"/>
      <c r="C373" s="2"/>
      <c r="D373" s="2"/>
      <c r="E373" s="2"/>
      <c r="F373" s="2"/>
      <c r="G373" s="2"/>
      <c r="H373" s="2"/>
      <c r="I373" s="2"/>
      <c r="J373" s="2"/>
      <c r="K373" s="2"/>
      <c r="L373" s="2"/>
      <c r="M373" s="2"/>
      <c r="N373" s="2"/>
      <c r="O373" s="2"/>
      <c r="P373" s="2"/>
      <c r="Q373" s="2"/>
      <c r="R373" s="2"/>
      <c r="S373" s="2"/>
      <c r="T373" s="2"/>
    </row>
    <row r="374" spans="1:20" ht="15.75" customHeight="1">
      <c r="A374" s="1"/>
      <c r="B374" s="2"/>
      <c r="C374" s="2"/>
      <c r="D374" s="2"/>
      <c r="E374" s="2"/>
      <c r="F374" s="2"/>
      <c r="G374" s="2"/>
      <c r="H374" s="2"/>
      <c r="I374" s="2"/>
      <c r="J374" s="2"/>
      <c r="K374" s="2"/>
      <c r="L374" s="2"/>
      <c r="M374" s="2"/>
      <c r="N374" s="2"/>
      <c r="O374" s="2"/>
      <c r="P374" s="2"/>
      <c r="Q374" s="2"/>
      <c r="R374" s="2"/>
      <c r="S374" s="2"/>
      <c r="T374" s="2"/>
    </row>
    <row r="375" spans="1:20" ht="15.75" customHeight="1">
      <c r="A375" s="1"/>
      <c r="B375" s="2"/>
      <c r="C375" s="2"/>
      <c r="D375" s="2"/>
      <c r="E375" s="2"/>
      <c r="F375" s="2"/>
      <c r="G375" s="2"/>
      <c r="H375" s="2"/>
      <c r="I375" s="2"/>
      <c r="J375" s="2"/>
      <c r="K375" s="2"/>
      <c r="L375" s="2"/>
      <c r="M375" s="2"/>
      <c r="N375" s="2"/>
      <c r="O375" s="2"/>
      <c r="P375" s="2"/>
      <c r="Q375" s="2"/>
      <c r="R375" s="2"/>
      <c r="S375" s="2"/>
      <c r="T375" s="2"/>
    </row>
    <row r="376" spans="1:20" ht="15.75" customHeight="1">
      <c r="A376" s="1"/>
      <c r="B376" s="2"/>
      <c r="C376" s="2"/>
      <c r="D376" s="2"/>
      <c r="E376" s="2"/>
      <c r="F376" s="2"/>
      <c r="G376" s="2"/>
      <c r="H376" s="2"/>
      <c r="I376" s="2"/>
      <c r="J376" s="2"/>
      <c r="K376" s="2"/>
      <c r="L376" s="2"/>
      <c r="M376" s="2"/>
      <c r="N376" s="2"/>
      <c r="O376" s="2"/>
      <c r="P376" s="2"/>
      <c r="Q376" s="2"/>
      <c r="R376" s="2"/>
      <c r="S376" s="2"/>
      <c r="T376" s="2"/>
    </row>
    <row r="377" spans="1:20" ht="15.75" customHeight="1">
      <c r="A377" s="1"/>
      <c r="B377" s="2"/>
      <c r="C377" s="2"/>
      <c r="D377" s="2"/>
      <c r="E377" s="2"/>
      <c r="F377" s="2"/>
      <c r="G377" s="2"/>
      <c r="H377" s="2"/>
      <c r="I377" s="2"/>
      <c r="J377" s="2"/>
      <c r="K377" s="2"/>
      <c r="L377" s="2"/>
      <c r="M377" s="2"/>
      <c r="N377" s="2"/>
      <c r="O377" s="2"/>
      <c r="P377" s="2"/>
      <c r="Q377" s="2"/>
      <c r="R377" s="2"/>
      <c r="S377" s="2"/>
      <c r="T377" s="2"/>
    </row>
    <row r="378" spans="1:20" ht="15.75" customHeight="1">
      <c r="A378" s="1"/>
      <c r="B378" s="2"/>
      <c r="C378" s="2"/>
      <c r="D378" s="2"/>
      <c r="E378" s="2"/>
      <c r="F378" s="2"/>
      <c r="G378" s="2"/>
      <c r="H378" s="2"/>
      <c r="I378" s="2"/>
      <c r="J378" s="2"/>
      <c r="K378" s="2"/>
      <c r="L378" s="2"/>
      <c r="M378" s="2"/>
      <c r="N378" s="2"/>
      <c r="O378" s="2"/>
      <c r="P378" s="2"/>
      <c r="Q378" s="2"/>
      <c r="R378" s="2"/>
      <c r="S378" s="2"/>
      <c r="T378" s="2"/>
    </row>
    <row r="379" spans="1:20" ht="15.75" customHeight="1">
      <c r="A379" s="1"/>
      <c r="B379" s="2"/>
      <c r="C379" s="2"/>
      <c r="D379" s="2"/>
      <c r="E379" s="2"/>
      <c r="F379" s="2"/>
      <c r="G379" s="2"/>
      <c r="H379" s="2"/>
      <c r="I379" s="2"/>
      <c r="J379" s="2"/>
      <c r="K379" s="2"/>
      <c r="L379" s="2"/>
      <c r="M379" s="2"/>
      <c r="N379" s="2"/>
      <c r="O379" s="2"/>
      <c r="P379" s="2"/>
      <c r="Q379" s="2"/>
      <c r="R379" s="2"/>
      <c r="S379" s="2"/>
      <c r="T379" s="2"/>
    </row>
    <row r="380" spans="1:20" ht="15.75" customHeight="1">
      <c r="A380" s="1"/>
      <c r="B380" s="2"/>
      <c r="C380" s="2"/>
      <c r="D380" s="2"/>
      <c r="E380" s="2"/>
      <c r="F380" s="2"/>
      <c r="G380" s="2"/>
      <c r="H380" s="2"/>
      <c r="I380" s="2"/>
      <c r="J380" s="2"/>
      <c r="K380" s="2"/>
      <c r="L380" s="2"/>
      <c r="M380" s="2"/>
      <c r="N380" s="2"/>
      <c r="O380" s="2"/>
      <c r="P380" s="2"/>
      <c r="Q380" s="2"/>
      <c r="R380" s="2"/>
      <c r="S380" s="2"/>
      <c r="T380" s="2"/>
    </row>
    <row r="381" spans="1:20" ht="15.75" customHeight="1">
      <c r="A381" s="1"/>
      <c r="B381" s="2"/>
      <c r="C381" s="2"/>
      <c r="D381" s="2"/>
      <c r="E381" s="2"/>
      <c r="F381" s="2"/>
      <c r="G381" s="2"/>
      <c r="H381" s="2"/>
      <c r="I381" s="2"/>
      <c r="J381" s="2"/>
      <c r="K381" s="2"/>
      <c r="L381" s="2"/>
      <c r="M381" s="2"/>
      <c r="N381" s="2"/>
      <c r="O381" s="2"/>
      <c r="P381" s="2"/>
      <c r="Q381" s="2"/>
      <c r="R381" s="2"/>
      <c r="S381" s="2"/>
      <c r="T381" s="2"/>
    </row>
    <row r="382" spans="1:20" ht="15.75" customHeight="1">
      <c r="A382" s="1"/>
      <c r="B382" s="2"/>
      <c r="C382" s="2"/>
      <c r="D382" s="2"/>
      <c r="E382" s="2"/>
      <c r="F382" s="2"/>
      <c r="G382" s="2"/>
      <c r="H382" s="2"/>
      <c r="I382" s="2"/>
      <c r="J382" s="2"/>
      <c r="K382" s="2"/>
      <c r="L382" s="2"/>
      <c r="M382" s="2"/>
      <c r="N382" s="2"/>
      <c r="O382" s="2"/>
      <c r="P382" s="2"/>
      <c r="Q382" s="2"/>
      <c r="R382" s="2"/>
      <c r="S382" s="2"/>
      <c r="T382" s="2"/>
    </row>
    <row r="383" spans="1:20" ht="15.75" customHeight="1">
      <c r="A383" s="1"/>
      <c r="B383" s="2"/>
      <c r="C383" s="2"/>
      <c r="D383" s="2"/>
      <c r="E383" s="2"/>
      <c r="F383" s="2"/>
      <c r="G383" s="2"/>
      <c r="H383" s="2"/>
      <c r="I383" s="2"/>
      <c r="J383" s="2"/>
      <c r="K383" s="2"/>
      <c r="L383" s="2"/>
      <c r="M383" s="2"/>
      <c r="N383" s="2"/>
      <c r="O383" s="2"/>
      <c r="P383" s="2"/>
      <c r="Q383" s="2"/>
      <c r="R383" s="2"/>
      <c r="S383" s="2"/>
      <c r="T383" s="2"/>
    </row>
    <row r="384" spans="1:20" ht="15.75" customHeight="1">
      <c r="A384" s="1"/>
      <c r="B384" s="2"/>
      <c r="C384" s="2"/>
      <c r="D384" s="2"/>
      <c r="E384" s="2"/>
      <c r="F384" s="2"/>
      <c r="G384" s="2"/>
      <c r="H384" s="2"/>
      <c r="I384" s="2"/>
      <c r="J384" s="2"/>
      <c r="K384" s="2"/>
      <c r="L384" s="2"/>
      <c r="M384" s="2"/>
      <c r="N384" s="2"/>
      <c r="O384" s="2"/>
      <c r="P384" s="2"/>
      <c r="Q384" s="2"/>
      <c r="R384" s="2"/>
      <c r="S384" s="2"/>
      <c r="T384" s="2"/>
    </row>
    <row r="385" spans="1:20" ht="15.75" customHeight="1">
      <c r="A385" s="1"/>
      <c r="B385" s="2"/>
      <c r="C385" s="2"/>
      <c r="D385" s="2"/>
      <c r="E385" s="2"/>
      <c r="F385" s="2"/>
      <c r="G385" s="2"/>
      <c r="H385" s="2"/>
      <c r="I385" s="2"/>
      <c r="J385" s="2"/>
      <c r="K385" s="2"/>
      <c r="L385" s="2"/>
      <c r="M385" s="2"/>
      <c r="N385" s="2"/>
      <c r="O385" s="2"/>
      <c r="P385" s="2"/>
      <c r="Q385" s="2"/>
      <c r="R385" s="2"/>
      <c r="S385" s="2"/>
      <c r="T385" s="2"/>
    </row>
    <row r="386" spans="1:20" ht="15.75" customHeight="1">
      <c r="A386" s="1"/>
      <c r="B386" s="2"/>
      <c r="C386" s="2"/>
      <c r="D386" s="2"/>
      <c r="E386" s="2"/>
      <c r="F386" s="2"/>
      <c r="G386" s="2"/>
      <c r="H386" s="2"/>
      <c r="I386" s="2"/>
      <c r="J386" s="2"/>
      <c r="K386" s="2"/>
      <c r="L386" s="2"/>
      <c r="M386" s="2"/>
      <c r="N386" s="2"/>
      <c r="O386" s="2"/>
      <c r="P386" s="2"/>
      <c r="Q386" s="2"/>
      <c r="R386" s="2"/>
      <c r="S386" s="2"/>
      <c r="T386" s="2"/>
    </row>
    <row r="387" spans="1:20" ht="15.75" customHeight="1">
      <c r="A387" s="1"/>
      <c r="B387" s="2"/>
      <c r="C387" s="2"/>
      <c r="D387" s="2"/>
      <c r="E387" s="2"/>
      <c r="F387" s="2"/>
      <c r="G387" s="2"/>
      <c r="H387" s="2"/>
      <c r="I387" s="2"/>
      <c r="J387" s="2"/>
      <c r="K387" s="2"/>
      <c r="L387" s="2"/>
      <c r="M387" s="2"/>
      <c r="N387" s="2"/>
      <c r="O387" s="2"/>
      <c r="P387" s="2"/>
      <c r="Q387" s="2"/>
      <c r="R387" s="2"/>
      <c r="S387" s="2"/>
      <c r="T387" s="2"/>
    </row>
    <row r="388" spans="1:20" ht="15.75" customHeight="1">
      <c r="A388" s="1"/>
      <c r="B388" s="2"/>
      <c r="C388" s="2"/>
      <c r="D388" s="2"/>
      <c r="E388" s="2"/>
      <c r="F388" s="2"/>
      <c r="G388" s="2"/>
      <c r="H388" s="2"/>
      <c r="I388" s="2"/>
      <c r="J388" s="2"/>
      <c r="K388" s="2"/>
      <c r="L388" s="2"/>
      <c r="M388" s="2"/>
      <c r="N388" s="2"/>
      <c r="O388" s="2"/>
      <c r="P388" s="2"/>
      <c r="Q388" s="2"/>
      <c r="R388" s="2"/>
      <c r="S388" s="2"/>
      <c r="T388" s="2"/>
    </row>
    <row r="389" spans="1:20" ht="15.75" customHeight="1">
      <c r="A389" s="1"/>
      <c r="B389" s="2"/>
      <c r="C389" s="2"/>
      <c r="D389" s="2"/>
      <c r="E389" s="2"/>
      <c r="F389" s="2"/>
      <c r="G389" s="2"/>
      <c r="H389" s="2"/>
      <c r="I389" s="2"/>
      <c r="J389" s="2"/>
      <c r="K389" s="2"/>
      <c r="L389" s="2"/>
      <c r="M389" s="2"/>
      <c r="N389" s="2"/>
      <c r="O389" s="2"/>
      <c r="P389" s="2"/>
      <c r="Q389" s="2"/>
      <c r="R389" s="2"/>
      <c r="S389" s="2"/>
      <c r="T389" s="2"/>
    </row>
    <row r="390" spans="1:20" ht="15.75" customHeight="1">
      <c r="A390" s="1"/>
      <c r="B390" s="2"/>
      <c r="C390" s="2"/>
      <c r="D390" s="2"/>
      <c r="E390" s="2"/>
      <c r="F390" s="2"/>
      <c r="G390" s="2"/>
      <c r="H390" s="2"/>
      <c r="I390" s="2"/>
      <c r="J390" s="2"/>
      <c r="K390" s="2"/>
      <c r="L390" s="2"/>
      <c r="M390" s="2"/>
      <c r="N390" s="2"/>
      <c r="O390" s="2"/>
      <c r="P390" s="2"/>
      <c r="Q390" s="2"/>
      <c r="R390" s="2"/>
      <c r="S390" s="2"/>
      <c r="T390" s="2"/>
    </row>
    <row r="391" spans="1:20" ht="15.75" customHeight="1">
      <c r="A391" s="1"/>
      <c r="B391" s="2"/>
      <c r="C391" s="2"/>
      <c r="D391" s="2"/>
      <c r="E391" s="2"/>
      <c r="F391" s="2"/>
      <c r="G391" s="2"/>
      <c r="H391" s="2"/>
      <c r="I391" s="2"/>
      <c r="J391" s="2"/>
      <c r="K391" s="2"/>
      <c r="L391" s="2"/>
      <c r="M391" s="2"/>
      <c r="N391" s="2"/>
      <c r="O391" s="2"/>
      <c r="P391" s="2"/>
      <c r="Q391" s="2"/>
      <c r="R391" s="2"/>
      <c r="S391" s="2"/>
      <c r="T391" s="2"/>
    </row>
    <row r="392" spans="1:20" ht="15.75" customHeight="1">
      <c r="A392" s="1"/>
      <c r="B392" s="2"/>
      <c r="C392" s="2"/>
      <c r="D392" s="2"/>
      <c r="E392" s="2"/>
      <c r="F392" s="2"/>
      <c r="G392" s="2"/>
      <c r="H392" s="2"/>
      <c r="I392" s="2"/>
      <c r="J392" s="2"/>
      <c r="K392" s="2"/>
      <c r="L392" s="2"/>
      <c r="M392" s="2"/>
      <c r="N392" s="2"/>
      <c r="O392" s="2"/>
      <c r="P392" s="2"/>
      <c r="Q392" s="2"/>
      <c r="R392" s="2"/>
      <c r="S392" s="2"/>
      <c r="T392" s="2"/>
    </row>
    <row r="393" spans="1:20" ht="15.75" customHeight="1">
      <c r="A393" s="1"/>
      <c r="B393" s="2"/>
      <c r="C393" s="2"/>
      <c r="D393" s="2"/>
      <c r="E393" s="2"/>
      <c r="F393" s="2"/>
      <c r="G393" s="2"/>
      <c r="H393" s="2"/>
      <c r="I393" s="2"/>
      <c r="J393" s="2"/>
      <c r="K393" s="2"/>
      <c r="L393" s="2"/>
      <c r="M393" s="2"/>
      <c r="N393" s="2"/>
      <c r="O393" s="2"/>
      <c r="P393" s="2"/>
      <c r="Q393" s="2"/>
      <c r="R393" s="2"/>
      <c r="S393" s="2"/>
      <c r="T393" s="2"/>
    </row>
    <row r="394" spans="1:20" ht="15.75" customHeight="1">
      <c r="A394" s="1"/>
      <c r="B394" s="2"/>
      <c r="C394" s="2"/>
      <c r="D394" s="2"/>
      <c r="E394" s="2"/>
      <c r="F394" s="2"/>
      <c r="G394" s="2"/>
      <c r="H394" s="2"/>
      <c r="I394" s="2"/>
      <c r="J394" s="2"/>
      <c r="K394" s="2"/>
      <c r="L394" s="2"/>
      <c r="M394" s="2"/>
      <c r="N394" s="2"/>
      <c r="O394" s="2"/>
      <c r="P394" s="2"/>
      <c r="Q394" s="2"/>
      <c r="R394" s="2"/>
      <c r="S394" s="2"/>
      <c r="T394" s="2"/>
    </row>
    <row r="395" spans="1:20" ht="15.75" customHeight="1">
      <c r="A395" s="1"/>
      <c r="B395" s="2"/>
      <c r="C395" s="2"/>
      <c r="D395" s="2"/>
      <c r="E395" s="2"/>
      <c r="F395" s="2"/>
      <c r="G395" s="2"/>
      <c r="H395" s="2"/>
      <c r="I395" s="2"/>
      <c r="J395" s="2"/>
      <c r="K395" s="2"/>
      <c r="L395" s="2"/>
      <c r="M395" s="2"/>
      <c r="N395" s="2"/>
      <c r="O395" s="2"/>
      <c r="P395" s="2"/>
      <c r="Q395" s="2"/>
      <c r="R395" s="2"/>
      <c r="S395" s="2"/>
      <c r="T395" s="2"/>
    </row>
    <row r="396" spans="1:20" ht="15.75" customHeight="1">
      <c r="A396" s="1"/>
      <c r="B396" s="2"/>
      <c r="C396" s="2"/>
      <c r="D396" s="2"/>
      <c r="E396" s="2"/>
      <c r="F396" s="2"/>
      <c r="G396" s="2"/>
      <c r="H396" s="2"/>
      <c r="I396" s="2"/>
      <c r="J396" s="2"/>
      <c r="K396" s="2"/>
      <c r="L396" s="2"/>
      <c r="M396" s="2"/>
      <c r="N396" s="2"/>
      <c r="O396" s="2"/>
      <c r="P396" s="2"/>
      <c r="Q396" s="2"/>
      <c r="R396" s="2"/>
      <c r="S396" s="2"/>
      <c r="T396" s="2"/>
    </row>
    <row r="397" spans="1:20" ht="15.75" customHeight="1">
      <c r="A397" s="1"/>
      <c r="B397" s="2"/>
      <c r="C397" s="2"/>
      <c r="D397" s="2"/>
      <c r="E397" s="2"/>
      <c r="F397" s="2"/>
      <c r="G397" s="2"/>
      <c r="H397" s="2"/>
      <c r="I397" s="2"/>
      <c r="J397" s="2"/>
      <c r="K397" s="2"/>
      <c r="L397" s="2"/>
      <c r="M397" s="2"/>
      <c r="N397" s="2"/>
      <c r="O397" s="2"/>
      <c r="P397" s="2"/>
      <c r="Q397" s="2"/>
      <c r="R397" s="2"/>
      <c r="S397" s="2"/>
      <c r="T397" s="2"/>
    </row>
    <row r="398" spans="1:20" ht="15.75" customHeight="1">
      <c r="A398" s="1"/>
      <c r="B398" s="2"/>
      <c r="C398" s="2"/>
      <c r="D398" s="2"/>
      <c r="E398" s="2"/>
      <c r="F398" s="2"/>
      <c r="G398" s="2"/>
      <c r="H398" s="2"/>
      <c r="I398" s="2"/>
      <c r="J398" s="2"/>
      <c r="K398" s="2"/>
      <c r="L398" s="2"/>
      <c r="M398" s="2"/>
      <c r="N398" s="2"/>
      <c r="O398" s="2"/>
      <c r="P398" s="2"/>
      <c r="Q398" s="2"/>
      <c r="R398" s="2"/>
      <c r="S398" s="2"/>
      <c r="T398" s="2"/>
    </row>
    <row r="399" spans="1:20" ht="15.75" customHeight="1">
      <c r="A399" s="1"/>
      <c r="B399" s="2"/>
      <c r="C399" s="2"/>
      <c r="D399" s="2"/>
      <c r="E399" s="2"/>
      <c r="F399" s="2"/>
      <c r="G399" s="2"/>
      <c r="H399" s="2"/>
      <c r="I399" s="2"/>
      <c r="J399" s="2"/>
      <c r="K399" s="2"/>
      <c r="L399" s="2"/>
      <c r="M399" s="2"/>
      <c r="N399" s="2"/>
      <c r="O399" s="2"/>
      <c r="P399" s="2"/>
      <c r="Q399" s="2"/>
      <c r="R399" s="2"/>
      <c r="S399" s="2"/>
      <c r="T399" s="2"/>
    </row>
    <row r="400" spans="1:20" ht="15.75" customHeight="1">
      <c r="A400" s="1"/>
      <c r="B400" s="2"/>
      <c r="C400" s="2"/>
      <c r="D400" s="2"/>
      <c r="E400" s="2"/>
      <c r="F400" s="2"/>
      <c r="G400" s="2"/>
      <c r="H400" s="2"/>
      <c r="I400" s="2"/>
      <c r="J400" s="2"/>
      <c r="K400" s="2"/>
      <c r="L400" s="2"/>
      <c r="M400" s="2"/>
      <c r="N400" s="2"/>
      <c r="O400" s="2"/>
      <c r="P400" s="2"/>
      <c r="Q400" s="2"/>
      <c r="R400" s="2"/>
      <c r="S400" s="2"/>
      <c r="T400" s="2"/>
    </row>
    <row r="401" spans="1:20" ht="15.75" customHeight="1">
      <c r="A401" s="1"/>
      <c r="B401" s="2"/>
      <c r="C401" s="2"/>
      <c r="D401" s="2"/>
      <c r="E401" s="2"/>
      <c r="F401" s="2"/>
      <c r="G401" s="2"/>
      <c r="H401" s="2"/>
      <c r="I401" s="2"/>
      <c r="J401" s="2"/>
      <c r="K401" s="2"/>
      <c r="L401" s="2"/>
      <c r="M401" s="2"/>
      <c r="N401" s="2"/>
      <c r="O401" s="2"/>
      <c r="P401" s="2"/>
      <c r="Q401" s="2"/>
      <c r="R401" s="2"/>
      <c r="S401" s="2"/>
      <c r="T401" s="2"/>
    </row>
    <row r="402" spans="1:20" ht="15.75" customHeight="1">
      <c r="A402" s="1"/>
      <c r="B402" s="2"/>
      <c r="C402" s="2"/>
      <c r="D402" s="2"/>
      <c r="E402" s="2"/>
      <c r="F402" s="2"/>
      <c r="G402" s="2"/>
      <c r="H402" s="2"/>
      <c r="I402" s="2"/>
      <c r="J402" s="2"/>
      <c r="K402" s="2"/>
      <c r="L402" s="2"/>
      <c r="M402" s="2"/>
      <c r="N402" s="2"/>
      <c r="O402" s="2"/>
      <c r="P402" s="2"/>
      <c r="Q402" s="2"/>
      <c r="R402" s="2"/>
      <c r="S402" s="2"/>
      <c r="T402" s="2"/>
    </row>
    <row r="403" spans="1:20" ht="15.75" customHeight="1">
      <c r="A403" s="1"/>
      <c r="B403" s="2"/>
      <c r="C403" s="2"/>
      <c r="D403" s="2"/>
      <c r="E403" s="2"/>
      <c r="F403" s="2"/>
      <c r="G403" s="2"/>
      <c r="H403" s="2"/>
      <c r="I403" s="2"/>
      <c r="J403" s="2"/>
      <c r="K403" s="2"/>
      <c r="L403" s="2"/>
      <c r="M403" s="2"/>
      <c r="N403" s="2"/>
      <c r="O403" s="2"/>
      <c r="P403" s="2"/>
      <c r="Q403" s="2"/>
      <c r="R403" s="2"/>
      <c r="S403" s="2"/>
      <c r="T403" s="2"/>
    </row>
    <row r="404" spans="1:20" ht="15.75" customHeight="1">
      <c r="A404" s="1"/>
      <c r="B404" s="2"/>
      <c r="C404" s="2"/>
      <c r="D404" s="2"/>
      <c r="E404" s="2"/>
      <c r="F404" s="2"/>
      <c r="G404" s="2"/>
      <c r="H404" s="2"/>
      <c r="I404" s="2"/>
      <c r="J404" s="2"/>
      <c r="K404" s="2"/>
      <c r="L404" s="2"/>
      <c r="M404" s="2"/>
      <c r="N404" s="2"/>
      <c r="O404" s="2"/>
      <c r="P404" s="2"/>
      <c r="Q404" s="2"/>
      <c r="R404" s="2"/>
      <c r="S404" s="2"/>
      <c r="T404" s="2"/>
    </row>
    <row r="405" spans="1:20" ht="15.75" customHeight="1">
      <c r="A405" s="1"/>
      <c r="B405" s="2"/>
      <c r="C405" s="2"/>
      <c r="D405" s="2"/>
      <c r="E405" s="2"/>
      <c r="F405" s="2"/>
      <c r="G405" s="2"/>
      <c r="H405" s="2"/>
      <c r="I405" s="2"/>
      <c r="J405" s="2"/>
      <c r="K405" s="2"/>
      <c r="L405" s="2"/>
      <c r="M405" s="2"/>
      <c r="N405" s="2"/>
      <c r="O405" s="2"/>
      <c r="P405" s="2"/>
      <c r="Q405" s="2"/>
      <c r="R405" s="2"/>
      <c r="S405" s="2"/>
      <c r="T405" s="2"/>
    </row>
    <row r="406" spans="1:20" ht="15.75" customHeight="1">
      <c r="A406" s="1"/>
      <c r="B406" s="2"/>
      <c r="C406" s="2"/>
      <c r="D406" s="2"/>
      <c r="E406" s="2"/>
      <c r="F406" s="2"/>
      <c r="G406" s="2"/>
      <c r="H406" s="2"/>
      <c r="I406" s="2"/>
      <c r="J406" s="2"/>
      <c r="K406" s="2"/>
      <c r="L406" s="2"/>
      <c r="M406" s="2"/>
      <c r="N406" s="2"/>
      <c r="O406" s="2"/>
      <c r="P406" s="2"/>
      <c r="Q406" s="2"/>
      <c r="R406" s="2"/>
      <c r="S406" s="2"/>
      <c r="T406" s="2"/>
    </row>
    <row r="407" spans="1:20" ht="15.75" customHeight="1">
      <c r="A407" s="1"/>
      <c r="B407" s="2"/>
      <c r="C407" s="2"/>
      <c r="D407" s="2"/>
      <c r="E407" s="2"/>
      <c r="F407" s="2"/>
      <c r="G407" s="2"/>
      <c r="H407" s="2"/>
      <c r="I407" s="2"/>
      <c r="J407" s="2"/>
      <c r="K407" s="2"/>
      <c r="L407" s="2"/>
      <c r="M407" s="2"/>
      <c r="N407" s="2"/>
      <c r="O407" s="2"/>
      <c r="P407" s="2"/>
      <c r="Q407" s="2"/>
      <c r="R407" s="2"/>
      <c r="S407" s="2"/>
      <c r="T407" s="2"/>
    </row>
    <row r="408" spans="1:20" ht="15.75" customHeight="1">
      <c r="A408" s="1"/>
      <c r="B408" s="2"/>
      <c r="C408" s="2"/>
      <c r="D408" s="2"/>
      <c r="E408" s="2"/>
      <c r="F408" s="2"/>
      <c r="G408" s="2"/>
      <c r="H408" s="2"/>
      <c r="I408" s="2"/>
      <c r="J408" s="2"/>
      <c r="K408" s="2"/>
      <c r="L408" s="2"/>
      <c r="M408" s="2"/>
      <c r="N408" s="2"/>
      <c r="O408" s="2"/>
      <c r="P408" s="2"/>
      <c r="Q408" s="2"/>
      <c r="R408" s="2"/>
      <c r="S408" s="2"/>
      <c r="T408" s="2"/>
    </row>
    <row r="409" spans="1:20" ht="15.75" customHeight="1">
      <c r="A409" s="1"/>
      <c r="B409" s="2"/>
      <c r="C409" s="2"/>
      <c r="D409" s="2"/>
      <c r="E409" s="2"/>
      <c r="F409" s="2"/>
      <c r="G409" s="2"/>
      <c r="H409" s="2"/>
      <c r="I409" s="2"/>
      <c r="J409" s="2"/>
      <c r="K409" s="2"/>
      <c r="L409" s="2"/>
      <c r="M409" s="2"/>
      <c r="N409" s="2"/>
      <c r="O409" s="2"/>
      <c r="P409" s="2"/>
      <c r="Q409" s="2"/>
      <c r="R409" s="2"/>
      <c r="S409" s="2"/>
      <c r="T409" s="2"/>
    </row>
    <row r="410" spans="1:20" ht="15.75" customHeight="1">
      <c r="A410" s="1"/>
      <c r="B410" s="2"/>
      <c r="C410" s="2"/>
      <c r="D410" s="2"/>
      <c r="E410" s="2"/>
      <c r="F410" s="2"/>
      <c r="G410" s="2"/>
      <c r="H410" s="2"/>
      <c r="I410" s="2"/>
      <c r="J410" s="2"/>
      <c r="K410" s="2"/>
      <c r="L410" s="2"/>
      <c r="M410" s="2"/>
      <c r="N410" s="2"/>
      <c r="O410" s="2"/>
      <c r="P410" s="2"/>
      <c r="Q410" s="2"/>
      <c r="R410" s="2"/>
      <c r="S410" s="2"/>
      <c r="T410" s="2"/>
    </row>
    <row r="411" spans="1:20" ht="15.75" customHeight="1">
      <c r="A411" s="1"/>
      <c r="B411" s="2"/>
      <c r="C411" s="2"/>
      <c r="D411" s="2"/>
      <c r="E411" s="2"/>
      <c r="F411" s="2"/>
      <c r="G411" s="2"/>
      <c r="H411" s="2"/>
      <c r="I411" s="2"/>
      <c r="J411" s="2"/>
      <c r="K411" s="2"/>
      <c r="L411" s="2"/>
      <c r="M411" s="2"/>
      <c r="N411" s="2"/>
      <c r="O411" s="2"/>
      <c r="P411" s="2"/>
      <c r="Q411" s="2"/>
      <c r="R411" s="2"/>
      <c r="S411" s="2"/>
      <c r="T411" s="2"/>
    </row>
    <row r="412" spans="1:20" ht="15.75" customHeight="1">
      <c r="A412" s="1"/>
      <c r="B412" s="2"/>
      <c r="C412" s="2"/>
      <c r="D412" s="2"/>
      <c r="E412" s="2"/>
      <c r="F412" s="2"/>
      <c r="G412" s="2"/>
      <c r="H412" s="2"/>
      <c r="I412" s="2"/>
      <c r="J412" s="2"/>
      <c r="K412" s="2"/>
      <c r="L412" s="2"/>
      <c r="M412" s="2"/>
      <c r="N412" s="2"/>
      <c r="O412" s="2"/>
      <c r="P412" s="2"/>
      <c r="Q412" s="2"/>
      <c r="R412" s="2"/>
      <c r="S412" s="2"/>
      <c r="T412" s="2"/>
    </row>
    <row r="413" spans="1:20" ht="15.75" customHeight="1">
      <c r="A413" s="1"/>
      <c r="B413" s="2"/>
      <c r="C413" s="2"/>
      <c r="D413" s="2"/>
      <c r="E413" s="2"/>
      <c r="F413" s="2"/>
      <c r="G413" s="2"/>
      <c r="H413" s="2"/>
      <c r="I413" s="2"/>
      <c r="J413" s="2"/>
      <c r="K413" s="2"/>
      <c r="L413" s="2"/>
      <c r="M413" s="2"/>
      <c r="N413" s="2"/>
      <c r="O413" s="2"/>
      <c r="P413" s="2"/>
      <c r="Q413" s="2"/>
      <c r="R413" s="2"/>
      <c r="S413" s="2"/>
      <c r="T413" s="2"/>
    </row>
    <row r="414" spans="1:20" ht="15.75" customHeight="1">
      <c r="A414" s="1"/>
      <c r="B414" s="2"/>
      <c r="C414" s="2"/>
      <c r="D414" s="2"/>
      <c r="E414" s="2"/>
      <c r="F414" s="2"/>
      <c r="G414" s="2"/>
      <c r="H414" s="2"/>
      <c r="I414" s="2"/>
      <c r="J414" s="2"/>
      <c r="K414" s="2"/>
      <c r="L414" s="2"/>
      <c r="M414" s="2"/>
      <c r="N414" s="2"/>
      <c r="O414" s="2"/>
      <c r="P414" s="2"/>
      <c r="Q414" s="2"/>
      <c r="R414" s="2"/>
      <c r="S414" s="2"/>
      <c r="T414" s="2"/>
    </row>
    <row r="415" spans="1:20" ht="15.75" customHeight="1">
      <c r="A415" s="1"/>
      <c r="B415" s="2"/>
      <c r="C415" s="2"/>
      <c r="D415" s="2"/>
      <c r="E415" s="2"/>
      <c r="F415" s="2"/>
      <c r="G415" s="2"/>
      <c r="H415" s="2"/>
      <c r="I415" s="2"/>
      <c r="J415" s="2"/>
      <c r="K415" s="2"/>
      <c r="L415" s="2"/>
      <c r="M415" s="2"/>
      <c r="N415" s="2"/>
      <c r="O415" s="2"/>
      <c r="P415" s="2"/>
      <c r="Q415" s="2"/>
      <c r="R415" s="2"/>
      <c r="S415" s="2"/>
      <c r="T415" s="2"/>
    </row>
    <row r="416" spans="1:20" ht="15.75" customHeight="1">
      <c r="A416" s="1"/>
      <c r="B416" s="2"/>
      <c r="C416" s="2"/>
      <c r="D416" s="2"/>
      <c r="E416" s="2"/>
      <c r="F416" s="2"/>
      <c r="G416" s="2"/>
      <c r="H416" s="2"/>
      <c r="I416" s="2"/>
      <c r="J416" s="2"/>
      <c r="K416" s="2"/>
      <c r="L416" s="2"/>
      <c r="M416" s="2"/>
      <c r="N416" s="2"/>
      <c r="O416" s="2"/>
      <c r="P416" s="2"/>
      <c r="Q416" s="2"/>
      <c r="R416" s="2"/>
      <c r="S416" s="2"/>
      <c r="T416" s="2"/>
    </row>
    <row r="417" spans="1:20" ht="15.75" customHeight="1">
      <c r="A417" s="1"/>
      <c r="B417" s="2"/>
      <c r="C417" s="2"/>
      <c r="D417" s="2"/>
      <c r="E417" s="2"/>
      <c r="F417" s="2"/>
      <c r="G417" s="2"/>
      <c r="H417" s="2"/>
      <c r="I417" s="2"/>
      <c r="J417" s="2"/>
      <c r="K417" s="2"/>
      <c r="L417" s="2"/>
      <c r="M417" s="2"/>
      <c r="N417" s="2"/>
      <c r="O417" s="2"/>
      <c r="P417" s="2"/>
      <c r="Q417" s="2"/>
      <c r="R417" s="2"/>
      <c r="S417" s="2"/>
      <c r="T417" s="2"/>
    </row>
    <row r="418" spans="1:20" ht="15.75" customHeight="1">
      <c r="A418" s="1"/>
      <c r="B418" s="2"/>
      <c r="C418" s="2"/>
      <c r="D418" s="2"/>
      <c r="E418" s="2"/>
      <c r="F418" s="2"/>
      <c r="G418" s="2"/>
      <c r="H418" s="2"/>
      <c r="I418" s="2"/>
      <c r="J418" s="2"/>
      <c r="K418" s="2"/>
      <c r="L418" s="2"/>
      <c r="M418" s="2"/>
      <c r="N418" s="2"/>
      <c r="O418" s="2"/>
      <c r="P418" s="2"/>
      <c r="Q418" s="2"/>
      <c r="R418" s="2"/>
      <c r="S418" s="2"/>
      <c r="T418" s="2"/>
    </row>
    <row r="419" spans="1:20" ht="15.75" customHeight="1">
      <c r="A419" s="1"/>
      <c r="B419" s="2"/>
      <c r="C419" s="2"/>
      <c r="D419" s="2"/>
      <c r="E419" s="2"/>
      <c r="F419" s="2"/>
      <c r="G419" s="2"/>
      <c r="H419" s="2"/>
      <c r="I419" s="2"/>
      <c r="J419" s="2"/>
      <c r="K419" s="2"/>
      <c r="L419" s="2"/>
      <c r="M419" s="2"/>
      <c r="N419" s="2"/>
      <c r="O419" s="2"/>
      <c r="P419" s="2"/>
      <c r="Q419" s="2"/>
      <c r="R419" s="2"/>
      <c r="S419" s="2"/>
      <c r="T419" s="2"/>
    </row>
    <row r="420" spans="1:20" ht="15.75" customHeight="1">
      <c r="A420" s="1"/>
      <c r="B420" s="2"/>
      <c r="C420" s="2"/>
      <c r="D420" s="2"/>
      <c r="E420" s="2"/>
      <c r="F420" s="2"/>
      <c r="G420" s="2"/>
      <c r="H420" s="2"/>
      <c r="I420" s="2"/>
      <c r="J420" s="2"/>
      <c r="K420" s="2"/>
      <c r="L420" s="2"/>
      <c r="M420" s="2"/>
      <c r="N420" s="2"/>
      <c r="O420" s="2"/>
      <c r="P420" s="2"/>
      <c r="Q420" s="2"/>
      <c r="R420" s="2"/>
      <c r="S420" s="2"/>
      <c r="T420" s="2"/>
    </row>
    <row r="421" spans="1:20" ht="15.75" customHeight="1">
      <c r="A421" s="1"/>
      <c r="B421" s="2"/>
      <c r="C421" s="2"/>
      <c r="D421" s="2"/>
      <c r="E421" s="2"/>
      <c r="F421" s="2"/>
      <c r="G421" s="2"/>
      <c r="H421" s="2"/>
      <c r="I421" s="2"/>
      <c r="J421" s="2"/>
      <c r="K421" s="2"/>
      <c r="L421" s="2"/>
      <c r="M421" s="2"/>
      <c r="N421" s="2"/>
      <c r="O421" s="2"/>
      <c r="P421" s="2"/>
      <c r="Q421" s="2"/>
      <c r="R421" s="2"/>
      <c r="S421" s="2"/>
      <c r="T421" s="2"/>
    </row>
    <row r="422" spans="1:20" ht="15.75" customHeight="1">
      <c r="A422" s="1"/>
      <c r="B422" s="2"/>
      <c r="C422" s="2"/>
      <c r="D422" s="2"/>
      <c r="E422" s="2"/>
      <c r="F422" s="2"/>
      <c r="G422" s="2"/>
      <c r="H422" s="2"/>
      <c r="I422" s="2"/>
      <c r="J422" s="2"/>
      <c r="K422" s="2"/>
      <c r="L422" s="2"/>
      <c r="M422" s="2"/>
      <c r="N422" s="2"/>
      <c r="O422" s="2"/>
      <c r="P422" s="2"/>
      <c r="Q422" s="2"/>
      <c r="R422" s="2"/>
      <c r="S422" s="2"/>
      <c r="T422" s="2"/>
    </row>
    <row r="423" spans="1:20" ht="15.75" customHeight="1">
      <c r="A423" s="1"/>
      <c r="B423" s="2"/>
      <c r="C423" s="2"/>
      <c r="D423" s="2"/>
      <c r="E423" s="2"/>
      <c r="F423" s="2"/>
      <c r="G423" s="2"/>
      <c r="H423" s="2"/>
      <c r="I423" s="2"/>
      <c r="J423" s="2"/>
      <c r="K423" s="2"/>
      <c r="L423" s="2"/>
      <c r="M423" s="2"/>
      <c r="N423" s="2"/>
      <c r="O423" s="2"/>
      <c r="P423" s="2"/>
      <c r="Q423" s="2"/>
      <c r="R423" s="2"/>
      <c r="S423" s="2"/>
      <c r="T423" s="2"/>
    </row>
    <row r="424" spans="1:20" ht="15.75" customHeight="1">
      <c r="A424" s="1"/>
      <c r="B424" s="2"/>
      <c r="C424" s="2"/>
      <c r="D424" s="2"/>
      <c r="E424" s="2"/>
      <c r="F424" s="2"/>
      <c r="G424" s="2"/>
      <c r="H424" s="2"/>
      <c r="I424" s="2"/>
      <c r="J424" s="2"/>
      <c r="K424" s="2"/>
      <c r="L424" s="2"/>
      <c r="M424" s="2"/>
      <c r="N424" s="2"/>
      <c r="O424" s="2"/>
      <c r="P424" s="2"/>
      <c r="Q424" s="2"/>
      <c r="R424" s="2"/>
      <c r="S424" s="2"/>
      <c r="T424" s="2"/>
    </row>
    <row r="425" spans="1:20" ht="15.75" customHeight="1">
      <c r="A425" s="1"/>
      <c r="B425" s="2"/>
      <c r="C425" s="2"/>
      <c r="D425" s="2"/>
      <c r="E425" s="2"/>
      <c r="F425" s="2"/>
      <c r="G425" s="2"/>
      <c r="H425" s="2"/>
      <c r="I425" s="2"/>
      <c r="J425" s="2"/>
      <c r="K425" s="2"/>
      <c r="L425" s="2"/>
      <c r="M425" s="2"/>
      <c r="N425" s="2"/>
      <c r="O425" s="2"/>
      <c r="P425" s="2"/>
      <c r="Q425" s="2"/>
      <c r="R425" s="2"/>
      <c r="S425" s="2"/>
      <c r="T425" s="2"/>
    </row>
    <row r="426" spans="1:20" ht="15.75" customHeight="1">
      <c r="A426" s="1"/>
      <c r="B426" s="2"/>
      <c r="C426" s="2"/>
      <c r="D426" s="2"/>
      <c r="E426" s="2"/>
      <c r="F426" s="2"/>
      <c r="G426" s="2"/>
      <c r="H426" s="2"/>
      <c r="I426" s="2"/>
      <c r="J426" s="2"/>
      <c r="K426" s="2"/>
      <c r="L426" s="2"/>
      <c r="M426" s="2"/>
      <c r="N426" s="2"/>
      <c r="O426" s="2"/>
      <c r="P426" s="2"/>
      <c r="Q426" s="2"/>
      <c r="R426" s="2"/>
      <c r="S426" s="2"/>
      <c r="T426" s="2"/>
    </row>
    <row r="427" spans="1:20" ht="15.75" customHeight="1">
      <c r="A427" s="1"/>
      <c r="B427" s="2"/>
      <c r="C427" s="2"/>
      <c r="D427" s="2"/>
      <c r="E427" s="2"/>
      <c r="F427" s="2"/>
      <c r="G427" s="2"/>
      <c r="H427" s="2"/>
      <c r="I427" s="2"/>
      <c r="J427" s="2"/>
      <c r="K427" s="2"/>
      <c r="L427" s="2"/>
      <c r="M427" s="2"/>
      <c r="N427" s="2"/>
      <c r="O427" s="2"/>
      <c r="P427" s="2"/>
      <c r="Q427" s="2"/>
      <c r="R427" s="2"/>
      <c r="S427" s="2"/>
      <c r="T427" s="2"/>
    </row>
    <row r="428" spans="1:20" ht="15.75" customHeight="1">
      <c r="A428" s="1"/>
      <c r="B428" s="2"/>
      <c r="C428" s="2"/>
      <c r="D428" s="2"/>
      <c r="E428" s="2"/>
      <c r="F428" s="2"/>
      <c r="G428" s="2"/>
      <c r="H428" s="2"/>
      <c r="I428" s="2"/>
      <c r="J428" s="2"/>
      <c r="K428" s="2"/>
      <c r="L428" s="2"/>
      <c r="M428" s="2"/>
      <c r="N428" s="2"/>
      <c r="O428" s="2"/>
      <c r="P428" s="2"/>
      <c r="Q428" s="2"/>
      <c r="R428" s="2"/>
      <c r="S428" s="2"/>
      <c r="T428" s="2"/>
    </row>
    <row r="429" spans="1:20" ht="15.75" customHeight="1">
      <c r="A429" s="1"/>
      <c r="B429" s="2"/>
      <c r="C429" s="2"/>
      <c r="D429" s="2"/>
      <c r="E429" s="2"/>
      <c r="F429" s="2"/>
      <c r="G429" s="2"/>
      <c r="H429" s="2"/>
      <c r="I429" s="2"/>
      <c r="J429" s="2"/>
      <c r="K429" s="2"/>
      <c r="L429" s="2"/>
      <c r="M429" s="2"/>
      <c r="N429" s="2"/>
      <c r="O429" s="2"/>
      <c r="P429" s="2"/>
      <c r="Q429" s="2"/>
      <c r="R429" s="2"/>
      <c r="S429" s="2"/>
      <c r="T429" s="2"/>
    </row>
    <row r="430" spans="1:20" ht="15.75" customHeight="1">
      <c r="A430" s="1"/>
      <c r="B430" s="2"/>
      <c r="C430" s="2"/>
      <c r="D430" s="2"/>
      <c r="E430" s="2"/>
      <c r="F430" s="2"/>
      <c r="G430" s="2"/>
      <c r="H430" s="2"/>
      <c r="I430" s="2"/>
      <c r="J430" s="2"/>
      <c r="K430" s="2"/>
      <c r="L430" s="2"/>
      <c r="M430" s="2"/>
      <c r="N430" s="2"/>
      <c r="O430" s="2"/>
      <c r="P430" s="2"/>
      <c r="Q430" s="2"/>
      <c r="R430" s="2"/>
      <c r="S430" s="2"/>
      <c r="T430" s="2"/>
    </row>
    <row r="431" spans="1:20" ht="15.75" customHeight="1">
      <c r="A431" s="1"/>
      <c r="B431" s="2"/>
      <c r="C431" s="2"/>
      <c r="D431" s="2"/>
      <c r="E431" s="2"/>
      <c r="F431" s="2"/>
      <c r="G431" s="2"/>
      <c r="H431" s="2"/>
      <c r="I431" s="2"/>
      <c r="J431" s="2"/>
      <c r="K431" s="2"/>
      <c r="L431" s="2"/>
      <c r="M431" s="2"/>
      <c r="N431" s="2"/>
      <c r="O431" s="2"/>
      <c r="P431" s="2"/>
      <c r="Q431" s="2"/>
      <c r="R431" s="2"/>
      <c r="S431" s="2"/>
      <c r="T431" s="2"/>
    </row>
    <row r="432" spans="1:20" ht="15.75" customHeight="1">
      <c r="A432" s="1"/>
      <c r="B432" s="2"/>
      <c r="C432" s="2"/>
      <c r="D432" s="2"/>
      <c r="E432" s="2"/>
      <c r="F432" s="2"/>
      <c r="G432" s="2"/>
      <c r="H432" s="2"/>
      <c r="I432" s="2"/>
      <c r="J432" s="2"/>
      <c r="K432" s="2"/>
      <c r="L432" s="2"/>
      <c r="M432" s="2"/>
      <c r="N432" s="2"/>
      <c r="O432" s="2"/>
      <c r="P432" s="2"/>
      <c r="Q432" s="2"/>
      <c r="R432" s="2"/>
      <c r="S432" s="2"/>
      <c r="T432" s="2"/>
    </row>
    <row r="433" spans="1:20" ht="15.75" customHeight="1">
      <c r="A433" s="1"/>
      <c r="B433" s="2"/>
      <c r="C433" s="2"/>
      <c r="D433" s="2"/>
      <c r="E433" s="2"/>
      <c r="F433" s="2"/>
      <c r="G433" s="2"/>
      <c r="H433" s="2"/>
      <c r="I433" s="2"/>
      <c r="J433" s="2"/>
      <c r="K433" s="2"/>
      <c r="L433" s="2"/>
      <c r="M433" s="2"/>
      <c r="N433" s="2"/>
      <c r="O433" s="2"/>
      <c r="P433" s="2"/>
      <c r="Q433" s="2"/>
      <c r="R433" s="2"/>
      <c r="S433" s="2"/>
      <c r="T433" s="2"/>
    </row>
    <row r="434" spans="1:20" ht="15.75" customHeight="1">
      <c r="A434" s="1"/>
      <c r="B434" s="2"/>
      <c r="C434" s="2"/>
      <c r="D434" s="2"/>
      <c r="E434" s="2"/>
      <c r="F434" s="2"/>
      <c r="G434" s="2"/>
      <c r="H434" s="2"/>
      <c r="I434" s="2"/>
      <c r="J434" s="2"/>
      <c r="K434" s="2"/>
      <c r="L434" s="2"/>
      <c r="M434" s="2"/>
      <c r="N434" s="2"/>
      <c r="O434" s="2"/>
      <c r="P434" s="2"/>
      <c r="Q434" s="2"/>
      <c r="R434" s="2"/>
      <c r="S434" s="2"/>
      <c r="T434" s="2"/>
    </row>
    <row r="435" spans="1:20" ht="15.75" customHeight="1">
      <c r="A435" s="1"/>
      <c r="B435" s="2"/>
      <c r="C435" s="2"/>
      <c r="D435" s="2"/>
      <c r="E435" s="2"/>
      <c r="F435" s="2"/>
      <c r="G435" s="2"/>
      <c r="H435" s="2"/>
      <c r="I435" s="2"/>
      <c r="J435" s="2"/>
      <c r="K435" s="2"/>
      <c r="L435" s="2"/>
      <c r="M435" s="2"/>
      <c r="N435" s="2"/>
      <c r="O435" s="2"/>
      <c r="P435" s="2"/>
      <c r="Q435" s="2"/>
      <c r="R435" s="2"/>
      <c r="S435" s="2"/>
      <c r="T435" s="2"/>
    </row>
    <row r="436" spans="1:20" ht="15.75" customHeight="1">
      <c r="A436" s="1"/>
      <c r="B436" s="2"/>
      <c r="C436" s="2"/>
      <c r="D436" s="2"/>
      <c r="E436" s="2"/>
      <c r="F436" s="2"/>
      <c r="G436" s="2"/>
      <c r="H436" s="2"/>
      <c r="I436" s="2"/>
      <c r="J436" s="2"/>
      <c r="K436" s="2"/>
      <c r="L436" s="2"/>
      <c r="M436" s="2"/>
      <c r="N436" s="2"/>
      <c r="O436" s="2"/>
      <c r="P436" s="2"/>
      <c r="Q436" s="2"/>
      <c r="R436" s="2"/>
      <c r="S436" s="2"/>
      <c r="T436" s="2"/>
    </row>
    <row r="437" spans="1:20" ht="15.75" customHeight="1">
      <c r="A437" s="1"/>
      <c r="B437" s="2"/>
      <c r="C437" s="2"/>
      <c r="D437" s="2"/>
      <c r="E437" s="2"/>
      <c r="F437" s="2"/>
      <c r="G437" s="2"/>
      <c r="H437" s="2"/>
      <c r="I437" s="2"/>
      <c r="J437" s="2"/>
      <c r="K437" s="2"/>
      <c r="L437" s="2"/>
      <c r="M437" s="2"/>
      <c r="N437" s="2"/>
      <c r="O437" s="2"/>
      <c r="P437" s="2"/>
      <c r="Q437" s="2"/>
      <c r="R437" s="2"/>
      <c r="S437" s="2"/>
      <c r="T437" s="2"/>
    </row>
    <row r="438" spans="1:20" ht="15.75" customHeight="1">
      <c r="A438" s="1"/>
      <c r="B438" s="2"/>
      <c r="C438" s="2"/>
      <c r="D438" s="2"/>
      <c r="E438" s="2"/>
      <c r="F438" s="2"/>
      <c r="G438" s="2"/>
      <c r="H438" s="2"/>
      <c r="I438" s="2"/>
      <c r="J438" s="2"/>
      <c r="K438" s="2"/>
      <c r="L438" s="2"/>
      <c r="M438" s="2"/>
      <c r="N438" s="2"/>
      <c r="O438" s="2"/>
      <c r="P438" s="2"/>
      <c r="Q438" s="2"/>
      <c r="R438" s="2"/>
      <c r="S438" s="2"/>
      <c r="T438" s="2"/>
    </row>
    <row r="439" spans="1:20" ht="15.75" customHeight="1">
      <c r="A439" s="1"/>
      <c r="B439" s="2"/>
      <c r="C439" s="2"/>
      <c r="D439" s="2"/>
      <c r="E439" s="2"/>
      <c r="F439" s="2"/>
      <c r="G439" s="2"/>
      <c r="H439" s="2"/>
      <c r="I439" s="2"/>
      <c r="J439" s="2"/>
      <c r="K439" s="2"/>
      <c r="L439" s="2"/>
      <c r="M439" s="2"/>
      <c r="N439" s="2"/>
      <c r="O439" s="2"/>
      <c r="P439" s="2"/>
      <c r="Q439" s="2"/>
      <c r="R439" s="2"/>
      <c r="S439" s="2"/>
      <c r="T439" s="2"/>
    </row>
    <row r="440" spans="1:20" ht="15.75" customHeight="1">
      <c r="A440" s="1"/>
      <c r="B440" s="2"/>
      <c r="C440" s="2"/>
      <c r="D440" s="2"/>
      <c r="E440" s="2"/>
      <c r="F440" s="2"/>
      <c r="G440" s="2"/>
      <c r="H440" s="2"/>
      <c r="I440" s="2"/>
      <c r="J440" s="2"/>
      <c r="K440" s="2"/>
      <c r="L440" s="2"/>
      <c r="M440" s="2"/>
      <c r="N440" s="2"/>
      <c r="O440" s="2"/>
      <c r="P440" s="2"/>
      <c r="Q440" s="2"/>
      <c r="R440" s="2"/>
      <c r="S440" s="2"/>
      <c r="T440" s="2"/>
    </row>
    <row r="441" spans="1:20" ht="15.75" customHeight="1">
      <c r="A441" s="1"/>
      <c r="B441" s="2"/>
      <c r="C441" s="2"/>
      <c r="D441" s="2"/>
      <c r="E441" s="2"/>
      <c r="F441" s="2"/>
      <c r="G441" s="2"/>
      <c r="H441" s="2"/>
      <c r="I441" s="2"/>
      <c r="J441" s="2"/>
      <c r="K441" s="2"/>
      <c r="L441" s="2"/>
      <c r="M441" s="2"/>
      <c r="N441" s="2"/>
      <c r="O441" s="2"/>
      <c r="P441" s="2"/>
      <c r="Q441" s="2"/>
      <c r="R441" s="2"/>
      <c r="S441" s="2"/>
      <c r="T441" s="2"/>
    </row>
    <row r="442" spans="1:20" ht="15.75" customHeight="1">
      <c r="A442" s="1"/>
      <c r="B442" s="2"/>
      <c r="C442" s="2"/>
      <c r="D442" s="2"/>
      <c r="E442" s="2"/>
      <c r="F442" s="2"/>
      <c r="G442" s="2"/>
      <c r="H442" s="2"/>
      <c r="I442" s="2"/>
      <c r="J442" s="2"/>
      <c r="K442" s="2"/>
      <c r="L442" s="2"/>
      <c r="M442" s="2"/>
      <c r="N442" s="2"/>
      <c r="O442" s="2"/>
      <c r="P442" s="2"/>
      <c r="Q442" s="2"/>
      <c r="R442" s="2"/>
      <c r="S442" s="2"/>
      <c r="T442" s="2"/>
    </row>
    <row r="443" spans="1:20" ht="15.75" customHeight="1">
      <c r="A443" s="1"/>
      <c r="B443" s="2"/>
      <c r="C443" s="2"/>
      <c r="D443" s="2"/>
      <c r="E443" s="2"/>
      <c r="F443" s="2"/>
      <c r="G443" s="2"/>
      <c r="H443" s="2"/>
      <c r="I443" s="2"/>
      <c r="J443" s="2"/>
      <c r="K443" s="2"/>
      <c r="L443" s="2"/>
      <c r="M443" s="2"/>
      <c r="N443" s="2"/>
      <c r="O443" s="2"/>
      <c r="P443" s="2"/>
      <c r="Q443" s="2"/>
      <c r="R443" s="2"/>
      <c r="S443" s="2"/>
      <c r="T443" s="2"/>
    </row>
    <row r="444" spans="1:20" ht="15.75" customHeight="1">
      <c r="A444" s="1"/>
      <c r="B444" s="2"/>
      <c r="C444" s="2"/>
      <c r="D444" s="2"/>
      <c r="E444" s="2"/>
      <c r="F444" s="2"/>
      <c r="G444" s="2"/>
      <c r="H444" s="2"/>
      <c r="I444" s="2"/>
      <c r="J444" s="2"/>
      <c r="K444" s="2"/>
      <c r="L444" s="2"/>
      <c r="M444" s="2"/>
      <c r="N444" s="2"/>
      <c r="O444" s="2"/>
      <c r="P444" s="2"/>
      <c r="Q444" s="2"/>
      <c r="R444" s="2"/>
      <c r="S444" s="2"/>
      <c r="T444" s="2"/>
    </row>
    <row r="445" spans="1:20" ht="15.75" customHeight="1">
      <c r="A445" s="1"/>
      <c r="B445" s="2"/>
      <c r="C445" s="2"/>
      <c r="D445" s="2"/>
      <c r="E445" s="2"/>
      <c r="F445" s="2"/>
      <c r="G445" s="2"/>
      <c r="H445" s="2"/>
      <c r="I445" s="2"/>
      <c r="J445" s="2"/>
      <c r="K445" s="2"/>
      <c r="L445" s="2"/>
      <c r="M445" s="2"/>
      <c r="N445" s="2"/>
      <c r="O445" s="2"/>
      <c r="P445" s="2"/>
      <c r="Q445" s="2"/>
      <c r="R445" s="2"/>
      <c r="S445" s="2"/>
      <c r="T445" s="2"/>
    </row>
    <row r="446" spans="1:20" ht="15.75" customHeight="1">
      <c r="A446" s="1"/>
      <c r="B446" s="2"/>
      <c r="C446" s="2"/>
      <c r="D446" s="2"/>
      <c r="E446" s="2"/>
      <c r="F446" s="2"/>
      <c r="G446" s="2"/>
      <c r="H446" s="2"/>
      <c r="I446" s="2"/>
      <c r="J446" s="2"/>
      <c r="K446" s="2"/>
      <c r="L446" s="2"/>
      <c r="M446" s="2"/>
      <c r="N446" s="2"/>
      <c r="O446" s="2"/>
      <c r="P446" s="2"/>
      <c r="Q446" s="2"/>
      <c r="R446" s="2"/>
      <c r="S446" s="2"/>
      <c r="T446" s="2"/>
    </row>
    <row r="447" spans="1:20" ht="15.75" customHeight="1">
      <c r="A447" s="1"/>
      <c r="B447" s="2"/>
      <c r="C447" s="2"/>
      <c r="D447" s="2"/>
      <c r="E447" s="2"/>
      <c r="F447" s="2"/>
      <c r="G447" s="2"/>
      <c r="H447" s="2"/>
      <c r="I447" s="2"/>
      <c r="J447" s="2"/>
      <c r="K447" s="2"/>
      <c r="L447" s="2"/>
      <c r="M447" s="2"/>
      <c r="N447" s="2"/>
      <c r="O447" s="2"/>
      <c r="P447" s="2"/>
      <c r="Q447" s="2"/>
      <c r="R447" s="2"/>
      <c r="S447" s="2"/>
      <c r="T447" s="2"/>
    </row>
    <row r="448" spans="1:20" ht="15.75" customHeight="1">
      <c r="A448" s="1"/>
      <c r="B448" s="2"/>
      <c r="C448" s="2"/>
      <c r="D448" s="2"/>
      <c r="E448" s="2"/>
      <c r="F448" s="2"/>
      <c r="G448" s="2"/>
      <c r="H448" s="2"/>
      <c r="I448" s="2"/>
      <c r="J448" s="2"/>
      <c r="K448" s="2"/>
      <c r="L448" s="2"/>
      <c r="M448" s="2"/>
      <c r="N448" s="2"/>
      <c r="O448" s="2"/>
      <c r="P448" s="2"/>
      <c r="Q448" s="2"/>
      <c r="R448" s="2"/>
      <c r="S448" s="2"/>
      <c r="T448" s="2"/>
    </row>
    <row r="449" spans="1:20" ht="15.75" customHeight="1">
      <c r="A449" s="1"/>
      <c r="B449" s="2"/>
      <c r="C449" s="2"/>
      <c r="D449" s="2"/>
      <c r="E449" s="2"/>
      <c r="F449" s="2"/>
      <c r="G449" s="2"/>
      <c r="H449" s="2"/>
      <c r="I449" s="2"/>
      <c r="J449" s="2"/>
      <c r="K449" s="2"/>
      <c r="L449" s="2"/>
      <c r="M449" s="2"/>
      <c r="N449" s="2"/>
      <c r="O449" s="2"/>
      <c r="P449" s="2"/>
      <c r="Q449" s="2"/>
      <c r="R449" s="2"/>
      <c r="S449" s="2"/>
      <c r="T449" s="2"/>
    </row>
    <row r="450" spans="1:20" ht="15.75" customHeight="1">
      <c r="A450" s="1"/>
      <c r="B450" s="2"/>
      <c r="C450" s="2"/>
      <c r="D450" s="2"/>
      <c r="E450" s="2"/>
      <c r="F450" s="2"/>
      <c r="G450" s="2"/>
      <c r="H450" s="2"/>
      <c r="I450" s="2"/>
      <c r="J450" s="2"/>
      <c r="K450" s="2"/>
      <c r="L450" s="2"/>
      <c r="M450" s="2"/>
      <c r="N450" s="2"/>
      <c r="O450" s="2"/>
      <c r="P450" s="2"/>
      <c r="Q450" s="2"/>
      <c r="R450" s="2"/>
      <c r="S450" s="2"/>
      <c r="T450" s="2"/>
    </row>
    <row r="451" spans="1:20" ht="15.75" customHeight="1">
      <c r="A451" s="1"/>
      <c r="B451" s="2"/>
      <c r="C451" s="2"/>
      <c r="D451" s="2"/>
      <c r="E451" s="2"/>
      <c r="F451" s="2"/>
      <c r="G451" s="2"/>
      <c r="H451" s="2"/>
      <c r="I451" s="2"/>
      <c r="J451" s="2"/>
      <c r="K451" s="2"/>
      <c r="L451" s="2"/>
      <c r="M451" s="2"/>
      <c r="N451" s="2"/>
      <c r="O451" s="2"/>
      <c r="P451" s="2"/>
      <c r="Q451" s="2"/>
      <c r="R451" s="2"/>
      <c r="S451" s="2"/>
      <c r="T451" s="2"/>
    </row>
    <row r="452" spans="1:20" ht="15.75" customHeight="1">
      <c r="A452" s="1"/>
      <c r="B452" s="2"/>
      <c r="C452" s="2"/>
      <c r="D452" s="2"/>
      <c r="E452" s="2"/>
      <c r="F452" s="2"/>
      <c r="G452" s="2"/>
      <c r="H452" s="2"/>
      <c r="I452" s="2"/>
      <c r="J452" s="2"/>
      <c r="K452" s="2"/>
      <c r="L452" s="2"/>
      <c r="M452" s="2"/>
      <c r="N452" s="2"/>
      <c r="O452" s="2"/>
      <c r="P452" s="2"/>
      <c r="Q452" s="2"/>
      <c r="R452" s="2"/>
      <c r="S452" s="2"/>
      <c r="T452" s="2"/>
    </row>
    <row r="453" spans="1:20" ht="15.75" customHeight="1">
      <c r="A453" s="1"/>
      <c r="B453" s="2"/>
      <c r="C453" s="2"/>
      <c r="D453" s="2"/>
      <c r="E453" s="2"/>
      <c r="F453" s="2"/>
      <c r="G453" s="2"/>
      <c r="H453" s="2"/>
      <c r="I453" s="2"/>
      <c r="J453" s="2"/>
      <c r="K453" s="2"/>
      <c r="L453" s="2"/>
      <c r="M453" s="2"/>
      <c r="N453" s="2"/>
      <c r="O453" s="2"/>
      <c r="P453" s="2"/>
      <c r="Q453" s="2"/>
      <c r="R453" s="2"/>
      <c r="S453" s="2"/>
      <c r="T453" s="2"/>
    </row>
    <row r="454" spans="1:20" ht="15.75" customHeight="1">
      <c r="A454" s="1"/>
      <c r="B454" s="2"/>
      <c r="C454" s="2"/>
      <c r="D454" s="2"/>
      <c r="E454" s="2"/>
      <c r="F454" s="2"/>
      <c r="G454" s="2"/>
      <c r="H454" s="2"/>
      <c r="I454" s="2"/>
      <c r="J454" s="2"/>
      <c r="K454" s="2"/>
      <c r="L454" s="2"/>
      <c r="M454" s="2"/>
      <c r="N454" s="2"/>
      <c r="O454" s="2"/>
      <c r="P454" s="2"/>
      <c r="Q454" s="2"/>
      <c r="R454" s="2"/>
      <c r="S454" s="2"/>
      <c r="T454" s="2"/>
    </row>
    <row r="455" spans="1:20" ht="15.75" customHeight="1">
      <c r="A455" s="1"/>
      <c r="B455" s="2"/>
      <c r="C455" s="2"/>
      <c r="D455" s="2"/>
      <c r="E455" s="2"/>
      <c r="F455" s="2"/>
      <c r="G455" s="2"/>
      <c r="H455" s="2"/>
      <c r="I455" s="2"/>
      <c r="J455" s="2"/>
      <c r="K455" s="2"/>
      <c r="L455" s="2"/>
      <c r="M455" s="2"/>
      <c r="N455" s="2"/>
      <c r="O455" s="2"/>
      <c r="P455" s="2"/>
      <c r="Q455" s="2"/>
      <c r="R455" s="2"/>
      <c r="S455" s="2"/>
      <c r="T455" s="2"/>
    </row>
    <row r="456" spans="1:20" ht="15.75" customHeight="1">
      <c r="A456" s="1"/>
      <c r="B456" s="2"/>
      <c r="C456" s="2"/>
      <c r="D456" s="2"/>
      <c r="E456" s="2"/>
      <c r="F456" s="2"/>
      <c r="G456" s="2"/>
      <c r="H456" s="2"/>
      <c r="I456" s="2"/>
      <c r="J456" s="2"/>
      <c r="K456" s="2"/>
      <c r="L456" s="2"/>
      <c r="M456" s="2"/>
      <c r="N456" s="2"/>
      <c r="O456" s="2"/>
      <c r="P456" s="2"/>
      <c r="Q456" s="2"/>
      <c r="R456" s="2"/>
      <c r="S456" s="2"/>
      <c r="T456" s="2"/>
    </row>
    <row r="457" spans="1:20" ht="15.75" customHeight="1">
      <c r="A457" s="1"/>
      <c r="B457" s="2"/>
      <c r="C457" s="2"/>
      <c r="D457" s="2"/>
      <c r="E457" s="2"/>
      <c r="F457" s="2"/>
      <c r="G457" s="2"/>
      <c r="H457" s="2"/>
      <c r="I457" s="2"/>
      <c r="J457" s="2"/>
      <c r="K457" s="2"/>
      <c r="L457" s="2"/>
      <c r="M457" s="2"/>
      <c r="N457" s="2"/>
      <c r="O457" s="2"/>
      <c r="P457" s="2"/>
      <c r="Q457" s="2"/>
      <c r="R457" s="2"/>
      <c r="S457" s="2"/>
      <c r="T457" s="2"/>
    </row>
    <row r="458" spans="1:20" ht="15.75" customHeight="1">
      <c r="A458" s="1"/>
      <c r="B458" s="2"/>
      <c r="C458" s="2"/>
      <c r="D458" s="2"/>
      <c r="E458" s="2"/>
      <c r="F458" s="2"/>
      <c r="G458" s="2"/>
      <c r="H458" s="2"/>
      <c r="I458" s="2"/>
      <c r="J458" s="2"/>
      <c r="K458" s="2"/>
      <c r="L458" s="2"/>
      <c r="M458" s="2"/>
      <c r="N458" s="2"/>
      <c r="O458" s="2"/>
      <c r="P458" s="2"/>
      <c r="Q458" s="2"/>
      <c r="R458" s="2"/>
      <c r="S458" s="2"/>
      <c r="T458" s="2"/>
    </row>
    <row r="459" spans="1:20" ht="15.75" customHeight="1">
      <c r="A459" s="1"/>
      <c r="B459" s="2"/>
      <c r="C459" s="2"/>
      <c r="D459" s="2"/>
      <c r="E459" s="2"/>
      <c r="F459" s="2"/>
      <c r="G459" s="2"/>
      <c r="H459" s="2"/>
      <c r="I459" s="2"/>
      <c r="J459" s="2"/>
      <c r="K459" s="2"/>
      <c r="L459" s="2"/>
      <c r="M459" s="2"/>
      <c r="N459" s="2"/>
      <c r="O459" s="2"/>
      <c r="P459" s="2"/>
      <c r="Q459" s="2"/>
      <c r="R459" s="2"/>
      <c r="S459" s="2"/>
      <c r="T459" s="2"/>
    </row>
    <row r="460" spans="1:20" ht="15.75" customHeight="1">
      <c r="A460" s="1"/>
      <c r="B460" s="2"/>
      <c r="C460" s="2"/>
      <c r="D460" s="2"/>
      <c r="E460" s="2"/>
      <c r="F460" s="2"/>
      <c r="G460" s="2"/>
      <c r="H460" s="2"/>
      <c r="I460" s="2"/>
      <c r="J460" s="2"/>
      <c r="K460" s="2"/>
      <c r="L460" s="2"/>
      <c r="M460" s="2"/>
      <c r="N460" s="2"/>
      <c r="O460" s="2"/>
      <c r="P460" s="2"/>
      <c r="Q460" s="2"/>
      <c r="R460" s="2"/>
      <c r="S460" s="2"/>
      <c r="T460" s="2"/>
    </row>
    <row r="461" spans="1:20" ht="15.75" customHeight="1">
      <c r="A461" s="1"/>
      <c r="B461" s="2"/>
      <c r="C461" s="2"/>
      <c r="D461" s="2"/>
      <c r="E461" s="2"/>
      <c r="F461" s="2"/>
      <c r="G461" s="2"/>
      <c r="H461" s="2"/>
      <c r="I461" s="2"/>
      <c r="J461" s="2"/>
      <c r="K461" s="2"/>
      <c r="L461" s="2"/>
      <c r="M461" s="2"/>
      <c r="N461" s="2"/>
      <c r="O461" s="2"/>
      <c r="P461" s="2"/>
      <c r="Q461" s="2"/>
      <c r="R461" s="2"/>
      <c r="S461" s="2"/>
      <c r="T461" s="2"/>
    </row>
    <row r="462" spans="1:20" ht="15.75" customHeight="1">
      <c r="A462" s="1"/>
      <c r="B462" s="2"/>
      <c r="C462" s="2"/>
      <c r="D462" s="2"/>
      <c r="E462" s="2"/>
      <c r="F462" s="2"/>
      <c r="G462" s="2"/>
      <c r="H462" s="2"/>
      <c r="I462" s="2"/>
      <c r="J462" s="2"/>
      <c r="K462" s="2"/>
      <c r="L462" s="2"/>
      <c r="M462" s="2"/>
      <c r="N462" s="2"/>
      <c r="O462" s="2"/>
      <c r="P462" s="2"/>
      <c r="Q462" s="2"/>
      <c r="R462" s="2"/>
      <c r="S462" s="2"/>
      <c r="T462" s="2"/>
    </row>
    <row r="463" spans="1:20" ht="15.75" customHeight="1">
      <c r="A463" s="1"/>
      <c r="B463" s="2"/>
      <c r="C463" s="2"/>
      <c r="D463" s="2"/>
      <c r="E463" s="2"/>
      <c r="F463" s="2"/>
      <c r="G463" s="2"/>
      <c r="H463" s="2"/>
      <c r="I463" s="2"/>
      <c r="J463" s="2"/>
      <c r="K463" s="2"/>
      <c r="L463" s="2"/>
      <c r="M463" s="2"/>
      <c r="N463" s="2"/>
      <c r="O463" s="2"/>
      <c r="P463" s="2"/>
      <c r="Q463" s="2"/>
      <c r="R463" s="2"/>
      <c r="S463" s="2"/>
      <c r="T463" s="2"/>
    </row>
    <row r="464" spans="1:20" ht="15.75" customHeight="1">
      <c r="A464" s="1"/>
      <c r="B464" s="2"/>
      <c r="C464" s="2"/>
      <c r="D464" s="2"/>
      <c r="E464" s="2"/>
      <c r="F464" s="2"/>
      <c r="G464" s="2"/>
      <c r="H464" s="2"/>
      <c r="I464" s="2"/>
      <c r="J464" s="2"/>
      <c r="K464" s="2"/>
      <c r="L464" s="2"/>
      <c r="M464" s="2"/>
      <c r="N464" s="2"/>
      <c r="O464" s="2"/>
      <c r="P464" s="2"/>
      <c r="Q464" s="2"/>
      <c r="R464" s="2"/>
      <c r="S464" s="2"/>
      <c r="T464" s="2"/>
    </row>
    <row r="465" spans="1:20" ht="15.75" customHeight="1">
      <c r="A465" s="1"/>
      <c r="B465" s="2"/>
      <c r="C465" s="2"/>
      <c r="D465" s="2"/>
      <c r="E465" s="2"/>
      <c r="F465" s="2"/>
      <c r="G465" s="2"/>
      <c r="H465" s="2"/>
      <c r="I465" s="2"/>
      <c r="J465" s="2"/>
      <c r="K465" s="2"/>
      <c r="L465" s="2"/>
      <c r="M465" s="2"/>
      <c r="N465" s="2"/>
      <c r="O465" s="2"/>
      <c r="P465" s="2"/>
      <c r="Q465" s="2"/>
      <c r="R465" s="2"/>
      <c r="S465" s="2"/>
      <c r="T465" s="2"/>
    </row>
    <row r="466" spans="1:20" ht="15.75" customHeight="1">
      <c r="A466" s="1"/>
      <c r="B466" s="2"/>
      <c r="C466" s="2"/>
      <c r="D466" s="2"/>
      <c r="E466" s="2"/>
      <c r="F466" s="2"/>
      <c r="G466" s="2"/>
      <c r="H466" s="2"/>
      <c r="I466" s="2"/>
      <c r="J466" s="2"/>
      <c r="K466" s="2"/>
      <c r="L466" s="2"/>
      <c r="M466" s="2"/>
      <c r="N466" s="2"/>
      <c r="O466" s="2"/>
      <c r="P466" s="2"/>
      <c r="Q466" s="2"/>
      <c r="R466" s="2"/>
      <c r="S466" s="2"/>
      <c r="T466" s="2"/>
    </row>
    <row r="467" spans="1:20" ht="15.75" customHeight="1">
      <c r="A467" s="1"/>
      <c r="B467" s="2"/>
      <c r="C467" s="2"/>
      <c r="D467" s="2"/>
      <c r="E467" s="2"/>
      <c r="F467" s="2"/>
      <c r="G467" s="2"/>
      <c r="H467" s="2"/>
      <c r="I467" s="2"/>
      <c r="J467" s="2"/>
      <c r="K467" s="2"/>
      <c r="L467" s="2"/>
      <c r="M467" s="2"/>
      <c r="N467" s="2"/>
      <c r="O467" s="2"/>
      <c r="P467" s="2"/>
      <c r="Q467" s="2"/>
      <c r="R467" s="2"/>
      <c r="S467" s="2"/>
      <c r="T467" s="2"/>
    </row>
    <row r="468" spans="1:20" ht="15.75" customHeight="1">
      <c r="A468" s="1"/>
      <c r="B468" s="2"/>
      <c r="C468" s="2"/>
      <c r="D468" s="2"/>
      <c r="E468" s="2"/>
      <c r="F468" s="2"/>
      <c r="G468" s="2"/>
      <c r="H468" s="2"/>
      <c r="I468" s="2"/>
      <c r="J468" s="2"/>
      <c r="K468" s="2"/>
      <c r="L468" s="2"/>
      <c r="M468" s="2"/>
      <c r="N468" s="2"/>
      <c r="O468" s="2"/>
      <c r="P468" s="2"/>
      <c r="Q468" s="2"/>
      <c r="R468" s="2"/>
      <c r="S468" s="2"/>
      <c r="T468" s="2"/>
    </row>
    <row r="469" spans="1:20" ht="15.75" customHeight="1">
      <c r="A469" s="1"/>
      <c r="B469" s="2"/>
      <c r="C469" s="2"/>
      <c r="D469" s="2"/>
      <c r="E469" s="2"/>
      <c r="F469" s="2"/>
      <c r="G469" s="2"/>
      <c r="H469" s="2"/>
      <c r="I469" s="2"/>
      <c r="J469" s="2"/>
      <c r="K469" s="2"/>
      <c r="L469" s="2"/>
      <c r="M469" s="2"/>
      <c r="N469" s="2"/>
      <c r="O469" s="2"/>
      <c r="P469" s="2"/>
      <c r="Q469" s="2"/>
      <c r="R469" s="2"/>
      <c r="S469" s="2"/>
      <c r="T469" s="2"/>
    </row>
    <row r="470" spans="1:20" ht="15.75" customHeight="1">
      <c r="A470" s="1"/>
      <c r="B470" s="2"/>
      <c r="C470" s="2"/>
      <c r="D470" s="2"/>
      <c r="E470" s="2"/>
      <c r="F470" s="2"/>
      <c r="G470" s="2"/>
      <c r="H470" s="2"/>
      <c r="I470" s="2"/>
      <c r="J470" s="2"/>
      <c r="K470" s="2"/>
      <c r="L470" s="2"/>
      <c r="M470" s="2"/>
      <c r="N470" s="2"/>
      <c r="O470" s="2"/>
      <c r="P470" s="2"/>
      <c r="Q470" s="2"/>
      <c r="R470" s="2"/>
      <c r="S470" s="2"/>
      <c r="T470" s="2"/>
    </row>
    <row r="471" spans="1:20" ht="15.75" customHeight="1">
      <c r="A471" s="1"/>
      <c r="B471" s="2"/>
      <c r="C471" s="2"/>
      <c r="D471" s="2"/>
      <c r="E471" s="2"/>
      <c r="F471" s="2"/>
      <c r="G471" s="2"/>
      <c r="H471" s="2"/>
      <c r="I471" s="2"/>
      <c r="J471" s="2"/>
      <c r="K471" s="2"/>
      <c r="L471" s="2"/>
      <c r="M471" s="2"/>
      <c r="N471" s="2"/>
      <c r="O471" s="2"/>
      <c r="P471" s="2"/>
      <c r="Q471" s="2"/>
      <c r="R471" s="2"/>
      <c r="S471" s="2"/>
      <c r="T471" s="2"/>
    </row>
    <row r="472" spans="1:20" ht="15.75" customHeight="1">
      <c r="A472" s="1"/>
      <c r="B472" s="2"/>
      <c r="C472" s="2"/>
      <c r="D472" s="2"/>
      <c r="E472" s="2"/>
      <c r="F472" s="2"/>
      <c r="G472" s="2"/>
      <c r="H472" s="2"/>
      <c r="I472" s="2"/>
      <c r="J472" s="2"/>
      <c r="K472" s="2"/>
      <c r="L472" s="2"/>
      <c r="M472" s="2"/>
      <c r="N472" s="2"/>
      <c r="O472" s="2"/>
      <c r="P472" s="2"/>
      <c r="Q472" s="2"/>
      <c r="R472" s="2"/>
      <c r="S472" s="2"/>
      <c r="T472" s="2"/>
    </row>
    <row r="473" spans="1:20" ht="15.75" customHeight="1">
      <c r="A473" s="1"/>
      <c r="B473" s="2"/>
      <c r="C473" s="2"/>
      <c r="D473" s="2"/>
      <c r="E473" s="2"/>
      <c r="F473" s="2"/>
      <c r="G473" s="2"/>
      <c r="H473" s="2"/>
      <c r="I473" s="2"/>
      <c r="J473" s="2"/>
      <c r="K473" s="2"/>
      <c r="L473" s="2"/>
      <c r="M473" s="2"/>
      <c r="N473" s="2"/>
      <c r="O473" s="2"/>
      <c r="P473" s="2"/>
      <c r="Q473" s="2"/>
      <c r="R473" s="2"/>
      <c r="S473" s="2"/>
      <c r="T473" s="2"/>
    </row>
    <row r="474" spans="1:20" ht="15.75" customHeight="1">
      <c r="A474" s="1"/>
      <c r="B474" s="2"/>
      <c r="C474" s="2"/>
      <c r="D474" s="2"/>
      <c r="E474" s="2"/>
      <c r="F474" s="2"/>
      <c r="G474" s="2"/>
      <c r="H474" s="2"/>
      <c r="I474" s="2"/>
      <c r="J474" s="2"/>
      <c r="K474" s="2"/>
      <c r="L474" s="2"/>
      <c r="M474" s="2"/>
      <c r="N474" s="2"/>
      <c r="O474" s="2"/>
      <c r="P474" s="2"/>
      <c r="Q474" s="2"/>
      <c r="R474" s="2"/>
      <c r="S474" s="2"/>
      <c r="T474" s="2"/>
    </row>
    <row r="475" spans="1:20" ht="15.75" customHeight="1">
      <c r="A475" s="1"/>
      <c r="B475" s="2"/>
      <c r="C475" s="2"/>
      <c r="D475" s="2"/>
      <c r="E475" s="2"/>
      <c r="F475" s="2"/>
      <c r="G475" s="2"/>
      <c r="H475" s="2"/>
      <c r="I475" s="2"/>
      <c r="J475" s="2"/>
      <c r="K475" s="2"/>
      <c r="L475" s="2"/>
      <c r="M475" s="2"/>
      <c r="N475" s="2"/>
      <c r="O475" s="2"/>
      <c r="P475" s="2"/>
      <c r="Q475" s="2"/>
      <c r="R475" s="2"/>
      <c r="S475" s="2"/>
      <c r="T475" s="2"/>
    </row>
    <row r="476" spans="1:20" ht="15.75" customHeight="1">
      <c r="A476" s="1"/>
      <c r="B476" s="2"/>
      <c r="C476" s="2"/>
      <c r="D476" s="2"/>
      <c r="E476" s="2"/>
      <c r="F476" s="2"/>
      <c r="G476" s="2"/>
      <c r="H476" s="2"/>
      <c r="I476" s="2"/>
      <c r="J476" s="2"/>
      <c r="K476" s="2"/>
      <c r="L476" s="2"/>
      <c r="M476" s="2"/>
      <c r="N476" s="2"/>
      <c r="O476" s="2"/>
      <c r="P476" s="2"/>
      <c r="Q476" s="2"/>
      <c r="R476" s="2"/>
      <c r="S476" s="2"/>
      <c r="T476" s="2"/>
    </row>
    <row r="477" spans="1:20" ht="15.75" customHeight="1">
      <c r="A477" s="1"/>
      <c r="B477" s="2"/>
      <c r="C477" s="2"/>
      <c r="D477" s="2"/>
      <c r="E477" s="2"/>
      <c r="F477" s="2"/>
      <c r="G477" s="2"/>
      <c r="H477" s="2"/>
      <c r="I477" s="2"/>
      <c r="J477" s="2"/>
      <c r="K477" s="2"/>
      <c r="L477" s="2"/>
      <c r="M477" s="2"/>
      <c r="N477" s="2"/>
      <c r="O477" s="2"/>
      <c r="P477" s="2"/>
      <c r="Q477" s="2"/>
      <c r="R477" s="2"/>
      <c r="S477" s="2"/>
      <c r="T477" s="2"/>
    </row>
    <row r="478" spans="1:20" ht="15.75" customHeight="1">
      <c r="A478" s="1"/>
      <c r="B478" s="2"/>
      <c r="C478" s="2"/>
      <c r="D478" s="2"/>
      <c r="E478" s="2"/>
      <c r="F478" s="2"/>
      <c r="G478" s="2"/>
      <c r="H478" s="2"/>
      <c r="I478" s="2"/>
      <c r="J478" s="2"/>
      <c r="K478" s="2"/>
      <c r="L478" s="2"/>
      <c r="M478" s="2"/>
      <c r="N478" s="2"/>
      <c r="O478" s="2"/>
      <c r="P478" s="2"/>
      <c r="Q478" s="2"/>
      <c r="R478" s="2"/>
      <c r="S478" s="2"/>
      <c r="T478" s="2"/>
    </row>
    <row r="479" spans="1:20" ht="15.75" customHeight="1">
      <c r="A479" s="1"/>
      <c r="B479" s="2"/>
      <c r="C479" s="2"/>
      <c r="D479" s="2"/>
      <c r="E479" s="2"/>
      <c r="F479" s="2"/>
      <c r="G479" s="2"/>
      <c r="H479" s="2"/>
      <c r="I479" s="2"/>
      <c r="J479" s="2"/>
      <c r="K479" s="2"/>
      <c r="L479" s="2"/>
      <c r="M479" s="2"/>
      <c r="N479" s="2"/>
      <c r="O479" s="2"/>
      <c r="P479" s="2"/>
      <c r="Q479" s="2"/>
      <c r="R479" s="2"/>
      <c r="S479" s="2"/>
      <c r="T479" s="2"/>
    </row>
    <row r="480" spans="1:20" ht="15.75" customHeight="1">
      <c r="A480" s="1"/>
      <c r="B480" s="2"/>
      <c r="C480" s="2"/>
      <c r="D480" s="2"/>
      <c r="E480" s="2"/>
      <c r="F480" s="2"/>
      <c r="G480" s="2"/>
      <c r="H480" s="2"/>
      <c r="I480" s="2"/>
      <c r="J480" s="2"/>
      <c r="K480" s="2"/>
      <c r="L480" s="2"/>
      <c r="M480" s="2"/>
      <c r="N480" s="2"/>
      <c r="O480" s="2"/>
      <c r="P480" s="2"/>
      <c r="Q480" s="2"/>
      <c r="R480" s="2"/>
      <c r="S480" s="2"/>
      <c r="T480" s="2"/>
    </row>
    <row r="481" spans="1:20" ht="15.75" customHeight="1">
      <c r="A481" s="1"/>
      <c r="B481" s="2"/>
      <c r="C481" s="2"/>
      <c r="D481" s="2"/>
      <c r="E481" s="2"/>
      <c r="F481" s="2"/>
      <c r="G481" s="2"/>
      <c r="H481" s="2"/>
      <c r="I481" s="2"/>
      <c r="J481" s="2"/>
      <c r="K481" s="2"/>
      <c r="L481" s="2"/>
      <c r="M481" s="2"/>
      <c r="N481" s="2"/>
      <c r="O481" s="2"/>
      <c r="P481" s="2"/>
      <c r="Q481" s="2"/>
      <c r="R481" s="2"/>
      <c r="S481" s="2"/>
      <c r="T481" s="2"/>
    </row>
    <row r="482" spans="1:20" ht="15.75" customHeight="1">
      <c r="A482" s="1"/>
      <c r="B482" s="2"/>
      <c r="C482" s="2"/>
      <c r="D482" s="2"/>
      <c r="E482" s="2"/>
      <c r="F482" s="2"/>
      <c r="G482" s="2"/>
      <c r="H482" s="2"/>
      <c r="I482" s="2"/>
      <c r="J482" s="2"/>
      <c r="K482" s="2"/>
      <c r="L482" s="2"/>
      <c r="M482" s="2"/>
      <c r="N482" s="2"/>
      <c r="O482" s="2"/>
      <c r="P482" s="2"/>
      <c r="Q482" s="2"/>
      <c r="R482" s="2"/>
      <c r="S482" s="2"/>
      <c r="T482" s="2"/>
    </row>
    <row r="483" spans="1:20" ht="15.75" customHeight="1">
      <c r="A483" s="1"/>
      <c r="B483" s="2"/>
      <c r="C483" s="2"/>
      <c r="D483" s="2"/>
      <c r="E483" s="2"/>
      <c r="F483" s="2"/>
      <c r="G483" s="2"/>
      <c r="H483" s="2"/>
      <c r="I483" s="2"/>
      <c r="J483" s="2"/>
      <c r="K483" s="2"/>
      <c r="L483" s="2"/>
      <c r="M483" s="2"/>
      <c r="N483" s="2"/>
      <c r="O483" s="2"/>
      <c r="P483" s="2"/>
      <c r="Q483" s="2"/>
      <c r="R483" s="2"/>
      <c r="S483" s="2"/>
      <c r="T483" s="2"/>
    </row>
    <row r="484" spans="1:20" ht="15.75" customHeight="1">
      <c r="A484" s="1"/>
      <c r="B484" s="2"/>
      <c r="C484" s="2"/>
      <c r="D484" s="2"/>
      <c r="E484" s="2"/>
      <c r="F484" s="2"/>
      <c r="G484" s="2"/>
      <c r="H484" s="2"/>
      <c r="I484" s="2"/>
      <c r="J484" s="2"/>
      <c r="K484" s="2"/>
      <c r="L484" s="2"/>
      <c r="M484" s="2"/>
      <c r="N484" s="2"/>
      <c r="O484" s="2"/>
      <c r="P484" s="2"/>
      <c r="Q484" s="2"/>
      <c r="R484" s="2"/>
      <c r="S484" s="2"/>
      <c r="T484" s="2"/>
    </row>
    <row r="485" spans="1:20" ht="15.75" customHeight="1">
      <c r="A485" s="1"/>
      <c r="B485" s="2"/>
      <c r="C485" s="2"/>
      <c r="D485" s="2"/>
      <c r="E485" s="2"/>
      <c r="F485" s="2"/>
      <c r="G485" s="2"/>
      <c r="H485" s="2"/>
      <c r="I485" s="2"/>
      <c r="J485" s="2"/>
      <c r="K485" s="2"/>
      <c r="L485" s="2"/>
      <c r="M485" s="2"/>
      <c r="N485" s="2"/>
      <c r="O485" s="2"/>
      <c r="P485" s="2"/>
      <c r="Q485" s="2"/>
      <c r="R485" s="2"/>
      <c r="S485" s="2"/>
      <c r="T485" s="2"/>
    </row>
    <row r="486" spans="1:20" ht="15.75" customHeight="1">
      <c r="A486" s="1"/>
      <c r="B486" s="2"/>
      <c r="C486" s="2"/>
      <c r="D486" s="2"/>
      <c r="E486" s="2"/>
      <c r="F486" s="2"/>
      <c r="G486" s="2"/>
      <c r="H486" s="2"/>
      <c r="I486" s="2"/>
      <c r="J486" s="2"/>
      <c r="K486" s="2"/>
      <c r="L486" s="2"/>
      <c r="M486" s="2"/>
      <c r="N486" s="2"/>
      <c r="O486" s="2"/>
      <c r="P486" s="2"/>
      <c r="Q486" s="2"/>
      <c r="R486" s="2"/>
      <c r="S486" s="2"/>
      <c r="T486" s="2"/>
    </row>
    <row r="487" spans="1:20" ht="15.75" customHeight="1">
      <c r="A487" s="1"/>
      <c r="B487" s="2"/>
      <c r="C487" s="2"/>
      <c r="D487" s="2"/>
      <c r="E487" s="2"/>
      <c r="F487" s="2"/>
      <c r="G487" s="2"/>
      <c r="H487" s="2"/>
      <c r="I487" s="2"/>
      <c r="J487" s="2"/>
      <c r="K487" s="2"/>
      <c r="L487" s="2"/>
      <c r="M487" s="2"/>
      <c r="N487" s="2"/>
      <c r="O487" s="2"/>
      <c r="P487" s="2"/>
      <c r="Q487" s="2"/>
      <c r="R487" s="2"/>
      <c r="S487" s="2"/>
      <c r="T487" s="2"/>
    </row>
    <row r="488" spans="1:20" ht="15.75" customHeight="1">
      <c r="A488" s="1"/>
      <c r="B488" s="2"/>
      <c r="C488" s="2"/>
      <c r="D488" s="2"/>
      <c r="E488" s="2"/>
      <c r="F488" s="2"/>
      <c r="G488" s="2"/>
      <c r="H488" s="2"/>
      <c r="I488" s="2"/>
      <c r="J488" s="2"/>
      <c r="K488" s="2"/>
      <c r="L488" s="2"/>
      <c r="M488" s="2"/>
      <c r="N488" s="2"/>
      <c r="O488" s="2"/>
      <c r="P488" s="2"/>
      <c r="Q488" s="2"/>
      <c r="R488" s="2"/>
      <c r="S488" s="2"/>
      <c r="T488" s="2"/>
    </row>
    <row r="489" spans="1:20" ht="15.75" customHeight="1">
      <c r="A489" s="1"/>
      <c r="B489" s="2"/>
      <c r="C489" s="2"/>
      <c r="D489" s="2"/>
      <c r="E489" s="2"/>
      <c r="F489" s="2"/>
      <c r="G489" s="2"/>
      <c r="H489" s="2"/>
      <c r="I489" s="2"/>
      <c r="J489" s="2"/>
      <c r="K489" s="2"/>
      <c r="L489" s="2"/>
      <c r="M489" s="2"/>
      <c r="N489" s="2"/>
      <c r="O489" s="2"/>
      <c r="P489" s="2"/>
      <c r="Q489" s="2"/>
      <c r="R489" s="2"/>
      <c r="S489" s="2"/>
      <c r="T489" s="2"/>
    </row>
    <row r="490" spans="1:20" ht="15.75" customHeight="1">
      <c r="A490" s="1"/>
      <c r="B490" s="2"/>
      <c r="C490" s="2"/>
      <c r="D490" s="2"/>
      <c r="E490" s="2"/>
      <c r="F490" s="2"/>
      <c r="G490" s="2"/>
      <c r="H490" s="2"/>
      <c r="I490" s="2"/>
      <c r="J490" s="2"/>
      <c r="K490" s="2"/>
      <c r="L490" s="2"/>
      <c r="M490" s="2"/>
      <c r="N490" s="2"/>
      <c r="O490" s="2"/>
      <c r="P490" s="2"/>
      <c r="Q490" s="2"/>
      <c r="R490" s="2"/>
      <c r="S490" s="2"/>
      <c r="T490" s="2"/>
    </row>
    <row r="491" spans="1:20" ht="15.75" customHeight="1">
      <c r="A491" s="1"/>
      <c r="B491" s="2"/>
      <c r="C491" s="2"/>
      <c r="D491" s="2"/>
      <c r="E491" s="2"/>
      <c r="F491" s="2"/>
      <c r="G491" s="2"/>
      <c r="H491" s="2"/>
      <c r="I491" s="2"/>
      <c r="J491" s="2"/>
      <c r="K491" s="2"/>
      <c r="L491" s="2"/>
      <c r="M491" s="2"/>
      <c r="N491" s="2"/>
      <c r="O491" s="2"/>
      <c r="P491" s="2"/>
      <c r="Q491" s="2"/>
      <c r="R491" s="2"/>
      <c r="S491" s="2"/>
      <c r="T491" s="2"/>
    </row>
    <row r="492" spans="1:20" ht="15.75" customHeight="1">
      <c r="A492" s="1"/>
      <c r="B492" s="2"/>
      <c r="C492" s="2"/>
      <c r="D492" s="2"/>
      <c r="E492" s="2"/>
      <c r="F492" s="2"/>
      <c r="G492" s="2"/>
      <c r="H492" s="2"/>
      <c r="I492" s="2"/>
      <c r="J492" s="2"/>
      <c r="K492" s="2"/>
      <c r="L492" s="2"/>
      <c r="M492" s="2"/>
      <c r="N492" s="2"/>
      <c r="O492" s="2"/>
      <c r="P492" s="2"/>
      <c r="Q492" s="2"/>
      <c r="R492" s="2"/>
      <c r="S492" s="2"/>
      <c r="T492" s="2"/>
    </row>
    <row r="493" spans="1:20" ht="15.75" customHeight="1">
      <c r="A493" s="1"/>
      <c r="B493" s="2"/>
      <c r="C493" s="2"/>
      <c r="D493" s="2"/>
      <c r="E493" s="2"/>
      <c r="F493" s="2"/>
      <c r="G493" s="2"/>
      <c r="H493" s="2"/>
      <c r="I493" s="2"/>
      <c r="J493" s="2"/>
      <c r="K493" s="2"/>
      <c r="L493" s="2"/>
      <c r="M493" s="2"/>
      <c r="N493" s="2"/>
      <c r="O493" s="2"/>
      <c r="P493" s="2"/>
      <c r="Q493" s="2"/>
      <c r="R493" s="2"/>
      <c r="S493" s="2"/>
      <c r="T493" s="2"/>
    </row>
    <row r="494" spans="1:20" ht="15.75" customHeight="1">
      <c r="A494" s="1"/>
      <c r="B494" s="2"/>
      <c r="C494" s="2"/>
      <c r="D494" s="2"/>
      <c r="E494" s="2"/>
      <c r="F494" s="2"/>
      <c r="G494" s="2"/>
      <c r="H494" s="2"/>
      <c r="I494" s="2"/>
      <c r="J494" s="2"/>
      <c r="K494" s="2"/>
      <c r="L494" s="2"/>
      <c r="M494" s="2"/>
      <c r="N494" s="2"/>
      <c r="O494" s="2"/>
      <c r="P494" s="2"/>
      <c r="Q494" s="2"/>
      <c r="R494" s="2"/>
      <c r="S494" s="2"/>
      <c r="T494" s="2"/>
    </row>
    <row r="495" spans="1:20" ht="15.75" customHeight="1">
      <c r="A495" s="1"/>
      <c r="B495" s="2"/>
      <c r="C495" s="2"/>
      <c r="D495" s="2"/>
      <c r="E495" s="2"/>
      <c r="F495" s="2"/>
      <c r="G495" s="2"/>
      <c r="H495" s="2"/>
      <c r="I495" s="2"/>
      <c r="J495" s="2"/>
      <c r="K495" s="2"/>
      <c r="L495" s="2"/>
      <c r="M495" s="2"/>
      <c r="N495" s="2"/>
      <c r="O495" s="2"/>
      <c r="P495" s="2"/>
      <c r="Q495" s="2"/>
      <c r="R495" s="2"/>
      <c r="S495" s="2"/>
      <c r="T495" s="2"/>
    </row>
    <row r="496" spans="1:20" ht="15.75" customHeight="1">
      <c r="A496" s="1"/>
      <c r="B496" s="2"/>
      <c r="C496" s="2"/>
      <c r="D496" s="2"/>
      <c r="E496" s="2"/>
      <c r="F496" s="2"/>
      <c r="G496" s="2"/>
      <c r="H496" s="2"/>
      <c r="I496" s="2"/>
      <c r="J496" s="2"/>
      <c r="K496" s="2"/>
      <c r="L496" s="2"/>
      <c r="M496" s="2"/>
      <c r="N496" s="2"/>
      <c r="O496" s="2"/>
      <c r="P496" s="2"/>
      <c r="Q496" s="2"/>
      <c r="R496" s="2"/>
      <c r="S496" s="2"/>
      <c r="T496" s="2"/>
    </row>
    <row r="497" spans="1:20" ht="15.75" customHeight="1">
      <c r="A497" s="1"/>
      <c r="B497" s="2"/>
      <c r="C497" s="2"/>
      <c r="D497" s="2"/>
      <c r="E497" s="2"/>
      <c r="F497" s="2"/>
      <c r="G497" s="2"/>
      <c r="H497" s="2"/>
      <c r="I497" s="2"/>
      <c r="J497" s="2"/>
      <c r="K497" s="2"/>
      <c r="L497" s="2"/>
      <c r="M497" s="2"/>
      <c r="N497" s="2"/>
      <c r="O497" s="2"/>
      <c r="P497" s="2"/>
      <c r="Q497" s="2"/>
      <c r="R497" s="2"/>
      <c r="S497" s="2"/>
      <c r="T497" s="2"/>
    </row>
    <row r="498" spans="1:20" ht="15.75" customHeight="1">
      <c r="A498" s="1"/>
      <c r="B498" s="2"/>
      <c r="C498" s="2"/>
      <c r="D498" s="2"/>
      <c r="E498" s="2"/>
      <c r="F498" s="2"/>
      <c r="G498" s="2"/>
      <c r="H498" s="2"/>
      <c r="I498" s="2"/>
      <c r="J498" s="2"/>
      <c r="K498" s="2"/>
      <c r="L498" s="2"/>
      <c r="M498" s="2"/>
      <c r="N498" s="2"/>
      <c r="O498" s="2"/>
      <c r="P498" s="2"/>
      <c r="Q498" s="2"/>
      <c r="R498" s="2"/>
      <c r="S498" s="2"/>
      <c r="T498" s="2"/>
    </row>
    <row r="499" spans="1:20" ht="15.75" customHeight="1">
      <c r="A499" s="1"/>
      <c r="B499" s="2"/>
      <c r="C499" s="2"/>
      <c r="D499" s="2"/>
      <c r="E499" s="2"/>
      <c r="F499" s="2"/>
      <c r="G499" s="2"/>
      <c r="H499" s="2"/>
      <c r="I499" s="2"/>
      <c r="J499" s="2"/>
      <c r="K499" s="2"/>
      <c r="L499" s="2"/>
      <c r="M499" s="2"/>
      <c r="N499" s="2"/>
      <c r="O499" s="2"/>
      <c r="P499" s="2"/>
      <c r="Q499" s="2"/>
      <c r="R499" s="2"/>
      <c r="S499" s="2"/>
      <c r="T499" s="2"/>
    </row>
    <row r="500" spans="1:20" ht="15.75" customHeight="1">
      <c r="A500" s="1"/>
      <c r="B500" s="2"/>
      <c r="C500" s="2"/>
      <c r="D500" s="2"/>
      <c r="E500" s="2"/>
      <c r="F500" s="2"/>
      <c r="G500" s="2"/>
      <c r="H500" s="2"/>
      <c r="I500" s="2"/>
      <c r="J500" s="2"/>
      <c r="K500" s="2"/>
      <c r="L500" s="2"/>
      <c r="M500" s="2"/>
      <c r="N500" s="2"/>
      <c r="O500" s="2"/>
      <c r="P500" s="2"/>
      <c r="Q500" s="2"/>
      <c r="R500" s="2"/>
      <c r="S500" s="2"/>
      <c r="T500" s="2"/>
    </row>
    <row r="501" spans="1:20" ht="15.75" customHeight="1">
      <c r="A501" s="1"/>
      <c r="B501" s="2"/>
      <c r="C501" s="2"/>
      <c r="D501" s="2"/>
      <c r="E501" s="2"/>
      <c r="F501" s="2"/>
      <c r="G501" s="2"/>
      <c r="H501" s="2"/>
      <c r="I501" s="2"/>
      <c r="J501" s="2"/>
      <c r="K501" s="2"/>
      <c r="L501" s="2"/>
      <c r="M501" s="2"/>
      <c r="N501" s="2"/>
      <c r="O501" s="2"/>
      <c r="P501" s="2"/>
      <c r="Q501" s="2"/>
      <c r="R501" s="2"/>
      <c r="S501" s="2"/>
      <c r="T501" s="2"/>
    </row>
    <row r="502" spans="1:20" ht="15.75" customHeight="1">
      <c r="A502" s="1"/>
      <c r="B502" s="2"/>
      <c r="C502" s="2"/>
      <c r="D502" s="2"/>
      <c r="E502" s="2"/>
      <c r="F502" s="2"/>
      <c r="G502" s="2"/>
      <c r="H502" s="2"/>
      <c r="I502" s="2"/>
      <c r="J502" s="2"/>
      <c r="K502" s="2"/>
      <c r="L502" s="2"/>
      <c r="M502" s="2"/>
      <c r="N502" s="2"/>
      <c r="O502" s="2"/>
      <c r="P502" s="2"/>
      <c r="Q502" s="2"/>
      <c r="R502" s="2"/>
      <c r="S502" s="2"/>
      <c r="T502" s="2"/>
    </row>
    <row r="503" spans="1:20" ht="15.75" customHeight="1">
      <c r="A503" s="1"/>
      <c r="B503" s="2"/>
      <c r="C503" s="2"/>
      <c r="D503" s="2"/>
      <c r="E503" s="2"/>
      <c r="F503" s="2"/>
      <c r="G503" s="2"/>
      <c r="H503" s="2"/>
      <c r="I503" s="2"/>
      <c r="J503" s="2"/>
      <c r="K503" s="2"/>
      <c r="L503" s="2"/>
      <c r="M503" s="2"/>
      <c r="N503" s="2"/>
      <c r="O503" s="2"/>
      <c r="P503" s="2"/>
      <c r="Q503" s="2"/>
      <c r="R503" s="2"/>
      <c r="S503" s="2"/>
      <c r="T503" s="2"/>
    </row>
    <row r="504" spans="1:20" ht="15.75" customHeight="1">
      <c r="A504" s="1"/>
      <c r="B504" s="2"/>
      <c r="C504" s="2"/>
      <c r="D504" s="2"/>
      <c r="E504" s="2"/>
      <c r="F504" s="2"/>
      <c r="G504" s="2"/>
      <c r="H504" s="2"/>
      <c r="I504" s="2"/>
      <c r="J504" s="2"/>
      <c r="K504" s="2"/>
      <c r="L504" s="2"/>
      <c r="M504" s="2"/>
      <c r="N504" s="2"/>
      <c r="O504" s="2"/>
      <c r="P504" s="2"/>
      <c r="Q504" s="2"/>
      <c r="R504" s="2"/>
      <c r="S504" s="2"/>
      <c r="T504" s="2"/>
    </row>
    <row r="505" spans="1:20" ht="15.75" customHeight="1">
      <c r="A505" s="1"/>
      <c r="B505" s="2"/>
      <c r="C505" s="2"/>
      <c r="D505" s="2"/>
      <c r="E505" s="2"/>
      <c r="F505" s="2"/>
      <c r="G505" s="2"/>
      <c r="H505" s="2"/>
      <c r="I505" s="2"/>
      <c r="J505" s="2"/>
      <c r="K505" s="2"/>
      <c r="L505" s="2"/>
      <c r="M505" s="2"/>
      <c r="N505" s="2"/>
      <c r="O505" s="2"/>
      <c r="P505" s="2"/>
      <c r="Q505" s="2"/>
      <c r="R505" s="2"/>
      <c r="S505" s="2"/>
      <c r="T505" s="2"/>
    </row>
    <row r="506" spans="1:20" ht="15.75" customHeight="1">
      <c r="A506" s="1"/>
      <c r="B506" s="2"/>
      <c r="C506" s="2"/>
      <c r="D506" s="2"/>
      <c r="E506" s="2"/>
      <c r="F506" s="2"/>
      <c r="G506" s="2"/>
      <c r="H506" s="2"/>
      <c r="I506" s="2"/>
      <c r="J506" s="2"/>
      <c r="K506" s="2"/>
      <c r="L506" s="2"/>
      <c r="M506" s="2"/>
      <c r="N506" s="2"/>
      <c r="O506" s="2"/>
      <c r="P506" s="2"/>
      <c r="Q506" s="2"/>
      <c r="R506" s="2"/>
      <c r="S506" s="2"/>
      <c r="T506" s="2"/>
    </row>
    <row r="507" spans="1:20" ht="15.75" customHeight="1">
      <c r="A507" s="1"/>
      <c r="B507" s="2"/>
      <c r="C507" s="2"/>
      <c r="D507" s="2"/>
      <c r="E507" s="2"/>
      <c r="F507" s="2"/>
      <c r="G507" s="2"/>
      <c r="H507" s="2"/>
      <c r="I507" s="2"/>
      <c r="J507" s="2"/>
      <c r="K507" s="2"/>
      <c r="L507" s="2"/>
      <c r="M507" s="2"/>
      <c r="N507" s="2"/>
      <c r="O507" s="2"/>
      <c r="P507" s="2"/>
      <c r="Q507" s="2"/>
      <c r="R507" s="2"/>
      <c r="S507" s="2"/>
      <c r="T507" s="2"/>
    </row>
    <row r="508" spans="1:20" ht="15.75" customHeight="1">
      <c r="A508" s="1"/>
      <c r="B508" s="2"/>
      <c r="C508" s="2"/>
      <c r="D508" s="2"/>
      <c r="E508" s="2"/>
      <c r="F508" s="2"/>
      <c r="G508" s="2"/>
      <c r="H508" s="2"/>
      <c r="I508" s="2"/>
      <c r="J508" s="2"/>
      <c r="K508" s="2"/>
      <c r="L508" s="2"/>
      <c r="M508" s="2"/>
      <c r="N508" s="2"/>
      <c r="O508" s="2"/>
      <c r="P508" s="2"/>
      <c r="Q508" s="2"/>
      <c r="R508" s="2"/>
      <c r="S508" s="2"/>
      <c r="T508" s="2"/>
    </row>
    <row r="509" spans="1:20" ht="15.75" customHeight="1">
      <c r="A509" s="1"/>
      <c r="B509" s="2"/>
      <c r="C509" s="2"/>
      <c r="D509" s="2"/>
      <c r="E509" s="2"/>
      <c r="F509" s="2"/>
      <c r="G509" s="2"/>
      <c r="H509" s="2"/>
      <c r="I509" s="2"/>
      <c r="J509" s="2"/>
      <c r="K509" s="2"/>
      <c r="L509" s="2"/>
      <c r="M509" s="2"/>
      <c r="N509" s="2"/>
      <c r="O509" s="2"/>
      <c r="P509" s="2"/>
      <c r="Q509" s="2"/>
      <c r="R509" s="2"/>
      <c r="S509" s="2"/>
      <c r="T509" s="2"/>
    </row>
    <row r="510" spans="1:20" ht="15.75" customHeight="1">
      <c r="A510" s="1"/>
      <c r="B510" s="2"/>
      <c r="C510" s="2"/>
      <c r="D510" s="2"/>
      <c r="E510" s="2"/>
      <c r="F510" s="2"/>
      <c r="G510" s="2"/>
      <c r="H510" s="2"/>
      <c r="I510" s="2"/>
      <c r="J510" s="2"/>
      <c r="K510" s="2"/>
      <c r="L510" s="2"/>
      <c r="M510" s="2"/>
      <c r="N510" s="2"/>
      <c r="O510" s="2"/>
      <c r="P510" s="2"/>
      <c r="Q510" s="2"/>
      <c r="R510" s="2"/>
      <c r="S510" s="2"/>
      <c r="T510" s="2"/>
    </row>
    <row r="511" spans="1:20" ht="15.75" customHeight="1">
      <c r="A511" s="1"/>
      <c r="B511" s="2"/>
      <c r="C511" s="2"/>
      <c r="D511" s="2"/>
      <c r="E511" s="2"/>
      <c r="F511" s="2"/>
      <c r="G511" s="2"/>
      <c r="H511" s="2"/>
      <c r="I511" s="2"/>
      <c r="J511" s="2"/>
      <c r="K511" s="2"/>
      <c r="L511" s="2"/>
      <c r="M511" s="2"/>
      <c r="N511" s="2"/>
      <c r="O511" s="2"/>
      <c r="P511" s="2"/>
      <c r="Q511" s="2"/>
      <c r="R511" s="2"/>
      <c r="S511" s="2"/>
      <c r="T511" s="2"/>
    </row>
    <row r="512" spans="1:20" ht="15.75" customHeight="1">
      <c r="A512" s="1"/>
      <c r="B512" s="2"/>
      <c r="C512" s="2"/>
      <c r="D512" s="2"/>
      <c r="E512" s="2"/>
      <c r="F512" s="2"/>
      <c r="G512" s="2"/>
      <c r="H512" s="2"/>
      <c r="I512" s="2"/>
      <c r="J512" s="2"/>
      <c r="K512" s="2"/>
      <c r="L512" s="2"/>
      <c r="M512" s="2"/>
      <c r="N512" s="2"/>
      <c r="O512" s="2"/>
      <c r="P512" s="2"/>
      <c r="Q512" s="2"/>
      <c r="R512" s="2"/>
      <c r="S512" s="2"/>
      <c r="T512" s="2"/>
    </row>
    <row r="513" spans="1:20" ht="15.75" customHeight="1">
      <c r="A513" s="1"/>
      <c r="B513" s="2"/>
      <c r="C513" s="2"/>
      <c r="D513" s="2"/>
      <c r="E513" s="2"/>
      <c r="F513" s="2"/>
      <c r="G513" s="2"/>
      <c r="H513" s="2"/>
      <c r="I513" s="2"/>
      <c r="J513" s="2"/>
      <c r="K513" s="2"/>
      <c r="L513" s="2"/>
      <c r="M513" s="2"/>
      <c r="N513" s="2"/>
      <c r="O513" s="2"/>
      <c r="P513" s="2"/>
      <c r="Q513" s="2"/>
      <c r="R513" s="2"/>
      <c r="S513" s="2"/>
      <c r="T513" s="2"/>
    </row>
    <row r="514" spans="1:20" ht="15.75" customHeight="1">
      <c r="A514" s="1"/>
      <c r="B514" s="2"/>
      <c r="C514" s="2"/>
      <c r="D514" s="2"/>
      <c r="E514" s="2"/>
      <c r="F514" s="2"/>
      <c r="G514" s="2"/>
      <c r="H514" s="2"/>
      <c r="I514" s="2"/>
      <c r="J514" s="2"/>
      <c r="K514" s="2"/>
      <c r="L514" s="2"/>
      <c r="M514" s="2"/>
      <c r="N514" s="2"/>
      <c r="O514" s="2"/>
      <c r="P514" s="2"/>
      <c r="Q514" s="2"/>
      <c r="R514" s="2"/>
      <c r="S514" s="2"/>
      <c r="T514" s="2"/>
    </row>
    <row r="515" spans="1:20" ht="15.75" customHeight="1">
      <c r="A515" s="1"/>
      <c r="B515" s="2"/>
      <c r="C515" s="2"/>
      <c r="D515" s="2"/>
      <c r="E515" s="2"/>
      <c r="F515" s="2"/>
      <c r="G515" s="2"/>
      <c r="H515" s="2"/>
      <c r="I515" s="2"/>
      <c r="J515" s="2"/>
      <c r="K515" s="2"/>
      <c r="L515" s="2"/>
      <c r="M515" s="2"/>
      <c r="N515" s="2"/>
      <c r="O515" s="2"/>
      <c r="P515" s="2"/>
      <c r="Q515" s="2"/>
      <c r="R515" s="2"/>
      <c r="S515" s="2"/>
      <c r="T515" s="2"/>
    </row>
    <row r="516" spans="1:20" ht="15.75" customHeight="1">
      <c r="A516" s="1"/>
      <c r="B516" s="2"/>
      <c r="C516" s="2"/>
      <c r="D516" s="2"/>
      <c r="E516" s="2"/>
      <c r="F516" s="2"/>
      <c r="G516" s="2"/>
      <c r="H516" s="2"/>
      <c r="I516" s="2"/>
      <c r="J516" s="2"/>
      <c r="K516" s="2"/>
      <c r="L516" s="2"/>
      <c r="M516" s="2"/>
      <c r="N516" s="2"/>
      <c r="O516" s="2"/>
      <c r="P516" s="2"/>
      <c r="Q516" s="2"/>
      <c r="R516" s="2"/>
      <c r="S516" s="2"/>
      <c r="T516" s="2"/>
    </row>
    <row r="517" spans="1:20" ht="15.75" customHeight="1">
      <c r="A517" s="1"/>
      <c r="B517" s="2"/>
      <c r="C517" s="2"/>
      <c r="D517" s="2"/>
      <c r="E517" s="2"/>
      <c r="F517" s="2"/>
      <c r="G517" s="2"/>
      <c r="H517" s="2"/>
      <c r="I517" s="2"/>
      <c r="J517" s="2"/>
      <c r="K517" s="2"/>
      <c r="L517" s="2"/>
      <c r="M517" s="2"/>
      <c r="N517" s="2"/>
      <c r="O517" s="2"/>
      <c r="P517" s="2"/>
      <c r="Q517" s="2"/>
      <c r="R517" s="2"/>
      <c r="S517" s="2"/>
      <c r="T517" s="2"/>
    </row>
    <row r="518" spans="1:20" ht="15.75" customHeight="1">
      <c r="A518" s="1"/>
      <c r="B518" s="2"/>
      <c r="C518" s="2"/>
      <c r="D518" s="2"/>
      <c r="E518" s="2"/>
      <c r="F518" s="2"/>
      <c r="G518" s="2"/>
      <c r="H518" s="2"/>
      <c r="I518" s="2"/>
      <c r="J518" s="2"/>
      <c r="K518" s="2"/>
      <c r="L518" s="2"/>
      <c r="M518" s="2"/>
      <c r="N518" s="2"/>
      <c r="O518" s="2"/>
      <c r="P518" s="2"/>
      <c r="Q518" s="2"/>
      <c r="R518" s="2"/>
      <c r="S518" s="2"/>
      <c r="T518" s="2"/>
    </row>
    <row r="519" spans="1:20" ht="15.75" customHeight="1">
      <c r="A519" s="1"/>
      <c r="B519" s="2"/>
      <c r="C519" s="2"/>
      <c r="D519" s="2"/>
      <c r="E519" s="2"/>
      <c r="F519" s="2"/>
      <c r="G519" s="2"/>
      <c r="H519" s="2"/>
      <c r="I519" s="2"/>
      <c r="J519" s="2"/>
      <c r="K519" s="2"/>
      <c r="L519" s="2"/>
      <c r="M519" s="2"/>
      <c r="N519" s="2"/>
      <c r="O519" s="2"/>
      <c r="P519" s="2"/>
      <c r="Q519" s="2"/>
      <c r="R519" s="2"/>
      <c r="S519" s="2"/>
      <c r="T519" s="2"/>
    </row>
    <row r="520" spans="1:20" ht="15.75" customHeight="1">
      <c r="A520" s="1"/>
      <c r="B520" s="2"/>
      <c r="C520" s="2"/>
      <c r="D520" s="2"/>
      <c r="E520" s="2"/>
      <c r="F520" s="2"/>
      <c r="G520" s="2"/>
      <c r="H520" s="2"/>
      <c r="I520" s="2"/>
      <c r="J520" s="2"/>
      <c r="K520" s="2"/>
      <c r="L520" s="2"/>
      <c r="M520" s="2"/>
      <c r="N520" s="2"/>
      <c r="O520" s="2"/>
      <c r="P520" s="2"/>
      <c r="Q520" s="2"/>
      <c r="R520" s="2"/>
      <c r="S520" s="2"/>
      <c r="T520" s="2"/>
    </row>
    <row r="521" spans="1:20" ht="15.75" customHeight="1">
      <c r="A521" s="1"/>
      <c r="B521" s="2"/>
      <c r="C521" s="2"/>
      <c r="D521" s="2"/>
      <c r="E521" s="2"/>
      <c r="F521" s="2"/>
      <c r="G521" s="2"/>
      <c r="H521" s="2"/>
      <c r="I521" s="2"/>
      <c r="J521" s="2"/>
      <c r="K521" s="2"/>
      <c r="L521" s="2"/>
      <c r="M521" s="2"/>
      <c r="N521" s="2"/>
      <c r="O521" s="2"/>
      <c r="P521" s="2"/>
      <c r="Q521" s="2"/>
      <c r="R521" s="2"/>
      <c r="S521" s="2"/>
      <c r="T521" s="2"/>
    </row>
    <row r="522" spans="1:20" ht="15.75" customHeight="1">
      <c r="A522" s="1"/>
      <c r="B522" s="2"/>
      <c r="C522" s="2"/>
      <c r="D522" s="2"/>
      <c r="E522" s="2"/>
      <c r="F522" s="2"/>
      <c r="G522" s="2"/>
      <c r="H522" s="2"/>
      <c r="I522" s="2"/>
      <c r="J522" s="2"/>
      <c r="K522" s="2"/>
      <c r="L522" s="2"/>
      <c r="M522" s="2"/>
      <c r="N522" s="2"/>
      <c r="O522" s="2"/>
      <c r="P522" s="2"/>
      <c r="Q522" s="2"/>
      <c r="R522" s="2"/>
      <c r="S522" s="2"/>
      <c r="T522" s="2"/>
    </row>
    <row r="523" spans="1:20" ht="15.75" customHeight="1">
      <c r="A523" s="1"/>
      <c r="B523" s="2"/>
      <c r="C523" s="2"/>
      <c r="D523" s="2"/>
      <c r="E523" s="2"/>
      <c r="F523" s="2"/>
      <c r="G523" s="2"/>
      <c r="H523" s="2"/>
      <c r="I523" s="2"/>
      <c r="J523" s="2"/>
      <c r="K523" s="2"/>
      <c r="L523" s="2"/>
      <c r="M523" s="2"/>
      <c r="N523" s="2"/>
      <c r="O523" s="2"/>
      <c r="P523" s="2"/>
      <c r="Q523" s="2"/>
      <c r="R523" s="2"/>
      <c r="S523" s="2"/>
      <c r="T523" s="2"/>
    </row>
    <row r="524" spans="1:20" ht="15.75" customHeight="1">
      <c r="A524" s="1"/>
      <c r="B524" s="2"/>
      <c r="C524" s="2"/>
      <c r="D524" s="2"/>
      <c r="E524" s="2"/>
      <c r="F524" s="2"/>
      <c r="G524" s="2"/>
      <c r="H524" s="2"/>
      <c r="I524" s="2"/>
      <c r="J524" s="2"/>
      <c r="K524" s="2"/>
      <c r="L524" s="2"/>
      <c r="M524" s="2"/>
      <c r="N524" s="2"/>
      <c r="O524" s="2"/>
      <c r="P524" s="2"/>
      <c r="Q524" s="2"/>
      <c r="R524" s="2"/>
      <c r="S524" s="2"/>
      <c r="T524" s="2"/>
    </row>
    <row r="525" spans="1:20" ht="15.75" customHeight="1">
      <c r="A525" s="1"/>
      <c r="B525" s="2"/>
      <c r="C525" s="2"/>
      <c r="D525" s="2"/>
      <c r="E525" s="2"/>
      <c r="F525" s="2"/>
      <c r="G525" s="2"/>
      <c r="H525" s="2"/>
      <c r="I525" s="2"/>
      <c r="J525" s="2"/>
      <c r="K525" s="2"/>
      <c r="L525" s="2"/>
      <c r="M525" s="2"/>
      <c r="N525" s="2"/>
      <c r="O525" s="2"/>
      <c r="P525" s="2"/>
      <c r="Q525" s="2"/>
      <c r="R525" s="2"/>
      <c r="S525" s="2"/>
      <c r="T525" s="2"/>
    </row>
    <row r="526" spans="1:20" ht="15.75" customHeight="1">
      <c r="A526" s="1"/>
      <c r="B526" s="2"/>
      <c r="C526" s="2"/>
      <c r="D526" s="2"/>
      <c r="E526" s="2"/>
      <c r="F526" s="2"/>
      <c r="G526" s="2"/>
      <c r="H526" s="2"/>
      <c r="I526" s="2"/>
      <c r="J526" s="2"/>
      <c r="K526" s="2"/>
      <c r="L526" s="2"/>
      <c r="M526" s="2"/>
      <c r="N526" s="2"/>
      <c r="O526" s="2"/>
      <c r="P526" s="2"/>
      <c r="Q526" s="2"/>
      <c r="R526" s="2"/>
      <c r="S526" s="2"/>
      <c r="T526" s="2"/>
    </row>
    <row r="527" spans="1:20" ht="15.75" customHeight="1">
      <c r="A527" s="1"/>
      <c r="B527" s="2"/>
      <c r="C527" s="2"/>
      <c r="D527" s="2"/>
      <c r="E527" s="2"/>
      <c r="F527" s="2"/>
      <c r="G527" s="2"/>
      <c r="H527" s="2"/>
      <c r="I527" s="2"/>
      <c r="J527" s="2"/>
      <c r="K527" s="2"/>
      <c r="L527" s="2"/>
      <c r="M527" s="2"/>
      <c r="N527" s="2"/>
      <c r="O527" s="2"/>
      <c r="P527" s="2"/>
      <c r="Q527" s="2"/>
      <c r="R527" s="2"/>
      <c r="S527" s="2"/>
      <c r="T527" s="2"/>
    </row>
    <row r="528" spans="1:20" ht="15.75" customHeight="1">
      <c r="A528" s="1"/>
      <c r="B528" s="2"/>
      <c r="C528" s="2"/>
      <c r="D528" s="2"/>
      <c r="E528" s="2"/>
      <c r="F528" s="2"/>
      <c r="G528" s="2"/>
      <c r="H528" s="2"/>
      <c r="I528" s="2"/>
      <c r="J528" s="2"/>
      <c r="K528" s="2"/>
      <c r="L528" s="2"/>
      <c r="M528" s="2"/>
      <c r="N528" s="2"/>
      <c r="O528" s="2"/>
      <c r="P528" s="2"/>
      <c r="Q528" s="2"/>
      <c r="R528" s="2"/>
      <c r="S528" s="2"/>
      <c r="T528" s="2"/>
    </row>
    <row r="529" spans="1:20" ht="15.75" customHeight="1">
      <c r="A529" s="1"/>
      <c r="B529" s="2"/>
      <c r="C529" s="2"/>
      <c r="D529" s="2"/>
      <c r="E529" s="2"/>
      <c r="F529" s="2"/>
      <c r="G529" s="2"/>
      <c r="H529" s="2"/>
      <c r="I529" s="2"/>
      <c r="J529" s="2"/>
      <c r="K529" s="2"/>
      <c r="L529" s="2"/>
      <c r="M529" s="2"/>
      <c r="N529" s="2"/>
      <c r="O529" s="2"/>
      <c r="P529" s="2"/>
      <c r="Q529" s="2"/>
      <c r="R529" s="2"/>
      <c r="S529" s="2"/>
      <c r="T529" s="2"/>
    </row>
    <row r="530" spans="1:20" ht="15.75" customHeight="1">
      <c r="A530" s="1"/>
      <c r="B530" s="2"/>
      <c r="C530" s="2"/>
      <c r="D530" s="2"/>
      <c r="E530" s="2"/>
      <c r="F530" s="2"/>
      <c r="G530" s="2"/>
      <c r="H530" s="2"/>
      <c r="I530" s="2"/>
      <c r="J530" s="2"/>
      <c r="K530" s="2"/>
      <c r="L530" s="2"/>
      <c r="M530" s="2"/>
      <c r="N530" s="2"/>
      <c r="O530" s="2"/>
      <c r="P530" s="2"/>
      <c r="Q530" s="2"/>
      <c r="R530" s="2"/>
      <c r="S530" s="2"/>
      <c r="T530" s="2"/>
    </row>
    <row r="531" spans="1:20" ht="15.75" customHeight="1">
      <c r="A531" s="1"/>
      <c r="B531" s="2"/>
      <c r="C531" s="2"/>
      <c r="D531" s="2"/>
      <c r="E531" s="2"/>
      <c r="F531" s="2"/>
      <c r="G531" s="2"/>
      <c r="H531" s="2"/>
      <c r="I531" s="2"/>
      <c r="J531" s="2"/>
      <c r="K531" s="2"/>
      <c r="L531" s="2"/>
      <c r="M531" s="2"/>
      <c r="N531" s="2"/>
      <c r="O531" s="2"/>
      <c r="P531" s="2"/>
      <c r="Q531" s="2"/>
      <c r="R531" s="2"/>
      <c r="S531" s="2"/>
      <c r="T531" s="2"/>
    </row>
    <row r="532" spans="1:20" ht="15.75" customHeight="1">
      <c r="A532" s="1"/>
      <c r="B532" s="2"/>
      <c r="C532" s="2"/>
      <c r="D532" s="2"/>
      <c r="E532" s="2"/>
      <c r="F532" s="2"/>
      <c r="G532" s="2"/>
      <c r="H532" s="2"/>
      <c r="I532" s="2"/>
      <c r="J532" s="2"/>
      <c r="K532" s="2"/>
      <c r="L532" s="2"/>
      <c r="M532" s="2"/>
      <c r="N532" s="2"/>
      <c r="O532" s="2"/>
      <c r="P532" s="2"/>
      <c r="Q532" s="2"/>
      <c r="R532" s="2"/>
      <c r="S532" s="2"/>
      <c r="T532" s="2"/>
    </row>
    <row r="533" spans="1:20" ht="15.75" customHeight="1">
      <c r="A533" s="1"/>
      <c r="B533" s="2"/>
      <c r="C533" s="2"/>
      <c r="D533" s="2"/>
      <c r="E533" s="2"/>
      <c r="F533" s="2"/>
      <c r="G533" s="2"/>
      <c r="H533" s="2"/>
      <c r="I533" s="2"/>
      <c r="J533" s="2"/>
      <c r="K533" s="2"/>
      <c r="L533" s="2"/>
      <c r="M533" s="2"/>
      <c r="N533" s="2"/>
      <c r="O533" s="2"/>
      <c r="P533" s="2"/>
      <c r="Q533" s="2"/>
      <c r="R533" s="2"/>
      <c r="S533" s="2"/>
      <c r="T533" s="2"/>
    </row>
    <row r="534" spans="1:20" ht="15.75" customHeight="1">
      <c r="A534" s="1"/>
      <c r="B534" s="2"/>
      <c r="C534" s="2"/>
      <c r="D534" s="2"/>
      <c r="E534" s="2"/>
      <c r="F534" s="2"/>
      <c r="G534" s="2"/>
      <c r="H534" s="2"/>
      <c r="I534" s="2"/>
      <c r="J534" s="2"/>
      <c r="K534" s="2"/>
      <c r="L534" s="2"/>
      <c r="M534" s="2"/>
      <c r="N534" s="2"/>
      <c r="O534" s="2"/>
      <c r="P534" s="2"/>
      <c r="Q534" s="2"/>
      <c r="R534" s="2"/>
      <c r="S534" s="2"/>
      <c r="T534" s="2"/>
    </row>
    <row r="535" spans="1:20" ht="15.75" customHeight="1">
      <c r="A535" s="1"/>
      <c r="B535" s="2"/>
      <c r="C535" s="2"/>
      <c r="D535" s="2"/>
      <c r="E535" s="2"/>
      <c r="F535" s="2"/>
      <c r="G535" s="2"/>
      <c r="H535" s="2"/>
      <c r="I535" s="2"/>
      <c r="J535" s="2"/>
      <c r="K535" s="2"/>
      <c r="L535" s="2"/>
      <c r="M535" s="2"/>
      <c r="N535" s="2"/>
      <c r="O535" s="2"/>
      <c r="P535" s="2"/>
      <c r="Q535" s="2"/>
      <c r="R535" s="2"/>
      <c r="S535" s="2"/>
      <c r="T535" s="2"/>
    </row>
    <row r="536" spans="1:20" ht="15.75" customHeight="1">
      <c r="A536" s="1"/>
      <c r="B536" s="2"/>
      <c r="C536" s="2"/>
      <c r="D536" s="2"/>
      <c r="E536" s="2"/>
      <c r="F536" s="2"/>
      <c r="G536" s="2"/>
      <c r="H536" s="2"/>
      <c r="I536" s="2"/>
      <c r="J536" s="2"/>
      <c r="K536" s="2"/>
      <c r="L536" s="2"/>
      <c r="M536" s="2"/>
      <c r="N536" s="2"/>
      <c r="O536" s="2"/>
      <c r="P536" s="2"/>
      <c r="Q536" s="2"/>
      <c r="R536" s="2"/>
      <c r="S536" s="2"/>
      <c r="T536" s="2"/>
    </row>
    <row r="537" spans="1:20" ht="15.75" customHeight="1">
      <c r="A537" s="1"/>
      <c r="B537" s="2"/>
      <c r="C537" s="2"/>
      <c r="D537" s="2"/>
      <c r="E537" s="2"/>
      <c r="F537" s="2"/>
      <c r="G537" s="2"/>
      <c r="H537" s="2"/>
      <c r="I537" s="2"/>
      <c r="J537" s="2"/>
      <c r="K537" s="2"/>
      <c r="L537" s="2"/>
      <c r="M537" s="2"/>
      <c r="N537" s="2"/>
      <c r="O537" s="2"/>
      <c r="P537" s="2"/>
      <c r="Q537" s="2"/>
      <c r="R537" s="2"/>
      <c r="S537" s="2"/>
      <c r="T537" s="2"/>
    </row>
    <row r="538" spans="1:20" ht="15.75" customHeight="1">
      <c r="A538" s="1"/>
      <c r="B538" s="2"/>
      <c r="C538" s="2"/>
      <c r="D538" s="2"/>
      <c r="E538" s="2"/>
      <c r="F538" s="2"/>
      <c r="G538" s="2"/>
      <c r="H538" s="2"/>
      <c r="I538" s="2"/>
      <c r="J538" s="2"/>
      <c r="K538" s="2"/>
      <c r="L538" s="2"/>
      <c r="M538" s="2"/>
      <c r="N538" s="2"/>
      <c r="O538" s="2"/>
      <c r="P538" s="2"/>
      <c r="Q538" s="2"/>
      <c r="R538" s="2"/>
      <c r="S538" s="2"/>
      <c r="T538" s="2"/>
    </row>
    <row r="539" spans="1:20" ht="15.75" customHeight="1">
      <c r="A539" s="1"/>
      <c r="B539" s="2"/>
      <c r="C539" s="2"/>
      <c r="D539" s="2"/>
      <c r="E539" s="2"/>
      <c r="F539" s="2"/>
      <c r="G539" s="2"/>
      <c r="H539" s="2"/>
      <c r="I539" s="2"/>
      <c r="J539" s="2"/>
      <c r="K539" s="2"/>
      <c r="L539" s="2"/>
      <c r="M539" s="2"/>
      <c r="N539" s="2"/>
      <c r="O539" s="2"/>
      <c r="P539" s="2"/>
      <c r="Q539" s="2"/>
      <c r="R539" s="2"/>
      <c r="S539" s="2"/>
      <c r="T539" s="2"/>
    </row>
    <row r="540" spans="1:20" ht="15.75" customHeight="1">
      <c r="A540" s="1"/>
      <c r="B540" s="2"/>
      <c r="C540" s="2"/>
      <c r="D540" s="2"/>
      <c r="E540" s="2"/>
      <c r="F540" s="2"/>
      <c r="G540" s="2"/>
      <c r="H540" s="2"/>
      <c r="I540" s="2"/>
      <c r="J540" s="2"/>
      <c r="K540" s="2"/>
      <c r="L540" s="2"/>
      <c r="M540" s="2"/>
      <c r="N540" s="2"/>
      <c r="O540" s="2"/>
      <c r="P540" s="2"/>
      <c r="Q540" s="2"/>
      <c r="R540" s="2"/>
      <c r="S540" s="2"/>
      <c r="T540" s="2"/>
    </row>
    <row r="541" spans="1:20" ht="15.75" customHeight="1">
      <c r="A541" s="1"/>
      <c r="B541" s="2"/>
      <c r="C541" s="2"/>
      <c r="D541" s="2"/>
      <c r="E541" s="2"/>
      <c r="F541" s="2"/>
      <c r="G541" s="2"/>
      <c r="H541" s="2"/>
      <c r="I541" s="2"/>
      <c r="J541" s="2"/>
      <c r="K541" s="2"/>
      <c r="L541" s="2"/>
      <c r="M541" s="2"/>
      <c r="N541" s="2"/>
      <c r="O541" s="2"/>
      <c r="P541" s="2"/>
      <c r="Q541" s="2"/>
      <c r="R541" s="2"/>
      <c r="S541" s="2"/>
      <c r="T541" s="2"/>
    </row>
    <row r="542" spans="1:20" ht="15.75" customHeight="1">
      <c r="A542" s="1"/>
      <c r="B542" s="2"/>
      <c r="C542" s="2"/>
      <c r="D542" s="2"/>
      <c r="E542" s="2"/>
      <c r="F542" s="2"/>
      <c r="G542" s="2"/>
      <c r="H542" s="2"/>
      <c r="I542" s="2"/>
      <c r="J542" s="2"/>
      <c r="K542" s="2"/>
      <c r="L542" s="2"/>
      <c r="M542" s="2"/>
      <c r="N542" s="2"/>
      <c r="O542" s="2"/>
      <c r="P542" s="2"/>
      <c r="Q542" s="2"/>
      <c r="R542" s="2"/>
      <c r="S542" s="2"/>
      <c r="T542" s="2"/>
    </row>
    <row r="543" spans="1:20" ht="15.75" customHeight="1">
      <c r="A543" s="1"/>
      <c r="B543" s="2"/>
      <c r="C543" s="2"/>
      <c r="D543" s="2"/>
      <c r="E543" s="2"/>
      <c r="F543" s="2"/>
      <c r="G543" s="2"/>
      <c r="H543" s="2"/>
      <c r="I543" s="2"/>
      <c r="J543" s="2"/>
      <c r="K543" s="2"/>
      <c r="L543" s="2"/>
      <c r="M543" s="2"/>
      <c r="N543" s="2"/>
      <c r="O543" s="2"/>
      <c r="P543" s="2"/>
      <c r="Q543" s="2"/>
      <c r="R543" s="2"/>
      <c r="S543" s="2"/>
      <c r="T543" s="2"/>
    </row>
    <row r="544" spans="1:20" ht="15.75" customHeight="1">
      <c r="A544" s="1"/>
      <c r="B544" s="2"/>
      <c r="C544" s="2"/>
      <c r="D544" s="2"/>
      <c r="E544" s="2"/>
      <c r="F544" s="2"/>
      <c r="G544" s="2"/>
      <c r="H544" s="2"/>
      <c r="I544" s="2"/>
      <c r="J544" s="2"/>
      <c r="K544" s="2"/>
      <c r="L544" s="2"/>
      <c r="M544" s="2"/>
      <c r="N544" s="2"/>
      <c r="O544" s="2"/>
      <c r="P544" s="2"/>
      <c r="Q544" s="2"/>
      <c r="R544" s="2"/>
      <c r="S544" s="2"/>
      <c r="T544" s="2"/>
    </row>
    <row r="545" spans="1:20" ht="15.75" customHeight="1">
      <c r="A545" s="1"/>
      <c r="B545" s="2"/>
      <c r="C545" s="2"/>
      <c r="D545" s="2"/>
      <c r="E545" s="2"/>
      <c r="F545" s="2"/>
      <c r="G545" s="2"/>
      <c r="H545" s="2"/>
      <c r="I545" s="2"/>
      <c r="J545" s="2"/>
      <c r="K545" s="2"/>
      <c r="L545" s="2"/>
      <c r="M545" s="2"/>
      <c r="N545" s="2"/>
      <c r="O545" s="2"/>
      <c r="P545" s="2"/>
      <c r="Q545" s="2"/>
      <c r="R545" s="2"/>
      <c r="S545" s="2"/>
      <c r="T545" s="2"/>
    </row>
    <row r="546" spans="1:20" ht="15.75" customHeight="1">
      <c r="A546" s="1"/>
      <c r="B546" s="2"/>
      <c r="C546" s="2"/>
      <c r="D546" s="2"/>
      <c r="E546" s="2"/>
      <c r="F546" s="2"/>
      <c r="G546" s="2"/>
      <c r="H546" s="2"/>
      <c r="I546" s="2"/>
      <c r="J546" s="2"/>
      <c r="K546" s="2"/>
      <c r="L546" s="2"/>
      <c r="M546" s="2"/>
      <c r="N546" s="2"/>
      <c r="O546" s="2"/>
      <c r="P546" s="2"/>
      <c r="Q546" s="2"/>
      <c r="R546" s="2"/>
      <c r="S546" s="2"/>
      <c r="T546" s="2"/>
    </row>
    <row r="547" spans="1:20" ht="15.75" customHeight="1">
      <c r="A547" s="1"/>
      <c r="B547" s="2"/>
      <c r="C547" s="2"/>
      <c r="D547" s="2"/>
      <c r="E547" s="2"/>
      <c r="F547" s="2"/>
      <c r="G547" s="2"/>
      <c r="H547" s="2"/>
      <c r="I547" s="2"/>
      <c r="J547" s="2"/>
      <c r="K547" s="2"/>
      <c r="L547" s="2"/>
      <c r="M547" s="2"/>
      <c r="N547" s="2"/>
      <c r="O547" s="2"/>
      <c r="P547" s="2"/>
      <c r="Q547" s="2"/>
      <c r="R547" s="2"/>
      <c r="S547" s="2"/>
      <c r="T547" s="2"/>
    </row>
    <row r="548" spans="1:20" ht="15.75" customHeight="1">
      <c r="A548" s="1"/>
      <c r="B548" s="2"/>
      <c r="C548" s="2"/>
      <c r="D548" s="2"/>
      <c r="E548" s="2"/>
      <c r="F548" s="2"/>
      <c r="G548" s="2"/>
      <c r="H548" s="2"/>
      <c r="I548" s="2"/>
      <c r="J548" s="2"/>
      <c r="K548" s="2"/>
      <c r="L548" s="2"/>
      <c r="M548" s="2"/>
      <c r="N548" s="2"/>
      <c r="O548" s="2"/>
      <c r="P548" s="2"/>
      <c r="Q548" s="2"/>
      <c r="R548" s="2"/>
      <c r="S548" s="2"/>
      <c r="T548" s="2"/>
    </row>
    <row r="549" spans="1:20" ht="15.75" customHeight="1">
      <c r="A549" s="1"/>
      <c r="B549" s="2"/>
      <c r="C549" s="2"/>
      <c r="D549" s="2"/>
      <c r="E549" s="2"/>
      <c r="F549" s="2"/>
      <c r="G549" s="2"/>
      <c r="H549" s="2"/>
      <c r="I549" s="2"/>
      <c r="J549" s="2"/>
      <c r="K549" s="2"/>
      <c r="L549" s="2"/>
      <c r="M549" s="2"/>
      <c r="N549" s="2"/>
      <c r="O549" s="2"/>
      <c r="P549" s="2"/>
      <c r="Q549" s="2"/>
      <c r="R549" s="2"/>
      <c r="S549" s="2"/>
      <c r="T549" s="2"/>
    </row>
    <row r="550" spans="1:20" ht="15.75" customHeight="1">
      <c r="A550" s="1"/>
      <c r="B550" s="2"/>
      <c r="C550" s="2"/>
      <c r="D550" s="2"/>
      <c r="E550" s="2"/>
      <c r="F550" s="2"/>
      <c r="G550" s="2"/>
      <c r="H550" s="2"/>
      <c r="I550" s="2"/>
      <c r="J550" s="2"/>
      <c r="K550" s="2"/>
      <c r="L550" s="2"/>
      <c r="M550" s="2"/>
      <c r="N550" s="2"/>
      <c r="O550" s="2"/>
      <c r="P550" s="2"/>
      <c r="Q550" s="2"/>
      <c r="R550" s="2"/>
      <c r="S550" s="2"/>
      <c r="T550" s="2"/>
    </row>
    <row r="551" spans="1:20" ht="15.75" customHeight="1">
      <c r="A551" s="1"/>
      <c r="B551" s="2"/>
      <c r="C551" s="2"/>
      <c r="D551" s="2"/>
      <c r="E551" s="2"/>
      <c r="F551" s="2"/>
      <c r="G551" s="2"/>
      <c r="H551" s="2"/>
      <c r="I551" s="2"/>
      <c r="J551" s="2"/>
      <c r="K551" s="2"/>
      <c r="L551" s="2"/>
      <c r="M551" s="2"/>
      <c r="N551" s="2"/>
      <c r="O551" s="2"/>
      <c r="P551" s="2"/>
      <c r="Q551" s="2"/>
      <c r="R551" s="2"/>
      <c r="S551" s="2"/>
      <c r="T551" s="2"/>
    </row>
    <row r="552" spans="1:20" ht="15.75" customHeight="1">
      <c r="A552" s="1"/>
      <c r="B552" s="2"/>
      <c r="C552" s="2"/>
      <c r="D552" s="2"/>
      <c r="E552" s="2"/>
      <c r="F552" s="2"/>
      <c r="G552" s="2"/>
      <c r="H552" s="2"/>
      <c r="I552" s="2"/>
      <c r="J552" s="2"/>
      <c r="K552" s="2"/>
      <c r="L552" s="2"/>
      <c r="M552" s="2"/>
      <c r="N552" s="2"/>
      <c r="O552" s="2"/>
      <c r="P552" s="2"/>
      <c r="Q552" s="2"/>
      <c r="R552" s="2"/>
      <c r="S552" s="2"/>
      <c r="T552" s="2"/>
    </row>
    <row r="553" spans="1:20" ht="15.75" customHeight="1">
      <c r="A553" s="1"/>
      <c r="B553" s="2"/>
      <c r="C553" s="2"/>
      <c r="D553" s="2"/>
      <c r="E553" s="2"/>
      <c r="F553" s="2"/>
      <c r="G553" s="2"/>
      <c r="H553" s="2"/>
      <c r="I553" s="2"/>
      <c r="J553" s="2"/>
      <c r="K553" s="2"/>
      <c r="L553" s="2"/>
      <c r="M553" s="2"/>
      <c r="N553" s="2"/>
      <c r="O553" s="2"/>
      <c r="P553" s="2"/>
      <c r="Q553" s="2"/>
      <c r="R553" s="2"/>
      <c r="S553" s="2"/>
      <c r="T553" s="2"/>
    </row>
    <row r="554" spans="1:20" ht="15.75" customHeight="1">
      <c r="A554" s="1"/>
      <c r="B554" s="2"/>
      <c r="C554" s="2"/>
      <c r="D554" s="2"/>
      <c r="E554" s="2"/>
      <c r="F554" s="2"/>
      <c r="G554" s="2"/>
      <c r="H554" s="2"/>
      <c r="I554" s="2"/>
      <c r="J554" s="2"/>
      <c r="K554" s="2"/>
      <c r="L554" s="2"/>
      <c r="M554" s="2"/>
      <c r="N554" s="2"/>
      <c r="O554" s="2"/>
      <c r="P554" s="2"/>
      <c r="Q554" s="2"/>
      <c r="R554" s="2"/>
      <c r="S554" s="2"/>
      <c r="T554" s="2"/>
    </row>
    <row r="555" spans="1:20" ht="15.75" customHeight="1">
      <c r="A555" s="1"/>
      <c r="B555" s="2"/>
      <c r="C555" s="2"/>
      <c r="D555" s="2"/>
      <c r="E555" s="2"/>
      <c r="F555" s="2"/>
      <c r="G555" s="2"/>
      <c r="H555" s="2"/>
      <c r="I555" s="2"/>
      <c r="J555" s="2"/>
      <c r="K555" s="2"/>
      <c r="L555" s="2"/>
      <c r="M555" s="2"/>
      <c r="N555" s="2"/>
      <c r="O555" s="2"/>
      <c r="P555" s="2"/>
      <c r="Q555" s="2"/>
      <c r="R555" s="2"/>
      <c r="S555" s="2"/>
      <c r="T555" s="2"/>
    </row>
    <row r="556" spans="1:20" ht="15.75" customHeight="1">
      <c r="A556" s="1"/>
      <c r="B556" s="2"/>
      <c r="C556" s="2"/>
      <c r="D556" s="2"/>
      <c r="E556" s="2"/>
      <c r="F556" s="2"/>
      <c r="G556" s="2"/>
      <c r="H556" s="2"/>
      <c r="I556" s="2"/>
      <c r="J556" s="2"/>
      <c r="K556" s="2"/>
      <c r="L556" s="2"/>
      <c r="M556" s="2"/>
      <c r="N556" s="2"/>
      <c r="O556" s="2"/>
      <c r="P556" s="2"/>
      <c r="Q556" s="2"/>
      <c r="R556" s="2"/>
      <c r="S556" s="2"/>
      <c r="T556" s="2"/>
    </row>
    <row r="557" spans="1:20" ht="15.75" customHeight="1">
      <c r="A557" s="1"/>
      <c r="B557" s="2"/>
      <c r="C557" s="2"/>
      <c r="D557" s="2"/>
      <c r="E557" s="2"/>
      <c r="F557" s="2"/>
      <c r="G557" s="2"/>
      <c r="H557" s="2"/>
      <c r="I557" s="2"/>
      <c r="J557" s="2"/>
      <c r="K557" s="2"/>
      <c r="L557" s="2"/>
      <c r="M557" s="2"/>
      <c r="N557" s="2"/>
      <c r="O557" s="2"/>
      <c r="P557" s="2"/>
      <c r="Q557" s="2"/>
      <c r="R557" s="2"/>
      <c r="S557" s="2"/>
      <c r="T557" s="2"/>
    </row>
    <row r="558" spans="1:20" ht="15.75" customHeight="1">
      <c r="A558" s="1"/>
      <c r="B558" s="2"/>
      <c r="C558" s="2"/>
      <c r="D558" s="2"/>
      <c r="E558" s="2"/>
      <c r="F558" s="2"/>
      <c r="G558" s="2"/>
      <c r="H558" s="2"/>
      <c r="I558" s="2"/>
      <c r="J558" s="2"/>
      <c r="K558" s="2"/>
      <c r="L558" s="2"/>
      <c r="M558" s="2"/>
      <c r="N558" s="2"/>
      <c r="O558" s="2"/>
      <c r="P558" s="2"/>
      <c r="Q558" s="2"/>
      <c r="R558" s="2"/>
      <c r="S558" s="2"/>
      <c r="T558" s="2"/>
    </row>
    <row r="559" spans="1:20" ht="15.75" customHeight="1">
      <c r="A559" s="1"/>
      <c r="B559" s="2"/>
      <c r="C559" s="2"/>
      <c r="D559" s="2"/>
      <c r="E559" s="2"/>
      <c r="F559" s="2"/>
      <c r="G559" s="2"/>
      <c r="H559" s="2"/>
      <c r="I559" s="2"/>
      <c r="J559" s="2"/>
      <c r="K559" s="2"/>
      <c r="L559" s="2"/>
      <c r="M559" s="2"/>
      <c r="N559" s="2"/>
      <c r="O559" s="2"/>
      <c r="P559" s="2"/>
      <c r="Q559" s="2"/>
      <c r="R559" s="2"/>
      <c r="S559" s="2"/>
      <c r="T559" s="2"/>
    </row>
    <row r="560" spans="1:20" ht="15.75" customHeight="1">
      <c r="A560" s="1"/>
      <c r="B560" s="2"/>
      <c r="C560" s="2"/>
      <c r="D560" s="2"/>
      <c r="E560" s="2"/>
      <c r="F560" s="2"/>
      <c r="G560" s="2"/>
      <c r="H560" s="2"/>
      <c r="I560" s="2"/>
      <c r="J560" s="2"/>
      <c r="K560" s="2"/>
      <c r="L560" s="2"/>
      <c r="M560" s="2"/>
      <c r="N560" s="2"/>
      <c r="O560" s="2"/>
      <c r="P560" s="2"/>
      <c r="Q560" s="2"/>
      <c r="R560" s="2"/>
      <c r="S560" s="2"/>
      <c r="T560" s="2"/>
    </row>
    <row r="561" spans="1:20" ht="15.75" customHeight="1">
      <c r="A561" s="1"/>
      <c r="B561" s="2"/>
      <c r="C561" s="2"/>
      <c r="D561" s="2"/>
      <c r="E561" s="2"/>
      <c r="F561" s="2"/>
      <c r="G561" s="2"/>
      <c r="H561" s="2"/>
      <c r="I561" s="2"/>
      <c r="J561" s="2"/>
      <c r="K561" s="2"/>
      <c r="L561" s="2"/>
      <c r="M561" s="2"/>
      <c r="N561" s="2"/>
      <c r="O561" s="2"/>
      <c r="P561" s="2"/>
      <c r="Q561" s="2"/>
      <c r="R561" s="2"/>
      <c r="S561" s="2"/>
      <c r="T561" s="2"/>
    </row>
    <row r="562" spans="1:20" ht="15.75" customHeight="1">
      <c r="A562" s="1"/>
      <c r="B562" s="2"/>
      <c r="C562" s="2"/>
      <c r="D562" s="2"/>
      <c r="E562" s="2"/>
      <c r="F562" s="2"/>
      <c r="G562" s="2"/>
      <c r="H562" s="2"/>
      <c r="I562" s="2"/>
      <c r="J562" s="2"/>
      <c r="K562" s="2"/>
      <c r="L562" s="2"/>
      <c r="M562" s="2"/>
      <c r="N562" s="2"/>
      <c r="O562" s="2"/>
      <c r="P562" s="2"/>
      <c r="Q562" s="2"/>
      <c r="R562" s="2"/>
      <c r="S562" s="2"/>
      <c r="T562" s="2"/>
    </row>
    <row r="563" spans="1:20" ht="15.75" customHeight="1">
      <c r="A563" s="1"/>
      <c r="B563" s="2"/>
      <c r="C563" s="2"/>
      <c r="D563" s="2"/>
      <c r="E563" s="2"/>
      <c r="F563" s="2"/>
      <c r="G563" s="2"/>
      <c r="H563" s="2"/>
      <c r="I563" s="2"/>
      <c r="J563" s="2"/>
      <c r="K563" s="2"/>
      <c r="L563" s="2"/>
      <c r="M563" s="2"/>
      <c r="N563" s="2"/>
      <c r="O563" s="2"/>
      <c r="P563" s="2"/>
      <c r="Q563" s="2"/>
      <c r="R563" s="2"/>
      <c r="S563" s="2"/>
      <c r="T563" s="2"/>
    </row>
    <row r="564" spans="1:20" ht="15.75" customHeight="1">
      <c r="A564" s="1"/>
      <c r="B564" s="2"/>
      <c r="C564" s="2"/>
      <c r="D564" s="2"/>
      <c r="E564" s="2"/>
      <c r="F564" s="2"/>
      <c r="G564" s="2"/>
      <c r="H564" s="2"/>
      <c r="I564" s="2"/>
      <c r="J564" s="2"/>
      <c r="K564" s="2"/>
      <c r="L564" s="2"/>
      <c r="M564" s="2"/>
      <c r="N564" s="2"/>
      <c r="O564" s="2"/>
      <c r="P564" s="2"/>
      <c r="Q564" s="2"/>
      <c r="R564" s="2"/>
      <c r="S564" s="2"/>
      <c r="T564" s="2"/>
    </row>
    <row r="565" spans="1:20" ht="15.75" customHeight="1">
      <c r="A565" s="1"/>
      <c r="B565" s="2"/>
      <c r="C565" s="2"/>
      <c r="D565" s="2"/>
      <c r="E565" s="2"/>
      <c r="F565" s="2"/>
      <c r="G565" s="2"/>
      <c r="H565" s="2"/>
      <c r="I565" s="2"/>
      <c r="J565" s="2"/>
      <c r="K565" s="2"/>
      <c r="L565" s="2"/>
      <c r="M565" s="2"/>
      <c r="N565" s="2"/>
      <c r="O565" s="2"/>
      <c r="P565" s="2"/>
      <c r="Q565" s="2"/>
      <c r="R565" s="2"/>
      <c r="S565" s="2"/>
      <c r="T565" s="2"/>
    </row>
    <row r="566" spans="1:20" ht="15.75" customHeight="1">
      <c r="A566" s="1"/>
      <c r="B566" s="2"/>
      <c r="C566" s="2"/>
      <c r="D566" s="2"/>
      <c r="E566" s="2"/>
      <c r="F566" s="2"/>
      <c r="G566" s="2"/>
      <c r="H566" s="2"/>
      <c r="I566" s="2"/>
      <c r="J566" s="2"/>
      <c r="K566" s="2"/>
      <c r="L566" s="2"/>
      <c r="M566" s="2"/>
      <c r="N566" s="2"/>
      <c r="O566" s="2"/>
      <c r="P566" s="2"/>
      <c r="Q566" s="2"/>
      <c r="R566" s="2"/>
      <c r="S566" s="2"/>
      <c r="T566" s="2"/>
    </row>
    <row r="567" spans="1:20" ht="15.75" customHeight="1">
      <c r="A567" s="1"/>
      <c r="B567" s="2"/>
      <c r="C567" s="2"/>
      <c r="D567" s="2"/>
      <c r="E567" s="2"/>
      <c r="F567" s="2"/>
      <c r="G567" s="2"/>
      <c r="H567" s="2"/>
      <c r="I567" s="2"/>
      <c r="J567" s="2"/>
      <c r="K567" s="2"/>
      <c r="L567" s="2"/>
      <c r="M567" s="2"/>
      <c r="N567" s="2"/>
      <c r="O567" s="2"/>
      <c r="P567" s="2"/>
      <c r="Q567" s="2"/>
      <c r="R567" s="2"/>
      <c r="S567" s="2"/>
      <c r="T567" s="2"/>
    </row>
    <row r="568" spans="1:20" ht="15.75" customHeight="1">
      <c r="A568" s="1"/>
      <c r="B568" s="2"/>
      <c r="C568" s="2"/>
      <c r="D568" s="2"/>
      <c r="E568" s="2"/>
      <c r="F568" s="2"/>
      <c r="G568" s="2"/>
      <c r="H568" s="2"/>
      <c r="I568" s="2"/>
      <c r="J568" s="2"/>
      <c r="K568" s="2"/>
      <c r="L568" s="2"/>
      <c r="M568" s="2"/>
      <c r="N568" s="2"/>
      <c r="O568" s="2"/>
      <c r="P568" s="2"/>
      <c r="Q568" s="2"/>
      <c r="R568" s="2"/>
      <c r="S568" s="2"/>
      <c r="T568" s="2"/>
    </row>
    <row r="569" spans="1:20" ht="15.75" customHeight="1">
      <c r="A569" s="1"/>
      <c r="B569" s="2"/>
      <c r="C569" s="2"/>
      <c r="D569" s="2"/>
      <c r="E569" s="2"/>
      <c r="F569" s="2"/>
      <c r="G569" s="2"/>
      <c r="H569" s="2"/>
      <c r="I569" s="2"/>
      <c r="J569" s="2"/>
      <c r="K569" s="2"/>
      <c r="L569" s="2"/>
      <c r="M569" s="2"/>
      <c r="N569" s="2"/>
      <c r="O569" s="2"/>
      <c r="P569" s="2"/>
      <c r="Q569" s="2"/>
      <c r="R569" s="2"/>
      <c r="S569" s="2"/>
      <c r="T569" s="2"/>
    </row>
    <row r="570" spans="1:20" ht="15.75" customHeight="1">
      <c r="A570" s="1"/>
      <c r="B570" s="2"/>
      <c r="C570" s="2"/>
      <c r="D570" s="2"/>
      <c r="E570" s="2"/>
      <c r="F570" s="2"/>
      <c r="G570" s="2"/>
      <c r="H570" s="2"/>
      <c r="I570" s="2"/>
      <c r="J570" s="2"/>
      <c r="K570" s="2"/>
      <c r="L570" s="2"/>
      <c r="M570" s="2"/>
      <c r="N570" s="2"/>
      <c r="O570" s="2"/>
      <c r="P570" s="2"/>
      <c r="Q570" s="2"/>
      <c r="R570" s="2"/>
      <c r="S570" s="2"/>
      <c r="T570" s="2"/>
    </row>
    <row r="571" spans="1:20" ht="15.75" customHeight="1">
      <c r="A571" s="1"/>
      <c r="B571" s="2"/>
      <c r="C571" s="2"/>
      <c r="D571" s="2"/>
      <c r="E571" s="2"/>
      <c r="F571" s="2"/>
      <c r="G571" s="2"/>
      <c r="H571" s="2"/>
      <c r="I571" s="2"/>
      <c r="J571" s="2"/>
      <c r="K571" s="2"/>
      <c r="L571" s="2"/>
      <c r="M571" s="2"/>
      <c r="N571" s="2"/>
      <c r="O571" s="2"/>
      <c r="P571" s="2"/>
      <c r="Q571" s="2"/>
      <c r="R571" s="2"/>
      <c r="S571" s="2"/>
      <c r="T571" s="2"/>
    </row>
    <row r="572" spans="1:20" ht="15.75" customHeight="1">
      <c r="A572" s="1"/>
      <c r="B572" s="2"/>
      <c r="C572" s="2"/>
      <c r="D572" s="2"/>
      <c r="E572" s="2"/>
      <c r="F572" s="2"/>
      <c r="G572" s="2"/>
      <c r="H572" s="2"/>
      <c r="I572" s="2"/>
      <c r="J572" s="2"/>
      <c r="K572" s="2"/>
      <c r="L572" s="2"/>
      <c r="M572" s="2"/>
      <c r="N572" s="2"/>
      <c r="O572" s="2"/>
      <c r="P572" s="2"/>
      <c r="Q572" s="2"/>
      <c r="R572" s="2"/>
      <c r="S572" s="2"/>
      <c r="T572" s="2"/>
    </row>
    <row r="573" spans="1:20" ht="15.75" customHeight="1">
      <c r="A573" s="1"/>
      <c r="B573" s="2"/>
      <c r="C573" s="2"/>
      <c r="D573" s="2"/>
      <c r="E573" s="2"/>
      <c r="F573" s="2"/>
      <c r="G573" s="2"/>
      <c r="H573" s="2"/>
      <c r="I573" s="2"/>
      <c r="J573" s="2"/>
      <c r="K573" s="2"/>
      <c r="L573" s="2"/>
      <c r="M573" s="2"/>
      <c r="N573" s="2"/>
      <c r="O573" s="2"/>
      <c r="P573" s="2"/>
      <c r="Q573" s="2"/>
      <c r="R573" s="2"/>
      <c r="S573" s="2"/>
      <c r="T573" s="2"/>
    </row>
    <row r="574" spans="1:20" ht="15.75" customHeight="1">
      <c r="A574" s="1"/>
      <c r="B574" s="2"/>
      <c r="C574" s="2"/>
      <c r="D574" s="2"/>
      <c r="E574" s="2"/>
      <c r="F574" s="2"/>
      <c r="G574" s="2"/>
      <c r="H574" s="2"/>
      <c r="I574" s="2"/>
      <c r="J574" s="2"/>
      <c r="K574" s="2"/>
      <c r="L574" s="2"/>
      <c r="M574" s="2"/>
      <c r="N574" s="2"/>
      <c r="O574" s="2"/>
      <c r="P574" s="2"/>
      <c r="Q574" s="2"/>
      <c r="R574" s="2"/>
      <c r="S574" s="2"/>
      <c r="T574" s="2"/>
    </row>
    <row r="575" spans="1:20" ht="15.75" customHeight="1">
      <c r="A575" s="1"/>
      <c r="B575" s="2"/>
      <c r="C575" s="2"/>
      <c r="D575" s="2"/>
      <c r="E575" s="2"/>
      <c r="F575" s="2"/>
      <c r="G575" s="2"/>
      <c r="H575" s="2"/>
      <c r="I575" s="2"/>
      <c r="J575" s="2"/>
      <c r="K575" s="2"/>
      <c r="L575" s="2"/>
      <c r="M575" s="2"/>
      <c r="N575" s="2"/>
      <c r="O575" s="2"/>
      <c r="P575" s="2"/>
      <c r="Q575" s="2"/>
      <c r="R575" s="2"/>
      <c r="S575" s="2"/>
      <c r="T575" s="2"/>
    </row>
    <row r="576" spans="1:20" ht="15.75" customHeight="1">
      <c r="A576" s="1"/>
      <c r="B576" s="2"/>
      <c r="C576" s="2"/>
      <c r="D576" s="2"/>
      <c r="E576" s="2"/>
      <c r="F576" s="2"/>
      <c r="G576" s="2"/>
      <c r="H576" s="2"/>
      <c r="I576" s="2"/>
      <c r="J576" s="2"/>
      <c r="K576" s="2"/>
      <c r="L576" s="2"/>
      <c r="M576" s="2"/>
      <c r="N576" s="2"/>
      <c r="O576" s="2"/>
      <c r="P576" s="2"/>
      <c r="Q576" s="2"/>
      <c r="R576" s="2"/>
      <c r="S576" s="2"/>
      <c r="T576" s="2"/>
    </row>
    <row r="577" spans="1:20" ht="15.75" customHeight="1">
      <c r="A577" s="1"/>
      <c r="B577" s="2"/>
      <c r="C577" s="2"/>
      <c r="D577" s="2"/>
      <c r="E577" s="2"/>
      <c r="F577" s="2"/>
      <c r="G577" s="2"/>
      <c r="H577" s="2"/>
      <c r="I577" s="2"/>
      <c r="J577" s="2"/>
      <c r="K577" s="2"/>
      <c r="L577" s="2"/>
      <c r="M577" s="2"/>
      <c r="N577" s="2"/>
      <c r="O577" s="2"/>
      <c r="P577" s="2"/>
      <c r="Q577" s="2"/>
      <c r="R577" s="2"/>
      <c r="S577" s="2"/>
      <c r="T577" s="2"/>
    </row>
    <row r="578" spans="1:20" ht="15.75" customHeight="1">
      <c r="A578" s="1"/>
      <c r="B578" s="2"/>
      <c r="C578" s="2"/>
      <c r="D578" s="2"/>
      <c r="E578" s="2"/>
      <c r="F578" s="2"/>
      <c r="G578" s="2"/>
      <c r="H578" s="2"/>
      <c r="I578" s="2"/>
      <c r="J578" s="2"/>
      <c r="K578" s="2"/>
      <c r="L578" s="2"/>
      <c r="M578" s="2"/>
      <c r="N578" s="2"/>
      <c r="O578" s="2"/>
      <c r="P578" s="2"/>
      <c r="Q578" s="2"/>
      <c r="R578" s="2"/>
      <c r="S578" s="2"/>
      <c r="T578" s="2"/>
    </row>
    <row r="579" spans="1:20" ht="15.75" customHeight="1">
      <c r="A579" s="1"/>
      <c r="B579" s="2"/>
      <c r="C579" s="2"/>
      <c r="D579" s="2"/>
      <c r="E579" s="2"/>
      <c r="F579" s="2"/>
      <c r="G579" s="2"/>
      <c r="H579" s="2"/>
      <c r="I579" s="2"/>
      <c r="J579" s="2"/>
      <c r="K579" s="2"/>
      <c r="L579" s="2"/>
      <c r="M579" s="2"/>
      <c r="N579" s="2"/>
      <c r="O579" s="2"/>
      <c r="P579" s="2"/>
      <c r="Q579" s="2"/>
      <c r="R579" s="2"/>
      <c r="S579" s="2"/>
      <c r="T579" s="2"/>
    </row>
    <row r="580" spans="1:20" ht="15.75" customHeight="1">
      <c r="A580" s="1"/>
      <c r="B580" s="2"/>
      <c r="C580" s="2"/>
      <c r="D580" s="2"/>
      <c r="E580" s="2"/>
      <c r="F580" s="2"/>
      <c r="G580" s="2"/>
      <c r="H580" s="2"/>
      <c r="I580" s="2"/>
      <c r="J580" s="2"/>
      <c r="K580" s="2"/>
      <c r="L580" s="2"/>
      <c r="M580" s="2"/>
      <c r="N580" s="2"/>
      <c r="O580" s="2"/>
      <c r="P580" s="2"/>
      <c r="Q580" s="2"/>
      <c r="R580" s="2"/>
      <c r="S580" s="2"/>
      <c r="T580" s="2"/>
    </row>
    <row r="581" spans="1:20" ht="15.75" customHeight="1">
      <c r="A581" s="1"/>
      <c r="B581" s="2"/>
      <c r="C581" s="2"/>
      <c r="D581" s="2"/>
      <c r="E581" s="2"/>
      <c r="F581" s="2"/>
      <c r="G581" s="2"/>
      <c r="H581" s="2"/>
      <c r="I581" s="2"/>
      <c r="J581" s="2"/>
      <c r="K581" s="2"/>
      <c r="L581" s="2"/>
      <c r="M581" s="2"/>
      <c r="N581" s="2"/>
      <c r="O581" s="2"/>
      <c r="P581" s="2"/>
      <c r="Q581" s="2"/>
      <c r="R581" s="2"/>
      <c r="S581" s="2"/>
      <c r="T581" s="2"/>
    </row>
    <row r="582" spans="1:20" ht="15.75" customHeight="1">
      <c r="A582" s="1"/>
      <c r="B582" s="2"/>
      <c r="C582" s="2"/>
      <c r="D582" s="2"/>
      <c r="E582" s="2"/>
      <c r="F582" s="2"/>
      <c r="G582" s="2"/>
      <c r="H582" s="2"/>
      <c r="I582" s="2"/>
      <c r="J582" s="2"/>
      <c r="K582" s="2"/>
      <c r="L582" s="2"/>
      <c r="M582" s="2"/>
      <c r="N582" s="2"/>
      <c r="O582" s="2"/>
      <c r="P582" s="2"/>
      <c r="Q582" s="2"/>
      <c r="R582" s="2"/>
      <c r="S582" s="2"/>
      <c r="T582" s="2"/>
    </row>
    <row r="583" spans="1:20" ht="15.75" customHeight="1">
      <c r="A583" s="1"/>
      <c r="B583" s="2"/>
      <c r="C583" s="2"/>
      <c r="D583" s="2"/>
      <c r="E583" s="2"/>
      <c r="F583" s="2"/>
      <c r="G583" s="2"/>
      <c r="H583" s="2"/>
      <c r="I583" s="2"/>
      <c r="J583" s="2"/>
      <c r="K583" s="2"/>
      <c r="L583" s="2"/>
      <c r="M583" s="2"/>
      <c r="N583" s="2"/>
      <c r="O583" s="2"/>
      <c r="P583" s="2"/>
      <c r="Q583" s="2"/>
      <c r="R583" s="2"/>
      <c r="S583" s="2"/>
      <c r="T583" s="2"/>
    </row>
    <row r="584" spans="1:20" ht="15.75" customHeight="1">
      <c r="A584" s="1"/>
      <c r="B584" s="2"/>
      <c r="C584" s="2"/>
      <c r="D584" s="2"/>
      <c r="E584" s="2"/>
      <c r="F584" s="2"/>
      <c r="G584" s="2"/>
      <c r="H584" s="2"/>
      <c r="I584" s="2"/>
      <c r="J584" s="2"/>
      <c r="K584" s="2"/>
      <c r="L584" s="2"/>
      <c r="M584" s="2"/>
      <c r="N584" s="2"/>
      <c r="O584" s="2"/>
      <c r="P584" s="2"/>
      <c r="Q584" s="2"/>
      <c r="R584" s="2"/>
      <c r="S584" s="2"/>
      <c r="T584" s="2"/>
    </row>
    <row r="585" spans="1:20" ht="15.75" customHeight="1">
      <c r="A585" s="1"/>
      <c r="B585" s="2"/>
      <c r="C585" s="2"/>
      <c r="D585" s="2"/>
      <c r="E585" s="2"/>
      <c r="F585" s="2"/>
      <c r="G585" s="2"/>
      <c r="H585" s="2"/>
      <c r="I585" s="2"/>
      <c r="J585" s="2"/>
      <c r="K585" s="2"/>
      <c r="L585" s="2"/>
      <c r="M585" s="2"/>
      <c r="N585" s="2"/>
      <c r="O585" s="2"/>
      <c r="P585" s="2"/>
      <c r="Q585" s="2"/>
      <c r="R585" s="2"/>
      <c r="S585" s="2"/>
      <c r="T585" s="2"/>
    </row>
    <row r="586" spans="1:20" ht="15.75" customHeight="1">
      <c r="A586" s="1"/>
      <c r="B586" s="2"/>
      <c r="C586" s="2"/>
      <c r="D586" s="2"/>
      <c r="E586" s="2"/>
      <c r="F586" s="2"/>
      <c r="G586" s="2"/>
      <c r="H586" s="2"/>
      <c r="I586" s="2"/>
      <c r="J586" s="2"/>
      <c r="K586" s="2"/>
      <c r="L586" s="2"/>
      <c r="M586" s="2"/>
      <c r="N586" s="2"/>
      <c r="O586" s="2"/>
      <c r="P586" s="2"/>
      <c r="Q586" s="2"/>
      <c r="R586" s="2"/>
      <c r="S586" s="2"/>
      <c r="T586" s="2"/>
    </row>
    <row r="587" spans="1:20" ht="15.75" customHeight="1">
      <c r="A587" s="1"/>
      <c r="B587" s="2"/>
      <c r="C587" s="2"/>
      <c r="D587" s="2"/>
      <c r="E587" s="2"/>
      <c r="F587" s="2"/>
      <c r="G587" s="2"/>
      <c r="H587" s="2"/>
      <c r="I587" s="2"/>
      <c r="J587" s="2"/>
      <c r="K587" s="2"/>
      <c r="L587" s="2"/>
      <c r="M587" s="2"/>
      <c r="N587" s="2"/>
      <c r="O587" s="2"/>
      <c r="P587" s="2"/>
      <c r="Q587" s="2"/>
      <c r="R587" s="2"/>
      <c r="S587" s="2"/>
      <c r="T587" s="2"/>
    </row>
    <row r="588" spans="1:20" ht="15.75" customHeight="1">
      <c r="A588" s="1"/>
      <c r="B588" s="2"/>
      <c r="C588" s="2"/>
      <c r="D588" s="2"/>
      <c r="E588" s="2"/>
      <c r="F588" s="2"/>
      <c r="G588" s="2"/>
      <c r="H588" s="2"/>
      <c r="I588" s="2"/>
      <c r="J588" s="2"/>
      <c r="K588" s="2"/>
      <c r="L588" s="2"/>
      <c r="M588" s="2"/>
      <c r="N588" s="2"/>
      <c r="O588" s="2"/>
      <c r="P588" s="2"/>
      <c r="Q588" s="2"/>
      <c r="R588" s="2"/>
      <c r="S588" s="2"/>
      <c r="T588" s="2"/>
    </row>
    <row r="589" spans="1:20" ht="15.75" customHeight="1">
      <c r="A589" s="1"/>
      <c r="B589" s="2"/>
      <c r="C589" s="2"/>
      <c r="D589" s="2"/>
      <c r="E589" s="2"/>
      <c r="F589" s="2"/>
      <c r="G589" s="2"/>
      <c r="H589" s="2"/>
      <c r="I589" s="2"/>
      <c r="J589" s="2"/>
      <c r="K589" s="2"/>
      <c r="L589" s="2"/>
      <c r="M589" s="2"/>
      <c r="N589" s="2"/>
      <c r="O589" s="2"/>
      <c r="P589" s="2"/>
      <c r="Q589" s="2"/>
      <c r="R589" s="2"/>
      <c r="S589" s="2"/>
      <c r="T589" s="2"/>
    </row>
    <row r="590" spans="1:20" ht="15.75" customHeight="1">
      <c r="A590" s="1"/>
      <c r="B590" s="2"/>
      <c r="C590" s="2"/>
      <c r="D590" s="2"/>
      <c r="E590" s="2"/>
      <c r="F590" s="2"/>
      <c r="G590" s="2"/>
      <c r="H590" s="2"/>
      <c r="I590" s="2"/>
      <c r="J590" s="2"/>
      <c r="K590" s="2"/>
      <c r="L590" s="2"/>
      <c r="M590" s="2"/>
      <c r="N590" s="2"/>
      <c r="O590" s="2"/>
      <c r="P590" s="2"/>
      <c r="Q590" s="2"/>
      <c r="R590" s="2"/>
      <c r="S590" s="2"/>
      <c r="T590" s="2"/>
    </row>
    <row r="591" spans="1:20" ht="15.75" customHeight="1">
      <c r="A591" s="1"/>
      <c r="B591" s="2"/>
      <c r="C591" s="2"/>
      <c r="D591" s="2"/>
      <c r="E591" s="2"/>
      <c r="F591" s="2"/>
      <c r="G591" s="2"/>
      <c r="H591" s="2"/>
      <c r="I591" s="2"/>
      <c r="J591" s="2"/>
      <c r="K591" s="2"/>
      <c r="L591" s="2"/>
      <c r="M591" s="2"/>
      <c r="N591" s="2"/>
      <c r="O591" s="2"/>
      <c r="P591" s="2"/>
      <c r="Q591" s="2"/>
      <c r="R591" s="2"/>
      <c r="S591" s="2"/>
      <c r="T591" s="2"/>
    </row>
    <row r="592" spans="1:20" ht="15.75" customHeight="1">
      <c r="A592" s="1"/>
      <c r="B592" s="2"/>
      <c r="C592" s="2"/>
      <c r="D592" s="2"/>
      <c r="E592" s="2"/>
      <c r="F592" s="2"/>
      <c r="G592" s="2"/>
      <c r="H592" s="2"/>
      <c r="I592" s="2"/>
      <c r="J592" s="2"/>
      <c r="K592" s="2"/>
      <c r="L592" s="2"/>
      <c r="M592" s="2"/>
      <c r="N592" s="2"/>
      <c r="O592" s="2"/>
      <c r="P592" s="2"/>
      <c r="Q592" s="2"/>
      <c r="R592" s="2"/>
      <c r="S592" s="2"/>
      <c r="T592" s="2"/>
    </row>
    <row r="593" spans="1:20" ht="15.75" customHeight="1">
      <c r="A593" s="1"/>
      <c r="B593" s="2"/>
      <c r="C593" s="2"/>
      <c r="D593" s="2"/>
      <c r="E593" s="2"/>
      <c r="F593" s="2"/>
      <c r="G593" s="2"/>
      <c r="H593" s="2"/>
      <c r="I593" s="2"/>
      <c r="J593" s="2"/>
      <c r="K593" s="2"/>
      <c r="L593" s="2"/>
      <c r="M593" s="2"/>
      <c r="N593" s="2"/>
      <c r="O593" s="2"/>
      <c r="P593" s="2"/>
      <c r="Q593" s="2"/>
      <c r="R593" s="2"/>
      <c r="S593" s="2"/>
      <c r="T593" s="2"/>
    </row>
    <row r="594" spans="1:20" ht="15.75" customHeight="1">
      <c r="A594" s="1"/>
      <c r="B594" s="2"/>
      <c r="C594" s="2"/>
      <c r="D594" s="2"/>
      <c r="E594" s="2"/>
      <c r="F594" s="2"/>
      <c r="G594" s="2"/>
      <c r="H594" s="2"/>
      <c r="I594" s="2"/>
      <c r="J594" s="2"/>
      <c r="K594" s="2"/>
      <c r="L594" s="2"/>
      <c r="M594" s="2"/>
      <c r="N594" s="2"/>
      <c r="O594" s="2"/>
      <c r="P594" s="2"/>
      <c r="Q594" s="2"/>
      <c r="R594" s="2"/>
      <c r="S594" s="2"/>
      <c r="T594" s="2"/>
    </row>
    <row r="595" spans="1:20" ht="15.75" customHeight="1">
      <c r="A595" s="1"/>
      <c r="B595" s="2"/>
      <c r="C595" s="2"/>
      <c r="D595" s="2"/>
      <c r="E595" s="2"/>
      <c r="F595" s="2"/>
      <c r="G595" s="2"/>
      <c r="H595" s="2"/>
      <c r="I595" s="2"/>
      <c r="J595" s="2"/>
      <c r="K595" s="2"/>
      <c r="L595" s="2"/>
      <c r="M595" s="2"/>
      <c r="N595" s="2"/>
      <c r="O595" s="2"/>
      <c r="P595" s="2"/>
      <c r="Q595" s="2"/>
      <c r="R595" s="2"/>
      <c r="S595" s="2"/>
      <c r="T595" s="2"/>
    </row>
    <row r="596" spans="1:20" ht="15.75" customHeight="1">
      <c r="A596" s="1"/>
      <c r="B596" s="2"/>
      <c r="C596" s="2"/>
      <c r="D596" s="2"/>
      <c r="E596" s="2"/>
      <c r="F596" s="2"/>
      <c r="G596" s="2"/>
      <c r="H596" s="2"/>
      <c r="I596" s="2"/>
      <c r="J596" s="2"/>
      <c r="K596" s="2"/>
      <c r="L596" s="2"/>
      <c r="M596" s="2"/>
      <c r="N596" s="2"/>
      <c r="O596" s="2"/>
      <c r="P596" s="2"/>
      <c r="Q596" s="2"/>
      <c r="R596" s="2"/>
      <c r="S596" s="2"/>
      <c r="T596" s="2"/>
    </row>
    <row r="597" spans="1:20" ht="15.75" customHeight="1">
      <c r="A597" s="1"/>
      <c r="B597" s="2"/>
      <c r="C597" s="2"/>
      <c r="D597" s="2"/>
      <c r="E597" s="2"/>
      <c r="F597" s="2"/>
      <c r="G597" s="2"/>
      <c r="H597" s="2"/>
      <c r="I597" s="2"/>
      <c r="J597" s="2"/>
      <c r="K597" s="2"/>
      <c r="L597" s="2"/>
      <c r="M597" s="2"/>
      <c r="N597" s="2"/>
      <c r="O597" s="2"/>
      <c r="P597" s="2"/>
      <c r="Q597" s="2"/>
      <c r="R597" s="2"/>
      <c r="S597" s="2"/>
      <c r="T597" s="2"/>
    </row>
    <row r="598" spans="1:20" ht="15.75" customHeight="1">
      <c r="A598" s="1"/>
      <c r="B598" s="2"/>
      <c r="C598" s="2"/>
      <c r="D598" s="2"/>
      <c r="E598" s="2"/>
      <c r="F598" s="2"/>
      <c r="G598" s="2"/>
      <c r="H598" s="2"/>
      <c r="I598" s="2"/>
      <c r="J598" s="2"/>
      <c r="K598" s="2"/>
      <c r="L598" s="2"/>
      <c r="M598" s="2"/>
      <c r="N598" s="2"/>
      <c r="O598" s="2"/>
      <c r="P598" s="2"/>
      <c r="Q598" s="2"/>
      <c r="R598" s="2"/>
      <c r="S598" s="2"/>
      <c r="T598" s="2"/>
    </row>
    <row r="599" spans="1:20" ht="15.75" customHeight="1">
      <c r="A599" s="1"/>
      <c r="B599" s="2"/>
      <c r="C599" s="2"/>
      <c r="D599" s="2"/>
      <c r="E599" s="2"/>
      <c r="F599" s="2"/>
      <c r="G599" s="2"/>
      <c r="H599" s="2"/>
      <c r="I599" s="2"/>
      <c r="J599" s="2"/>
      <c r="K599" s="2"/>
      <c r="L599" s="2"/>
      <c r="M599" s="2"/>
      <c r="N599" s="2"/>
      <c r="O599" s="2"/>
      <c r="P599" s="2"/>
      <c r="Q599" s="2"/>
      <c r="R599" s="2"/>
      <c r="S599" s="2"/>
      <c r="T599" s="2"/>
    </row>
    <row r="600" spans="1:20" ht="15.75" customHeight="1">
      <c r="A600" s="1"/>
      <c r="B600" s="2"/>
      <c r="C600" s="2"/>
      <c r="D600" s="2"/>
      <c r="E600" s="2"/>
      <c r="F600" s="2"/>
      <c r="G600" s="2"/>
      <c r="H600" s="2"/>
      <c r="I600" s="2"/>
      <c r="J600" s="2"/>
      <c r="K600" s="2"/>
      <c r="L600" s="2"/>
      <c r="M600" s="2"/>
      <c r="N600" s="2"/>
      <c r="O600" s="2"/>
      <c r="P600" s="2"/>
      <c r="Q600" s="2"/>
      <c r="R600" s="2"/>
      <c r="S600" s="2"/>
      <c r="T600" s="2"/>
    </row>
    <row r="601" spans="1:20" ht="15.75" customHeight="1">
      <c r="A601" s="1"/>
      <c r="B601" s="2"/>
      <c r="C601" s="2"/>
      <c r="D601" s="2"/>
      <c r="E601" s="2"/>
      <c r="F601" s="2"/>
      <c r="G601" s="2"/>
      <c r="H601" s="2"/>
      <c r="I601" s="2"/>
      <c r="J601" s="2"/>
      <c r="K601" s="2"/>
      <c r="L601" s="2"/>
      <c r="M601" s="2"/>
      <c r="N601" s="2"/>
      <c r="O601" s="2"/>
      <c r="P601" s="2"/>
      <c r="Q601" s="2"/>
      <c r="R601" s="2"/>
      <c r="S601" s="2"/>
      <c r="T601" s="2"/>
    </row>
    <row r="602" spans="1:20" ht="15.75" customHeight="1">
      <c r="A602" s="1"/>
      <c r="B602" s="2"/>
      <c r="C602" s="2"/>
      <c r="D602" s="2"/>
      <c r="E602" s="2"/>
      <c r="F602" s="2"/>
      <c r="G602" s="2"/>
      <c r="H602" s="2"/>
      <c r="I602" s="2"/>
      <c r="J602" s="2"/>
      <c r="K602" s="2"/>
      <c r="L602" s="2"/>
      <c r="M602" s="2"/>
      <c r="N602" s="2"/>
      <c r="O602" s="2"/>
      <c r="P602" s="2"/>
      <c r="Q602" s="2"/>
      <c r="R602" s="2"/>
      <c r="S602" s="2"/>
      <c r="T602" s="2"/>
    </row>
    <row r="603" spans="1:20" ht="15.75" customHeight="1">
      <c r="A603" s="1"/>
      <c r="B603" s="2"/>
      <c r="C603" s="2"/>
      <c r="D603" s="2"/>
      <c r="E603" s="2"/>
      <c r="F603" s="2"/>
      <c r="G603" s="2"/>
      <c r="H603" s="2"/>
      <c r="I603" s="2"/>
      <c r="J603" s="2"/>
      <c r="K603" s="2"/>
      <c r="L603" s="2"/>
      <c r="M603" s="2"/>
      <c r="N603" s="2"/>
      <c r="O603" s="2"/>
      <c r="P603" s="2"/>
      <c r="Q603" s="2"/>
      <c r="R603" s="2"/>
      <c r="S603" s="2"/>
      <c r="T603" s="2"/>
    </row>
    <row r="604" spans="1:20" ht="15.75" customHeight="1">
      <c r="A604" s="1"/>
      <c r="B604" s="2"/>
      <c r="C604" s="2"/>
      <c r="D604" s="2"/>
      <c r="E604" s="2"/>
      <c r="F604" s="2"/>
      <c r="G604" s="2"/>
      <c r="H604" s="2"/>
      <c r="I604" s="2"/>
      <c r="J604" s="2"/>
      <c r="K604" s="2"/>
      <c r="L604" s="2"/>
      <c r="M604" s="2"/>
      <c r="N604" s="2"/>
      <c r="O604" s="2"/>
      <c r="P604" s="2"/>
      <c r="Q604" s="2"/>
      <c r="R604" s="2"/>
      <c r="S604" s="2"/>
      <c r="T604" s="2"/>
    </row>
    <row r="605" spans="1:20" ht="15.75" customHeight="1">
      <c r="A605" s="1"/>
      <c r="B605" s="2"/>
      <c r="C605" s="2"/>
      <c r="D605" s="2"/>
      <c r="E605" s="2"/>
      <c r="F605" s="2"/>
      <c r="G605" s="2"/>
      <c r="H605" s="2"/>
      <c r="I605" s="2"/>
      <c r="J605" s="2"/>
      <c r="K605" s="2"/>
      <c r="L605" s="2"/>
      <c r="M605" s="2"/>
      <c r="N605" s="2"/>
      <c r="O605" s="2"/>
      <c r="P605" s="2"/>
      <c r="Q605" s="2"/>
      <c r="R605" s="2"/>
      <c r="S605" s="2"/>
      <c r="T605" s="2"/>
    </row>
    <row r="606" spans="1:20" ht="15.75" customHeight="1">
      <c r="A606" s="1"/>
      <c r="B606" s="2"/>
      <c r="C606" s="2"/>
      <c r="D606" s="2"/>
      <c r="E606" s="2"/>
      <c r="F606" s="2"/>
      <c r="G606" s="2"/>
      <c r="H606" s="2"/>
      <c r="I606" s="2"/>
      <c r="J606" s="2"/>
      <c r="K606" s="2"/>
      <c r="L606" s="2"/>
      <c r="M606" s="2"/>
      <c r="N606" s="2"/>
      <c r="O606" s="2"/>
      <c r="P606" s="2"/>
      <c r="Q606" s="2"/>
      <c r="R606" s="2"/>
      <c r="S606" s="2"/>
      <c r="T606" s="2"/>
    </row>
    <row r="607" spans="1:20" ht="15.75" customHeight="1">
      <c r="A607" s="1"/>
      <c r="B607" s="2"/>
      <c r="C607" s="2"/>
      <c r="D607" s="2"/>
      <c r="E607" s="2"/>
      <c r="F607" s="2"/>
      <c r="G607" s="2"/>
      <c r="H607" s="2"/>
      <c r="I607" s="2"/>
      <c r="J607" s="2"/>
      <c r="K607" s="2"/>
      <c r="L607" s="2"/>
      <c r="M607" s="2"/>
      <c r="N607" s="2"/>
      <c r="O607" s="2"/>
      <c r="P607" s="2"/>
      <c r="Q607" s="2"/>
      <c r="R607" s="2"/>
      <c r="S607" s="2"/>
      <c r="T607" s="2"/>
    </row>
    <row r="608" spans="1:20" ht="15.75" customHeight="1">
      <c r="A608" s="1"/>
      <c r="B608" s="2"/>
      <c r="C608" s="2"/>
      <c r="D608" s="2"/>
      <c r="E608" s="2"/>
      <c r="F608" s="2"/>
      <c r="G608" s="2"/>
      <c r="H608" s="2"/>
      <c r="I608" s="2"/>
      <c r="J608" s="2"/>
      <c r="K608" s="2"/>
      <c r="L608" s="2"/>
      <c r="M608" s="2"/>
      <c r="N608" s="2"/>
      <c r="O608" s="2"/>
      <c r="P608" s="2"/>
      <c r="Q608" s="2"/>
      <c r="R608" s="2"/>
      <c r="S608" s="2"/>
      <c r="T608" s="2"/>
    </row>
    <row r="609" spans="1:20" ht="15.75" customHeight="1">
      <c r="A609" s="1"/>
      <c r="B609" s="2"/>
      <c r="C609" s="2"/>
      <c r="D609" s="2"/>
      <c r="E609" s="2"/>
      <c r="F609" s="2"/>
      <c r="G609" s="2"/>
      <c r="H609" s="2"/>
      <c r="I609" s="2"/>
      <c r="J609" s="2"/>
      <c r="K609" s="2"/>
      <c r="L609" s="2"/>
      <c r="M609" s="2"/>
      <c r="N609" s="2"/>
      <c r="O609" s="2"/>
      <c r="P609" s="2"/>
      <c r="Q609" s="2"/>
      <c r="R609" s="2"/>
      <c r="S609" s="2"/>
      <c r="T609" s="2"/>
    </row>
    <row r="610" spans="1:20" ht="15.75" customHeight="1">
      <c r="A610" s="1"/>
      <c r="B610" s="2"/>
      <c r="C610" s="2"/>
      <c r="D610" s="2"/>
      <c r="E610" s="2"/>
      <c r="F610" s="2"/>
      <c r="G610" s="2"/>
      <c r="H610" s="2"/>
      <c r="I610" s="2"/>
      <c r="J610" s="2"/>
      <c r="K610" s="2"/>
      <c r="L610" s="2"/>
      <c r="M610" s="2"/>
      <c r="N610" s="2"/>
      <c r="O610" s="2"/>
      <c r="P610" s="2"/>
      <c r="Q610" s="2"/>
      <c r="R610" s="2"/>
      <c r="S610" s="2"/>
      <c r="T610" s="2"/>
    </row>
    <row r="611" spans="1:20" ht="15.75" customHeight="1">
      <c r="A611" s="1"/>
      <c r="B611" s="2"/>
      <c r="C611" s="2"/>
      <c r="D611" s="2"/>
      <c r="E611" s="2"/>
      <c r="F611" s="2"/>
      <c r="G611" s="2"/>
      <c r="H611" s="2"/>
      <c r="I611" s="2"/>
      <c r="J611" s="2"/>
      <c r="K611" s="2"/>
      <c r="L611" s="2"/>
      <c r="M611" s="2"/>
      <c r="N611" s="2"/>
      <c r="O611" s="2"/>
      <c r="P611" s="2"/>
      <c r="Q611" s="2"/>
      <c r="R611" s="2"/>
      <c r="S611" s="2"/>
      <c r="T611" s="2"/>
    </row>
    <row r="612" spans="1:20" ht="15.75" customHeight="1">
      <c r="A612" s="1"/>
      <c r="B612" s="2"/>
      <c r="C612" s="2"/>
      <c r="D612" s="2"/>
      <c r="E612" s="2"/>
      <c r="F612" s="2"/>
      <c r="G612" s="2"/>
      <c r="H612" s="2"/>
      <c r="I612" s="2"/>
      <c r="J612" s="2"/>
      <c r="K612" s="2"/>
      <c r="L612" s="2"/>
      <c r="M612" s="2"/>
      <c r="N612" s="2"/>
      <c r="O612" s="2"/>
      <c r="P612" s="2"/>
      <c r="Q612" s="2"/>
      <c r="R612" s="2"/>
      <c r="S612" s="2"/>
      <c r="T612" s="2"/>
    </row>
    <row r="613" spans="1:20" ht="15.75" customHeight="1">
      <c r="A613" s="1"/>
      <c r="B613" s="2"/>
      <c r="C613" s="2"/>
      <c r="D613" s="2"/>
      <c r="E613" s="2"/>
      <c r="F613" s="2"/>
      <c r="G613" s="2"/>
      <c r="H613" s="2"/>
      <c r="I613" s="2"/>
      <c r="J613" s="2"/>
      <c r="K613" s="2"/>
      <c r="L613" s="2"/>
      <c r="M613" s="2"/>
      <c r="N613" s="2"/>
      <c r="O613" s="2"/>
      <c r="P613" s="2"/>
      <c r="Q613" s="2"/>
      <c r="R613" s="2"/>
      <c r="S613" s="2"/>
      <c r="T613" s="2"/>
    </row>
    <row r="614" spans="1:20" ht="15.75" customHeight="1">
      <c r="A614" s="1"/>
      <c r="B614" s="2"/>
      <c r="C614" s="2"/>
      <c r="D614" s="2"/>
      <c r="E614" s="2"/>
      <c r="F614" s="2"/>
      <c r="G614" s="2"/>
      <c r="H614" s="2"/>
      <c r="I614" s="2"/>
      <c r="J614" s="2"/>
      <c r="K614" s="2"/>
      <c r="L614" s="2"/>
      <c r="M614" s="2"/>
      <c r="N614" s="2"/>
      <c r="O614" s="2"/>
      <c r="P614" s="2"/>
      <c r="Q614" s="2"/>
      <c r="R614" s="2"/>
      <c r="S614" s="2"/>
      <c r="T614" s="2"/>
    </row>
    <row r="615" spans="1:20" ht="15.75" customHeight="1">
      <c r="A615" s="1"/>
      <c r="B615" s="2"/>
      <c r="C615" s="2"/>
      <c r="D615" s="2"/>
      <c r="E615" s="2"/>
      <c r="F615" s="2"/>
      <c r="G615" s="2"/>
      <c r="H615" s="2"/>
      <c r="I615" s="2"/>
      <c r="J615" s="2"/>
      <c r="K615" s="2"/>
      <c r="L615" s="2"/>
      <c r="M615" s="2"/>
      <c r="N615" s="2"/>
      <c r="O615" s="2"/>
      <c r="P615" s="2"/>
      <c r="Q615" s="2"/>
      <c r="R615" s="2"/>
      <c r="S615" s="2"/>
      <c r="T615" s="2"/>
    </row>
    <row r="616" spans="1:20" ht="15.75" customHeight="1">
      <c r="A616" s="1"/>
      <c r="B616" s="2"/>
      <c r="C616" s="2"/>
      <c r="D616" s="2"/>
      <c r="E616" s="2"/>
      <c r="F616" s="2"/>
      <c r="G616" s="2"/>
      <c r="H616" s="2"/>
      <c r="I616" s="2"/>
      <c r="J616" s="2"/>
      <c r="K616" s="2"/>
      <c r="L616" s="2"/>
      <c r="M616" s="2"/>
      <c r="N616" s="2"/>
      <c r="O616" s="2"/>
      <c r="P616" s="2"/>
      <c r="Q616" s="2"/>
      <c r="R616" s="2"/>
      <c r="S616" s="2"/>
      <c r="T616" s="2"/>
    </row>
    <row r="617" spans="1:20" ht="15.75" customHeight="1">
      <c r="A617" s="1"/>
      <c r="B617" s="2"/>
      <c r="C617" s="2"/>
      <c r="D617" s="2"/>
      <c r="E617" s="2"/>
      <c r="F617" s="2"/>
      <c r="G617" s="2"/>
      <c r="H617" s="2"/>
      <c r="I617" s="2"/>
      <c r="J617" s="2"/>
      <c r="K617" s="2"/>
      <c r="L617" s="2"/>
      <c r="M617" s="2"/>
      <c r="N617" s="2"/>
      <c r="O617" s="2"/>
      <c r="P617" s="2"/>
      <c r="Q617" s="2"/>
      <c r="R617" s="2"/>
      <c r="S617" s="2"/>
      <c r="T617" s="2"/>
    </row>
    <row r="618" spans="1:20" ht="15.75" customHeight="1">
      <c r="A618" s="1"/>
      <c r="B618" s="2"/>
      <c r="C618" s="2"/>
      <c r="D618" s="2"/>
      <c r="E618" s="2"/>
      <c r="F618" s="2"/>
      <c r="G618" s="2"/>
      <c r="H618" s="2"/>
      <c r="I618" s="2"/>
      <c r="J618" s="2"/>
      <c r="K618" s="2"/>
      <c r="L618" s="2"/>
      <c r="M618" s="2"/>
      <c r="N618" s="2"/>
      <c r="O618" s="2"/>
      <c r="P618" s="2"/>
      <c r="Q618" s="2"/>
      <c r="R618" s="2"/>
      <c r="S618" s="2"/>
      <c r="T618" s="2"/>
    </row>
    <row r="619" spans="1:20" ht="15.75" customHeight="1">
      <c r="A619" s="1"/>
      <c r="B619" s="2"/>
      <c r="C619" s="2"/>
      <c r="D619" s="2"/>
      <c r="E619" s="2"/>
      <c r="F619" s="2"/>
      <c r="G619" s="2"/>
      <c r="H619" s="2"/>
      <c r="I619" s="2"/>
      <c r="J619" s="2"/>
      <c r="K619" s="2"/>
      <c r="L619" s="2"/>
      <c r="M619" s="2"/>
      <c r="N619" s="2"/>
      <c r="O619" s="2"/>
      <c r="P619" s="2"/>
      <c r="Q619" s="2"/>
      <c r="R619" s="2"/>
      <c r="S619" s="2"/>
      <c r="T619" s="2"/>
    </row>
    <row r="620" spans="1:20" ht="15.75" customHeight="1">
      <c r="A620" s="1"/>
      <c r="B620" s="2"/>
      <c r="C620" s="2"/>
      <c r="D620" s="2"/>
      <c r="E620" s="2"/>
      <c r="F620" s="2"/>
      <c r="G620" s="2"/>
      <c r="H620" s="2"/>
      <c r="I620" s="2"/>
      <c r="J620" s="2"/>
      <c r="K620" s="2"/>
      <c r="L620" s="2"/>
      <c r="M620" s="2"/>
      <c r="N620" s="2"/>
      <c r="O620" s="2"/>
      <c r="P620" s="2"/>
      <c r="Q620" s="2"/>
      <c r="R620" s="2"/>
      <c r="S620" s="2"/>
      <c r="T620" s="2"/>
    </row>
    <row r="621" spans="1:20" ht="15.75" customHeight="1">
      <c r="A621" s="1"/>
      <c r="B621" s="2"/>
      <c r="C621" s="2"/>
      <c r="D621" s="2"/>
      <c r="E621" s="2"/>
      <c r="F621" s="2"/>
      <c r="G621" s="2"/>
      <c r="H621" s="2"/>
      <c r="I621" s="2"/>
      <c r="J621" s="2"/>
      <c r="K621" s="2"/>
      <c r="L621" s="2"/>
      <c r="M621" s="2"/>
      <c r="N621" s="2"/>
      <c r="O621" s="2"/>
      <c r="P621" s="2"/>
      <c r="Q621" s="2"/>
      <c r="R621" s="2"/>
      <c r="S621" s="2"/>
      <c r="T621" s="2"/>
    </row>
    <row r="622" spans="1:20" ht="15.75" customHeight="1">
      <c r="A622" s="1"/>
      <c r="B622" s="2"/>
      <c r="C622" s="2"/>
      <c r="D622" s="2"/>
      <c r="E622" s="2"/>
      <c r="F622" s="2"/>
      <c r="G622" s="2"/>
      <c r="H622" s="2"/>
      <c r="I622" s="2"/>
      <c r="J622" s="2"/>
      <c r="K622" s="2"/>
      <c r="L622" s="2"/>
      <c r="M622" s="2"/>
      <c r="N622" s="2"/>
      <c r="O622" s="2"/>
      <c r="P622" s="2"/>
      <c r="Q622" s="2"/>
      <c r="R622" s="2"/>
      <c r="S622" s="2"/>
      <c r="T622" s="2"/>
    </row>
    <row r="623" spans="1:20" ht="15.75" customHeight="1">
      <c r="A623" s="1"/>
      <c r="B623" s="2"/>
      <c r="C623" s="2"/>
      <c r="D623" s="2"/>
      <c r="E623" s="2"/>
      <c r="F623" s="2"/>
      <c r="G623" s="2"/>
      <c r="H623" s="2"/>
      <c r="I623" s="2"/>
      <c r="J623" s="2"/>
      <c r="K623" s="2"/>
      <c r="L623" s="2"/>
      <c r="M623" s="2"/>
      <c r="N623" s="2"/>
      <c r="O623" s="2"/>
      <c r="P623" s="2"/>
      <c r="Q623" s="2"/>
      <c r="R623" s="2"/>
      <c r="S623" s="2"/>
      <c r="T623" s="2"/>
    </row>
    <row r="624" spans="1:20" ht="15.75" customHeight="1">
      <c r="A624" s="1"/>
      <c r="B624" s="2"/>
      <c r="C624" s="2"/>
      <c r="D624" s="2"/>
      <c r="E624" s="2"/>
      <c r="F624" s="2"/>
      <c r="G624" s="2"/>
      <c r="H624" s="2"/>
      <c r="I624" s="2"/>
      <c r="J624" s="2"/>
      <c r="K624" s="2"/>
      <c r="L624" s="2"/>
      <c r="M624" s="2"/>
      <c r="N624" s="2"/>
      <c r="O624" s="2"/>
      <c r="P624" s="2"/>
      <c r="Q624" s="2"/>
      <c r="R624" s="2"/>
      <c r="S624" s="2"/>
      <c r="T624" s="2"/>
    </row>
    <row r="625" spans="1:20" ht="15.75" customHeight="1">
      <c r="A625" s="1"/>
      <c r="B625" s="2"/>
      <c r="C625" s="2"/>
      <c r="D625" s="2"/>
      <c r="E625" s="2"/>
      <c r="F625" s="2"/>
      <c r="G625" s="2"/>
      <c r="H625" s="2"/>
      <c r="I625" s="2"/>
      <c r="J625" s="2"/>
      <c r="K625" s="2"/>
      <c r="L625" s="2"/>
      <c r="M625" s="2"/>
      <c r="N625" s="2"/>
      <c r="O625" s="2"/>
      <c r="P625" s="2"/>
      <c r="Q625" s="2"/>
      <c r="R625" s="2"/>
      <c r="S625" s="2"/>
      <c r="T625" s="2"/>
    </row>
    <row r="626" spans="1:20" ht="15.75" customHeight="1">
      <c r="A626" s="1"/>
      <c r="B626" s="2"/>
      <c r="C626" s="2"/>
      <c r="D626" s="2"/>
      <c r="E626" s="2"/>
      <c r="F626" s="2"/>
      <c r="G626" s="2"/>
      <c r="H626" s="2"/>
      <c r="I626" s="2"/>
      <c r="J626" s="2"/>
      <c r="K626" s="2"/>
      <c r="L626" s="2"/>
      <c r="M626" s="2"/>
      <c r="N626" s="2"/>
      <c r="O626" s="2"/>
      <c r="P626" s="2"/>
      <c r="Q626" s="2"/>
      <c r="R626" s="2"/>
      <c r="S626" s="2"/>
      <c r="T626" s="2"/>
    </row>
    <row r="627" spans="1:20" ht="15.75" customHeight="1">
      <c r="A627" s="1"/>
      <c r="B627" s="2"/>
      <c r="C627" s="2"/>
      <c r="D627" s="2"/>
      <c r="E627" s="2"/>
      <c r="F627" s="2"/>
      <c r="G627" s="2"/>
      <c r="H627" s="2"/>
      <c r="I627" s="2"/>
      <c r="J627" s="2"/>
      <c r="K627" s="2"/>
      <c r="L627" s="2"/>
      <c r="M627" s="2"/>
      <c r="N627" s="2"/>
      <c r="O627" s="2"/>
      <c r="P627" s="2"/>
      <c r="Q627" s="2"/>
      <c r="R627" s="2"/>
      <c r="S627" s="2"/>
      <c r="T627" s="2"/>
    </row>
    <row r="628" spans="1:20" ht="15.75" customHeight="1">
      <c r="A628" s="1"/>
      <c r="B628" s="2"/>
      <c r="C628" s="2"/>
      <c r="D628" s="2"/>
      <c r="E628" s="2"/>
      <c r="F628" s="2"/>
      <c r="G628" s="2"/>
      <c r="H628" s="2"/>
      <c r="I628" s="2"/>
      <c r="J628" s="2"/>
      <c r="K628" s="2"/>
      <c r="L628" s="2"/>
      <c r="M628" s="2"/>
      <c r="N628" s="2"/>
      <c r="O628" s="2"/>
      <c r="P628" s="2"/>
      <c r="Q628" s="2"/>
      <c r="R628" s="2"/>
      <c r="S628" s="2"/>
      <c r="T628" s="2"/>
    </row>
    <row r="629" spans="1:20" ht="15.75" customHeight="1">
      <c r="A629" s="1"/>
      <c r="B629" s="2"/>
      <c r="C629" s="2"/>
      <c r="D629" s="2"/>
      <c r="E629" s="2"/>
      <c r="F629" s="2"/>
      <c r="G629" s="2"/>
      <c r="H629" s="2"/>
      <c r="I629" s="2"/>
      <c r="J629" s="2"/>
      <c r="K629" s="2"/>
      <c r="L629" s="2"/>
      <c r="M629" s="2"/>
      <c r="N629" s="2"/>
      <c r="O629" s="2"/>
      <c r="P629" s="2"/>
      <c r="Q629" s="2"/>
      <c r="R629" s="2"/>
      <c r="S629" s="2"/>
      <c r="T629" s="2"/>
    </row>
    <row r="630" spans="1:20" ht="15.75" customHeight="1">
      <c r="A630" s="1"/>
      <c r="B630" s="2"/>
      <c r="C630" s="2"/>
      <c r="D630" s="2"/>
      <c r="E630" s="2"/>
      <c r="F630" s="2"/>
      <c r="G630" s="2"/>
      <c r="H630" s="2"/>
      <c r="I630" s="2"/>
      <c r="J630" s="2"/>
      <c r="K630" s="2"/>
      <c r="L630" s="2"/>
      <c r="M630" s="2"/>
      <c r="N630" s="2"/>
      <c r="O630" s="2"/>
      <c r="P630" s="2"/>
      <c r="Q630" s="2"/>
      <c r="R630" s="2"/>
      <c r="S630" s="2"/>
      <c r="T630" s="2"/>
    </row>
    <row r="631" spans="1:20" ht="15.75" customHeight="1">
      <c r="A631" s="1"/>
      <c r="B631" s="2"/>
      <c r="C631" s="2"/>
      <c r="D631" s="2"/>
      <c r="E631" s="2"/>
      <c r="F631" s="2"/>
      <c r="G631" s="2"/>
      <c r="H631" s="2"/>
      <c r="I631" s="2"/>
      <c r="J631" s="2"/>
      <c r="K631" s="2"/>
      <c r="L631" s="2"/>
      <c r="M631" s="2"/>
      <c r="N631" s="2"/>
      <c r="O631" s="2"/>
      <c r="P631" s="2"/>
      <c r="Q631" s="2"/>
      <c r="R631" s="2"/>
      <c r="S631" s="2"/>
      <c r="T631" s="2"/>
    </row>
    <row r="632" spans="1:20" ht="15.75" customHeight="1">
      <c r="A632" s="1"/>
      <c r="B632" s="2"/>
      <c r="C632" s="2"/>
      <c r="D632" s="2"/>
      <c r="E632" s="2"/>
      <c r="F632" s="2"/>
      <c r="G632" s="2"/>
      <c r="H632" s="2"/>
      <c r="I632" s="2"/>
      <c r="J632" s="2"/>
      <c r="K632" s="2"/>
      <c r="L632" s="2"/>
      <c r="M632" s="2"/>
      <c r="N632" s="2"/>
      <c r="O632" s="2"/>
      <c r="P632" s="2"/>
      <c r="Q632" s="2"/>
      <c r="R632" s="2"/>
      <c r="S632" s="2"/>
      <c r="T632" s="2"/>
    </row>
    <row r="633" spans="1:20" ht="15.75" customHeight="1">
      <c r="A633" s="1"/>
      <c r="B633" s="2"/>
      <c r="C633" s="2"/>
      <c r="D633" s="2"/>
      <c r="E633" s="2"/>
      <c r="F633" s="2"/>
      <c r="G633" s="2"/>
      <c r="H633" s="2"/>
      <c r="I633" s="2"/>
      <c r="J633" s="2"/>
      <c r="K633" s="2"/>
      <c r="L633" s="2"/>
      <c r="M633" s="2"/>
      <c r="N633" s="2"/>
      <c r="O633" s="2"/>
      <c r="P633" s="2"/>
      <c r="Q633" s="2"/>
      <c r="R633" s="2"/>
      <c r="S633" s="2"/>
      <c r="T633" s="2"/>
    </row>
    <row r="634" spans="1:20" ht="15.75" customHeight="1">
      <c r="A634" s="1"/>
      <c r="B634" s="2"/>
      <c r="C634" s="2"/>
      <c r="D634" s="2"/>
      <c r="E634" s="2"/>
      <c r="F634" s="2"/>
      <c r="G634" s="2"/>
      <c r="H634" s="2"/>
      <c r="I634" s="2"/>
      <c r="J634" s="2"/>
      <c r="K634" s="2"/>
      <c r="L634" s="2"/>
      <c r="M634" s="2"/>
      <c r="N634" s="2"/>
      <c r="O634" s="2"/>
      <c r="P634" s="2"/>
      <c r="Q634" s="2"/>
      <c r="R634" s="2"/>
      <c r="S634" s="2"/>
      <c r="T634" s="2"/>
    </row>
    <row r="635" spans="1:20" ht="15.75" customHeight="1">
      <c r="A635" s="1"/>
      <c r="B635" s="2"/>
      <c r="C635" s="2"/>
      <c r="D635" s="2"/>
      <c r="E635" s="2"/>
      <c r="F635" s="2"/>
      <c r="G635" s="2"/>
      <c r="H635" s="2"/>
      <c r="I635" s="2"/>
      <c r="J635" s="2"/>
      <c r="K635" s="2"/>
      <c r="L635" s="2"/>
      <c r="M635" s="2"/>
      <c r="N635" s="2"/>
      <c r="O635" s="2"/>
      <c r="P635" s="2"/>
      <c r="Q635" s="2"/>
      <c r="R635" s="2"/>
      <c r="S635" s="2"/>
      <c r="T635" s="2"/>
    </row>
    <row r="636" spans="1:20" ht="15.75" customHeight="1">
      <c r="A636" s="1"/>
      <c r="B636" s="2"/>
      <c r="C636" s="2"/>
      <c r="D636" s="2"/>
      <c r="E636" s="2"/>
      <c r="F636" s="2"/>
      <c r="G636" s="2"/>
      <c r="H636" s="2"/>
      <c r="I636" s="2"/>
      <c r="J636" s="2"/>
      <c r="K636" s="2"/>
      <c r="L636" s="2"/>
      <c r="M636" s="2"/>
      <c r="N636" s="2"/>
      <c r="O636" s="2"/>
      <c r="P636" s="2"/>
      <c r="Q636" s="2"/>
      <c r="R636" s="2"/>
      <c r="S636" s="2"/>
      <c r="T636" s="2"/>
    </row>
    <row r="637" spans="1:20" ht="15.75" customHeight="1">
      <c r="A637" s="1"/>
      <c r="B637" s="2"/>
      <c r="C637" s="2"/>
      <c r="D637" s="2"/>
      <c r="E637" s="2"/>
      <c r="F637" s="2"/>
      <c r="G637" s="2"/>
      <c r="H637" s="2"/>
      <c r="I637" s="2"/>
      <c r="J637" s="2"/>
      <c r="K637" s="2"/>
      <c r="L637" s="2"/>
      <c r="M637" s="2"/>
      <c r="N637" s="2"/>
      <c r="O637" s="2"/>
      <c r="P637" s="2"/>
      <c r="Q637" s="2"/>
      <c r="R637" s="2"/>
      <c r="S637" s="2"/>
      <c r="T637" s="2"/>
    </row>
    <row r="638" spans="1:20" ht="15.75" customHeight="1">
      <c r="A638" s="1"/>
      <c r="B638" s="2"/>
      <c r="C638" s="2"/>
      <c r="D638" s="2"/>
      <c r="E638" s="2"/>
      <c r="F638" s="2"/>
      <c r="G638" s="2"/>
      <c r="H638" s="2"/>
      <c r="I638" s="2"/>
      <c r="J638" s="2"/>
      <c r="K638" s="2"/>
      <c r="L638" s="2"/>
      <c r="M638" s="2"/>
      <c r="N638" s="2"/>
      <c r="O638" s="2"/>
      <c r="P638" s="2"/>
      <c r="Q638" s="2"/>
      <c r="R638" s="2"/>
      <c r="S638" s="2"/>
      <c r="T638" s="2"/>
    </row>
    <row r="639" spans="1:20" ht="15.75" customHeight="1">
      <c r="A639" s="1"/>
      <c r="B639" s="2"/>
      <c r="C639" s="2"/>
      <c r="D639" s="2"/>
      <c r="E639" s="2"/>
      <c r="F639" s="2"/>
      <c r="G639" s="2"/>
      <c r="H639" s="2"/>
      <c r="I639" s="2"/>
      <c r="J639" s="2"/>
      <c r="K639" s="2"/>
      <c r="L639" s="2"/>
      <c r="M639" s="2"/>
      <c r="N639" s="2"/>
      <c r="O639" s="2"/>
      <c r="P639" s="2"/>
      <c r="Q639" s="2"/>
      <c r="R639" s="2"/>
      <c r="S639" s="2"/>
      <c r="T639" s="2"/>
    </row>
    <row r="640" spans="1:20" ht="15.75" customHeight="1">
      <c r="A640" s="1"/>
      <c r="B640" s="2"/>
      <c r="C640" s="2"/>
      <c r="D640" s="2"/>
      <c r="E640" s="2"/>
      <c r="F640" s="2"/>
      <c r="G640" s="2"/>
      <c r="H640" s="2"/>
      <c r="I640" s="2"/>
      <c r="J640" s="2"/>
      <c r="K640" s="2"/>
      <c r="L640" s="2"/>
      <c r="M640" s="2"/>
      <c r="N640" s="2"/>
      <c r="O640" s="2"/>
      <c r="P640" s="2"/>
      <c r="Q640" s="2"/>
      <c r="R640" s="2"/>
      <c r="S640" s="2"/>
      <c r="T640" s="2"/>
    </row>
    <row r="641" spans="1:20" ht="15.75" customHeight="1">
      <c r="A641" s="1"/>
      <c r="B641" s="2"/>
      <c r="C641" s="2"/>
      <c r="D641" s="2"/>
      <c r="E641" s="2"/>
      <c r="F641" s="2"/>
      <c r="G641" s="2"/>
      <c r="H641" s="2"/>
      <c r="I641" s="2"/>
      <c r="J641" s="2"/>
      <c r="K641" s="2"/>
      <c r="L641" s="2"/>
      <c r="M641" s="2"/>
      <c r="N641" s="2"/>
      <c r="O641" s="2"/>
      <c r="P641" s="2"/>
      <c r="Q641" s="2"/>
      <c r="R641" s="2"/>
      <c r="S641" s="2"/>
      <c r="T641" s="2"/>
    </row>
    <row r="642" spans="1:20" ht="15.75" customHeight="1">
      <c r="A642" s="1"/>
      <c r="B642" s="2"/>
      <c r="C642" s="2"/>
      <c r="D642" s="2"/>
      <c r="E642" s="2"/>
      <c r="F642" s="2"/>
      <c r="G642" s="2"/>
      <c r="H642" s="2"/>
      <c r="I642" s="2"/>
      <c r="J642" s="2"/>
      <c r="K642" s="2"/>
      <c r="L642" s="2"/>
      <c r="M642" s="2"/>
      <c r="N642" s="2"/>
      <c r="O642" s="2"/>
      <c r="P642" s="2"/>
      <c r="Q642" s="2"/>
      <c r="R642" s="2"/>
      <c r="S642" s="2"/>
      <c r="T642" s="2"/>
    </row>
    <row r="643" spans="1:20" ht="15.75" customHeight="1">
      <c r="A643" s="1"/>
      <c r="B643" s="2"/>
      <c r="C643" s="2"/>
      <c r="D643" s="2"/>
      <c r="E643" s="2"/>
      <c r="F643" s="2"/>
      <c r="G643" s="2"/>
      <c r="H643" s="2"/>
      <c r="I643" s="2"/>
      <c r="J643" s="2"/>
      <c r="K643" s="2"/>
      <c r="L643" s="2"/>
      <c r="M643" s="2"/>
      <c r="N643" s="2"/>
      <c r="O643" s="2"/>
      <c r="P643" s="2"/>
      <c r="Q643" s="2"/>
      <c r="R643" s="2"/>
      <c r="S643" s="2"/>
      <c r="T643" s="2"/>
    </row>
    <row r="644" spans="1:20" ht="15.75" customHeight="1">
      <c r="A644" s="1"/>
      <c r="B644" s="2"/>
      <c r="C644" s="2"/>
      <c r="D644" s="2"/>
      <c r="E644" s="2"/>
      <c r="F644" s="2"/>
      <c r="G644" s="2"/>
      <c r="H644" s="2"/>
      <c r="I644" s="2"/>
      <c r="J644" s="2"/>
      <c r="K644" s="2"/>
      <c r="L644" s="2"/>
      <c r="M644" s="2"/>
      <c r="N644" s="2"/>
      <c r="O644" s="2"/>
      <c r="P644" s="2"/>
      <c r="Q644" s="2"/>
      <c r="R644" s="2"/>
      <c r="S644" s="2"/>
      <c r="T644" s="2"/>
    </row>
    <row r="645" spans="1:20" ht="15.75" customHeight="1">
      <c r="A645" s="1"/>
      <c r="B645" s="2"/>
      <c r="C645" s="2"/>
      <c r="D645" s="2"/>
      <c r="E645" s="2"/>
      <c r="F645" s="2"/>
      <c r="G645" s="2"/>
      <c r="H645" s="2"/>
      <c r="I645" s="2"/>
      <c r="J645" s="2"/>
      <c r="K645" s="2"/>
      <c r="L645" s="2"/>
      <c r="M645" s="2"/>
      <c r="N645" s="2"/>
      <c r="O645" s="2"/>
      <c r="P645" s="2"/>
      <c r="Q645" s="2"/>
      <c r="R645" s="2"/>
      <c r="S645" s="2"/>
      <c r="T645" s="2"/>
    </row>
    <row r="646" spans="1:20" ht="15.75" customHeight="1">
      <c r="A646" s="1"/>
      <c r="B646" s="2"/>
      <c r="C646" s="2"/>
      <c r="D646" s="2"/>
      <c r="E646" s="2"/>
      <c r="F646" s="2"/>
      <c r="G646" s="2"/>
      <c r="H646" s="2"/>
      <c r="I646" s="2"/>
      <c r="J646" s="2"/>
      <c r="K646" s="2"/>
      <c r="L646" s="2"/>
      <c r="M646" s="2"/>
      <c r="N646" s="2"/>
      <c r="O646" s="2"/>
      <c r="P646" s="2"/>
      <c r="Q646" s="2"/>
      <c r="R646" s="2"/>
      <c r="S646" s="2"/>
      <c r="T646" s="2"/>
    </row>
    <row r="647" spans="1:20" ht="15.75" customHeight="1">
      <c r="A647" s="1"/>
      <c r="B647" s="2"/>
      <c r="C647" s="2"/>
      <c r="D647" s="2"/>
      <c r="E647" s="2"/>
      <c r="F647" s="2"/>
      <c r="G647" s="2"/>
      <c r="H647" s="2"/>
      <c r="I647" s="2"/>
      <c r="J647" s="2"/>
      <c r="K647" s="2"/>
      <c r="L647" s="2"/>
      <c r="M647" s="2"/>
      <c r="N647" s="2"/>
      <c r="O647" s="2"/>
      <c r="P647" s="2"/>
      <c r="Q647" s="2"/>
      <c r="R647" s="2"/>
      <c r="S647" s="2"/>
      <c r="T647" s="2"/>
    </row>
    <row r="648" spans="1:20" ht="15.75" customHeight="1">
      <c r="A648" s="1"/>
      <c r="B648" s="2"/>
      <c r="C648" s="2"/>
      <c r="D648" s="2"/>
      <c r="E648" s="2"/>
      <c r="F648" s="2"/>
      <c r="G648" s="2"/>
      <c r="H648" s="2"/>
      <c r="I648" s="2"/>
      <c r="J648" s="2"/>
      <c r="K648" s="2"/>
      <c r="L648" s="2"/>
      <c r="M648" s="2"/>
      <c r="N648" s="2"/>
      <c r="O648" s="2"/>
      <c r="P648" s="2"/>
      <c r="Q648" s="2"/>
      <c r="R648" s="2"/>
      <c r="S648" s="2"/>
      <c r="T648" s="2"/>
    </row>
    <row r="649" spans="1:20" ht="15.75" customHeight="1">
      <c r="A649" s="1"/>
      <c r="B649" s="2"/>
      <c r="C649" s="2"/>
      <c r="D649" s="2"/>
      <c r="E649" s="2"/>
      <c r="F649" s="2"/>
      <c r="G649" s="2"/>
      <c r="H649" s="2"/>
      <c r="I649" s="2"/>
      <c r="J649" s="2"/>
      <c r="K649" s="2"/>
      <c r="L649" s="2"/>
      <c r="M649" s="2"/>
      <c r="N649" s="2"/>
      <c r="O649" s="2"/>
      <c r="P649" s="2"/>
      <c r="Q649" s="2"/>
      <c r="R649" s="2"/>
      <c r="S649" s="2"/>
      <c r="T649" s="2"/>
    </row>
    <row r="650" spans="1:20" ht="15.75" customHeight="1">
      <c r="A650" s="1"/>
      <c r="B650" s="2"/>
      <c r="C650" s="2"/>
      <c r="D650" s="2"/>
      <c r="E650" s="2"/>
      <c r="F650" s="2"/>
      <c r="G650" s="2"/>
      <c r="H650" s="2"/>
      <c r="I650" s="2"/>
      <c r="J650" s="2"/>
      <c r="K650" s="2"/>
      <c r="L650" s="2"/>
      <c r="M650" s="2"/>
      <c r="N650" s="2"/>
      <c r="O650" s="2"/>
      <c r="P650" s="2"/>
      <c r="Q650" s="2"/>
      <c r="R650" s="2"/>
      <c r="S650" s="2"/>
      <c r="T650" s="2"/>
    </row>
    <row r="651" spans="1:20" ht="15.75" customHeight="1">
      <c r="A651" s="1"/>
      <c r="B651" s="2"/>
      <c r="C651" s="2"/>
      <c r="D651" s="2"/>
      <c r="E651" s="2"/>
      <c r="F651" s="2"/>
      <c r="G651" s="2"/>
      <c r="H651" s="2"/>
      <c r="I651" s="2"/>
      <c r="J651" s="2"/>
      <c r="K651" s="2"/>
      <c r="L651" s="2"/>
      <c r="M651" s="2"/>
      <c r="N651" s="2"/>
      <c r="O651" s="2"/>
      <c r="P651" s="2"/>
      <c r="Q651" s="2"/>
      <c r="R651" s="2"/>
      <c r="S651" s="2"/>
      <c r="T651" s="2"/>
    </row>
    <row r="652" spans="1:20" ht="15.75" customHeight="1">
      <c r="A652" s="1"/>
      <c r="B652" s="2"/>
      <c r="C652" s="2"/>
      <c r="D652" s="2"/>
      <c r="E652" s="2"/>
      <c r="F652" s="2"/>
      <c r="G652" s="2"/>
      <c r="H652" s="2"/>
      <c r="I652" s="2"/>
      <c r="J652" s="2"/>
      <c r="K652" s="2"/>
      <c r="L652" s="2"/>
      <c r="M652" s="2"/>
      <c r="N652" s="2"/>
      <c r="O652" s="2"/>
      <c r="P652" s="2"/>
      <c r="Q652" s="2"/>
      <c r="R652" s="2"/>
      <c r="S652" s="2"/>
      <c r="T652" s="2"/>
    </row>
    <row r="653" spans="1:20" ht="15.75" customHeight="1">
      <c r="A653" s="1"/>
      <c r="B653" s="2"/>
      <c r="C653" s="2"/>
      <c r="D653" s="2"/>
      <c r="E653" s="2"/>
      <c r="F653" s="2"/>
      <c r="G653" s="2"/>
      <c r="H653" s="2"/>
      <c r="I653" s="2"/>
      <c r="J653" s="2"/>
      <c r="K653" s="2"/>
      <c r="L653" s="2"/>
      <c r="M653" s="2"/>
      <c r="N653" s="2"/>
      <c r="O653" s="2"/>
      <c r="P653" s="2"/>
      <c r="Q653" s="2"/>
      <c r="R653" s="2"/>
      <c r="S653" s="2"/>
      <c r="T653" s="2"/>
    </row>
    <row r="654" spans="1:20" ht="15.75" customHeight="1">
      <c r="A654" s="1"/>
      <c r="B654" s="2"/>
      <c r="C654" s="2"/>
      <c r="D654" s="2"/>
      <c r="E654" s="2"/>
      <c r="F654" s="2"/>
      <c r="G654" s="2"/>
      <c r="H654" s="2"/>
      <c r="I654" s="2"/>
      <c r="J654" s="2"/>
      <c r="K654" s="2"/>
      <c r="L654" s="2"/>
      <c r="M654" s="2"/>
      <c r="N654" s="2"/>
      <c r="O654" s="2"/>
      <c r="P654" s="2"/>
      <c r="Q654" s="2"/>
      <c r="R654" s="2"/>
      <c r="S654" s="2"/>
      <c r="T654" s="2"/>
    </row>
    <row r="655" spans="1:20" ht="15.75" customHeight="1">
      <c r="A655" s="1"/>
      <c r="B655" s="2"/>
      <c r="C655" s="2"/>
      <c r="D655" s="2"/>
      <c r="E655" s="2"/>
      <c r="F655" s="2"/>
      <c r="G655" s="2"/>
      <c r="H655" s="2"/>
      <c r="I655" s="2"/>
      <c r="J655" s="2"/>
      <c r="K655" s="2"/>
      <c r="L655" s="2"/>
      <c r="M655" s="2"/>
      <c r="N655" s="2"/>
      <c r="O655" s="2"/>
      <c r="P655" s="2"/>
      <c r="Q655" s="2"/>
      <c r="R655" s="2"/>
      <c r="S655" s="2"/>
      <c r="T655" s="2"/>
    </row>
    <row r="656" spans="1:20" ht="15.75" customHeight="1">
      <c r="A656" s="1"/>
      <c r="B656" s="2"/>
      <c r="C656" s="2"/>
      <c r="D656" s="2"/>
      <c r="E656" s="2"/>
      <c r="F656" s="2"/>
      <c r="G656" s="2"/>
      <c r="H656" s="2"/>
      <c r="I656" s="2"/>
      <c r="J656" s="2"/>
      <c r="K656" s="2"/>
      <c r="L656" s="2"/>
      <c r="M656" s="2"/>
      <c r="N656" s="2"/>
      <c r="O656" s="2"/>
      <c r="P656" s="2"/>
      <c r="Q656" s="2"/>
      <c r="R656" s="2"/>
      <c r="S656" s="2"/>
      <c r="T656" s="2"/>
    </row>
    <row r="657" spans="1:20" ht="15.75" customHeight="1">
      <c r="A657" s="1"/>
      <c r="B657" s="2"/>
      <c r="C657" s="2"/>
      <c r="D657" s="2"/>
      <c r="E657" s="2"/>
      <c r="F657" s="2"/>
      <c r="G657" s="2"/>
      <c r="H657" s="2"/>
      <c r="I657" s="2"/>
      <c r="J657" s="2"/>
      <c r="K657" s="2"/>
      <c r="L657" s="2"/>
      <c r="M657" s="2"/>
      <c r="N657" s="2"/>
      <c r="O657" s="2"/>
      <c r="P657" s="2"/>
      <c r="Q657" s="2"/>
      <c r="R657" s="2"/>
      <c r="S657" s="2"/>
      <c r="T657" s="2"/>
    </row>
    <row r="658" spans="1:20" ht="15.75" customHeight="1">
      <c r="A658" s="1"/>
      <c r="B658" s="2"/>
      <c r="C658" s="2"/>
      <c r="D658" s="2"/>
      <c r="E658" s="2"/>
      <c r="F658" s="2"/>
      <c r="G658" s="2"/>
      <c r="H658" s="2"/>
      <c r="I658" s="2"/>
      <c r="J658" s="2"/>
      <c r="K658" s="2"/>
      <c r="L658" s="2"/>
      <c r="M658" s="2"/>
      <c r="N658" s="2"/>
      <c r="O658" s="2"/>
      <c r="P658" s="2"/>
      <c r="Q658" s="2"/>
      <c r="R658" s="2"/>
      <c r="S658" s="2"/>
      <c r="T658" s="2"/>
    </row>
    <row r="659" spans="1:20" ht="15.75" customHeight="1">
      <c r="A659" s="1"/>
      <c r="B659" s="2"/>
      <c r="C659" s="2"/>
      <c r="D659" s="2"/>
      <c r="E659" s="2"/>
      <c r="F659" s="2"/>
      <c r="G659" s="2"/>
      <c r="H659" s="2"/>
      <c r="I659" s="2"/>
      <c r="J659" s="2"/>
      <c r="K659" s="2"/>
      <c r="L659" s="2"/>
      <c r="M659" s="2"/>
      <c r="N659" s="2"/>
      <c r="O659" s="2"/>
      <c r="P659" s="2"/>
      <c r="Q659" s="2"/>
      <c r="R659" s="2"/>
      <c r="S659" s="2"/>
      <c r="T659" s="2"/>
    </row>
    <row r="660" spans="1:20" ht="15.75" customHeight="1">
      <c r="A660" s="1"/>
      <c r="B660" s="2"/>
      <c r="C660" s="2"/>
      <c r="D660" s="2"/>
      <c r="E660" s="2"/>
      <c r="F660" s="2"/>
      <c r="G660" s="2"/>
      <c r="H660" s="2"/>
      <c r="I660" s="2"/>
      <c r="J660" s="2"/>
      <c r="K660" s="2"/>
      <c r="L660" s="2"/>
      <c r="M660" s="2"/>
      <c r="N660" s="2"/>
      <c r="O660" s="2"/>
      <c r="P660" s="2"/>
      <c r="Q660" s="2"/>
      <c r="R660" s="2"/>
      <c r="S660" s="2"/>
      <c r="T660" s="2"/>
    </row>
    <row r="661" spans="1:20" ht="15.75" customHeight="1">
      <c r="A661" s="1"/>
      <c r="B661" s="2"/>
      <c r="C661" s="2"/>
      <c r="D661" s="2"/>
      <c r="E661" s="2"/>
      <c r="F661" s="2"/>
      <c r="G661" s="2"/>
      <c r="H661" s="2"/>
      <c r="I661" s="2"/>
      <c r="J661" s="2"/>
      <c r="K661" s="2"/>
      <c r="L661" s="2"/>
      <c r="M661" s="2"/>
      <c r="N661" s="2"/>
      <c r="O661" s="2"/>
      <c r="P661" s="2"/>
      <c r="Q661" s="2"/>
      <c r="R661" s="2"/>
      <c r="S661" s="2"/>
      <c r="T661" s="2"/>
    </row>
    <row r="662" spans="1:20" ht="15.75" customHeight="1">
      <c r="A662" s="1"/>
      <c r="B662" s="2"/>
      <c r="C662" s="2"/>
      <c r="D662" s="2"/>
      <c r="E662" s="2"/>
      <c r="F662" s="2"/>
      <c r="G662" s="2"/>
      <c r="H662" s="2"/>
      <c r="I662" s="2"/>
      <c r="J662" s="2"/>
      <c r="K662" s="2"/>
      <c r="L662" s="2"/>
      <c r="M662" s="2"/>
      <c r="N662" s="2"/>
      <c r="O662" s="2"/>
      <c r="P662" s="2"/>
      <c r="Q662" s="2"/>
      <c r="R662" s="2"/>
      <c r="S662" s="2"/>
      <c r="T662" s="2"/>
    </row>
    <row r="663" spans="1:20" ht="15.75" customHeight="1">
      <c r="A663" s="1"/>
      <c r="B663" s="2"/>
      <c r="C663" s="2"/>
      <c r="D663" s="2"/>
      <c r="E663" s="2"/>
      <c r="F663" s="2"/>
      <c r="G663" s="2"/>
      <c r="H663" s="2"/>
      <c r="I663" s="2"/>
      <c r="J663" s="2"/>
      <c r="K663" s="2"/>
      <c r="L663" s="2"/>
      <c r="M663" s="2"/>
      <c r="N663" s="2"/>
      <c r="O663" s="2"/>
      <c r="P663" s="2"/>
      <c r="Q663" s="2"/>
      <c r="R663" s="2"/>
      <c r="S663" s="2"/>
      <c r="T663" s="2"/>
    </row>
    <row r="664" spans="1:20" ht="15.75" customHeight="1">
      <c r="A664" s="1"/>
      <c r="B664" s="2"/>
      <c r="C664" s="2"/>
      <c r="D664" s="2"/>
      <c r="E664" s="2"/>
      <c r="F664" s="2"/>
      <c r="G664" s="2"/>
      <c r="H664" s="2"/>
      <c r="I664" s="2"/>
      <c r="J664" s="2"/>
      <c r="K664" s="2"/>
      <c r="L664" s="2"/>
      <c r="M664" s="2"/>
      <c r="N664" s="2"/>
      <c r="O664" s="2"/>
      <c r="P664" s="2"/>
      <c r="Q664" s="2"/>
      <c r="R664" s="2"/>
      <c r="S664" s="2"/>
      <c r="T664" s="2"/>
    </row>
    <row r="665" spans="1:20" ht="15.75" customHeight="1">
      <c r="A665" s="1"/>
      <c r="B665" s="2"/>
      <c r="C665" s="2"/>
      <c r="D665" s="2"/>
      <c r="E665" s="2"/>
      <c r="F665" s="2"/>
      <c r="G665" s="2"/>
      <c r="H665" s="2"/>
      <c r="I665" s="2"/>
      <c r="J665" s="2"/>
      <c r="K665" s="2"/>
      <c r="L665" s="2"/>
      <c r="M665" s="2"/>
      <c r="N665" s="2"/>
      <c r="O665" s="2"/>
      <c r="P665" s="2"/>
      <c r="Q665" s="2"/>
      <c r="R665" s="2"/>
      <c r="S665" s="2"/>
      <c r="T665" s="2"/>
    </row>
    <row r="666" spans="1:20" ht="15.75" customHeight="1">
      <c r="A666" s="1"/>
      <c r="B666" s="2"/>
      <c r="C666" s="2"/>
      <c r="D666" s="2"/>
      <c r="E666" s="2"/>
      <c r="F666" s="2"/>
      <c r="G666" s="2"/>
      <c r="H666" s="2"/>
      <c r="I666" s="2"/>
      <c r="J666" s="2"/>
      <c r="K666" s="2"/>
      <c r="L666" s="2"/>
      <c r="M666" s="2"/>
      <c r="N666" s="2"/>
      <c r="O666" s="2"/>
      <c r="P666" s="2"/>
      <c r="Q666" s="2"/>
      <c r="R666" s="2"/>
      <c r="S666" s="2"/>
      <c r="T666" s="2"/>
    </row>
    <row r="667" spans="1:20" ht="15.75" customHeight="1">
      <c r="A667" s="1"/>
      <c r="B667" s="2"/>
      <c r="C667" s="2"/>
      <c r="D667" s="2"/>
      <c r="E667" s="2"/>
      <c r="F667" s="2"/>
      <c r="G667" s="2"/>
      <c r="H667" s="2"/>
      <c r="I667" s="2"/>
      <c r="J667" s="2"/>
      <c r="K667" s="2"/>
      <c r="L667" s="2"/>
      <c r="M667" s="2"/>
      <c r="N667" s="2"/>
      <c r="O667" s="2"/>
      <c r="P667" s="2"/>
      <c r="Q667" s="2"/>
      <c r="R667" s="2"/>
      <c r="S667" s="2"/>
      <c r="T667" s="2"/>
    </row>
    <row r="668" spans="1:20" ht="15.75" customHeight="1">
      <c r="A668" s="1"/>
      <c r="B668" s="2"/>
      <c r="C668" s="2"/>
      <c r="D668" s="2"/>
      <c r="E668" s="2"/>
      <c r="F668" s="2"/>
      <c r="G668" s="2"/>
      <c r="H668" s="2"/>
      <c r="I668" s="2"/>
      <c r="J668" s="2"/>
      <c r="K668" s="2"/>
      <c r="L668" s="2"/>
      <c r="M668" s="2"/>
      <c r="N668" s="2"/>
      <c r="O668" s="2"/>
      <c r="P668" s="2"/>
      <c r="Q668" s="2"/>
      <c r="R668" s="2"/>
      <c r="S668" s="2"/>
      <c r="T668" s="2"/>
    </row>
    <row r="669" spans="1:20" ht="15.75" customHeight="1">
      <c r="A669" s="1"/>
      <c r="B669" s="2"/>
      <c r="C669" s="2"/>
      <c r="D669" s="2"/>
      <c r="E669" s="2"/>
      <c r="F669" s="2"/>
      <c r="G669" s="2"/>
      <c r="H669" s="2"/>
      <c r="I669" s="2"/>
      <c r="J669" s="2"/>
      <c r="K669" s="2"/>
      <c r="L669" s="2"/>
      <c r="M669" s="2"/>
      <c r="N669" s="2"/>
      <c r="O669" s="2"/>
      <c r="P669" s="2"/>
      <c r="Q669" s="2"/>
      <c r="R669" s="2"/>
      <c r="S669" s="2"/>
      <c r="T669" s="2"/>
    </row>
    <row r="670" spans="1:20" ht="15.75" customHeight="1">
      <c r="A670" s="1"/>
      <c r="B670" s="2"/>
      <c r="C670" s="2"/>
      <c r="D670" s="2"/>
      <c r="E670" s="2"/>
      <c r="F670" s="2"/>
      <c r="G670" s="2"/>
      <c r="H670" s="2"/>
      <c r="I670" s="2"/>
      <c r="J670" s="2"/>
      <c r="K670" s="2"/>
      <c r="L670" s="2"/>
      <c r="M670" s="2"/>
      <c r="N670" s="2"/>
      <c r="O670" s="2"/>
      <c r="P670" s="2"/>
      <c r="Q670" s="2"/>
      <c r="R670" s="2"/>
      <c r="S670" s="2"/>
      <c r="T670" s="2"/>
    </row>
    <row r="671" spans="1:20" ht="15.75" customHeight="1">
      <c r="A671" s="1"/>
      <c r="B671" s="2"/>
      <c r="C671" s="2"/>
      <c r="D671" s="2"/>
      <c r="E671" s="2"/>
      <c r="F671" s="2"/>
      <c r="G671" s="2"/>
      <c r="H671" s="2"/>
      <c r="I671" s="2"/>
      <c r="J671" s="2"/>
      <c r="K671" s="2"/>
      <c r="L671" s="2"/>
      <c r="M671" s="2"/>
      <c r="N671" s="2"/>
      <c r="O671" s="2"/>
      <c r="P671" s="2"/>
      <c r="Q671" s="2"/>
      <c r="R671" s="2"/>
      <c r="S671" s="2"/>
      <c r="T671" s="2"/>
    </row>
    <row r="672" spans="1:20" ht="15.75" customHeight="1">
      <c r="A672" s="1"/>
      <c r="B672" s="2"/>
      <c r="C672" s="2"/>
      <c r="D672" s="2"/>
      <c r="E672" s="2"/>
      <c r="F672" s="2"/>
      <c r="G672" s="2"/>
      <c r="H672" s="2"/>
      <c r="I672" s="2"/>
      <c r="J672" s="2"/>
      <c r="K672" s="2"/>
      <c r="L672" s="2"/>
      <c r="M672" s="2"/>
      <c r="N672" s="2"/>
      <c r="O672" s="2"/>
      <c r="P672" s="2"/>
      <c r="Q672" s="2"/>
      <c r="R672" s="2"/>
      <c r="S672" s="2"/>
      <c r="T672" s="2"/>
    </row>
    <row r="673" spans="1:20" ht="15.75" customHeight="1">
      <c r="A673" s="1"/>
      <c r="B673" s="2"/>
      <c r="C673" s="2"/>
      <c r="D673" s="2"/>
      <c r="E673" s="2"/>
      <c r="F673" s="2"/>
      <c r="G673" s="2"/>
      <c r="H673" s="2"/>
      <c r="I673" s="2"/>
      <c r="J673" s="2"/>
      <c r="K673" s="2"/>
      <c r="L673" s="2"/>
      <c r="M673" s="2"/>
      <c r="N673" s="2"/>
      <c r="O673" s="2"/>
      <c r="P673" s="2"/>
      <c r="Q673" s="2"/>
      <c r="R673" s="2"/>
      <c r="S673" s="2"/>
      <c r="T673" s="2"/>
    </row>
    <row r="674" spans="1:20" ht="15.75" customHeight="1">
      <c r="A674" s="1"/>
      <c r="B674" s="2"/>
      <c r="C674" s="2"/>
      <c r="D674" s="2"/>
      <c r="E674" s="2"/>
      <c r="F674" s="2"/>
      <c r="G674" s="2"/>
      <c r="H674" s="2"/>
      <c r="I674" s="2"/>
      <c r="J674" s="2"/>
      <c r="K674" s="2"/>
      <c r="L674" s="2"/>
      <c r="M674" s="2"/>
      <c r="N674" s="2"/>
      <c r="O674" s="2"/>
      <c r="P674" s="2"/>
      <c r="Q674" s="2"/>
      <c r="R674" s="2"/>
      <c r="S674" s="2"/>
      <c r="T674" s="2"/>
    </row>
    <row r="675" spans="1:20" ht="15.75" customHeight="1">
      <c r="A675" s="1"/>
      <c r="B675" s="2"/>
      <c r="C675" s="2"/>
      <c r="D675" s="2"/>
      <c r="E675" s="2"/>
      <c r="F675" s="2"/>
      <c r="G675" s="2"/>
      <c r="H675" s="2"/>
      <c r="I675" s="2"/>
      <c r="J675" s="2"/>
      <c r="K675" s="2"/>
      <c r="L675" s="2"/>
      <c r="M675" s="2"/>
      <c r="N675" s="2"/>
      <c r="O675" s="2"/>
      <c r="P675" s="2"/>
      <c r="Q675" s="2"/>
      <c r="R675" s="2"/>
      <c r="S675" s="2"/>
      <c r="T675" s="2"/>
    </row>
    <row r="676" spans="1:20" ht="15.75" customHeight="1">
      <c r="A676" s="1"/>
      <c r="B676" s="2"/>
      <c r="C676" s="2"/>
      <c r="D676" s="2"/>
      <c r="E676" s="2"/>
      <c r="F676" s="2"/>
      <c r="G676" s="2"/>
      <c r="H676" s="2"/>
      <c r="I676" s="2"/>
      <c r="J676" s="2"/>
      <c r="K676" s="2"/>
      <c r="L676" s="2"/>
      <c r="M676" s="2"/>
      <c r="N676" s="2"/>
      <c r="O676" s="2"/>
      <c r="P676" s="2"/>
      <c r="Q676" s="2"/>
      <c r="R676" s="2"/>
      <c r="S676" s="2"/>
      <c r="T676" s="2"/>
    </row>
    <row r="677" spans="1:20" ht="15.75" customHeight="1">
      <c r="A677" s="1"/>
      <c r="B677" s="2"/>
      <c r="C677" s="2"/>
      <c r="D677" s="2"/>
      <c r="E677" s="2"/>
      <c r="F677" s="2"/>
      <c r="G677" s="2"/>
      <c r="H677" s="2"/>
      <c r="I677" s="2"/>
      <c r="J677" s="2"/>
      <c r="K677" s="2"/>
      <c r="L677" s="2"/>
      <c r="M677" s="2"/>
      <c r="N677" s="2"/>
      <c r="O677" s="2"/>
      <c r="P677" s="2"/>
      <c r="Q677" s="2"/>
      <c r="R677" s="2"/>
      <c r="S677" s="2"/>
      <c r="T677" s="2"/>
    </row>
    <row r="678" spans="1:20" ht="15.75" customHeight="1">
      <c r="A678" s="1"/>
      <c r="B678" s="2"/>
      <c r="C678" s="2"/>
      <c r="D678" s="2"/>
      <c r="E678" s="2"/>
      <c r="F678" s="2"/>
      <c r="G678" s="2"/>
      <c r="H678" s="2"/>
      <c r="I678" s="2"/>
      <c r="J678" s="2"/>
      <c r="K678" s="2"/>
      <c r="L678" s="2"/>
      <c r="M678" s="2"/>
      <c r="N678" s="2"/>
      <c r="O678" s="2"/>
      <c r="P678" s="2"/>
      <c r="Q678" s="2"/>
      <c r="R678" s="2"/>
      <c r="S678" s="2"/>
      <c r="T678" s="2"/>
    </row>
    <row r="679" spans="1:20" ht="15.75" customHeight="1">
      <c r="A679" s="1"/>
      <c r="B679" s="2"/>
      <c r="C679" s="2"/>
      <c r="D679" s="2"/>
      <c r="E679" s="2"/>
      <c r="F679" s="2"/>
      <c r="G679" s="2"/>
      <c r="H679" s="2"/>
      <c r="I679" s="2"/>
      <c r="J679" s="2"/>
      <c r="K679" s="2"/>
      <c r="L679" s="2"/>
      <c r="M679" s="2"/>
      <c r="N679" s="2"/>
      <c r="O679" s="2"/>
      <c r="P679" s="2"/>
      <c r="Q679" s="2"/>
      <c r="R679" s="2"/>
      <c r="S679" s="2"/>
      <c r="T679" s="2"/>
    </row>
    <row r="680" spans="1:20" ht="15.75" customHeight="1">
      <c r="A680" s="1"/>
      <c r="B680" s="2"/>
      <c r="C680" s="2"/>
      <c r="D680" s="2"/>
      <c r="E680" s="2"/>
      <c r="F680" s="2"/>
      <c r="G680" s="2"/>
      <c r="H680" s="2"/>
      <c r="I680" s="2"/>
      <c r="J680" s="2"/>
      <c r="K680" s="2"/>
      <c r="L680" s="2"/>
      <c r="M680" s="2"/>
      <c r="N680" s="2"/>
      <c r="O680" s="2"/>
      <c r="P680" s="2"/>
      <c r="Q680" s="2"/>
      <c r="R680" s="2"/>
      <c r="S680" s="2"/>
      <c r="T680" s="2"/>
    </row>
    <row r="681" spans="1:20" ht="15.75" customHeight="1">
      <c r="A681" s="1"/>
      <c r="B681" s="2"/>
      <c r="C681" s="2"/>
      <c r="D681" s="2"/>
      <c r="E681" s="2"/>
      <c r="F681" s="2"/>
      <c r="G681" s="2"/>
      <c r="H681" s="2"/>
      <c r="I681" s="2"/>
      <c r="J681" s="2"/>
      <c r="K681" s="2"/>
      <c r="L681" s="2"/>
      <c r="M681" s="2"/>
      <c r="N681" s="2"/>
      <c r="O681" s="2"/>
      <c r="P681" s="2"/>
      <c r="Q681" s="2"/>
      <c r="R681" s="2"/>
      <c r="S681" s="2"/>
      <c r="T681" s="2"/>
    </row>
    <row r="682" spans="1:20" ht="15.75" customHeight="1">
      <c r="A682" s="1"/>
      <c r="B682" s="2"/>
      <c r="C682" s="2"/>
      <c r="D682" s="2"/>
      <c r="E682" s="2"/>
      <c r="F682" s="2"/>
      <c r="G682" s="2"/>
      <c r="H682" s="2"/>
      <c r="I682" s="2"/>
      <c r="J682" s="2"/>
      <c r="K682" s="2"/>
      <c r="L682" s="2"/>
      <c r="M682" s="2"/>
      <c r="N682" s="2"/>
      <c r="O682" s="2"/>
      <c r="P682" s="2"/>
      <c r="Q682" s="2"/>
      <c r="R682" s="2"/>
      <c r="S682" s="2"/>
      <c r="T682" s="2"/>
    </row>
    <row r="683" spans="1:20" ht="15.75" customHeight="1">
      <c r="A683" s="1"/>
      <c r="B683" s="2"/>
      <c r="C683" s="2"/>
      <c r="D683" s="2"/>
      <c r="E683" s="2"/>
      <c r="F683" s="2"/>
      <c r="G683" s="2"/>
      <c r="H683" s="2"/>
      <c r="I683" s="2"/>
      <c r="J683" s="2"/>
      <c r="K683" s="2"/>
      <c r="L683" s="2"/>
      <c r="M683" s="2"/>
      <c r="N683" s="2"/>
      <c r="O683" s="2"/>
      <c r="P683" s="2"/>
      <c r="Q683" s="2"/>
      <c r="R683" s="2"/>
      <c r="S683" s="2"/>
      <c r="T683" s="2"/>
    </row>
    <row r="684" spans="1:20" ht="15.75" customHeight="1">
      <c r="A684" s="1"/>
      <c r="B684" s="2"/>
      <c r="C684" s="2"/>
      <c r="D684" s="2"/>
      <c r="E684" s="2"/>
      <c r="F684" s="2"/>
      <c r="G684" s="2"/>
      <c r="H684" s="2"/>
      <c r="I684" s="2"/>
      <c r="J684" s="2"/>
      <c r="K684" s="2"/>
      <c r="L684" s="2"/>
      <c r="M684" s="2"/>
      <c r="N684" s="2"/>
      <c r="O684" s="2"/>
      <c r="P684" s="2"/>
      <c r="Q684" s="2"/>
      <c r="R684" s="2"/>
      <c r="S684" s="2"/>
      <c r="T684" s="2"/>
    </row>
    <row r="685" spans="1:20" ht="15.75" customHeight="1">
      <c r="A685" s="1"/>
      <c r="B685" s="2"/>
      <c r="C685" s="2"/>
      <c r="D685" s="2"/>
      <c r="E685" s="2"/>
      <c r="F685" s="2"/>
      <c r="G685" s="2"/>
      <c r="H685" s="2"/>
      <c r="I685" s="2"/>
      <c r="J685" s="2"/>
      <c r="K685" s="2"/>
      <c r="L685" s="2"/>
      <c r="M685" s="2"/>
      <c r="N685" s="2"/>
      <c r="O685" s="2"/>
      <c r="P685" s="2"/>
      <c r="Q685" s="2"/>
      <c r="R685" s="2"/>
      <c r="S685" s="2"/>
      <c r="T685" s="2"/>
    </row>
    <row r="686" spans="1:20" ht="15.75" customHeight="1">
      <c r="A686" s="1"/>
      <c r="B686" s="2"/>
      <c r="C686" s="2"/>
      <c r="D686" s="2"/>
      <c r="E686" s="2"/>
      <c r="F686" s="2"/>
      <c r="G686" s="2"/>
      <c r="H686" s="2"/>
      <c r="I686" s="2"/>
      <c r="J686" s="2"/>
      <c r="K686" s="2"/>
      <c r="L686" s="2"/>
      <c r="M686" s="2"/>
      <c r="N686" s="2"/>
      <c r="O686" s="2"/>
      <c r="P686" s="2"/>
      <c r="Q686" s="2"/>
      <c r="R686" s="2"/>
      <c r="S686" s="2"/>
      <c r="T686" s="2"/>
    </row>
    <row r="687" spans="1:20" ht="15.75" customHeight="1">
      <c r="A687" s="1"/>
      <c r="B687" s="2"/>
      <c r="C687" s="2"/>
      <c r="D687" s="2"/>
      <c r="E687" s="2"/>
      <c r="F687" s="2"/>
      <c r="G687" s="2"/>
      <c r="H687" s="2"/>
      <c r="I687" s="2"/>
      <c r="J687" s="2"/>
      <c r="K687" s="2"/>
      <c r="L687" s="2"/>
      <c r="M687" s="2"/>
      <c r="N687" s="2"/>
      <c r="O687" s="2"/>
      <c r="P687" s="2"/>
      <c r="Q687" s="2"/>
      <c r="R687" s="2"/>
      <c r="S687" s="2"/>
      <c r="T687" s="2"/>
    </row>
    <row r="688" spans="1:20" ht="15.75" customHeight="1">
      <c r="A688" s="1"/>
      <c r="B688" s="2"/>
      <c r="C688" s="2"/>
      <c r="D688" s="2"/>
      <c r="E688" s="2"/>
      <c r="F688" s="2"/>
      <c r="G688" s="2"/>
      <c r="H688" s="2"/>
      <c r="I688" s="2"/>
      <c r="J688" s="2"/>
      <c r="K688" s="2"/>
      <c r="L688" s="2"/>
      <c r="M688" s="2"/>
      <c r="N688" s="2"/>
      <c r="O688" s="2"/>
      <c r="P688" s="2"/>
      <c r="Q688" s="2"/>
      <c r="R688" s="2"/>
      <c r="S688" s="2"/>
      <c r="T688" s="2"/>
    </row>
    <row r="689" spans="1:20" ht="15.75" customHeight="1">
      <c r="A689" s="1"/>
      <c r="B689" s="2"/>
      <c r="C689" s="2"/>
      <c r="D689" s="2"/>
      <c r="E689" s="2"/>
      <c r="F689" s="2"/>
      <c r="G689" s="2"/>
      <c r="H689" s="2"/>
      <c r="I689" s="2"/>
      <c r="J689" s="2"/>
      <c r="K689" s="2"/>
      <c r="L689" s="2"/>
      <c r="M689" s="2"/>
      <c r="N689" s="2"/>
      <c r="O689" s="2"/>
      <c r="P689" s="2"/>
      <c r="Q689" s="2"/>
      <c r="R689" s="2"/>
      <c r="S689" s="2"/>
      <c r="T689" s="2"/>
    </row>
    <row r="690" spans="1:20" ht="15.75" customHeight="1">
      <c r="A690" s="1"/>
      <c r="B690" s="2"/>
      <c r="C690" s="2"/>
      <c r="D690" s="2"/>
      <c r="E690" s="2"/>
      <c r="F690" s="2"/>
      <c r="G690" s="2"/>
      <c r="H690" s="2"/>
      <c r="I690" s="2"/>
      <c r="J690" s="2"/>
      <c r="K690" s="2"/>
      <c r="L690" s="2"/>
      <c r="M690" s="2"/>
      <c r="N690" s="2"/>
      <c r="O690" s="2"/>
      <c r="P690" s="2"/>
      <c r="Q690" s="2"/>
      <c r="R690" s="2"/>
      <c r="S690" s="2"/>
      <c r="T690" s="2"/>
    </row>
    <row r="691" spans="1:20" ht="15.75" customHeight="1">
      <c r="A691" s="1"/>
      <c r="B691" s="2"/>
      <c r="C691" s="2"/>
      <c r="D691" s="2"/>
      <c r="E691" s="2"/>
      <c r="F691" s="2"/>
      <c r="G691" s="2"/>
      <c r="H691" s="2"/>
      <c r="I691" s="2"/>
      <c r="J691" s="2"/>
      <c r="K691" s="2"/>
      <c r="L691" s="2"/>
      <c r="M691" s="2"/>
      <c r="N691" s="2"/>
      <c r="O691" s="2"/>
      <c r="P691" s="2"/>
      <c r="Q691" s="2"/>
      <c r="R691" s="2"/>
      <c r="S691" s="2"/>
      <c r="T691" s="2"/>
    </row>
    <row r="692" spans="1:20" ht="15.75" customHeight="1">
      <c r="A692" s="1"/>
      <c r="B692" s="2"/>
      <c r="C692" s="2"/>
      <c r="D692" s="2"/>
      <c r="E692" s="2"/>
      <c r="F692" s="2"/>
      <c r="G692" s="2"/>
      <c r="H692" s="2"/>
      <c r="I692" s="2"/>
      <c r="J692" s="2"/>
      <c r="K692" s="2"/>
      <c r="L692" s="2"/>
      <c r="M692" s="2"/>
      <c r="N692" s="2"/>
      <c r="O692" s="2"/>
      <c r="P692" s="2"/>
      <c r="Q692" s="2"/>
      <c r="R692" s="2"/>
      <c r="S692" s="2"/>
      <c r="T692" s="2"/>
    </row>
    <row r="693" spans="1:20" ht="15.75" customHeight="1">
      <c r="A693" s="1"/>
      <c r="B693" s="2"/>
      <c r="C693" s="2"/>
      <c r="D693" s="2"/>
      <c r="E693" s="2"/>
      <c r="F693" s="2"/>
      <c r="G693" s="2"/>
      <c r="H693" s="2"/>
      <c r="I693" s="2"/>
      <c r="J693" s="2"/>
      <c r="K693" s="2"/>
      <c r="L693" s="2"/>
      <c r="M693" s="2"/>
      <c r="N693" s="2"/>
      <c r="O693" s="2"/>
      <c r="P693" s="2"/>
      <c r="Q693" s="2"/>
      <c r="R693" s="2"/>
      <c r="S693" s="2"/>
      <c r="T693" s="2"/>
    </row>
    <row r="694" spans="1:20" ht="15.75" customHeight="1">
      <c r="A694" s="1"/>
      <c r="B694" s="2"/>
      <c r="C694" s="2"/>
      <c r="D694" s="2"/>
      <c r="E694" s="2"/>
      <c r="F694" s="2"/>
      <c r="G694" s="2"/>
      <c r="H694" s="2"/>
      <c r="I694" s="2"/>
      <c r="J694" s="2"/>
      <c r="K694" s="2"/>
      <c r="L694" s="2"/>
      <c r="M694" s="2"/>
      <c r="N694" s="2"/>
      <c r="O694" s="2"/>
      <c r="P694" s="2"/>
      <c r="Q694" s="2"/>
      <c r="R694" s="2"/>
      <c r="S694" s="2"/>
      <c r="T694" s="2"/>
    </row>
    <row r="695" spans="1:20" ht="15.75" customHeight="1">
      <c r="A695" s="1"/>
      <c r="B695" s="2"/>
      <c r="C695" s="2"/>
      <c r="D695" s="2"/>
      <c r="E695" s="2"/>
      <c r="F695" s="2"/>
      <c r="G695" s="2"/>
      <c r="H695" s="2"/>
      <c r="I695" s="2"/>
      <c r="J695" s="2"/>
      <c r="K695" s="2"/>
      <c r="L695" s="2"/>
      <c r="M695" s="2"/>
      <c r="N695" s="2"/>
      <c r="O695" s="2"/>
      <c r="P695" s="2"/>
      <c r="Q695" s="2"/>
      <c r="R695" s="2"/>
      <c r="S695" s="2"/>
      <c r="T695" s="2"/>
    </row>
    <row r="696" spans="1:20" ht="15.75" customHeight="1">
      <c r="A696" s="1"/>
      <c r="B696" s="2"/>
      <c r="C696" s="2"/>
      <c r="D696" s="2"/>
      <c r="E696" s="2"/>
      <c r="F696" s="2"/>
      <c r="G696" s="2"/>
      <c r="H696" s="2"/>
      <c r="I696" s="2"/>
      <c r="J696" s="2"/>
      <c r="K696" s="2"/>
      <c r="L696" s="2"/>
      <c r="M696" s="2"/>
      <c r="N696" s="2"/>
      <c r="O696" s="2"/>
      <c r="P696" s="2"/>
      <c r="Q696" s="2"/>
      <c r="R696" s="2"/>
      <c r="S696" s="2"/>
      <c r="T696" s="2"/>
    </row>
    <row r="697" spans="1:20" ht="15.75" customHeight="1">
      <c r="A697" s="1"/>
      <c r="B697" s="2"/>
      <c r="C697" s="2"/>
      <c r="D697" s="2"/>
      <c r="E697" s="2"/>
      <c r="F697" s="2"/>
      <c r="G697" s="2"/>
      <c r="H697" s="2"/>
      <c r="I697" s="2"/>
      <c r="J697" s="2"/>
      <c r="K697" s="2"/>
      <c r="L697" s="2"/>
      <c r="M697" s="2"/>
      <c r="N697" s="2"/>
      <c r="O697" s="2"/>
      <c r="P697" s="2"/>
      <c r="Q697" s="2"/>
      <c r="R697" s="2"/>
      <c r="S697" s="2"/>
      <c r="T697" s="2"/>
    </row>
    <row r="698" spans="1:20" ht="15.75" customHeight="1">
      <c r="A698" s="1"/>
      <c r="B698" s="2"/>
      <c r="C698" s="2"/>
      <c r="D698" s="2"/>
      <c r="E698" s="2"/>
      <c r="F698" s="2"/>
      <c r="G698" s="2"/>
      <c r="H698" s="2"/>
      <c r="I698" s="2"/>
      <c r="J698" s="2"/>
      <c r="K698" s="2"/>
      <c r="L698" s="2"/>
      <c r="M698" s="2"/>
      <c r="N698" s="2"/>
      <c r="O698" s="2"/>
      <c r="P698" s="2"/>
      <c r="Q698" s="2"/>
      <c r="R698" s="2"/>
      <c r="S698" s="2"/>
      <c r="T698" s="2"/>
    </row>
    <row r="699" spans="1:20" ht="15.75" customHeight="1">
      <c r="A699" s="1"/>
      <c r="B699" s="2"/>
      <c r="C699" s="2"/>
      <c r="D699" s="2"/>
      <c r="E699" s="2"/>
      <c r="F699" s="2"/>
      <c r="G699" s="2"/>
      <c r="H699" s="2"/>
      <c r="I699" s="2"/>
      <c r="J699" s="2"/>
      <c r="K699" s="2"/>
      <c r="L699" s="2"/>
      <c r="M699" s="2"/>
      <c r="N699" s="2"/>
      <c r="O699" s="2"/>
      <c r="P699" s="2"/>
      <c r="Q699" s="2"/>
      <c r="R699" s="2"/>
      <c r="S699" s="2"/>
      <c r="T699" s="2"/>
    </row>
    <row r="700" spans="1:20" ht="15.75" customHeight="1">
      <c r="A700" s="1"/>
      <c r="B700" s="2"/>
      <c r="C700" s="2"/>
      <c r="D700" s="2"/>
      <c r="E700" s="2"/>
      <c r="F700" s="2"/>
      <c r="G700" s="2"/>
      <c r="H700" s="2"/>
      <c r="I700" s="2"/>
      <c r="J700" s="2"/>
      <c r="K700" s="2"/>
      <c r="L700" s="2"/>
      <c r="M700" s="2"/>
      <c r="N700" s="2"/>
      <c r="O700" s="2"/>
      <c r="P700" s="2"/>
      <c r="Q700" s="2"/>
      <c r="R700" s="2"/>
      <c r="S700" s="2"/>
      <c r="T700" s="2"/>
    </row>
    <row r="701" spans="1:20" ht="15.75" customHeight="1">
      <c r="A701" s="1"/>
      <c r="B701" s="2"/>
      <c r="C701" s="2"/>
      <c r="D701" s="2"/>
      <c r="E701" s="2"/>
      <c r="F701" s="2"/>
      <c r="G701" s="2"/>
      <c r="H701" s="2"/>
      <c r="I701" s="2"/>
      <c r="J701" s="2"/>
      <c r="K701" s="2"/>
      <c r="L701" s="2"/>
      <c r="M701" s="2"/>
      <c r="N701" s="2"/>
      <c r="O701" s="2"/>
      <c r="P701" s="2"/>
      <c r="Q701" s="2"/>
      <c r="R701" s="2"/>
      <c r="S701" s="2"/>
      <c r="T701" s="2"/>
    </row>
    <row r="702" spans="1:20" ht="15.75" customHeight="1">
      <c r="A702" s="1"/>
      <c r="B702" s="2"/>
      <c r="C702" s="2"/>
      <c r="D702" s="2"/>
      <c r="E702" s="2"/>
      <c r="F702" s="2"/>
      <c r="G702" s="2"/>
      <c r="H702" s="2"/>
      <c r="I702" s="2"/>
      <c r="J702" s="2"/>
      <c r="K702" s="2"/>
      <c r="L702" s="2"/>
      <c r="M702" s="2"/>
      <c r="N702" s="2"/>
      <c r="O702" s="2"/>
      <c r="P702" s="2"/>
      <c r="Q702" s="2"/>
      <c r="R702" s="2"/>
      <c r="S702" s="2"/>
      <c r="T702" s="2"/>
    </row>
    <row r="703" spans="1:20" ht="15.75" customHeight="1">
      <c r="A703" s="1"/>
      <c r="B703" s="2"/>
      <c r="C703" s="2"/>
      <c r="D703" s="2"/>
      <c r="E703" s="2"/>
      <c r="F703" s="2"/>
      <c r="G703" s="2"/>
      <c r="H703" s="2"/>
      <c r="I703" s="2"/>
      <c r="J703" s="2"/>
      <c r="K703" s="2"/>
      <c r="L703" s="2"/>
      <c r="M703" s="2"/>
      <c r="N703" s="2"/>
      <c r="O703" s="2"/>
      <c r="P703" s="2"/>
      <c r="Q703" s="2"/>
      <c r="R703" s="2"/>
      <c r="S703" s="2"/>
      <c r="T703" s="2"/>
    </row>
    <row r="704" spans="1:20" ht="15.75" customHeight="1">
      <c r="A704" s="1"/>
      <c r="B704" s="2"/>
      <c r="C704" s="2"/>
      <c r="D704" s="2"/>
      <c r="E704" s="2"/>
      <c r="F704" s="2"/>
      <c r="G704" s="2"/>
      <c r="H704" s="2"/>
      <c r="I704" s="2"/>
      <c r="J704" s="2"/>
      <c r="K704" s="2"/>
      <c r="L704" s="2"/>
      <c r="M704" s="2"/>
      <c r="N704" s="2"/>
      <c r="O704" s="2"/>
      <c r="P704" s="2"/>
      <c r="Q704" s="2"/>
      <c r="R704" s="2"/>
      <c r="S704" s="2"/>
      <c r="T704" s="2"/>
    </row>
    <row r="705" spans="1:20" ht="15.75" customHeight="1">
      <c r="A705" s="1"/>
      <c r="B705" s="2"/>
      <c r="C705" s="2"/>
      <c r="D705" s="2"/>
      <c r="E705" s="2"/>
      <c r="F705" s="2"/>
      <c r="G705" s="2"/>
      <c r="H705" s="2"/>
      <c r="I705" s="2"/>
      <c r="J705" s="2"/>
      <c r="K705" s="2"/>
      <c r="L705" s="2"/>
      <c r="M705" s="2"/>
      <c r="N705" s="2"/>
      <c r="O705" s="2"/>
      <c r="P705" s="2"/>
      <c r="Q705" s="2"/>
      <c r="R705" s="2"/>
      <c r="S705" s="2"/>
      <c r="T705" s="2"/>
    </row>
    <row r="706" spans="1:20" ht="15.75" customHeight="1">
      <c r="A706" s="1"/>
      <c r="B706" s="2"/>
      <c r="C706" s="2"/>
      <c r="D706" s="2"/>
      <c r="E706" s="2"/>
      <c r="F706" s="2"/>
      <c r="G706" s="2"/>
      <c r="H706" s="2"/>
      <c r="I706" s="2"/>
      <c r="J706" s="2"/>
      <c r="K706" s="2"/>
      <c r="L706" s="2"/>
      <c r="M706" s="2"/>
      <c r="N706" s="2"/>
      <c r="O706" s="2"/>
      <c r="P706" s="2"/>
      <c r="Q706" s="2"/>
      <c r="R706" s="2"/>
      <c r="S706" s="2"/>
      <c r="T706" s="2"/>
    </row>
    <row r="707" spans="1:20" ht="15.75" customHeight="1">
      <c r="A707" s="1"/>
      <c r="B707" s="2"/>
      <c r="C707" s="2"/>
      <c r="D707" s="2"/>
      <c r="E707" s="2"/>
      <c r="F707" s="2"/>
      <c r="G707" s="2"/>
      <c r="H707" s="2"/>
      <c r="I707" s="2"/>
      <c r="J707" s="2"/>
      <c r="K707" s="2"/>
      <c r="L707" s="2"/>
      <c r="M707" s="2"/>
      <c r="N707" s="2"/>
      <c r="O707" s="2"/>
      <c r="P707" s="2"/>
      <c r="Q707" s="2"/>
      <c r="R707" s="2"/>
      <c r="S707" s="2"/>
      <c r="T707" s="2"/>
    </row>
    <row r="708" spans="1:20" ht="15.75" customHeight="1">
      <c r="A708" s="1"/>
      <c r="B708" s="2"/>
      <c r="C708" s="2"/>
      <c r="D708" s="2"/>
      <c r="E708" s="2"/>
      <c r="F708" s="2"/>
      <c r="G708" s="2"/>
      <c r="H708" s="2"/>
      <c r="I708" s="2"/>
      <c r="J708" s="2"/>
      <c r="K708" s="2"/>
      <c r="L708" s="2"/>
      <c r="M708" s="2"/>
      <c r="N708" s="2"/>
      <c r="O708" s="2"/>
      <c r="P708" s="2"/>
      <c r="Q708" s="2"/>
      <c r="R708" s="2"/>
      <c r="S708" s="2"/>
      <c r="T708" s="2"/>
    </row>
    <row r="709" spans="1:20" ht="15.75" customHeight="1">
      <c r="A709" s="1"/>
      <c r="B709" s="2"/>
      <c r="C709" s="2"/>
      <c r="D709" s="2"/>
      <c r="E709" s="2"/>
      <c r="F709" s="2"/>
      <c r="G709" s="2"/>
      <c r="H709" s="2"/>
      <c r="I709" s="2"/>
      <c r="J709" s="2"/>
      <c r="K709" s="2"/>
      <c r="L709" s="2"/>
      <c r="M709" s="2"/>
      <c r="N709" s="2"/>
      <c r="O709" s="2"/>
      <c r="P709" s="2"/>
      <c r="Q709" s="2"/>
      <c r="R709" s="2"/>
      <c r="S709" s="2"/>
      <c r="T709" s="2"/>
    </row>
    <row r="710" spans="1:20" ht="15.75" customHeight="1">
      <c r="A710" s="1"/>
      <c r="B710" s="2"/>
      <c r="C710" s="2"/>
      <c r="D710" s="2"/>
      <c r="E710" s="2"/>
      <c r="F710" s="2"/>
      <c r="G710" s="2"/>
      <c r="H710" s="2"/>
      <c r="I710" s="2"/>
      <c r="J710" s="2"/>
      <c r="K710" s="2"/>
      <c r="L710" s="2"/>
      <c r="M710" s="2"/>
      <c r="N710" s="2"/>
      <c r="O710" s="2"/>
      <c r="P710" s="2"/>
      <c r="Q710" s="2"/>
      <c r="R710" s="2"/>
      <c r="S710" s="2"/>
      <c r="T710" s="2"/>
    </row>
    <row r="711" spans="1:20" ht="15.75" customHeight="1">
      <c r="A711" s="1"/>
      <c r="B711" s="2"/>
      <c r="C711" s="2"/>
      <c r="D711" s="2"/>
      <c r="E711" s="2"/>
      <c r="F711" s="2"/>
      <c r="G711" s="2"/>
      <c r="H711" s="2"/>
      <c r="I711" s="2"/>
      <c r="J711" s="2"/>
      <c r="K711" s="2"/>
      <c r="L711" s="2"/>
      <c r="M711" s="2"/>
      <c r="N711" s="2"/>
      <c r="O711" s="2"/>
      <c r="P711" s="2"/>
      <c r="Q711" s="2"/>
      <c r="R711" s="2"/>
      <c r="S711" s="2"/>
      <c r="T711" s="2"/>
    </row>
    <row r="712" spans="1:20" ht="15.75" customHeight="1">
      <c r="A712" s="1"/>
      <c r="B712" s="2"/>
      <c r="C712" s="2"/>
      <c r="D712" s="2"/>
      <c r="E712" s="2"/>
      <c r="F712" s="2"/>
      <c r="G712" s="2"/>
      <c r="H712" s="2"/>
      <c r="I712" s="2"/>
      <c r="J712" s="2"/>
      <c r="K712" s="2"/>
      <c r="L712" s="2"/>
      <c r="M712" s="2"/>
      <c r="N712" s="2"/>
      <c r="O712" s="2"/>
      <c r="P712" s="2"/>
      <c r="Q712" s="2"/>
      <c r="R712" s="2"/>
      <c r="S712" s="2"/>
      <c r="T712" s="2"/>
    </row>
    <row r="713" spans="1:20" ht="15.75" customHeight="1">
      <c r="A713" s="1"/>
      <c r="B713" s="2"/>
      <c r="C713" s="2"/>
      <c r="D713" s="2"/>
      <c r="E713" s="2"/>
      <c r="F713" s="2"/>
      <c r="G713" s="2"/>
      <c r="H713" s="2"/>
      <c r="I713" s="2"/>
      <c r="J713" s="2"/>
      <c r="K713" s="2"/>
      <c r="L713" s="2"/>
      <c r="M713" s="2"/>
      <c r="N713" s="2"/>
      <c r="O713" s="2"/>
      <c r="P713" s="2"/>
      <c r="Q713" s="2"/>
      <c r="R713" s="2"/>
      <c r="S713" s="2"/>
      <c r="T713" s="2"/>
    </row>
    <row r="714" spans="1:20" ht="15.75" customHeight="1">
      <c r="A714" s="1"/>
      <c r="B714" s="2"/>
      <c r="C714" s="2"/>
      <c r="D714" s="2"/>
      <c r="E714" s="2"/>
      <c r="F714" s="2"/>
      <c r="G714" s="2"/>
      <c r="H714" s="2"/>
      <c r="I714" s="2"/>
      <c r="J714" s="2"/>
      <c r="K714" s="2"/>
      <c r="L714" s="2"/>
      <c r="M714" s="2"/>
      <c r="N714" s="2"/>
      <c r="O714" s="2"/>
      <c r="P714" s="2"/>
      <c r="Q714" s="2"/>
      <c r="R714" s="2"/>
      <c r="S714" s="2"/>
      <c r="T714" s="2"/>
    </row>
    <row r="715" spans="1:20" ht="15.75" customHeight="1">
      <c r="A715" s="1"/>
      <c r="B715" s="2"/>
      <c r="C715" s="2"/>
      <c r="D715" s="2"/>
      <c r="E715" s="2"/>
      <c r="F715" s="2"/>
      <c r="G715" s="2"/>
      <c r="H715" s="2"/>
      <c r="I715" s="2"/>
      <c r="J715" s="2"/>
      <c r="K715" s="2"/>
      <c r="L715" s="2"/>
      <c r="M715" s="2"/>
      <c r="N715" s="2"/>
      <c r="O715" s="2"/>
      <c r="P715" s="2"/>
      <c r="Q715" s="2"/>
      <c r="R715" s="2"/>
      <c r="S715" s="2"/>
      <c r="T715" s="2"/>
    </row>
    <row r="716" spans="1:20" ht="15.75" customHeight="1">
      <c r="A716" s="1"/>
      <c r="B716" s="2"/>
      <c r="C716" s="2"/>
      <c r="D716" s="2"/>
      <c r="E716" s="2"/>
      <c r="F716" s="2"/>
      <c r="G716" s="2"/>
      <c r="H716" s="2"/>
      <c r="I716" s="2"/>
      <c r="J716" s="2"/>
      <c r="K716" s="2"/>
      <c r="L716" s="2"/>
      <c r="M716" s="2"/>
      <c r="N716" s="2"/>
      <c r="O716" s="2"/>
      <c r="P716" s="2"/>
      <c r="Q716" s="2"/>
      <c r="R716" s="2"/>
      <c r="S716" s="2"/>
      <c r="T716" s="2"/>
    </row>
    <row r="717" spans="1:20" ht="15.75" customHeight="1">
      <c r="A717" s="1"/>
      <c r="B717" s="2"/>
      <c r="C717" s="2"/>
      <c r="D717" s="2"/>
      <c r="E717" s="2"/>
      <c r="F717" s="2"/>
      <c r="G717" s="2"/>
      <c r="H717" s="2"/>
      <c r="I717" s="2"/>
      <c r="J717" s="2"/>
      <c r="K717" s="2"/>
      <c r="L717" s="2"/>
      <c r="M717" s="2"/>
      <c r="N717" s="2"/>
      <c r="O717" s="2"/>
      <c r="P717" s="2"/>
      <c r="Q717" s="2"/>
      <c r="R717" s="2"/>
      <c r="S717" s="2"/>
      <c r="T717" s="2"/>
    </row>
    <row r="718" spans="1:20" ht="15.75" customHeight="1">
      <c r="A718" s="1"/>
      <c r="B718" s="2"/>
      <c r="C718" s="2"/>
      <c r="D718" s="2"/>
      <c r="E718" s="2"/>
      <c r="F718" s="2"/>
      <c r="G718" s="2"/>
      <c r="H718" s="2"/>
      <c r="I718" s="2"/>
      <c r="J718" s="2"/>
      <c r="K718" s="2"/>
      <c r="L718" s="2"/>
      <c r="M718" s="2"/>
      <c r="N718" s="2"/>
      <c r="O718" s="2"/>
      <c r="P718" s="2"/>
      <c r="Q718" s="2"/>
      <c r="R718" s="2"/>
      <c r="S718" s="2"/>
      <c r="T718" s="2"/>
    </row>
    <row r="719" spans="1:20" ht="15.75" customHeight="1">
      <c r="A719" s="1"/>
      <c r="B719" s="2"/>
      <c r="C719" s="2"/>
      <c r="D719" s="2"/>
      <c r="E719" s="2"/>
      <c r="F719" s="2"/>
      <c r="G719" s="2"/>
      <c r="H719" s="2"/>
      <c r="I719" s="2"/>
      <c r="J719" s="2"/>
      <c r="K719" s="2"/>
      <c r="L719" s="2"/>
      <c r="M719" s="2"/>
      <c r="N719" s="2"/>
      <c r="O719" s="2"/>
      <c r="P719" s="2"/>
      <c r="Q719" s="2"/>
      <c r="R719" s="2"/>
      <c r="S719" s="2"/>
      <c r="T719" s="2"/>
    </row>
    <row r="720" spans="1:20" ht="15.75" customHeight="1">
      <c r="A720" s="1"/>
      <c r="B720" s="2"/>
      <c r="C720" s="2"/>
      <c r="D720" s="2"/>
      <c r="E720" s="2"/>
      <c r="F720" s="2"/>
      <c r="G720" s="2"/>
      <c r="H720" s="2"/>
      <c r="I720" s="2"/>
      <c r="J720" s="2"/>
      <c r="K720" s="2"/>
      <c r="L720" s="2"/>
      <c r="M720" s="2"/>
      <c r="N720" s="2"/>
      <c r="O720" s="2"/>
      <c r="P720" s="2"/>
      <c r="Q720" s="2"/>
      <c r="R720" s="2"/>
      <c r="S720" s="2"/>
      <c r="T720" s="2"/>
    </row>
    <row r="721" spans="1:20" ht="15.75" customHeight="1">
      <c r="A721" s="1"/>
      <c r="B721" s="2"/>
      <c r="C721" s="2"/>
      <c r="D721" s="2"/>
      <c r="E721" s="2"/>
      <c r="F721" s="2"/>
      <c r="G721" s="2"/>
      <c r="H721" s="2"/>
      <c r="I721" s="2"/>
      <c r="J721" s="2"/>
      <c r="K721" s="2"/>
      <c r="L721" s="2"/>
      <c r="M721" s="2"/>
      <c r="N721" s="2"/>
      <c r="O721" s="2"/>
      <c r="P721" s="2"/>
      <c r="Q721" s="2"/>
      <c r="R721" s="2"/>
      <c r="S721" s="2"/>
      <c r="T721" s="2"/>
    </row>
    <row r="722" spans="1:20" ht="15.75" customHeight="1">
      <c r="A722" s="1"/>
      <c r="B722" s="2"/>
      <c r="C722" s="2"/>
      <c r="D722" s="2"/>
      <c r="E722" s="2"/>
      <c r="F722" s="2"/>
      <c r="G722" s="2"/>
      <c r="H722" s="2"/>
      <c r="I722" s="2"/>
      <c r="J722" s="2"/>
      <c r="K722" s="2"/>
      <c r="L722" s="2"/>
      <c r="M722" s="2"/>
      <c r="N722" s="2"/>
      <c r="O722" s="2"/>
      <c r="P722" s="2"/>
      <c r="Q722" s="2"/>
      <c r="R722" s="2"/>
      <c r="S722" s="2"/>
      <c r="T722" s="2"/>
    </row>
    <row r="723" spans="1:20" ht="15.75" customHeight="1">
      <c r="A723" s="1"/>
      <c r="B723" s="2"/>
      <c r="C723" s="2"/>
      <c r="D723" s="2"/>
      <c r="E723" s="2"/>
      <c r="F723" s="2"/>
      <c r="G723" s="2"/>
      <c r="H723" s="2"/>
      <c r="I723" s="2"/>
      <c r="J723" s="2"/>
      <c r="K723" s="2"/>
      <c r="L723" s="2"/>
      <c r="M723" s="2"/>
      <c r="N723" s="2"/>
      <c r="O723" s="2"/>
      <c r="P723" s="2"/>
      <c r="Q723" s="2"/>
      <c r="R723" s="2"/>
      <c r="S723" s="2"/>
      <c r="T723" s="2"/>
    </row>
    <row r="724" spans="1:20" ht="15.75" customHeight="1">
      <c r="A724" s="1"/>
      <c r="B724" s="2"/>
      <c r="C724" s="2"/>
      <c r="D724" s="2"/>
      <c r="E724" s="2"/>
      <c r="F724" s="2"/>
      <c r="G724" s="2"/>
      <c r="H724" s="2"/>
      <c r="I724" s="2"/>
      <c r="J724" s="2"/>
      <c r="K724" s="2"/>
      <c r="L724" s="2"/>
      <c r="M724" s="2"/>
      <c r="N724" s="2"/>
      <c r="O724" s="2"/>
      <c r="P724" s="2"/>
      <c r="Q724" s="2"/>
      <c r="R724" s="2"/>
      <c r="S724" s="2"/>
      <c r="T724" s="2"/>
    </row>
    <row r="725" spans="1:20" ht="15.75" customHeight="1">
      <c r="A725" s="1"/>
      <c r="B725" s="2"/>
      <c r="C725" s="2"/>
      <c r="D725" s="2"/>
      <c r="E725" s="2"/>
      <c r="F725" s="2"/>
      <c r="G725" s="2"/>
      <c r="H725" s="2"/>
      <c r="I725" s="2"/>
      <c r="J725" s="2"/>
      <c r="K725" s="2"/>
      <c r="L725" s="2"/>
      <c r="M725" s="2"/>
      <c r="N725" s="2"/>
      <c r="O725" s="2"/>
      <c r="P725" s="2"/>
      <c r="Q725" s="2"/>
      <c r="R725" s="2"/>
      <c r="S725" s="2"/>
      <c r="T725" s="2"/>
    </row>
    <row r="726" spans="1:20" ht="15.75" customHeight="1">
      <c r="A726" s="1"/>
      <c r="B726" s="2"/>
      <c r="C726" s="2"/>
      <c r="D726" s="2"/>
      <c r="E726" s="2"/>
      <c r="F726" s="2"/>
      <c r="G726" s="2"/>
      <c r="H726" s="2"/>
      <c r="I726" s="2"/>
      <c r="J726" s="2"/>
      <c r="K726" s="2"/>
      <c r="L726" s="2"/>
      <c r="M726" s="2"/>
      <c r="N726" s="2"/>
      <c r="O726" s="2"/>
      <c r="P726" s="2"/>
      <c r="Q726" s="2"/>
      <c r="R726" s="2"/>
      <c r="S726" s="2"/>
      <c r="T726" s="2"/>
    </row>
    <row r="727" spans="1:20" ht="15.75" customHeight="1">
      <c r="A727" s="1"/>
      <c r="B727" s="2"/>
      <c r="C727" s="2"/>
      <c r="D727" s="2"/>
      <c r="E727" s="2"/>
      <c r="F727" s="2"/>
      <c r="G727" s="2"/>
      <c r="H727" s="2"/>
      <c r="I727" s="2"/>
      <c r="J727" s="2"/>
      <c r="K727" s="2"/>
      <c r="L727" s="2"/>
      <c r="M727" s="2"/>
      <c r="N727" s="2"/>
      <c r="O727" s="2"/>
      <c r="P727" s="2"/>
      <c r="Q727" s="2"/>
      <c r="R727" s="2"/>
      <c r="S727" s="2"/>
      <c r="T727" s="2"/>
    </row>
    <row r="728" spans="1:20" ht="15.75" customHeight="1">
      <c r="A728" s="1"/>
      <c r="B728" s="2"/>
      <c r="C728" s="2"/>
      <c r="D728" s="2"/>
      <c r="E728" s="2"/>
      <c r="F728" s="2"/>
      <c r="G728" s="2"/>
      <c r="H728" s="2"/>
      <c r="I728" s="2"/>
      <c r="J728" s="2"/>
      <c r="K728" s="2"/>
      <c r="L728" s="2"/>
      <c r="M728" s="2"/>
      <c r="N728" s="2"/>
      <c r="O728" s="2"/>
      <c r="P728" s="2"/>
      <c r="Q728" s="2"/>
      <c r="R728" s="2"/>
      <c r="S728" s="2"/>
      <c r="T728" s="2"/>
    </row>
    <row r="729" spans="1:20" ht="15.75" customHeight="1">
      <c r="A729" s="1"/>
      <c r="B729" s="2"/>
      <c r="C729" s="2"/>
      <c r="D729" s="2"/>
      <c r="E729" s="2"/>
      <c r="F729" s="2"/>
      <c r="G729" s="2"/>
      <c r="H729" s="2"/>
      <c r="I729" s="2"/>
      <c r="J729" s="2"/>
      <c r="K729" s="2"/>
      <c r="L729" s="2"/>
      <c r="M729" s="2"/>
      <c r="N729" s="2"/>
      <c r="O729" s="2"/>
      <c r="P729" s="2"/>
      <c r="Q729" s="2"/>
      <c r="R729" s="2"/>
      <c r="S729" s="2"/>
      <c r="T729" s="2"/>
    </row>
    <row r="730" spans="1:20" ht="15.75" customHeight="1">
      <c r="A730" s="1"/>
      <c r="B730" s="2"/>
      <c r="C730" s="2"/>
      <c r="D730" s="2"/>
      <c r="E730" s="2"/>
      <c r="F730" s="2"/>
      <c r="G730" s="2"/>
      <c r="H730" s="2"/>
      <c r="I730" s="2"/>
      <c r="J730" s="2"/>
      <c r="K730" s="2"/>
      <c r="L730" s="2"/>
      <c r="M730" s="2"/>
      <c r="N730" s="2"/>
      <c r="O730" s="2"/>
      <c r="P730" s="2"/>
      <c r="Q730" s="2"/>
      <c r="R730" s="2"/>
      <c r="S730" s="2"/>
      <c r="T730" s="2"/>
    </row>
    <row r="731" spans="1:20" ht="15.75" customHeight="1">
      <c r="A731" s="1"/>
      <c r="B731" s="2"/>
      <c r="C731" s="2"/>
      <c r="D731" s="2"/>
      <c r="E731" s="2"/>
      <c r="F731" s="2"/>
      <c r="G731" s="2"/>
      <c r="H731" s="2"/>
      <c r="I731" s="2"/>
      <c r="J731" s="2"/>
      <c r="K731" s="2"/>
      <c r="L731" s="2"/>
      <c r="M731" s="2"/>
      <c r="N731" s="2"/>
      <c r="O731" s="2"/>
      <c r="P731" s="2"/>
      <c r="Q731" s="2"/>
      <c r="R731" s="2"/>
      <c r="S731" s="2"/>
      <c r="T731" s="2"/>
    </row>
    <row r="732" spans="1:20" ht="15.75" customHeight="1">
      <c r="A732" s="1"/>
      <c r="B732" s="2"/>
      <c r="C732" s="2"/>
      <c r="D732" s="2"/>
      <c r="E732" s="2"/>
      <c r="F732" s="2"/>
      <c r="G732" s="2"/>
      <c r="H732" s="2"/>
      <c r="I732" s="2"/>
      <c r="J732" s="2"/>
      <c r="K732" s="2"/>
      <c r="L732" s="2"/>
      <c r="M732" s="2"/>
      <c r="N732" s="2"/>
      <c r="O732" s="2"/>
      <c r="P732" s="2"/>
      <c r="Q732" s="2"/>
      <c r="R732" s="2"/>
      <c r="S732" s="2"/>
      <c r="T732" s="2"/>
    </row>
    <row r="733" spans="1:20" ht="15.75" customHeight="1">
      <c r="A733" s="1"/>
      <c r="B733" s="2"/>
      <c r="C733" s="2"/>
      <c r="D733" s="2"/>
      <c r="E733" s="2"/>
      <c r="F733" s="2"/>
      <c r="G733" s="2"/>
      <c r="H733" s="2"/>
      <c r="I733" s="2"/>
      <c r="J733" s="2"/>
      <c r="K733" s="2"/>
      <c r="L733" s="2"/>
      <c r="M733" s="2"/>
      <c r="N733" s="2"/>
      <c r="O733" s="2"/>
      <c r="P733" s="2"/>
      <c r="Q733" s="2"/>
      <c r="R733" s="2"/>
      <c r="S733" s="2"/>
      <c r="T733" s="2"/>
    </row>
    <row r="734" spans="1:20" ht="15.75" customHeight="1">
      <c r="A734" s="1"/>
      <c r="B734" s="2"/>
      <c r="C734" s="2"/>
      <c r="D734" s="2"/>
      <c r="E734" s="2"/>
      <c r="F734" s="2"/>
      <c r="G734" s="2"/>
      <c r="H734" s="2"/>
      <c r="I734" s="2"/>
      <c r="J734" s="2"/>
      <c r="K734" s="2"/>
      <c r="L734" s="2"/>
      <c r="M734" s="2"/>
      <c r="N734" s="2"/>
      <c r="O734" s="2"/>
      <c r="P734" s="2"/>
      <c r="Q734" s="2"/>
      <c r="R734" s="2"/>
      <c r="S734" s="2"/>
      <c r="T734" s="2"/>
    </row>
    <row r="735" spans="1:20" ht="15.75" customHeight="1">
      <c r="A735" s="1"/>
      <c r="B735" s="2"/>
      <c r="C735" s="2"/>
      <c r="D735" s="2"/>
      <c r="E735" s="2"/>
      <c r="F735" s="2"/>
      <c r="G735" s="2"/>
      <c r="H735" s="2"/>
      <c r="I735" s="2"/>
      <c r="J735" s="2"/>
      <c r="K735" s="2"/>
      <c r="L735" s="2"/>
      <c r="M735" s="2"/>
      <c r="N735" s="2"/>
      <c r="O735" s="2"/>
      <c r="P735" s="2"/>
      <c r="Q735" s="2"/>
      <c r="R735" s="2"/>
      <c r="S735" s="2"/>
      <c r="T735" s="2"/>
    </row>
    <row r="736" spans="1:20" ht="15.75" customHeight="1">
      <c r="A736" s="1"/>
      <c r="B736" s="2"/>
      <c r="C736" s="2"/>
      <c r="D736" s="2"/>
      <c r="E736" s="2"/>
      <c r="F736" s="2"/>
      <c r="G736" s="2"/>
      <c r="H736" s="2"/>
      <c r="I736" s="2"/>
      <c r="J736" s="2"/>
      <c r="K736" s="2"/>
      <c r="L736" s="2"/>
      <c r="M736" s="2"/>
      <c r="N736" s="2"/>
      <c r="O736" s="2"/>
      <c r="P736" s="2"/>
      <c r="Q736" s="2"/>
      <c r="R736" s="2"/>
      <c r="S736" s="2"/>
      <c r="T736" s="2"/>
    </row>
    <row r="737" spans="1:20" ht="15.75" customHeight="1">
      <c r="A737" s="1"/>
      <c r="B737" s="2"/>
      <c r="C737" s="2"/>
      <c r="D737" s="2"/>
      <c r="E737" s="2"/>
      <c r="F737" s="2"/>
      <c r="G737" s="2"/>
      <c r="H737" s="2"/>
      <c r="I737" s="2"/>
      <c r="J737" s="2"/>
      <c r="K737" s="2"/>
      <c r="L737" s="2"/>
      <c r="M737" s="2"/>
      <c r="N737" s="2"/>
      <c r="O737" s="2"/>
      <c r="P737" s="2"/>
      <c r="Q737" s="2"/>
      <c r="R737" s="2"/>
      <c r="S737" s="2"/>
      <c r="T737" s="2"/>
    </row>
    <row r="738" spans="1:20" ht="15.75" customHeight="1">
      <c r="A738" s="1"/>
      <c r="B738" s="2"/>
      <c r="C738" s="2"/>
      <c r="D738" s="2"/>
      <c r="E738" s="2"/>
      <c r="F738" s="2"/>
      <c r="G738" s="2"/>
      <c r="H738" s="2"/>
      <c r="I738" s="2"/>
      <c r="J738" s="2"/>
      <c r="K738" s="2"/>
      <c r="L738" s="2"/>
      <c r="M738" s="2"/>
      <c r="N738" s="2"/>
      <c r="O738" s="2"/>
      <c r="P738" s="2"/>
      <c r="Q738" s="2"/>
      <c r="R738" s="2"/>
      <c r="S738" s="2"/>
      <c r="T738" s="2"/>
    </row>
    <row r="739" spans="1:20" ht="15.75" customHeight="1">
      <c r="A739" s="1"/>
      <c r="B739" s="2"/>
      <c r="C739" s="2"/>
      <c r="D739" s="2"/>
      <c r="E739" s="2"/>
      <c r="F739" s="2"/>
      <c r="G739" s="2"/>
      <c r="H739" s="2"/>
      <c r="I739" s="2"/>
      <c r="J739" s="2"/>
      <c r="K739" s="2"/>
      <c r="L739" s="2"/>
      <c r="M739" s="2"/>
      <c r="N739" s="2"/>
      <c r="O739" s="2"/>
      <c r="P739" s="2"/>
      <c r="Q739" s="2"/>
      <c r="R739" s="2"/>
      <c r="S739" s="2"/>
      <c r="T739" s="2"/>
    </row>
    <row r="740" spans="1:20" ht="15.75" customHeight="1">
      <c r="A740" s="1"/>
      <c r="B740" s="2"/>
      <c r="C740" s="2"/>
      <c r="D740" s="2"/>
      <c r="E740" s="2"/>
      <c r="F740" s="2"/>
      <c r="G740" s="2"/>
      <c r="H740" s="2"/>
      <c r="I740" s="2"/>
      <c r="J740" s="2"/>
      <c r="K740" s="2"/>
      <c r="L740" s="2"/>
      <c r="M740" s="2"/>
      <c r="N740" s="2"/>
      <c r="O740" s="2"/>
      <c r="P740" s="2"/>
      <c r="Q740" s="2"/>
      <c r="R740" s="2"/>
      <c r="S740" s="2"/>
      <c r="T740" s="2"/>
    </row>
    <row r="741" spans="1:20" ht="15.75" customHeight="1">
      <c r="A741" s="1"/>
      <c r="B741" s="2"/>
      <c r="C741" s="2"/>
      <c r="D741" s="2"/>
      <c r="E741" s="2"/>
      <c r="F741" s="2"/>
      <c r="G741" s="2"/>
      <c r="H741" s="2"/>
      <c r="I741" s="2"/>
      <c r="J741" s="2"/>
      <c r="K741" s="2"/>
      <c r="L741" s="2"/>
      <c r="M741" s="2"/>
      <c r="N741" s="2"/>
      <c r="O741" s="2"/>
      <c r="P741" s="2"/>
      <c r="Q741" s="2"/>
      <c r="R741" s="2"/>
      <c r="S741" s="2"/>
      <c r="T741" s="2"/>
    </row>
    <row r="742" spans="1:20" ht="15.75" customHeight="1">
      <c r="A742" s="1"/>
      <c r="B742" s="2"/>
      <c r="C742" s="2"/>
      <c r="D742" s="2"/>
      <c r="E742" s="2"/>
      <c r="F742" s="2"/>
      <c r="G742" s="2"/>
      <c r="H742" s="2"/>
      <c r="I742" s="2"/>
      <c r="J742" s="2"/>
      <c r="K742" s="2"/>
      <c r="L742" s="2"/>
      <c r="M742" s="2"/>
      <c r="N742" s="2"/>
      <c r="O742" s="2"/>
      <c r="P742" s="2"/>
      <c r="Q742" s="2"/>
      <c r="R742" s="2"/>
      <c r="S742" s="2"/>
      <c r="T742" s="2"/>
    </row>
    <row r="743" spans="1:20" ht="15.75" customHeight="1">
      <c r="A743" s="1"/>
      <c r="B743" s="2"/>
      <c r="C743" s="2"/>
      <c r="D743" s="2"/>
      <c r="E743" s="2"/>
      <c r="F743" s="2"/>
      <c r="G743" s="2"/>
      <c r="H743" s="2"/>
      <c r="I743" s="2"/>
      <c r="J743" s="2"/>
      <c r="K743" s="2"/>
      <c r="L743" s="2"/>
      <c r="M743" s="2"/>
      <c r="N743" s="2"/>
      <c r="O743" s="2"/>
      <c r="P743" s="2"/>
      <c r="Q743" s="2"/>
      <c r="R743" s="2"/>
      <c r="S743" s="2"/>
      <c r="T743" s="2"/>
    </row>
    <row r="744" spans="1:20" ht="15.75" customHeight="1">
      <c r="A744" s="1"/>
      <c r="B744" s="2"/>
      <c r="C744" s="2"/>
      <c r="D744" s="2"/>
      <c r="E744" s="2"/>
      <c r="F744" s="2"/>
      <c r="G744" s="2"/>
      <c r="H744" s="2"/>
      <c r="I744" s="2"/>
      <c r="J744" s="2"/>
      <c r="K744" s="2"/>
      <c r="L744" s="2"/>
      <c r="M744" s="2"/>
      <c r="N744" s="2"/>
      <c r="O744" s="2"/>
      <c r="P744" s="2"/>
      <c r="Q744" s="2"/>
      <c r="R744" s="2"/>
      <c r="S744" s="2"/>
      <c r="T744" s="2"/>
    </row>
    <row r="745" spans="1:20" ht="15.75" customHeight="1">
      <c r="A745" s="1"/>
      <c r="B745" s="2"/>
      <c r="C745" s="2"/>
      <c r="D745" s="2"/>
      <c r="E745" s="2"/>
      <c r="F745" s="2"/>
      <c r="G745" s="2"/>
      <c r="H745" s="2"/>
      <c r="I745" s="2"/>
      <c r="J745" s="2"/>
      <c r="K745" s="2"/>
      <c r="L745" s="2"/>
      <c r="M745" s="2"/>
      <c r="N745" s="2"/>
      <c r="O745" s="2"/>
      <c r="P745" s="2"/>
      <c r="Q745" s="2"/>
      <c r="R745" s="2"/>
      <c r="S745" s="2"/>
      <c r="T745" s="2"/>
    </row>
    <row r="746" spans="1:20" ht="15.75" customHeight="1">
      <c r="A746" s="1"/>
      <c r="B746" s="2"/>
      <c r="C746" s="2"/>
      <c r="D746" s="2"/>
      <c r="E746" s="2"/>
      <c r="F746" s="2"/>
      <c r="G746" s="2"/>
      <c r="H746" s="2"/>
      <c r="I746" s="2"/>
      <c r="J746" s="2"/>
      <c r="K746" s="2"/>
      <c r="L746" s="2"/>
      <c r="M746" s="2"/>
      <c r="N746" s="2"/>
      <c r="O746" s="2"/>
      <c r="P746" s="2"/>
      <c r="Q746" s="2"/>
      <c r="R746" s="2"/>
      <c r="S746" s="2"/>
      <c r="T746" s="2"/>
    </row>
    <row r="747" spans="1:20" ht="15.75" customHeight="1">
      <c r="A747" s="1"/>
      <c r="B747" s="2"/>
      <c r="C747" s="2"/>
      <c r="D747" s="2"/>
      <c r="E747" s="2"/>
      <c r="F747" s="2"/>
      <c r="G747" s="2"/>
      <c r="H747" s="2"/>
      <c r="I747" s="2"/>
      <c r="J747" s="2"/>
      <c r="K747" s="2"/>
      <c r="L747" s="2"/>
      <c r="M747" s="2"/>
      <c r="N747" s="2"/>
      <c r="O747" s="2"/>
      <c r="P747" s="2"/>
      <c r="Q747" s="2"/>
      <c r="R747" s="2"/>
      <c r="S747" s="2"/>
      <c r="T747" s="2"/>
    </row>
    <row r="748" spans="1:20" ht="15.75" customHeight="1">
      <c r="A748" s="1"/>
      <c r="B748" s="2"/>
      <c r="C748" s="2"/>
      <c r="D748" s="2"/>
      <c r="E748" s="2"/>
      <c r="F748" s="2"/>
      <c r="G748" s="2"/>
      <c r="H748" s="2"/>
      <c r="I748" s="2"/>
      <c r="J748" s="2"/>
      <c r="K748" s="2"/>
      <c r="L748" s="2"/>
      <c r="M748" s="2"/>
      <c r="N748" s="2"/>
      <c r="O748" s="2"/>
      <c r="P748" s="2"/>
      <c r="Q748" s="2"/>
      <c r="R748" s="2"/>
      <c r="S748" s="2"/>
      <c r="T748" s="2"/>
    </row>
    <row r="749" spans="1:20" ht="15.75" customHeight="1">
      <c r="A749" s="1"/>
      <c r="B749" s="2"/>
      <c r="C749" s="2"/>
      <c r="D749" s="2"/>
      <c r="E749" s="2"/>
      <c r="F749" s="2"/>
      <c r="G749" s="2"/>
      <c r="H749" s="2"/>
      <c r="I749" s="2"/>
      <c r="J749" s="2"/>
      <c r="K749" s="2"/>
      <c r="L749" s="2"/>
      <c r="M749" s="2"/>
      <c r="N749" s="2"/>
      <c r="O749" s="2"/>
      <c r="P749" s="2"/>
      <c r="Q749" s="2"/>
      <c r="R749" s="2"/>
      <c r="S749" s="2"/>
      <c r="T749" s="2"/>
    </row>
    <row r="750" spans="1:20" ht="15.75" customHeight="1">
      <c r="A750" s="1"/>
      <c r="B750" s="2"/>
      <c r="C750" s="2"/>
      <c r="D750" s="2"/>
      <c r="E750" s="2"/>
      <c r="F750" s="2"/>
      <c r="G750" s="2"/>
      <c r="H750" s="2"/>
      <c r="I750" s="2"/>
      <c r="J750" s="2"/>
      <c r="K750" s="2"/>
      <c r="L750" s="2"/>
      <c r="M750" s="2"/>
      <c r="N750" s="2"/>
      <c r="O750" s="2"/>
      <c r="P750" s="2"/>
      <c r="Q750" s="2"/>
      <c r="R750" s="2"/>
      <c r="S750" s="2"/>
      <c r="T750" s="2"/>
    </row>
    <row r="751" spans="1:20" ht="15.75" customHeight="1">
      <c r="A751" s="1"/>
      <c r="B751" s="2"/>
      <c r="C751" s="2"/>
      <c r="D751" s="2"/>
      <c r="E751" s="2"/>
      <c r="F751" s="2"/>
      <c r="G751" s="2"/>
      <c r="H751" s="2"/>
      <c r="I751" s="2"/>
      <c r="J751" s="2"/>
      <c r="K751" s="2"/>
      <c r="L751" s="2"/>
      <c r="M751" s="2"/>
      <c r="N751" s="2"/>
      <c r="O751" s="2"/>
      <c r="P751" s="2"/>
      <c r="Q751" s="2"/>
      <c r="R751" s="2"/>
      <c r="S751" s="2"/>
      <c r="T751" s="2"/>
    </row>
    <row r="752" spans="1:20" ht="15.75" customHeight="1">
      <c r="A752" s="1"/>
      <c r="B752" s="2"/>
      <c r="C752" s="2"/>
      <c r="D752" s="2"/>
      <c r="E752" s="2"/>
      <c r="F752" s="2"/>
      <c r="G752" s="2"/>
      <c r="H752" s="2"/>
      <c r="I752" s="2"/>
      <c r="J752" s="2"/>
      <c r="K752" s="2"/>
      <c r="L752" s="2"/>
      <c r="M752" s="2"/>
      <c r="N752" s="2"/>
      <c r="O752" s="2"/>
      <c r="P752" s="2"/>
      <c r="Q752" s="2"/>
      <c r="R752" s="2"/>
      <c r="S752" s="2"/>
      <c r="T752" s="2"/>
    </row>
    <row r="753" spans="1:20" ht="15.75" customHeight="1">
      <c r="A753" s="1"/>
      <c r="B753" s="2"/>
      <c r="C753" s="2"/>
      <c r="D753" s="2"/>
      <c r="E753" s="2"/>
      <c r="F753" s="2"/>
      <c r="G753" s="2"/>
      <c r="H753" s="2"/>
      <c r="I753" s="2"/>
      <c r="J753" s="2"/>
      <c r="K753" s="2"/>
      <c r="L753" s="2"/>
      <c r="M753" s="2"/>
      <c r="N753" s="2"/>
      <c r="O753" s="2"/>
      <c r="P753" s="2"/>
      <c r="Q753" s="2"/>
      <c r="R753" s="2"/>
      <c r="S753" s="2"/>
      <c r="T753" s="2"/>
    </row>
    <row r="754" spans="1:20" ht="15.75" customHeight="1">
      <c r="A754" s="1"/>
      <c r="B754" s="2"/>
      <c r="C754" s="2"/>
      <c r="D754" s="2"/>
      <c r="E754" s="2"/>
      <c r="F754" s="2"/>
      <c r="G754" s="2"/>
      <c r="H754" s="2"/>
      <c r="I754" s="2"/>
      <c r="J754" s="2"/>
      <c r="K754" s="2"/>
      <c r="L754" s="2"/>
      <c r="M754" s="2"/>
      <c r="N754" s="2"/>
      <c r="O754" s="2"/>
      <c r="P754" s="2"/>
      <c r="Q754" s="2"/>
      <c r="R754" s="2"/>
      <c r="S754" s="2"/>
      <c r="T754" s="2"/>
    </row>
    <row r="755" spans="1:20" ht="15.75" customHeight="1">
      <c r="A755" s="1"/>
      <c r="B755" s="2"/>
      <c r="C755" s="2"/>
      <c r="D755" s="2"/>
      <c r="E755" s="2"/>
      <c r="F755" s="2"/>
      <c r="G755" s="2"/>
      <c r="H755" s="2"/>
      <c r="I755" s="2"/>
      <c r="J755" s="2"/>
      <c r="K755" s="2"/>
      <c r="L755" s="2"/>
      <c r="M755" s="2"/>
      <c r="N755" s="2"/>
      <c r="O755" s="2"/>
      <c r="P755" s="2"/>
      <c r="Q755" s="2"/>
      <c r="R755" s="2"/>
      <c r="S755" s="2"/>
      <c r="T755" s="2"/>
    </row>
    <row r="756" spans="1:20" ht="15.75" customHeight="1">
      <c r="A756" s="1"/>
      <c r="B756" s="2"/>
      <c r="C756" s="2"/>
      <c r="D756" s="2"/>
      <c r="E756" s="2"/>
      <c r="F756" s="2"/>
      <c r="G756" s="2"/>
      <c r="H756" s="2"/>
      <c r="I756" s="2"/>
      <c r="J756" s="2"/>
      <c r="K756" s="2"/>
      <c r="L756" s="2"/>
      <c r="M756" s="2"/>
      <c r="N756" s="2"/>
      <c r="O756" s="2"/>
      <c r="P756" s="2"/>
      <c r="Q756" s="2"/>
      <c r="R756" s="2"/>
      <c r="S756" s="2"/>
      <c r="T756" s="2"/>
    </row>
    <row r="757" spans="1:20" ht="15.75" customHeight="1">
      <c r="A757" s="1"/>
      <c r="B757" s="2"/>
      <c r="C757" s="2"/>
      <c r="D757" s="2"/>
      <c r="E757" s="2"/>
      <c r="F757" s="2"/>
      <c r="G757" s="2"/>
      <c r="H757" s="2"/>
      <c r="I757" s="2"/>
      <c r="J757" s="2"/>
      <c r="K757" s="2"/>
      <c r="L757" s="2"/>
      <c r="M757" s="2"/>
      <c r="N757" s="2"/>
      <c r="O757" s="2"/>
      <c r="P757" s="2"/>
      <c r="Q757" s="2"/>
      <c r="R757" s="2"/>
      <c r="S757" s="2"/>
      <c r="T757" s="2"/>
    </row>
    <row r="758" spans="1:20" ht="15.75" customHeight="1">
      <c r="A758" s="1"/>
      <c r="B758" s="2"/>
      <c r="C758" s="2"/>
      <c r="D758" s="2"/>
      <c r="E758" s="2"/>
      <c r="F758" s="2"/>
      <c r="G758" s="2"/>
      <c r="H758" s="2"/>
      <c r="I758" s="2"/>
      <c r="J758" s="2"/>
      <c r="K758" s="2"/>
      <c r="L758" s="2"/>
      <c r="M758" s="2"/>
      <c r="N758" s="2"/>
      <c r="O758" s="2"/>
      <c r="P758" s="2"/>
      <c r="Q758" s="2"/>
      <c r="R758" s="2"/>
      <c r="S758" s="2"/>
      <c r="T758" s="2"/>
    </row>
    <row r="759" spans="1:20" ht="15.75" customHeight="1">
      <c r="A759" s="1"/>
      <c r="B759" s="2"/>
      <c r="C759" s="2"/>
      <c r="D759" s="2"/>
      <c r="E759" s="2"/>
      <c r="F759" s="2"/>
      <c r="G759" s="2"/>
      <c r="H759" s="2"/>
      <c r="I759" s="2"/>
      <c r="J759" s="2"/>
      <c r="K759" s="2"/>
      <c r="L759" s="2"/>
      <c r="M759" s="2"/>
      <c r="N759" s="2"/>
      <c r="O759" s="2"/>
      <c r="P759" s="2"/>
      <c r="Q759" s="2"/>
      <c r="R759" s="2"/>
      <c r="S759" s="2"/>
      <c r="T759" s="2"/>
    </row>
    <row r="760" spans="1:20" ht="15.75" customHeight="1">
      <c r="A760" s="1"/>
      <c r="B760" s="2"/>
      <c r="C760" s="2"/>
      <c r="D760" s="2"/>
      <c r="E760" s="2"/>
      <c r="F760" s="2"/>
      <c r="G760" s="2"/>
      <c r="H760" s="2"/>
      <c r="I760" s="2"/>
      <c r="J760" s="2"/>
      <c r="K760" s="2"/>
      <c r="L760" s="2"/>
      <c r="M760" s="2"/>
      <c r="N760" s="2"/>
      <c r="O760" s="2"/>
      <c r="P760" s="2"/>
      <c r="Q760" s="2"/>
      <c r="R760" s="2"/>
      <c r="S760" s="2"/>
      <c r="T760" s="2"/>
    </row>
    <row r="761" spans="1:20" ht="15.75" customHeight="1">
      <c r="A761" s="1"/>
      <c r="B761" s="2"/>
      <c r="C761" s="2"/>
      <c r="D761" s="2"/>
      <c r="E761" s="2"/>
      <c r="F761" s="2"/>
      <c r="G761" s="2"/>
      <c r="H761" s="2"/>
      <c r="I761" s="2"/>
      <c r="J761" s="2"/>
      <c r="K761" s="2"/>
      <c r="L761" s="2"/>
      <c r="M761" s="2"/>
      <c r="N761" s="2"/>
      <c r="O761" s="2"/>
      <c r="P761" s="2"/>
      <c r="Q761" s="2"/>
      <c r="R761" s="2"/>
      <c r="S761" s="2"/>
      <c r="T761" s="2"/>
    </row>
    <row r="762" spans="1:20" ht="15.75" customHeight="1">
      <c r="A762" s="1"/>
      <c r="B762" s="2"/>
      <c r="C762" s="2"/>
      <c r="D762" s="2"/>
      <c r="E762" s="2"/>
      <c r="F762" s="2"/>
      <c r="G762" s="2"/>
      <c r="H762" s="2"/>
      <c r="I762" s="2"/>
      <c r="J762" s="2"/>
      <c r="K762" s="2"/>
      <c r="L762" s="2"/>
      <c r="M762" s="2"/>
      <c r="N762" s="2"/>
      <c r="O762" s="2"/>
      <c r="P762" s="2"/>
      <c r="Q762" s="2"/>
      <c r="R762" s="2"/>
      <c r="S762" s="2"/>
      <c r="T762" s="2"/>
    </row>
    <row r="763" spans="1:20" ht="15.75" customHeight="1">
      <c r="A763" s="1"/>
      <c r="B763" s="2"/>
      <c r="C763" s="2"/>
      <c r="D763" s="2"/>
      <c r="E763" s="2"/>
      <c r="F763" s="2"/>
      <c r="G763" s="2"/>
      <c r="H763" s="2"/>
      <c r="I763" s="2"/>
      <c r="J763" s="2"/>
      <c r="K763" s="2"/>
      <c r="L763" s="2"/>
      <c r="M763" s="2"/>
      <c r="N763" s="2"/>
      <c r="O763" s="2"/>
      <c r="P763" s="2"/>
      <c r="Q763" s="2"/>
      <c r="R763" s="2"/>
      <c r="S763" s="2"/>
      <c r="T763" s="2"/>
    </row>
    <row r="764" spans="1:20" ht="15.75" customHeight="1">
      <c r="A764" s="1"/>
      <c r="B764" s="2"/>
      <c r="C764" s="2"/>
      <c r="D764" s="2"/>
      <c r="E764" s="2"/>
      <c r="F764" s="2"/>
      <c r="G764" s="2"/>
      <c r="H764" s="2"/>
      <c r="I764" s="2"/>
      <c r="J764" s="2"/>
      <c r="K764" s="2"/>
      <c r="L764" s="2"/>
      <c r="M764" s="2"/>
      <c r="N764" s="2"/>
      <c r="O764" s="2"/>
      <c r="P764" s="2"/>
      <c r="Q764" s="2"/>
      <c r="R764" s="2"/>
      <c r="S764" s="2"/>
      <c r="T764" s="2"/>
    </row>
    <row r="765" spans="1:20" ht="15.75" customHeight="1">
      <c r="A765" s="1"/>
      <c r="B765" s="2"/>
      <c r="C765" s="2"/>
      <c r="D765" s="2"/>
      <c r="E765" s="2"/>
      <c r="F765" s="2"/>
      <c r="G765" s="2"/>
      <c r="H765" s="2"/>
      <c r="I765" s="2"/>
      <c r="J765" s="2"/>
      <c r="K765" s="2"/>
      <c r="L765" s="2"/>
      <c r="M765" s="2"/>
      <c r="N765" s="2"/>
      <c r="O765" s="2"/>
      <c r="P765" s="2"/>
      <c r="Q765" s="2"/>
      <c r="R765" s="2"/>
      <c r="S765" s="2"/>
      <c r="T765" s="2"/>
    </row>
    <row r="766" spans="1:20" ht="15.75" customHeight="1">
      <c r="A766" s="1"/>
      <c r="B766" s="2"/>
      <c r="C766" s="2"/>
      <c r="D766" s="2"/>
      <c r="E766" s="2"/>
      <c r="F766" s="2"/>
      <c r="G766" s="2"/>
      <c r="H766" s="2"/>
      <c r="I766" s="2"/>
      <c r="J766" s="2"/>
      <c r="K766" s="2"/>
      <c r="L766" s="2"/>
      <c r="M766" s="2"/>
      <c r="N766" s="2"/>
      <c r="O766" s="2"/>
      <c r="P766" s="2"/>
      <c r="Q766" s="2"/>
      <c r="R766" s="2"/>
      <c r="S766" s="2"/>
      <c r="T766" s="2"/>
    </row>
    <row r="767" spans="1:20" ht="15.75" customHeight="1">
      <c r="A767" s="1"/>
      <c r="B767" s="2"/>
      <c r="C767" s="2"/>
      <c r="D767" s="2"/>
      <c r="E767" s="2"/>
      <c r="F767" s="2"/>
      <c r="G767" s="2"/>
      <c r="H767" s="2"/>
      <c r="I767" s="2"/>
      <c r="J767" s="2"/>
      <c r="K767" s="2"/>
      <c r="L767" s="2"/>
      <c r="M767" s="2"/>
      <c r="N767" s="2"/>
      <c r="O767" s="2"/>
      <c r="P767" s="2"/>
      <c r="Q767" s="2"/>
      <c r="R767" s="2"/>
      <c r="S767" s="2"/>
      <c r="T767" s="2"/>
    </row>
    <row r="768" spans="1:20" ht="15.75" customHeight="1">
      <c r="A768" s="1"/>
      <c r="B768" s="2"/>
      <c r="C768" s="2"/>
      <c r="D768" s="2"/>
      <c r="E768" s="2"/>
      <c r="F768" s="2"/>
      <c r="G768" s="2"/>
      <c r="H768" s="2"/>
      <c r="I768" s="2"/>
      <c r="J768" s="2"/>
      <c r="K768" s="2"/>
      <c r="L768" s="2"/>
      <c r="M768" s="2"/>
      <c r="N768" s="2"/>
      <c r="O768" s="2"/>
      <c r="P768" s="2"/>
      <c r="Q768" s="2"/>
      <c r="R768" s="2"/>
      <c r="S768" s="2"/>
      <c r="T768" s="2"/>
    </row>
    <row r="769" spans="1:20" ht="15.75" customHeight="1">
      <c r="A769" s="1"/>
      <c r="B769" s="2"/>
      <c r="C769" s="2"/>
      <c r="D769" s="2"/>
      <c r="E769" s="2"/>
      <c r="F769" s="2"/>
      <c r="G769" s="2"/>
      <c r="H769" s="2"/>
      <c r="I769" s="2"/>
      <c r="J769" s="2"/>
      <c r="K769" s="2"/>
      <c r="L769" s="2"/>
      <c r="M769" s="2"/>
      <c r="N769" s="2"/>
      <c r="O769" s="2"/>
      <c r="P769" s="2"/>
      <c r="Q769" s="2"/>
      <c r="R769" s="2"/>
      <c r="S769" s="2"/>
      <c r="T769" s="2"/>
    </row>
    <row r="770" spans="1:20" ht="15.75" customHeight="1">
      <c r="A770" s="1"/>
      <c r="B770" s="2"/>
      <c r="C770" s="2"/>
      <c r="D770" s="2"/>
      <c r="E770" s="2"/>
      <c r="F770" s="2"/>
      <c r="G770" s="2"/>
      <c r="H770" s="2"/>
      <c r="I770" s="2"/>
      <c r="J770" s="2"/>
      <c r="K770" s="2"/>
      <c r="L770" s="2"/>
      <c r="M770" s="2"/>
      <c r="N770" s="2"/>
      <c r="O770" s="2"/>
      <c r="P770" s="2"/>
      <c r="Q770" s="2"/>
      <c r="R770" s="2"/>
      <c r="S770" s="2"/>
      <c r="T770" s="2"/>
    </row>
    <row r="771" spans="1:20" ht="15.75" customHeight="1">
      <c r="A771" s="1"/>
      <c r="B771" s="2"/>
      <c r="C771" s="2"/>
      <c r="D771" s="2"/>
      <c r="E771" s="2"/>
      <c r="F771" s="2"/>
      <c r="G771" s="2"/>
      <c r="H771" s="2"/>
      <c r="I771" s="2"/>
      <c r="J771" s="2"/>
      <c r="K771" s="2"/>
      <c r="L771" s="2"/>
      <c r="M771" s="2"/>
      <c r="N771" s="2"/>
      <c r="O771" s="2"/>
      <c r="P771" s="2"/>
      <c r="Q771" s="2"/>
      <c r="R771" s="2"/>
      <c r="S771" s="2"/>
      <c r="T771" s="2"/>
    </row>
    <row r="772" spans="1:20" ht="15.75" customHeight="1">
      <c r="A772" s="1"/>
      <c r="B772" s="2"/>
      <c r="C772" s="2"/>
      <c r="D772" s="2"/>
      <c r="E772" s="2"/>
      <c r="F772" s="2"/>
      <c r="G772" s="2"/>
      <c r="H772" s="2"/>
      <c r="I772" s="2"/>
      <c r="J772" s="2"/>
      <c r="K772" s="2"/>
      <c r="L772" s="2"/>
      <c r="M772" s="2"/>
      <c r="N772" s="2"/>
      <c r="O772" s="2"/>
      <c r="P772" s="2"/>
      <c r="Q772" s="2"/>
      <c r="R772" s="2"/>
      <c r="S772" s="2"/>
      <c r="T772" s="2"/>
    </row>
    <row r="773" spans="1:20" ht="15.75" customHeight="1">
      <c r="A773" s="1"/>
      <c r="B773" s="2"/>
      <c r="C773" s="2"/>
      <c r="D773" s="2"/>
      <c r="E773" s="2"/>
      <c r="F773" s="2"/>
      <c r="G773" s="2"/>
      <c r="H773" s="2"/>
      <c r="I773" s="2"/>
      <c r="J773" s="2"/>
      <c r="K773" s="2"/>
      <c r="L773" s="2"/>
      <c r="M773" s="2"/>
      <c r="N773" s="2"/>
      <c r="O773" s="2"/>
      <c r="P773" s="2"/>
      <c r="Q773" s="2"/>
      <c r="R773" s="2"/>
      <c r="S773" s="2"/>
      <c r="T773" s="2"/>
    </row>
    <row r="774" spans="1:20" ht="15.75" customHeight="1">
      <c r="A774" s="1"/>
      <c r="B774" s="2"/>
      <c r="C774" s="2"/>
      <c r="D774" s="2"/>
      <c r="E774" s="2"/>
      <c r="F774" s="2"/>
      <c r="G774" s="2"/>
      <c r="H774" s="2"/>
      <c r="I774" s="2"/>
      <c r="J774" s="2"/>
      <c r="K774" s="2"/>
      <c r="L774" s="2"/>
      <c r="M774" s="2"/>
      <c r="N774" s="2"/>
      <c r="O774" s="2"/>
      <c r="P774" s="2"/>
      <c r="Q774" s="2"/>
      <c r="R774" s="2"/>
      <c r="S774" s="2"/>
      <c r="T774" s="2"/>
    </row>
    <row r="775" spans="1:20" ht="15.75" customHeight="1">
      <c r="A775" s="1"/>
      <c r="B775" s="2"/>
      <c r="C775" s="2"/>
      <c r="D775" s="2"/>
      <c r="E775" s="2"/>
      <c r="F775" s="2"/>
      <c r="G775" s="2"/>
      <c r="H775" s="2"/>
      <c r="I775" s="2"/>
      <c r="J775" s="2"/>
      <c r="K775" s="2"/>
      <c r="L775" s="2"/>
      <c r="M775" s="2"/>
      <c r="N775" s="2"/>
      <c r="O775" s="2"/>
      <c r="P775" s="2"/>
      <c r="Q775" s="2"/>
      <c r="R775" s="2"/>
      <c r="S775" s="2"/>
      <c r="T775" s="2"/>
    </row>
    <row r="776" spans="1:20" ht="15.75" customHeight="1">
      <c r="A776" s="1"/>
      <c r="B776" s="2"/>
      <c r="C776" s="2"/>
      <c r="D776" s="2"/>
      <c r="E776" s="2"/>
      <c r="F776" s="2"/>
      <c r="G776" s="2"/>
      <c r="H776" s="2"/>
      <c r="I776" s="2"/>
      <c r="J776" s="2"/>
      <c r="K776" s="2"/>
      <c r="L776" s="2"/>
      <c r="M776" s="2"/>
      <c r="N776" s="2"/>
      <c r="O776" s="2"/>
      <c r="P776" s="2"/>
      <c r="Q776" s="2"/>
      <c r="R776" s="2"/>
      <c r="S776" s="2"/>
      <c r="T776" s="2"/>
    </row>
    <row r="777" spans="1:20" ht="15.75" customHeight="1">
      <c r="A777" s="1"/>
      <c r="B777" s="2"/>
      <c r="C777" s="2"/>
      <c r="D777" s="2"/>
      <c r="E777" s="2"/>
      <c r="F777" s="2"/>
      <c r="G777" s="2"/>
      <c r="H777" s="2"/>
      <c r="I777" s="2"/>
      <c r="J777" s="2"/>
      <c r="K777" s="2"/>
      <c r="L777" s="2"/>
      <c r="M777" s="2"/>
      <c r="N777" s="2"/>
      <c r="O777" s="2"/>
      <c r="P777" s="2"/>
      <c r="Q777" s="2"/>
      <c r="R777" s="2"/>
      <c r="S777" s="2"/>
      <c r="T777" s="2"/>
    </row>
    <row r="778" spans="1:20" ht="15.75" customHeight="1">
      <c r="A778" s="1"/>
      <c r="B778" s="2"/>
      <c r="C778" s="2"/>
      <c r="D778" s="2"/>
      <c r="E778" s="2"/>
      <c r="F778" s="2"/>
      <c r="G778" s="2"/>
      <c r="H778" s="2"/>
      <c r="I778" s="2"/>
      <c r="J778" s="2"/>
      <c r="K778" s="2"/>
      <c r="L778" s="2"/>
      <c r="M778" s="2"/>
      <c r="N778" s="2"/>
      <c r="O778" s="2"/>
      <c r="P778" s="2"/>
      <c r="Q778" s="2"/>
      <c r="R778" s="2"/>
      <c r="S778" s="2"/>
      <c r="T778" s="2"/>
    </row>
    <row r="779" spans="1:20" ht="15.75" customHeight="1">
      <c r="A779" s="1"/>
      <c r="B779" s="2"/>
      <c r="C779" s="2"/>
      <c r="D779" s="2"/>
      <c r="E779" s="2"/>
      <c r="F779" s="2"/>
      <c r="G779" s="2"/>
      <c r="H779" s="2"/>
      <c r="I779" s="2"/>
      <c r="J779" s="2"/>
      <c r="K779" s="2"/>
      <c r="L779" s="2"/>
      <c r="M779" s="2"/>
      <c r="N779" s="2"/>
      <c r="O779" s="2"/>
      <c r="P779" s="2"/>
      <c r="Q779" s="2"/>
      <c r="R779" s="2"/>
      <c r="S779" s="2"/>
      <c r="T779" s="2"/>
    </row>
    <row r="780" spans="1:20" ht="15.75" customHeight="1">
      <c r="A780" s="1"/>
      <c r="B780" s="2"/>
      <c r="C780" s="2"/>
      <c r="D780" s="2"/>
      <c r="E780" s="2"/>
      <c r="F780" s="2"/>
      <c r="G780" s="2"/>
      <c r="H780" s="2"/>
      <c r="I780" s="2"/>
      <c r="J780" s="2"/>
      <c r="K780" s="2"/>
      <c r="L780" s="2"/>
      <c r="M780" s="2"/>
      <c r="N780" s="2"/>
      <c r="O780" s="2"/>
      <c r="P780" s="2"/>
      <c r="Q780" s="2"/>
      <c r="R780" s="2"/>
      <c r="S780" s="2"/>
      <c r="T780" s="2"/>
    </row>
    <row r="781" spans="1:20" ht="15.75" customHeight="1">
      <c r="A781" s="1"/>
      <c r="B781" s="2"/>
      <c r="C781" s="2"/>
      <c r="D781" s="2"/>
      <c r="E781" s="2"/>
      <c r="F781" s="2"/>
      <c r="G781" s="2"/>
      <c r="H781" s="2"/>
      <c r="I781" s="2"/>
      <c r="J781" s="2"/>
      <c r="K781" s="2"/>
      <c r="L781" s="2"/>
      <c r="M781" s="2"/>
      <c r="N781" s="2"/>
      <c r="O781" s="2"/>
      <c r="P781" s="2"/>
      <c r="Q781" s="2"/>
      <c r="R781" s="2"/>
      <c r="S781" s="2"/>
      <c r="T781" s="2"/>
    </row>
    <row r="782" spans="1:20" ht="15.75" customHeight="1">
      <c r="A782" s="1"/>
      <c r="B782" s="2"/>
      <c r="C782" s="2"/>
      <c r="D782" s="2"/>
      <c r="E782" s="2"/>
      <c r="F782" s="2"/>
      <c r="G782" s="2"/>
      <c r="H782" s="2"/>
      <c r="I782" s="2"/>
      <c r="J782" s="2"/>
      <c r="K782" s="2"/>
      <c r="L782" s="2"/>
      <c r="M782" s="2"/>
      <c r="N782" s="2"/>
      <c r="O782" s="2"/>
      <c r="P782" s="2"/>
      <c r="Q782" s="2"/>
      <c r="R782" s="2"/>
      <c r="S782" s="2"/>
      <c r="T782" s="2"/>
    </row>
    <row r="783" spans="1:20" ht="15.75" customHeight="1">
      <c r="A783" s="1"/>
      <c r="B783" s="2"/>
      <c r="C783" s="2"/>
      <c r="D783" s="2"/>
      <c r="E783" s="2"/>
      <c r="F783" s="2"/>
      <c r="G783" s="2"/>
      <c r="H783" s="2"/>
      <c r="I783" s="2"/>
      <c r="J783" s="2"/>
      <c r="K783" s="2"/>
      <c r="L783" s="2"/>
      <c r="M783" s="2"/>
      <c r="N783" s="2"/>
      <c r="O783" s="2"/>
      <c r="P783" s="2"/>
      <c r="Q783" s="2"/>
      <c r="R783" s="2"/>
      <c r="S783" s="2"/>
      <c r="T783" s="2"/>
    </row>
    <row r="784" spans="1:20" ht="15.75" customHeight="1">
      <c r="A784" s="1"/>
      <c r="B784" s="2"/>
      <c r="C784" s="2"/>
      <c r="D784" s="2"/>
      <c r="E784" s="2"/>
      <c r="F784" s="2"/>
      <c r="G784" s="2"/>
      <c r="H784" s="2"/>
      <c r="I784" s="2"/>
      <c r="J784" s="2"/>
      <c r="K784" s="2"/>
      <c r="L784" s="2"/>
      <c r="M784" s="2"/>
      <c r="N784" s="2"/>
      <c r="O784" s="2"/>
      <c r="P784" s="2"/>
      <c r="Q784" s="2"/>
      <c r="R784" s="2"/>
      <c r="S784" s="2"/>
      <c r="T784" s="2"/>
    </row>
    <row r="785" spans="1:20" ht="15.75" customHeight="1">
      <c r="A785" s="1"/>
      <c r="B785" s="2"/>
      <c r="C785" s="2"/>
      <c r="D785" s="2"/>
      <c r="E785" s="2"/>
      <c r="F785" s="2"/>
      <c r="G785" s="2"/>
      <c r="H785" s="2"/>
      <c r="I785" s="2"/>
      <c r="J785" s="2"/>
      <c r="K785" s="2"/>
      <c r="L785" s="2"/>
      <c r="M785" s="2"/>
      <c r="N785" s="2"/>
      <c r="O785" s="2"/>
      <c r="P785" s="2"/>
      <c r="Q785" s="2"/>
      <c r="R785" s="2"/>
      <c r="S785" s="2"/>
      <c r="T785" s="2"/>
    </row>
    <row r="786" spans="1:20" ht="15.75" customHeight="1">
      <c r="A786" s="1"/>
      <c r="B786" s="2"/>
      <c r="C786" s="2"/>
      <c r="D786" s="2"/>
      <c r="E786" s="2"/>
      <c r="F786" s="2"/>
      <c r="G786" s="2"/>
      <c r="H786" s="2"/>
      <c r="I786" s="2"/>
      <c r="J786" s="2"/>
      <c r="K786" s="2"/>
      <c r="L786" s="2"/>
      <c r="M786" s="2"/>
      <c r="N786" s="2"/>
      <c r="O786" s="2"/>
      <c r="P786" s="2"/>
      <c r="Q786" s="2"/>
      <c r="R786" s="2"/>
      <c r="S786" s="2"/>
      <c r="T786" s="2"/>
    </row>
    <row r="787" spans="1:20" ht="15.75" customHeight="1">
      <c r="A787" s="1"/>
      <c r="B787" s="2"/>
      <c r="C787" s="2"/>
      <c r="D787" s="2"/>
      <c r="E787" s="2"/>
      <c r="F787" s="2"/>
      <c r="G787" s="2"/>
      <c r="H787" s="2"/>
      <c r="I787" s="2"/>
      <c r="J787" s="2"/>
      <c r="K787" s="2"/>
      <c r="L787" s="2"/>
      <c r="M787" s="2"/>
      <c r="N787" s="2"/>
      <c r="O787" s="2"/>
      <c r="P787" s="2"/>
      <c r="Q787" s="2"/>
      <c r="R787" s="2"/>
      <c r="S787" s="2"/>
      <c r="T787" s="2"/>
    </row>
    <row r="788" spans="1:20" ht="15.75" customHeight="1">
      <c r="A788" s="1"/>
      <c r="B788" s="2"/>
      <c r="C788" s="2"/>
      <c r="D788" s="2"/>
      <c r="E788" s="2"/>
      <c r="F788" s="2"/>
      <c r="G788" s="2"/>
      <c r="H788" s="2"/>
      <c r="I788" s="2"/>
      <c r="J788" s="2"/>
      <c r="K788" s="2"/>
      <c r="L788" s="2"/>
      <c r="M788" s="2"/>
      <c r="N788" s="2"/>
      <c r="O788" s="2"/>
      <c r="P788" s="2"/>
      <c r="Q788" s="2"/>
      <c r="R788" s="2"/>
      <c r="S788" s="2"/>
      <c r="T788" s="2"/>
    </row>
    <row r="789" spans="1:20" ht="15.75" customHeight="1">
      <c r="A789" s="1"/>
      <c r="B789" s="2"/>
      <c r="C789" s="2"/>
      <c r="D789" s="2"/>
      <c r="E789" s="2"/>
      <c r="F789" s="2"/>
      <c r="G789" s="2"/>
      <c r="H789" s="2"/>
      <c r="I789" s="2"/>
      <c r="J789" s="2"/>
      <c r="K789" s="2"/>
      <c r="L789" s="2"/>
      <c r="M789" s="2"/>
      <c r="N789" s="2"/>
      <c r="O789" s="2"/>
      <c r="P789" s="2"/>
      <c r="Q789" s="2"/>
      <c r="R789" s="2"/>
      <c r="S789" s="2"/>
      <c r="T789" s="2"/>
    </row>
    <row r="790" spans="1:20" ht="15.75" customHeight="1">
      <c r="A790" s="1"/>
      <c r="B790" s="2"/>
      <c r="C790" s="2"/>
      <c r="D790" s="2"/>
      <c r="E790" s="2"/>
      <c r="F790" s="2"/>
      <c r="G790" s="2"/>
      <c r="H790" s="2"/>
      <c r="I790" s="2"/>
      <c r="J790" s="2"/>
      <c r="K790" s="2"/>
      <c r="L790" s="2"/>
      <c r="M790" s="2"/>
      <c r="N790" s="2"/>
      <c r="O790" s="2"/>
      <c r="P790" s="2"/>
      <c r="Q790" s="2"/>
      <c r="R790" s="2"/>
      <c r="S790" s="2"/>
      <c r="T790" s="2"/>
    </row>
    <row r="791" spans="1:20" ht="15.75" customHeight="1">
      <c r="A791" s="1"/>
      <c r="B791" s="2"/>
      <c r="C791" s="2"/>
      <c r="D791" s="2"/>
      <c r="E791" s="2"/>
      <c r="F791" s="2"/>
      <c r="G791" s="2"/>
      <c r="H791" s="2"/>
      <c r="I791" s="2"/>
      <c r="J791" s="2"/>
      <c r="K791" s="2"/>
      <c r="L791" s="2"/>
      <c r="M791" s="2"/>
      <c r="N791" s="2"/>
      <c r="O791" s="2"/>
      <c r="P791" s="2"/>
      <c r="Q791" s="2"/>
      <c r="R791" s="2"/>
      <c r="S791" s="2"/>
      <c r="T791" s="2"/>
    </row>
    <row r="792" spans="1:20" ht="15.75" customHeight="1">
      <c r="A792" s="1"/>
      <c r="B792" s="2"/>
      <c r="C792" s="2"/>
      <c r="D792" s="2"/>
      <c r="E792" s="2"/>
      <c r="F792" s="2"/>
      <c r="G792" s="2"/>
      <c r="H792" s="2"/>
      <c r="I792" s="2"/>
      <c r="J792" s="2"/>
      <c r="K792" s="2"/>
      <c r="L792" s="2"/>
      <c r="M792" s="2"/>
      <c r="N792" s="2"/>
      <c r="O792" s="2"/>
      <c r="P792" s="2"/>
      <c r="Q792" s="2"/>
      <c r="R792" s="2"/>
      <c r="S792" s="2"/>
      <c r="T792" s="2"/>
    </row>
    <row r="793" spans="1:20" ht="15.75" customHeight="1">
      <c r="A793" s="1"/>
      <c r="B793" s="2"/>
      <c r="C793" s="2"/>
      <c r="D793" s="2"/>
      <c r="E793" s="2"/>
      <c r="F793" s="2"/>
      <c r="G793" s="2"/>
      <c r="H793" s="2"/>
      <c r="I793" s="2"/>
      <c r="J793" s="2"/>
      <c r="K793" s="2"/>
      <c r="L793" s="2"/>
      <c r="M793" s="2"/>
      <c r="N793" s="2"/>
      <c r="O793" s="2"/>
      <c r="P793" s="2"/>
      <c r="Q793" s="2"/>
      <c r="R793" s="2"/>
      <c r="S793" s="2"/>
      <c r="T793" s="2"/>
    </row>
    <row r="794" spans="1:20" ht="15.75" customHeight="1">
      <c r="A794" s="1"/>
      <c r="B794" s="2"/>
      <c r="C794" s="2"/>
      <c r="D794" s="2"/>
      <c r="E794" s="2"/>
      <c r="F794" s="2"/>
      <c r="G794" s="2"/>
      <c r="H794" s="2"/>
      <c r="I794" s="2"/>
      <c r="J794" s="2"/>
      <c r="K794" s="2"/>
      <c r="L794" s="2"/>
      <c r="M794" s="2"/>
      <c r="N794" s="2"/>
      <c r="O794" s="2"/>
      <c r="P794" s="2"/>
      <c r="Q794" s="2"/>
      <c r="R794" s="2"/>
      <c r="S794" s="2"/>
      <c r="T794" s="2"/>
    </row>
    <row r="795" spans="1:20" ht="15.75" customHeight="1">
      <c r="A795" s="1"/>
      <c r="B795" s="2"/>
      <c r="C795" s="2"/>
      <c r="D795" s="2"/>
      <c r="E795" s="2"/>
      <c r="F795" s="2"/>
      <c r="G795" s="2"/>
      <c r="H795" s="2"/>
      <c r="I795" s="2"/>
      <c r="J795" s="2"/>
      <c r="K795" s="2"/>
      <c r="L795" s="2"/>
      <c r="M795" s="2"/>
      <c r="N795" s="2"/>
      <c r="O795" s="2"/>
      <c r="P795" s="2"/>
      <c r="Q795" s="2"/>
      <c r="R795" s="2"/>
      <c r="S795" s="2"/>
      <c r="T795" s="2"/>
    </row>
    <row r="796" spans="1:20" ht="15.75" customHeight="1">
      <c r="A796" s="1"/>
      <c r="B796" s="2"/>
      <c r="C796" s="2"/>
      <c r="D796" s="2"/>
      <c r="E796" s="2"/>
      <c r="F796" s="2"/>
      <c r="G796" s="2"/>
      <c r="H796" s="2"/>
      <c r="I796" s="2"/>
      <c r="J796" s="2"/>
      <c r="K796" s="2"/>
      <c r="L796" s="2"/>
      <c r="M796" s="2"/>
      <c r="N796" s="2"/>
      <c r="O796" s="2"/>
      <c r="P796" s="2"/>
      <c r="Q796" s="2"/>
      <c r="R796" s="2"/>
      <c r="S796" s="2"/>
      <c r="T796" s="2"/>
    </row>
    <row r="797" spans="1:20" ht="15.75" customHeight="1">
      <c r="A797" s="1"/>
      <c r="B797" s="2"/>
      <c r="C797" s="2"/>
      <c r="D797" s="2"/>
      <c r="E797" s="2"/>
      <c r="F797" s="2"/>
      <c r="G797" s="2"/>
      <c r="H797" s="2"/>
      <c r="I797" s="2"/>
      <c r="J797" s="2"/>
      <c r="K797" s="2"/>
      <c r="L797" s="2"/>
      <c r="M797" s="2"/>
      <c r="N797" s="2"/>
      <c r="O797" s="2"/>
      <c r="P797" s="2"/>
      <c r="Q797" s="2"/>
      <c r="R797" s="2"/>
      <c r="S797" s="2"/>
      <c r="T797" s="2"/>
    </row>
    <row r="798" spans="1:20" ht="15.75" customHeight="1">
      <c r="A798" s="1"/>
      <c r="B798" s="2"/>
      <c r="C798" s="2"/>
      <c r="D798" s="2"/>
      <c r="E798" s="2"/>
      <c r="F798" s="2"/>
      <c r="G798" s="2"/>
      <c r="H798" s="2"/>
      <c r="I798" s="2"/>
      <c r="J798" s="2"/>
      <c r="K798" s="2"/>
      <c r="L798" s="2"/>
      <c r="M798" s="2"/>
      <c r="N798" s="2"/>
      <c r="O798" s="2"/>
      <c r="P798" s="2"/>
      <c r="Q798" s="2"/>
      <c r="R798" s="2"/>
      <c r="S798" s="2"/>
      <c r="T798" s="2"/>
    </row>
    <row r="799" spans="1:20" ht="15.75" customHeight="1">
      <c r="A799" s="1"/>
      <c r="B799" s="2"/>
      <c r="C799" s="2"/>
      <c r="D799" s="2"/>
      <c r="E799" s="2"/>
      <c r="F799" s="2"/>
      <c r="G799" s="2"/>
      <c r="H799" s="2"/>
      <c r="I799" s="2"/>
      <c r="J799" s="2"/>
      <c r="K799" s="2"/>
      <c r="L799" s="2"/>
      <c r="M799" s="2"/>
      <c r="N799" s="2"/>
      <c r="O799" s="2"/>
      <c r="P799" s="2"/>
      <c r="Q799" s="2"/>
      <c r="R799" s="2"/>
      <c r="S799" s="2"/>
      <c r="T799" s="2"/>
    </row>
    <row r="800" spans="1:20" ht="15.75" customHeight="1">
      <c r="A800" s="1"/>
      <c r="B800" s="2"/>
      <c r="C800" s="2"/>
      <c r="D800" s="2"/>
      <c r="E800" s="2"/>
      <c r="F800" s="2"/>
      <c r="G800" s="2"/>
      <c r="H800" s="2"/>
      <c r="I800" s="2"/>
      <c r="J800" s="2"/>
      <c r="K800" s="2"/>
      <c r="L800" s="2"/>
      <c r="M800" s="2"/>
      <c r="N800" s="2"/>
      <c r="O800" s="2"/>
      <c r="P800" s="2"/>
      <c r="Q800" s="2"/>
      <c r="R800" s="2"/>
      <c r="S800" s="2"/>
      <c r="T800" s="2"/>
    </row>
    <row r="801" spans="1:20" ht="15.75" customHeight="1">
      <c r="A801" s="1"/>
      <c r="B801" s="2"/>
      <c r="C801" s="2"/>
      <c r="D801" s="2"/>
      <c r="E801" s="2"/>
      <c r="F801" s="2"/>
      <c r="G801" s="2"/>
      <c r="H801" s="2"/>
      <c r="I801" s="2"/>
      <c r="J801" s="2"/>
      <c r="K801" s="2"/>
      <c r="L801" s="2"/>
      <c r="M801" s="2"/>
      <c r="N801" s="2"/>
      <c r="O801" s="2"/>
      <c r="P801" s="2"/>
      <c r="Q801" s="2"/>
      <c r="R801" s="2"/>
      <c r="S801" s="2"/>
      <c r="T801" s="2"/>
    </row>
    <row r="802" spans="1:20" ht="15.75" customHeight="1">
      <c r="A802" s="1"/>
      <c r="B802" s="2"/>
      <c r="C802" s="2"/>
      <c r="D802" s="2"/>
      <c r="E802" s="2"/>
      <c r="F802" s="2"/>
      <c r="G802" s="2"/>
      <c r="H802" s="2"/>
      <c r="I802" s="2"/>
      <c r="J802" s="2"/>
      <c r="K802" s="2"/>
      <c r="L802" s="2"/>
      <c r="M802" s="2"/>
      <c r="N802" s="2"/>
      <c r="O802" s="2"/>
      <c r="P802" s="2"/>
      <c r="Q802" s="2"/>
      <c r="R802" s="2"/>
      <c r="S802" s="2"/>
      <c r="T802" s="2"/>
    </row>
    <row r="803" spans="1:20" ht="15.75" customHeight="1">
      <c r="A803" s="1"/>
      <c r="B803" s="2"/>
      <c r="C803" s="2"/>
      <c r="D803" s="2"/>
      <c r="E803" s="2"/>
      <c r="F803" s="2"/>
      <c r="G803" s="2"/>
      <c r="H803" s="2"/>
      <c r="I803" s="2"/>
      <c r="J803" s="2"/>
      <c r="K803" s="2"/>
      <c r="L803" s="2"/>
      <c r="M803" s="2"/>
      <c r="N803" s="2"/>
      <c r="O803" s="2"/>
      <c r="P803" s="2"/>
      <c r="Q803" s="2"/>
      <c r="R803" s="2"/>
      <c r="S803" s="2"/>
      <c r="T803" s="2"/>
    </row>
    <row r="804" spans="1:20" ht="15.75" customHeight="1">
      <c r="A804" s="1"/>
      <c r="B804" s="2"/>
      <c r="C804" s="2"/>
      <c r="D804" s="2"/>
      <c r="E804" s="2"/>
      <c r="F804" s="2"/>
      <c r="G804" s="2"/>
      <c r="H804" s="2"/>
      <c r="I804" s="2"/>
      <c r="J804" s="2"/>
      <c r="K804" s="2"/>
      <c r="L804" s="2"/>
      <c r="M804" s="2"/>
      <c r="N804" s="2"/>
      <c r="O804" s="2"/>
      <c r="P804" s="2"/>
      <c r="Q804" s="2"/>
      <c r="R804" s="2"/>
      <c r="S804" s="2"/>
      <c r="T804" s="2"/>
    </row>
    <row r="805" spans="1:20" ht="15.75" customHeight="1">
      <c r="A805" s="1"/>
      <c r="B805" s="2"/>
      <c r="C805" s="2"/>
      <c r="D805" s="2"/>
      <c r="E805" s="2"/>
      <c r="F805" s="2"/>
      <c r="G805" s="2"/>
      <c r="H805" s="2"/>
      <c r="I805" s="2"/>
      <c r="J805" s="2"/>
      <c r="K805" s="2"/>
      <c r="L805" s="2"/>
      <c r="M805" s="2"/>
      <c r="N805" s="2"/>
      <c r="O805" s="2"/>
      <c r="P805" s="2"/>
      <c r="Q805" s="2"/>
      <c r="R805" s="2"/>
      <c r="S805" s="2"/>
      <c r="T805" s="2"/>
    </row>
    <row r="806" spans="1:20" ht="15.75" customHeight="1">
      <c r="A806" s="1"/>
      <c r="B806" s="2"/>
      <c r="C806" s="2"/>
      <c r="D806" s="2"/>
      <c r="E806" s="2"/>
      <c r="F806" s="2"/>
      <c r="G806" s="2"/>
      <c r="H806" s="2"/>
      <c r="I806" s="2"/>
      <c r="J806" s="2"/>
      <c r="K806" s="2"/>
      <c r="L806" s="2"/>
      <c r="M806" s="2"/>
      <c r="N806" s="2"/>
      <c r="O806" s="2"/>
      <c r="P806" s="2"/>
      <c r="Q806" s="2"/>
      <c r="R806" s="2"/>
      <c r="S806" s="2"/>
      <c r="T806" s="2"/>
    </row>
    <row r="807" spans="1:20" ht="15.75" customHeight="1">
      <c r="A807" s="1"/>
      <c r="B807" s="2"/>
      <c r="C807" s="2"/>
      <c r="D807" s="2"/>
      <c r="E807" s="2"/>
      <c r="F807" s="2"/>
      <c r="G807" s="2"/>
      <c r="H807" s="2"/>
      <c r="I807" s="2"/>
      <c r="J807" s="2"/>
      <c r="K807" s="2"/>
      <c r="L807" s="2"/>
      <c r="M807" s="2"/>
      <c r="N807" s="2"/>
      <c r="O807" s="2"/>
      <c r="P807" s="2"/>
      <c r="Q807" s="2"/>
      <c r="R807" s="2"/>
      <c r="S807" s="2"/>
      <c r="T807" s="2"/>
    </row>
    <row r="808" spans="1:20" ht="15.75" customHeight="1">
      <c r="A808" s="1"/>
      <c r="B808" s="2"/>
      <c r="C808" s="2"/>
      <c r="D808" s="2"/>
      <c r="E808" s="2"/>
      <c r="F808" s="2"/>
      <c r="G808" s="2"/>
      <c r="H808" s="2"/>
      <c r="I808" s="2"/>
      <c r="J808" s="2"/>
      <c r="K808" s="2"/>
      <c r="L808" s="2"/>
      <c r="M808" s="2"/>
      <c r="N808" s="2"/>
      <c r="O808" s="2"/>
      <c r="P808" s="2"/>
      <c r="Q808" s="2"/>
      <c r="R808" s="2"/>
      <c r="S808" s="2"/>
      <c r="T808" s="2"/>
    </row>
    <row r="809" spans="1:20" ht="15.75" customHeight="1">
      <c r="A809" s="1"/>
      <c r="B809" s="2"/>
      <c r="C809" s="2"/>
      <c r="D809" s="2"/>
      <c r="E809" s="2"/>
      <c r="F809" s="2"/>
      <c r="G809" s="2"/>
      <c r="H809" s="2"/>
      <c r="I809" s="2"/>
      <c r="J809" s="2"/>
      <c r="K809" s="2"/>
      <c r="L809" s="2"/>
      <c r="M809" s="2"/>
      <c r="N809" s="2"/>
      <c r="O809" s="2"/>
      <c r="P809" s="2"/>
      <c r="Q809" s="2"/>
      <c r="R809" s="2"/>
      <c r="S809" s="2"/>
      <c r="T809" s="2"/>
    </row>
    <row r="810" spans="1:20" ht="15.75" customHeight="1">
      <c r="A810" s="1"/>
      <c r="B810" s="2"/>
      <c r="C810" s="2"/>
      <c r="D810" s="2"/>
      <c r="E810" s="2"/>
      <c r="F810" s="2"/>
      <c r="G810" s="2"/>
      <c r="H810" s="2"/>
      <c r="I810" s="2"/>
      <c r="J810" s="2"/>
      <c r="K810" s="2"/>
      <c r="L810" s="2"/>
      <c r="M810" s="2"/>
      <c r="N810" s="2"/>
      <c r="O810" s="2"/>
      <c r="P810" s="2"/>
      <c r="Q810" s="2"/>
      <c r="R810" s="2"/>
      <c r="S810" s="2"/>
      <c r="T810" s="2"/>
    </row>
    <row r="811" spans="1:20" ht="15.75" customHeight="1">
      <c r="A811" s="1"/>
      <c r="B811" s="2"/>
      <c r="C811" s="2"/>
      <c r="D811" s="2"/>
      <c r="E811" s="2"/>
      <c r="F811" s="2"/>
      <c r="G811" s="2"/>
      <c r="H811" s="2"/>
      <c r="I811" s="2"/>
      <c r="J811" s="2"/>
      <c r="K811" s="2"/>
      <c r="L811" s="2"/>
      <c r="M811" s="2"/>
      <c r="N811" s="2"/>
      <c r="O811" s="2"/>
      <c r="P811" s="2"/>
      <c r="Q811" s="2"/>
      <c r="R811" s="2"/>
      <c r="S811" s="2"/>
      <c r="T811" s="2"/>
    </row>
    <row r="812" spans="1:20" ht="15.75" customHeight="1">
      <c r="A812" s="1"/>
      <c r="B812" s="2"/>
      <c r="C812" s="2"/>
      <c r="D812" s="2"/>
      <c r="E812" s="2"/>
      <c r="F812" s="2"/>
      <c r="G812" s="2"/>
      <c r="H812" s="2"/>
      <c r="I812" s="2"/>
      <c r="J812" s="2"/>
      <c r="K812" s="2"/>
      <c r="L812" s="2"/>
      <c r="M812" s="2"/>
      <c r="N812" s="2"/>
      <c r="O812" s="2"/>
      <c r="P812" s="2"/>
      <c r="Q812" s="2"/>
      <c r="R812" s="2"/>
      <c r="S812" s="2"/>
      <c r="T812" s="2"/>
    </row>
    <row r="813" spans="1:20" ht="15.75" customHeight="1">
      <c r="A813" s="1"/>
      <c r="B813" s="2"/>
      <c r="C813" s="2"/>
      <c r="D813" s="2"/>
      <c r="E813" s="2"/>
      <c r="F813" s="2"/>
      <c r="G813" s="2"/>
      <c r="H813" s="2"/>
      <c r="I813" s="2"/>
      <c r="J813" s="2"/>
      <c r="K813" s="2"/>
      <c r="L813" s="2"/>
      <c r="M813" s="2"/>
      <c r="N813" s="2"/>
      <c r="O813" s="2"/>
      <c r="P813" s="2"/>
      <c r="Q813" s="2"/>
      <c r="R813" s="2"/>
      <c r="S813" s="2"/>
      <c r="T813" s="2"/>
    </row>
    <row r="814" spans="1:20" ht="15.75" customHeight="1">
      <c r="A814" s="1"/>
      <c r="B814" s="2"/>
      <c r="C814" s="2"/>
      <c r="D814" s="2"/>
      <c r="E814" s="2"/>
      <c r="F814" s="2"/>
      <c r="G814" s="2"/>
      <c r="H814" s="2"/>
      <c r="I814" s="2"/>
      <c r="J814" s="2"/>
      <c r="K814" s="2"/>
      <c r="L814" s="2"/>
      <c r="M814" s="2"/>
      <c r="N814" s="2"/>
      <c r="O814" s="2"/>
      <c r="P814" s="2"/>
      <c r="Q814" s="2"/>
      <c r="R814" s="2"/>
      <c r="S814" s="2"/>
      <c r="T814" s="2"/>
    </row>
    <row r="815" spans="1:20" ht="15.75" customHeight="1">
      <c r="A815" s="1"/>
      <c r="B815" s="2"/>
      <c r="C815" s="2"/>
      <c r="D815" s="2"/>
      <c r="E815" s="2"/>
      <c r="F815" s="2"/>
      <c r="G815" s="2"/>
      <c r="H815" s="2"/>
      <c r="I815" s="2"/>
      <c r="J815" s="2"/>
      <c r="K815" s="2"/>
      <c r="L815" s="2"/>
      <c r="M815" s="2"/>
      <c r="N815" s="2"/>
      <c r="O815" s="2"/>
      <c r="P815" s="2"/>
      <c r="Q815" s="2"/>
      <c r="R815" s="2"/>
      <c r="S815" s="2"/>
      <c r="T815" s="2"/>
    </row>
    <row r="816" spans="1:20" ht="15.75" customHeight="1">
      <c r="A816" s="1"/>
      <c r="B816" s="2"/>
      <c r="C816" s="2"/>
      <c r="D816" s="2"/>
      <c r="E816" s="2"/>
      <c r="F816" s="2"/>
      <c r="G816" s="2"/>
      <c r="H816" s="2"/>
      <c r="I816" s="2"/>
      <c r="J816" s="2"/>
      <c r="K816" s="2"/>
      <c r="L816" s="2"/>
      <c r="M816" s="2"/>
      <c r="N816" s="2"/>
      <c r="O816" s="2"/>
      <c r="P816" s="2"/>
      <c r="Q816" s="2"/>
      <c r="R816" s="2"/>
      <c r="S816" s="2"/>
      <c r="T816" s="2"/>
    </row>
    <row r="817" spans="1:20" ht="15.75" customHeight="1">
      <c r="A817" s="1"/>
      <c r="B817" s="2"/>
      <c r="C817" s="2"/>
      <c r="D817" s="2"/>
      <c r="E817" s="2"/>
      <c r="F817" s="2"/>
      <c r="G817" s="2"/>
      <c r="H817" s="2"/>
      <c r="I817" s="2"/>
      <c r="J817" s="2"/>
      <c r="K817" s="2"/>
      <c r="L817" s="2"/>
      <c r="M817" s="2"/>
      <c r="N817" s="2"/>
      <c r="O817" s="2"/>
      <c r="P817" s="2"/>
      <c r="Q817" s="2"/>
      <c r="R817" s="2"/>
      <c r="S817" s="2"/>
      <c r="T817" s="2"/>
    </row>
    <row r="818" spans="1:20" ht="15.75" customHeight="1">
      <c r="A818" s="1"/>
      <c r="B818" s="2"/>
      <c r="C818" s="2"/>
      <c r="D818" s="2"/>
      <c r="E818" s="2"/>
      <c r="F818" s="2"/>
      <c r="G818" s="2"/>
      <c r="H818" s="2"/>
      <c r="I818" s="2"/>
      <c r="J818" s="2"/>
      <c r="K818" s="2"/>
      <c r="L818" s="2"/>
      <c r="M818" s="2"/>
      <c r="N818" s="2"/>
      <c r="O818" s="2"/>
      <c r="P818" s="2"/>
      <c r="Q818" s="2"/>
      <c r="R818" s="2"/>
      <c r="S818" s="2"/>
      <c r="T818" s="2"/>
    </row>
    <row r="819" spans="1:20" ht="15.75" customHeight="1">
      <c r="A819" s="1"/>
      <c r="B819" s="2"/>
      <c r="C819" s="2"/>
      <c r="D819" s="2"/>
      <c r="E819" s="2"/>
      <c r="F819" s="2"/>
      <c r="G819" s="2"/>
      <c r="H819" s="2"/>
      <c r="I819" s="2"/>
      <c r="J819" s="2"/>
      <c r="K819" s="2"/>
      <c r="L819" s="2"/>
      <c r="M819" s="2"/>
      <c r="N819" s="2"/>
      <c r="O819" s="2"/>
      <c r="P819" s="2"/>
      <c r="Q819" s="2"/>
      <c r="R819" s="2"/>
      <c r="S819" s="2"/>
      <c r="T819" s="2"/>
    </row>
    <row r="820" spans="1:20" ht="15.75" customHeight="1">
      <c r="A820" s="1"/>
      <c r="B820" s="2"/>
      <c r="C820" s="2"/>
      <c r="D820" s="2"/>
      <c r="E820" s="2"/>
      <c r="F820" s="2"/>
      <c r="G820" s="2"/>
      <c r="H820" s="2"/>
      <c r="I820" s="2"/>
      <c r="J820" s="2"/>
      <c r="K820" s="2"/>
      <c r="L820" s="2"/>
      <c r="M820" s="2"/>
      <c r="N820" s="2"/>
      <c r="O820" s="2"/>
      <c r="P820" s="2"/>
      <c r="Q820" s="2"/>
      <c r="R820" s="2"/>
      <c r="S820" s="2"/>
      <c r="T820" s="2"/>
    </row>
    <row r="821" spans="1:20" ht="15.75" customHeight="1">
      <c r="A821" s="1"/>
      <c r="B821" s="2"/>
      <c r="C821" s="2"/>
      <c r="D821" s="2"/>
      <c r="E821" s="2"/>
      <c r="F821" s="2"/>
      <c r="G821" s="2"/>
      <c r="H821" s="2"/>
      <c r="I821" s="2"/>
      <c r="J821" s="2"/>
      <c r="K821" s="2"/>
      <c r="L821" s="2"/>
      <c r="M821" s="2"/>
      <c r="N821" s="2"/>
      <c r="O821" s="2"/>
      <c r="P821" s="2"/>
      <c r="Q821" s="2"/>
      <c r="R821" s="2"/>
      <c r="S821" s="2"/>
      <c r="T821" s="2"/>
    </row>
    <row r="822" spans="1:20" ht="15.75" customHeight="1">
      <c r="A822" s="1"/>
      <c r="B822" s="2"/>
      <c r="C822" s="2"/>
      <c r="D822" s="2"/>
      <c r="E822" s="2"/>
      <c r="F822" s="2"/>
      <c r="G822" s="2"/>
      <c r="H822" s="2"/>
      <c r="I822" s="2"/>
      <c r="J822" s="2"/>
      <c r="K822" s="2"/>
      <c r="L822" s="2"/>
      <c r="M822" s="2"/>
      <c r="N822" s="2"/>
      <c r="O822" s="2"/>
      <c r="P822" s="2"/>
      <c r="Q822" s="2"/>
      <c r="R822" s="2"/>
      <c r="S822" s="2"/>
      <c r="T822" s="2"/>
    </row>
    <row r="823" spans="1:20" ht="15.75" customHeight="1">
      <c r="A823" s="1"/>
      <c r="B823" s="2"/>
      <c r="C823" s="2"/>
      <c r="D823" s="2"/>
      <c r="E823" s="2"/>
      <c r="F823" s="2"/>
      <c r="G823" s="2"/>
      <c r="H823" s="2"/>
      <c r="I823" s="2"/>
      <c r="J823" s="2"/>
      <c r="K823" s="2"/>
      <c r="L823" s="2"/>
      <c r="M823" s="2"/>
      <c r="N823" s="2"/>
      <c r="O823" s="2"/>
      <c r="P823" s="2"/>
      <c r="Q823" s="2"/>
      <c r="R823" s="2"/>
      <c r="S823" s="2"/>
      <c r="T823" s="2"/>
    </row>
    <row r="824" spans="1:20" ht="15.75" customHeight="1">
      <c r="A824" s="1"/>
      <c r="B824" s="2"/>
      <c r="C824" s="2"/>
      <c r="D824" s="2"/>
      <c r="E824" s="2"/>
      <c r="F824" s="2"/>
      <c r="G824" s="2"/>
      <c r="H824" s="2"/>
      <c r="I824" s="2"/>
      <c r="J824" s="2"/>
      <c r="K824" s="2"/>
      <c r="L824" s="2"/>
      <c r="M824" s="2"/>
      <c r="N824" s="2"/>
      <c r="O824" s="2"/>
      <c r="P824" s="2"/>
      <c r="Q824" s="2"/>
      <c r="R824" s="2"/>
      <c r="S824" s="2"/>
      <c r="T824" s="2"/>
    </row>
    <row r="825" spans="1:20" ht="15.75" customHeight="1">
      <c r="A825" s="1"/>
      <c r="B825" s="2"/>
      <c r="C825" s="2"/>
      <c r="D825" s="2"/>
      <c r="E825" s="2"/>
      <c r="F825" s="2"/>
      <c r="G825" s="2"/>
      <c r="H825" s="2"/>
      <c r="I825" s="2"/>
      <c r="J825" s="2"/>
      <c r="K825" s="2"/>
      <c r="L825" s="2"/>
      <c r="M825" s="2"/>
      <c r="N825" s="2"/>
      <c r="O825" s="2"/>
      <c r="P825" s="2"/>
      <c r="Q825" s="2"/>
      <c r="R825" s="2"/>
      <c r="S825" s="2"/>
      <c r="T825" s="2"/>
    </row>
    <row r="826" spans="1:20" ht="15.75" customHeight="1">
      <c r="A826" s="1"/>
      <c r="B826" s="2"/>
      <c r="C826" s="2"/>
      <c r="D826" s="2"/>
      <c r="E826" s="2"/>
      <c r="F826" s="2"/>
      <c r="G826" s="2"/>
      <c r="H826" s="2"/>
      <c r="I826" s="2"/>
      <c r="J826" s="2"/>
      <c r="K826" s="2"/>
      <c r="L826" s="2"/>
      <c r="M826" s="2"/>
      <c r="N826" s="2"/>
      <c r="O826" s="2"/>
      <c r="P826" s="2"/>
      <c r="Q826" s="2"/>
      <c r="R826" s="2"/>
      <c r="S826" s="2"/>
      <c r="T826" s="2"/>
    </row>
    <row r="827" spans="1:20" ht="15.75" customHeight="1">
      <c r="A827" s="1"/>
      <c r="B827" s="2"/>
      <c r="C827" s="2"/>
      <c r="D827" s="2"/>
      <c r="E827" s="2"/>
      <c r="F827" s="2"/>
      <c r="G827" s="2"/>
      <c r="H827" s="2"/>
      <c r="I827" s="2"/>
      <c r="J827" s="2"/>
      <c r="K827" s="2"/>
      <c r="L827" s="2"/>
      <c r="M827" s="2"/>
      <c r="N827" s="2"/>
      <c r="O827" s="2"/>
      <c r="P827" s="2"/>
      <c r="Q827" s="2"/>
      <c r="R827" s="2"/>
      <c r="S827" s="2"/>
      <c r="T827" s="2"/>
    </row>
    <row r="828" spans="1:20" ht="15.75" customHeight="1">
      <c r="A828" s="1"/>
      <c r="B828" s="2"/>
      <c r="C828" s="2"/>
      <c r="D828" s="2"/>
      <c r="E828" s="2"/>
      <c r="F828" s="2"/>
      <c r="G828" s="2"/>
      <c r="H828" s="2"/>
      <c r="I828" s="2"/>
      <c r="J828" s="2"/>
      <c r="K828" s="2"/>
      <c r="L828" s="2"/>
      <c r="M828" s="2"/>
      <c r="N828" s="2"/>
      <c r="O828" s="2"/>
      <c r="P828" s="2"/>
      <c r="Q828" s="2"/>
      <c r="R828" s="2"/>
      <c r="S828" s="2"/>
      <c r="T828" s="2"/>
    </row>
    <row r="829" spans="1:20" ht="15.75" customHeight="1">
      <c r="A829" s="1"/>
      <c r="B829" s="2"/>
      <c r="C829" s="2"/>
      <c r="D829" s="2"/>
      <c r="E829" s="2"/>
      <c r="F829" s="2"/>
      <c r="G829" s="2"/>
      <c r="H829" s="2"/>
      <c r="I829" s="2"/>
      <c r="J829" s="2"/>
      <c r="K829" s="2"/>
      <c r="L829" s="2"/>
      <c r="M829" s="2"/>
      <c r="N829" s="2"/>
      <c r="O829" s="2"/>
      <c r="P829" s="2"/>
      <c r="Q829" s="2"/>
      <c r="R829" s="2"/>
      <c r="S829" s="2"/>
      <c r="T829" s="2"/>
    </row>
    <row r="830" spans="1:20" ht="15.75" customHeight="1">
      <c r="A830" s="1"/>
      <c r="B830" s="2"/>
      <c r="C830" s="2"/>
      <c r="D830" s="2"/>
      <c r="E830" s="2"/>
      <c r="F830" s="2"/>
      <c r="G830" s="2"/>
      <c r="H830" s="2"/>
      <c r="I830" s="2"/>
      <c r="J830" s="2"/>
      <c r="K830" s="2"/>
      <c r="L830" s="2"/>
      <c r="M830" s="2"/>
      <c r="N830" s="2"/>
      <c r="O830" s="2"/>
      <c r="P830" s="2"/>
      <c r="Q830" s="2"/>
      <c r="R830" s="2"/>
      <c r="S830" s="2"/>
      <c r="T830" s="2"/>
    </row>
    <row r="831" spans="1:20" ht="15.75" customHeight="1">
      <c r="A831" s="1"/>
      <c r="B831" s="2"/>
      <c r="C831" s="2"/>
      <c r="D831" s="2"/>
      <c r="E831" s="2"/>
      <c r="F831" s="2"/>
      <c r="G831" s="2"/>
      <c r="H831" s="2"/>
      <c r="I831" s="2"/>
      <c r="J831" s="2"/>
      <c r="K831" s="2"/>
      <c r="L831" s="2"/>
      <c r="M831" s="2"/>
      <c r="N831" s="2"/>
      <c r="O831" s="2"/>
      <c r="P831" s="2"/>
      <c r="Q831" s="2"/>
      <c r="R831" s="2"/>
      <c r="S831" s="2"/>
      <c r="T831" s="2"/>
    </row>
    <row r="832" spans="1:20" ht="15.75" customHeight="1">
      <c r="A832" s="1"/>
      <c r="B832" s="2"/>
      <c r="C832" s="2"/>
      <c r="D832" s="2"/>
      <c r="E832" s="2"/>
      <c r="F832" s="2"/>
      <c r="G832" s="2"/>
      <c r="H832" s="2"/>
      <c r="I832" s="2"/>
      <c r="J832" s="2"/>
      <c r="K832" s="2"/>
      <c r="L832" s="2"/>
      <c r="M832" s="2"/>
      <c r="N832" s="2"/>
      <c r="O832" s="2"/>
      <c r="P832" s="2"/>
      <c r="Q832" s="2"/>
      <c r="R832" s="2"/>
      <c r="S832" s="2"/>
      <c r="T832" s="2"/>
    </row>
    <row r="833" spans="1:20" ht="15.75" customHeight="1">
      <c r="A833" s="1"/>
      <c r="B833" s="2"/>
      <c r="C833" s="2"/>
      <c r="D833" s="2"/>
      <c r="E833" s="2"/>
      <c r="F833" s="2"/>
      <c r="G833" s="2"/>
      <c r="H833" s="2"/>
      <c r="I833" s="2"/>
      <c r="J833" s="2"/>
      <c r="K833" s="2"/>
      <c r="L833" s="2"/>
      <c r="M833" s="2"/>
      <c r="N833" s="2"/>
      <c r="O833" s="2"/>
      <c r="P833" s="2"/>
      <c r="Q833" s="2"/>
      <c r="R833" s="2"/>
      <c r="S833" s="2"/>
      <c r="T833" s="2"/>
    </row>
    <row r="834" spans="1:20" ht="15.75" customHeight="1">
      <c r="A834" s="1"/>
      <c r="B834" s="2"/>
      <c r="C834" s="2"/>
      <c r="D834" s="2"/>
      <c r="E834" s="2"/>
      <c r="F834" s="2"/>
      <c r="G834" s="2"/>
      <c r="H834" s="2"/>
      <c r="I834" s="2"/>
      <c r="J834" s="2"/>
      <c r="K834" s="2"/>
      <c r="L834" s="2"/>
      <c r="M834" s="2"/>
      <c r="N834" s="2"/>
      <c r="O834" s="2"/>
      <c r="P834" s="2"/>
      <c r="Q834" s="2"/>
      <c r="R834" s="2"/>
      <c r="S834" s="2"/>
      <c r="T834" s="2"/>
    </row>
    <row r="835" spans="1:20" ht="15.75" customHeight="1">
      <c r="A835" s="1"/>
      <c r="B835" s="2"/>
      <c r="C835" s="2"/>
      <c r="D835" s="2"/>
      <c r="E835" s="2"/>
      <c r="F835" s="2"/>
      <c r="G835" s="2"/>
      <c r="H835" s="2"/>
      <c r="I835" s="2"/>
      <c r="J835" s="2"/>
      <c r="K835" s="2"/>
      <c r="L835" s="2"/>
      <c r="M835" s="2"/>
      <c r="N835" s="2"/>
      <c r="O835" s="2"/>
      <c r="P835" s="2"/>
      <c r="Q835" s="2"/>
      <c r="R835" s="2"/>
      <c r="S835" s="2"/>
      <c r="T835" s="2"/>
    </row>
    <row r="836" spans="1:20" ht="15.75" customHeight="1">
      <c r="A836" s="1"/>
      <c r="B836" s="2"/>
      <c r="C836" s="2"/>
      <c r="D836" s="2"/>
      <c r="E836" s="2"/>
      <c r="F836" s="2"/>
      <c r="G836" s="2"/>
      <c r="H836" s="2"/>
      <c r="I836" s="2"/>
      <c r="J836" s="2"/>
      <c r="K836" s="2"/>
      <c r="L836" s="2"/>
      <c r="M836" s="2"/>
      <c r="N836" s="2"/>
      <c r="O836" s="2"/>
      <c r="P836" s="2"/>
      <c r="Q836" s="2"/>
      <c r="R836" s="2"/>
      <c r="S836" s="2"/>
      <c r="T836" s="2"/>
    </row>
    <row r="837" spans="1:20" ht="15.75" customHeight="1">
      <c r="A837" s="1"/>
      <c r="B837" s="2"/>
      <c r="C837" s="2"/>
      <c r="D837" s="2"/>
      <c r="E837" s="2"/>
      <c r="F837" s="2"/>
      <c r="G837" s="2"/>
      <c r="H837" s="2"/>
      <c r="I837" s="2"/>
      <c r="J837" s="2"/>
      <c r="K837" s="2"/>
      <c r="L837" s="2"/>
      <c r="M837" s="2"/>
      <c r="N837" s="2"/>
      <c r="O837" s="2"/>
      <c r="P837" s="2"/>
      <c r="Q837" s="2"/>
      <c r="R837" s="2"/>
      <c r="S837" s="2"/>
      <c r="T837" s="2"/>
    </row>
    <row r="838" spans="1:20" ht="15.75" customHeight="1">
      <c r="A838" s="1"/>
      <c r="B838" s="2"/>
      <c r="C838" s="2"/>
      <c r="D838" s="2"/>
      <c r="E838" s="2"/>
      <c r="F838" s="2"/>
      <c r="G838" s="2"/>
      <c r="H838" s="2"/>
      <c r="I838" s="2"/>
      <c r="J838" s="2"/>
      <c r="K838" s="2"/>
      <c r="L838" s="2"/>
      <c r="M838" s="2"/>
      <c r="N838" s="2"/>
      <c r="O838" s="2"/>
      <c r="P838" s="2"/>
      <c r="Q838" s="2"/>
      <c r="R838" s="2"/>
      <c r="S838" s="2"/>
      <c r="T838" s="2"/>
    </row>
    <row r="839" spans="1:20" ht="15.75" customHeight="1">
      <c r="A839" s="1"/>
      <c r="B839" s="2"/>
      <c r="C839" s="2"/>
      <c r="D839" s="2"/>
      <c r="E839" s="2"/>
      <c r="F839" s="2"/>
      <c r="G839" s="2"/>
      <c r="H839" s="2"/>
      <c r="I839" s="2"/>
      <c r="J839" s="2"/>
      <c r="K839" s="2"/>
      <c r="L839" s="2"/>
      <c r="M839" s="2"/>
      <c r="N839" s="2"/>
      <c r="O839" s="2"/>
      <c r="P839" s="2"/>
      <c r="Q839" s="2"/>
      <c r="R839" s="2"/>
      <c r="S839" s="2"/>
      <c r="T839" s="2"/>
    </row>
    <row r="840" spans="1:20" ht="15.75" customHeight="1">
      <c r="A840" s="1"/>
      <c r="B840" s="2"/>
      <c r="C840" s="2"/>
      <c r="D840" s="2"/>
      <c r="E840" s="2"/>
      <c r="F840" s="2"/>
      <c r="G840" s="2"/>
      <c r="H840" s="2"/>
      <c r="I840" s="2"/>
      <c r="J840" s="2"/>
      <c r="K840" s="2"/>
      <c r="L840" s="2"/>
      <c r="M840" s="2"/>
      <c r="N840" s="2"/>
      <c r="O840" s="2"/>
      <c r="P840" s="2"/>
      <c r="Q840" s="2"/>
      <c r="R840" s="2"/>
      <c r="S840" s="2"/>
      <c r="T840" s="2"/>
    </row>
    <row r="841" spans="1:20" ht="15.75" customHeight="1">
      <c r="A841" s="1"/>
      <c r="B841" s="2"/>
      <c r="C841" s="2"/>
      <c r="D841" s="2"/>
      <c r="E841" s="2"/>
      <c r="F841" s="2"/>
      <c r="G841" s="2"/>
      <c r="H841" s="2"/>
      <c r="I841" s="2"/>
      <c r="J841" s="2"/>
      <c r="K841" s="2"/>
      <c r="L841" s="2"/>
      <c r="M841" s="2"/>
      <c r="N841" s="2"/>
      <c r="O841" s="2"/>
      <c r="P841" s="2"/>
      <c r="Q841" s="2"/>
      <c r="R841" s="2"/>
      <c r="S841" s="2"/>
      <c r="T841" s="2"/>
    </row>
    <row r="842" spans="1:20" ht="15.75" customHeight="1">
      <c r="A842" s="1"/>
      <c r="B842" s="2"/>
      <c r="C842" s="2"/>
      <c r="D842" s="2"/>
      <c r="E842" s="2"/>
      <c r="F842" s="2"/>
      <c r="G842" s="2"/>
      <c r="H842" s="2"/>
      <c r="I842" s="2"/>
      <c r="J842" s="2"/>
      <c r="K842" s="2"/>
      <c r="L842" s="2"/>
      <c r="M842" s="2"/>
      <c r="N842" s="2"/>
      <c r="O842" s="2"/>
      <c r="P842" s="2"/>
      <c r="Q842" s="2"/>
      <c r="R842" s="2"/>
      <c r="S842" s="2"/>
      <c r="T842" s="2"/>
    </row>
    <row r="843" spans="1:20" ht="15.75" customHeight="1">
      <c r="A843" s="1"/>
      <c r="B843" s="2"/>
      <c r="C843" s="2"/>
      <c r="D843" s="2"/>
      <c r="E843" s="2"/>
      <c r="F843" s="2"/>
      <c r="G843" s="2"/>
      <c r="H843" s="2"/>
      <c r="I843" s="2"/>
      <c r="J843" s="2"/>
      <c r="K843" s="2"/>
      <c r="L843" s="2"/>
      <c r="M843" s="2"/>
      <c r="N843" s="2"/>
      <c r="O843" s="2"/>
      <c r="P843" s="2"/>
      <c r="Q843" s="2"/>
      <c r="R843" s="2"/>
      <c r="S843" s="2"/>
      <c r="T843" s="2"/>
    </row>
    <row r="844" spans="1:20" ht="15.75" customHeight="1">
      <c r="A844" s="1"/>
      <c r="B844" s="2"/>
      <c r="C844" s="2"/>
      <c r="D844" s="2"/>
      <c r="E844" s="2"/>
      <c r="F844" s="2"/>
      <c r="G844" s="2"/>
      <c r="H844" s="2"/>
      <c r="I844" s="2"/>
      <c r="J844" s="2"/>
      <c r="K844" s="2"/>
      <c r="L844" s="2"/>
      <c r="M844" s="2"/>
      <c r="N844" s="2"/>
      <c r="O844" s="2"/>
      <c r="P844" s="2"/>
      <c r="Q844" s="2"/>
      <c r="R844" s="2"/>
      <c r="S844" s="2"/>
      <c r="T844" s="2"/>
    </row>
    <row r="845" spans="1:20" ht="15.75" customHeight="1">
      <c r="A845" s="1"/>
      <c r="B845" s="2"/>
      <c r="C845" s="2"/>
      <c r="D845" s="2"/>
      <c r="E845" s="2"/>
      <c r="F845" s="2"/>
      <c r="G845" s="2"/>
      <c r="H845" s="2"/>
      <c r="I845" s="2"/>
      <c r="J845" s="2"/>
      <c r="K845" s="2"/>
      <c r="L845" s="2"/>
      <c r="M845" s="2"/>
      <c r="N845" s="2"/>
      <c r="O845" s="2"/>
      <c r="P845" s="2"/>
      <c r="Q845" s="2"/>
      <c r="R845" s="2"/>
      <c r="S845" s="2"/>
      <c r="T845" s="2"/>
    </row>
    <row r="846" spans="1:20" ht="15.75" customHeight="1">
      <c r="A846" s="1"/>
      <c r="B846" s="2"/>
      <c r="C846" s="2"/>
      <c r="D846" s="2"/>
      <c r="E846" s="2"/>
      <c r="F846" s="2"/>
      <c r="G846" s="2"/>
      <c r="H846" s="2"/>
      <c r="I846" s="2"/>
      <c r="J846" s="2"/>
      <c r="K846" s="2"/>
      <c r="L846" s="2"/>
      <c r="M846" s="2"/>
      <c r="N846" s="2"/>
      <c r="O846" s="2"/>
      <c r="P846" s="2"/>
      <c r="Q846" s="2"/>
      <c r="R846" s="2"/>
      <c r="S846" s="2"/>
      <c r="T846" s="2"/>
    </row>
    <row r="847" spans="1:20" ht="15.75" customHeight="1">
      <c r="A847" s="1"/>
      <c r="B847" s="2"/>
      <c r="C847" s="2"/>
      <c r="D847" s="2"/>
      <c r="E847" s="2"/>
      <c r="F847" s="2"/>
      <c r="G847" s="2"/>
      <c r="H847" s="2"/>
      <c r="I847" s="2"/>
      <c r="J847" s="2"/>
      <c r="K847" s="2"/>
      <c r="L847" s="2"/>
      <c r="M847" s="2"/>
      <c r="N847" s="2"/>
      <c r="O847" s="2"/>
      <c r="P847" s="2"/>
      <c r="Q847" s="2"/>
      <c r="R847" s="2"/>
      <c r="S847" s="2"/>
      <c r="T847" s="2"/>
    </row>
    <row r="848" spans="1:20" ht="15.75" customHeight="1">
      <c r="A848" s="1"/>
      <c r="B848" s="2"/>
      <c r="C848" s="2"/>
      <c r="D848" s="2"/>
      <c r="E848" s="2"/>
      <c r="F848" s="2"/>
      <c r="G848" s="2"/>
      <c r="H848" s="2"/>
      <c r="I848" s="2"/>
      <c r="J848" s="2"/>
      <c r="K848" s="2"/>
      <c r="L848" s="2"/>
      <c r="M848" s="2"/>
      <c r="N848" s="2"/>
      <c r="O848" s="2"/>
      <c r="P848" s="2"/>
      <c r="Q848" s="2"/>
      <c r="R848" s="2"/>
      <c r="S848" s="2"/>
      <c r="T848" s="2"/>
    </row>
    <row r="849" spans="1:20" ht="15.75" customHeight="1">
      <c r="A849" s="1"/>
      <c r="B849" s="2"/>
      <c r="C849" s="2"/>
      <c r="D849" s="2"/>
      <c r="E849" s="2"/>
      <c r="F849" s="2"/>
      <c r="G849" s="2"/>
      <c r="H849" s="2"/>
      <c r="I849" s="2"/>
      <c r="J849" s="2"/>
      <c r="K849" s="2"/>
      <c r="L849" s="2"/>
      <c r="M849" s="2"/>
      <c r="N849" s="2"/>
      <c r="O849" s="2"/>
      <c r="P849" s="2"/>
      <c r="Q849" s="2"/>
      <c r="R849" s="2"/>
      <c r="S849" s="2"/>
      <c r="T849" s="2"/>
    </row>
    <row r="850" spans="1:20" ht="15.75" customHeight="1">
      <c r="A850" s="1"/>
      <c r="B850" s="2"/>
      <c r="C850" s="2"/>
      <c r="D850" s="2"/>
      <c r="E850" s="2"/>
      <c r="F850" s="2"/>
      <c r="G850" s="2"/>
      <c r="H850" s="2"/>
      <c r="I850" s="2"/>
      <c r="J850" s="2"/>
      <c r="K850" s="2"/>
      <c r="L850" s="2"/>
      <c r="M850" s="2"/>
      <c r="N850" s="2"/>
      <c r="O850" s="2"/>
      <c r="P850" s="2"/>
      <c r="Q850" s="2"/>
      <c r="R850" s="2"/>
      <c r="S850" s="2"/>
      <c r="T850" s="2"/>
    </row>
    <row r="851" spans="1:20" ht="15.75" customHeight="1">
      <c r="A851" s="1"/>
      <c r="B851" s="2"/>
      <c r="C851" s="2"/>
      <c r="D851" s="2"/>
      <c r="E851" s="2"/>
      <c r="F851" s="2"/>
      <c r="G851" s="2"/>
      <c r="H851" s="2"/>
      <c r="I851" s="2"/>
      <c r="J851" s="2"/>
      <c r="K851" s="2"/>
      <c r="L851" s="2"/>
      <c r="M851" s="2"/>
      <c r="N851" s="2"/>
      <c r="O851" s="2"/>
      <c r="P851" s="2"/>
      <c r="Q851" s="2"/>
      <c r="R851" s="2"/>
      <c r="S851" s="2"/>
      <c r="T851" s="2"/>
    </row>
    <row r="852" spans="1:20" ht="15.75" customHeight="1">
      <c r="A852" s="1"/>
      <c r="B852" s="2"/>
      <c r="C852" s="2"/>
      <c r="D852" s="2"/>
      <c r="E852" s="2"/>
      <c r="F852" s="2"/>
      <c r="G852" s="2"/>
      <c r="H852" s="2"/>
      <c r="I852" s="2"/>
      <c r="J852" s="2"/>
      <c r="K852" s="2"/>
      <c r="L852" s="2"/>
      <c r="M852" s="2"/>
      <c r="N852" s="2"/>
      <c r="O852" s="2"/>
      <c r="P852" s="2"/>
      <c r="Q852" s="2"/>
      <c r="R852" s="2"/>
      <c r="S852" s="2"/>
      <c r="T852" s="2"/>
    </row>
    <row r="853" spans="1:20" ht="15.75" customHeight="1">
      <c r="A853" s="1"/>
      <c r="B853" s="2"/>
      <c r="C853" s="2"/>
      <c r="D853" s="2"/>
      <c r="E853" s="2"/>
      <c r="F853" s="2"/>
      <c r="G853" s="2"/>
      <c r="H853" s="2"/>
      <c r="I853" s="2"/>
      <c r="J853" s="2"/>
      <c r="K853" s="2"/>
      <c r="L853" s="2"/>
      <c r="M853" s="2"/>
      <c r="N853" s="2"/>
      <c r="O853" s="2"/>
      <c r="P853" s="2"/>
      <c r="Q853" s="2"/>
      <c r="R853" s="2"/>
      <c r="S853" s="2"/>
      <c r="T853" s="2"/>
    </row>
    <row r="854" spans="1:20" ht="15.75" customHeight="1">
      <c r="A854" s="1"/>
      <c r="B854" s="2"/>
      <c r="C854" s="2"/>
      <c r="D854" s="2"/>
      <c r="E854" s="2"/>
      <c r="F854" s="2"/>
      <c r="G854" s="2"/>
      <c r="H854" s="2"/>
      <c r="I854" s="2"/>
      <c r="J854" s="2"/>
      <c r="K854" s="2"/>
      <c r="L854" s="2"/>
      <c r="M854" s="2"/>
      <c r="N854" s="2"/>
      <c r="O854" s="2"/>
      <c r="P854" s="2"/>
      <c r="Q854" s="2"/>
      <c r="R854" s="2"/>
      <c r="S854" s="2"/>
      <c r="T854" s="2"/>
    </row>
    <row r="855" spans="1:20" ht="15.75" customHeight="1">
      <c r="A855" s="1"/>
      <c r="B855" s="2"/>
      <c r="C855" s="2"/>
      <c r="D855" s="2"/>
      <c r="E855" s="2"/>
      <c r="F855" s="2"/>
      <c r="G855" s="2"/>
      <c r="H855" s="2"/>
      <c r="I855" s="2"/>
      <c r="J855" s="2"/>
      <c r="K855" s="2"/>
      <c r="L855" s="2"/>
      <c r="M855" s="2"/>
      <c r="N855" s="2"/>
      <c r="O855" s="2"/>
      <c r="P855" s="2"/>
      <c r="Q855" s="2"/>
      <c r="R855" s="2"/>
      <c r="S855" s="2"/>
      <c r="T855" s="2"/>
    </row>
    <row r="856" spans="1:20" ht="15.75" customHeight="1">
      <c r="A856" s="1"/>
      <c r="B856" s="2"/>
      <c r="C856" s="2"/>
      <c r="D856" s="2"/>
      <c r="E856" s="2"/>
      <c r="F856" s="2"/>
      <c r="G856" s="2"/>
      <c r="H856" s="2"/>
      <c r="I856" s="2"/>
      <c r="J856" s="2"/>
      <c r="K856" s="2"/>
      <c r="L856" s="2"/>
      <c r="M856" s="2"/>
      <c r="N856" s="2"/>
      <c r="O856" s="2"/>
      <c r="P856" s="2"/>
      <c r="Q856" s="2"/>
      <c r="R856" s="2"/>
      <c r="S856" s="2"/>
      <c r="T856" s="2"/>
    </row>
    <row r="857" spans="1:20" ht="15.75" customHeight="1">
      <c r="A857" s="1"/>
      <c r="B857" s="2"/>
      <c r="C857" s="2"/>
      <c r="D857" s="2"/>
      <c r="E857" s="2"/>
      <c r="F857" s="2"/>
      <c r="G857" s="2"/>
      <c r="H857" s="2"/>
      <c r="I857" s="2"/>
      <c r="J857" s="2"/>
      <c r="K857" s="2"/>
      <c r="L857" s="2"/>
      <c r="M857" s="2"/>
      <c r="N857" s="2"/>
      <c r="O857" s="2"/>
      <c r="P857" s="2"/>
      <c r="Q857" s="2"/>
      <c r="R857" s="2"/>
      <c r="S857" s="2"/>
      <c r="T857" s="2"/>
    </row>
    <row r="858" spans="1:20" ht="15.75" customHeight="1">
      <c r="A858" s="1"/>
      <c r="B858" s="2"/>
      <c r="C858" s="2"/>
      <c r="D858" s="2"/>
      <c r="E858" s="2"/>
      <c r="F858" s="2"/>
      <c r="G858" s="2"/>
      <c r="H858" s="2"/>
      <c r="I858" s="2"/>
      <c r="J858" s="2"/>
      <c r="K858" s="2"/>
      <c r="L858" s="2"/>
      <c r="M858" s="2"/>
      <c r="N858" s="2"/>
      <c r="O858" s="2"/>
      <c r="P858" s="2"/>
      <c r="Q858" s="2"/>
      <c r="R858" s="2"/>
      <c r="S858" s="2"/>
      <c r="T858" s="2"/>
    </row>
    <row r="859" spans="1:20" ht="15.75" customHeight="1">
      <c r="A859" s="1"/>
      <c r="B859" s="2"/>
      <c r="C859" s="2"/>
      <c r="D859" s="2"/>
      <c r="E859" s="2"/>
      <c r="F859" s="2"/>
      <c r="G859" s="2"/>
      <c r="H859" s="2"/>
      <c r="I859" s="2"/>
      <c r="J859" s="2"/>
      <c r="K859" s="2"/>
      <c r="L859" s="2"/>
      <c r="M859" s="2"/>
      <c r="N859" s="2"/>
      <c r="O859" s="2"/>
      <c r="P859" s="2"/>
      <c r="Q859" s="2"/>
      <c r="R859" s="2"/>
      <c r="S859" s="2"/>
      <c r="T859" s="2"/>
    </row>
    <row r="860" spans="1:20" ht="15.75" customHeight="1">
      <c r="A860" s="1"/>
      <c r="B860" s="2"/>
      <c r="C860" s="2"/>
      <c r="D860" s="2"/>
      <c r="E860" s="2"/>
      <c r="F860" s="2"/>
      <c r="G860" s="2"/>
      <c r="H860" s="2"/>
      <c r="I860" s="2"/>
      <c r="J860" s="2"/>
      <c r="K860" s="2"/>
      <c r="L860" s="2"/>
      <c r="M860" s="2"/>
      <c r="N860" s="2"/>
      <c r="O860" s="2"/>
      <c r="P860" s="2"/>
      <c r="Q860" s="2"/>
      <c r="R860" s="2"/>
      <c r="S860" s="2"/>
      <c r="T860" s="2"/>
    </row>
    <row r="861" spans="1:20" ht="15.75" customHeight="1">
      <c r="A861" s="1"/>
      <c r="B861" s="2"/>
      <c r="C861" s="2"/>
      <c r="D861" s="2"/>
      <c r="E861" s="2"/>
      <c r="F861" s="2"/>
      <c r="G861" s="2"/>
      <c r="H861" s="2"/>
      <c r="I861" s="2"/>
      <c r="J861" s="2"/>
      <c r="K861" s="2"/>
      <c r="L861" s="2"/>
      <c r="M861" s="2"/>
      <c r="N861" s="2"/>
      <c r="O861" s="2"/>
      <c r="P861" s="2"/>
      <c r="Q861" s="2"/>
      <c r="R861" s="2"/>
      <c r="S861" s="2"/>
      <c r="T861" s="2"/>
    </row>
    <row r="862" spans="1:20" ht="15.75" customHeight="1">
      <c r="A862" s="1"/>
      <c r="B862" s="2"/>
      <c r="C862" s="2"/>
      <c r="D862" s="2"/>
      <c r="E862" s="2"/>
      <c r="F862" s="2"/>
      <c r="G862" s="2"/>
      <c r="H862" s="2"/>
      <c r="I862" s="2"/>
      <c r="J862" s="2"/>
      <c r="K862" s="2"/>
      <c r="L862" s="2"/>
      <c r="M862" s="2"/>
      <c r="N862" s="2"/>
      <c r="O862" s="2"/>
      <c r="P862" s="2"/>
      <c r="Q862" s="2"/>
      <c r="R862" s="2"/>
      <c r="S862" s="2"/>
      <c r="T862" s="2"/>
    </row>
    <row r="863" spans="1:20" ht="15.75" customHeight="1">
      <c r="A863" s="1"/>
      <c r="B863" s="2"/>
      <c r="C863" s="2"/>
      <c r="D863" s="2"/>
      <c r="E863" s="2"/>
      <c r="F863" s="2"/>
      <c r="G863" s="2"/>
      <c r="H863" s="2"/>
      <c r="I863" s="2"/>
      <c r="J863" s="2"/>
      <c r="K863" s="2"/>
      <c r="L863" s="2"/>
      <c r="M863" s="2"/>
      <c r="N863" s="2"/>
      <c r="O863" s="2"/>
      <c r="P863" s="2"/>
      <c r="Q863" s="2"/>
      <c r="R863" s="2"/>
      <c r="S863" s="2"/>
      <c r="T863" s="2"/>
    </row>
    <row r="864" spans="1:20" ht="15.75" customHeight="1">
      <c r="A864" s="1"/>
      <c r="B864" s="2"/>
      <c r="C864" s="2"/>
      <c r="D864" s="2"/>
      <c r="E864" s="2"/>
      <c r="F864" s="2"/>
      <c r="G864" s="2"/>
      <c r="H864" s="2"/>
      <c r="I864" s="2"/>
      <c r="J864" s="2"/>
      <c r="K864" s="2"/>
      <c r="L864" s="2"/>
      <c r="M864" s="2"/>
      <c r="N864" s="2"/>
      <c r="O864" s="2"/>
      <c r="P864" s="2"/>
      <c r="Q864" s="2"/>
      <c r="R864" s="2"/>
      <c r="S864" s="2"/>
      <c r="T864" s="2"/>
    </row>
    <row r="865" spans="1:20" ht="15.75" customHeight="1">
      <c r="A865" s="1"/>
      <c r="B865" s="2"/>
      <c r="C865" s="2"/>
      <c r="D865" s="2"/>
      <c r="E865" s="2"/>
      <c r="F865" s="2"/>
      <c r="G865" s="2"/>
      <c r="H865" s="2"/>
      <c r="I865" s="2"/>
      <c r="J865" s="2"/>
      <c r="K865" s="2"/>
      <c r="L865" s="2"/>
      <c r="M865" s="2"/>
      <c r="N865" s="2"/>
      <c r="O865" s="2"/>
      <c r="P865" s="2"/>
      <c r="Q865" s="2"/>
      <c r="R865" s="2"/>
      <c r="S865" s="2"/>
      <c r="T865" s="2"/>
    </row>
    <row r="866" spans="1:20" ht="15.75" customHeight="1">
      <c r="A866" s="1"/>
      <c r="B866" s="2"/>
      <c r="C866" s="2"/>
      <c r="D866" s="2"/>
      <c r="E866" s="2"/>
      <c r="F866" s="2"/>
      <c r="G866" s="2"/>
      <c r="H866" s="2"/>
      <c r="I866" s="2"/>
      <c r="J866" s="2"/>
      <c r="K866" s="2"/>
      <c r="L866" s="2"/>
      <c r="M866" s="2"/>
      <c r="N866" s="2"/>
      <c r="O866" s="2"/>
      <c r="P866" s="2"/>
      <c r="Q866" s="2"/>
      <c r="R866" s="2"/>
      <c r="S866" s="2"/>
      <c r="T866" s="2"/>
    </row>
    <row r="867" spans="1:20" ht="15.75" customHeight="1">
      <c r="A867" s="1"/>
      <c r="B867" s="2"/>
      <c r="C867" s="2"/>
      <c r="D867" s="2"/>
      <c r="E867" s="2"/>
      <c r="F867" s="2"/>
      <c r="G867" s="2"/>
      <c r="H867" s="2"/>
      <c r="I867" s="2"/>
      <c r="J867" s="2"/>
      <c r="K867" s="2"/>
      <c r="L867" s="2"/>
      <c r="M867" s="2"/>
      <c r="N867" s="2"/>
      <c r="O867" s="2"/>
      <c r="P867" s="2"/>
      <c r="Q867" s="2"/>
      <c r="R867" s="2"/>
      <c r="S867" s="2"/>
      <c r="T867" s="2"/>
    </row>
    <row r="868" spans="1:20" ht="15.75" customHeight="1">
      <c r="A868" s="1"/>
      <c r="B868" s="2"/>
      <c r="C868" s="2"/>
      <c r="D868" s="2"/>
      <c r="E868" s="2"/>
      <c r="F868" s="2"/>
      <c r="G868" s="2"/>
      <c r="H868" s="2"/>
      <c r="I868" s="2"/>
      <c r="J868" s="2"/>
      <c r="K868" s="2"/>
      <c r="L868" s="2"/>
      <c r="M868" s="2"/>
      <c r="N868" s="2"/>
      <c r="O868" s="2"/>
      <c r="P868" s="2"/>
      <c r="Q868" s="2"/>
      <c r="R868" s="2"/>
      <c r="S868" s="2"/>
      <c r="T868" s="2"/>
    </row>
    <row r="869" spans="1:20" ht="15.75" customHeight="1">
      <c r="A869" s="1"/>
      <c r="B869" s="2"/>
      <c r="C869" s="2"/>
      <c r="D869" s="2"/>
      <c r="E869" s="2"/>
      <c r="F869" s="2"/>
      <c r="G869" s="2"/>
      <c r="H869" s="2"/>
      <c r="I869" s="2"/>
      <c r="J869" s="2"/>
      <c r="K869" s="2"/>
      <c r="L869" s="2"/>
      <c r="M869" s="2"/>
      <c r="N869" s="2"/>
      <c r="O869" s="2"/>
      <c r="P869" s="2"/>
      <c r="Q869" s="2"/>
      <c r="R869" s="2"/>
      <c r="S869" s="2"/>
      <c r="T869" s="2"/>
    </row>
    <row r="870" spans="1:20" ht="15.75" customHeight="1">
      <c r="A870" s="1"/>
      <c r="B870" s="2"/>
      <c r="C870" s="2"/>
      <c r="D870" s="2"/>
      <c r="E870" s="2"/>
      <c r="F870" s="2"/>
      <c r="G870" s="2"/>
      <c r="H870" s="2"/>
      <c r="I870" s="2"/>
      <c r="J870" s="2"/>
      <c r="K870" s="2"/>
      <c r="L870" s="2"/>
      <c r="M870" s="2"/>
      <c r="N870" s="2"/>
      <c r="O870" s="2"/>
      <c r="P870" s="2"/>
      <c r="Q870" s="2"/>
      <c r="R870" s="2"/>
      <c r="S870" s="2"/>
      <c r="T870" s="2"/>
    </row>
    <row r="871" spans="1:20" ht="15.75" customHeight="1">
      <c r="A871" s="1"/>
      <c r="B871" s="2"/>
      <c r="C871" s="2"/>
      <c r="D871" s="2"/>
      <c r="E871" s="2"/>
      <c r="F871" s="2"/>
      <c r="G871" s="2"/>
      <c r="H871" s="2"/>
      <c r="I871" s="2"/>
      <c r="J871" s="2"/>
      <c r="K871" s="2"/>
      <c r="L871" s="2"/>
      <c r="M871" s="2"/>
      <c r="N871" s="2"/>
      <c r="O871" s="2"/>
      <c r="P871" s="2"/>
      <c r="Q871" s="2"/>
      <c r="R871" s="2"/>
      <c r="S871" s="2"/>
      <c r="T871" s="2"/>
    </row>
    <row r="872" spans="1:20" ht="15.75" customHeight="1">
      <c r="A872" s="1"/>
      <c r="B872" s="2"/>
      <c r="C872" s="2"/>
      <c r="D872" s="2"/>
      <c r="E872" s="2"/>
      <c r="F872" s="2"/>
      <c r="G872" s="2"/>
      <c r="H872" s="2"/>
      <c r="I872" s="2"/>
      <c r="J872" s="2"/>
      <c r="K872" s="2"/>
      <c r="L872" s="2"/>
      <c r="M872" s="2"/>
      <c r="N872" s="2"/>
      <c r="O872" s="2"/>
      <c r="P872" s="2"/>
      <c r="Q872" s="2"/>
      <c r="R872" s="2"/>
      <c r="S872" s="2"/>
      <c r="T872" s="2"/>
    </row>
    <row r="873" spans="1:20" ht="15.75" customHeight="1">
      <c r="A873" s="1"/>
      <c r="B873" s="2"/>
      <c r="C873" s="2"/>
      <c r="D873" s="2"/>
      <c r="E873" s="2"/>
      <c r="F873" s="2"/>
      <c r="G873" s="2"/>
      <c r="H873" s="2"/>
      <c r="I873" s="2"/>
      <c r="J873" s="2"/>
      <c r="K873" s="2"/>
      <c r="L873" s="2"/>
      <c r="M873" s="2"/>
      <c r="N873" s="2"/>
      <c r="O873" s="2"/>
      <c r="P873" s="2"/>
      <c r="Q873" s="2"/>
      <c r="R873" s="2"/>
      <c r="S873" s="2"/>
      <c r="T873" s="2"/>
    </row>
    <row r="874" spans="1:20" ht="15.75" customHeight="1">
      <c r="A874" s="1"/>
      <c r="B874" s="2"/>
      <c r="C874" s="2"/>
      <c r="D874" s="2"/>
      <c r="E874" s="2"/>
      <c r="F874" s="2"/>
      <c r="G874" s="2"/>
      <c r="H874" s="2"/>
      <c r="I874" s="2"/>
      <c r="J874" s="2"/>
      <c r="K874" s="2"/>
      <c r="L874" s="2"/>
      <c r="M874" s="2"/>
      <c r="N874" s="2"/>
      <c r="O874" s="2"/>
      <c r="P874" s="2"/>
      <c r="Q874" s="2"/>
      <c r="R874" s="2"/>
      <c r="S874" s="2"/>
      <c r="T874" s="2"/>
    </row>
    <row r="875" spans="1:20" ht="15.75" customHeight="1">
      <c r="A875" s="1"/>
      <c r="B875" s="2"/>
      <c r="C875" s="2"/>
      <c r="D875" s="2"/>
      <c r="E875" s="2"/>
      <c r="F875" s="2"/>
      <c r="G875" s="2"/>
      <c r="H875" s="2"/>
      <c r="I875" s="2"/>
      <c r="J875" s="2"/>
      <c r="K875" s="2"/>
      <c r="L875" s="2"/>
      <c r="M875" s="2"/>
      <c r="N875" s="2"/>
      <c r="O875" s="2"/>
      <c r="P875" s="2"/>
      <c r="Q875" s="2"/>
      <c r="R875" s="2"/>
      <c r="S875" s="2"/>
      <c r="T875" s="2"/>
    </row>
    <row r="876" spans="1:20" ht="15.75" customHeight="1">
      <c r="A876" s="1"/>
      <c r="B876" s="2"/>
      <c r="C876" s="2"/>
      <c r="D876" s="2"/>
      <c r="E876" s="2"/>
      <c r="F876" s="2"/>
      <c r="G876" s="2"/>
      <c r="H876" s="2"/>
      <c r="I876" s="2"/>
      <c r="J876" s="2"/>
      <c r="K876" s="2"/>
      <c r="L876" s="2"/>
      <c r="M876" s="2"/>
      <c r="N876" s="2"/>
      <c r="O876" s="2"/>
      <c r="P876" s="2"/>
      <c r="Q876" s="2"/>
      <c r="R876" s="2"/>
      <c r="S876" s="2"/>
      <c r="T876" s="2"/>
    </row>
    <row r="877" spans="1:20" ht="15.75" customHeight="1">
      <c r="A877" s="1"/>
      <c r="B877" s="2"/>
      <c r="C877" s="2"/>
      <c r="D877" s="2"/>
      <c r="E877" s="2"/>
      <c r="F877" s="2"/>
      <c r="G877" s="2"/>
      <c r="H877" s="2"/>
      <c r="I877" s="2"/>
      <c r="J877" s="2"/>
      <c r="K877" s="2"/>
      <c r="L877" s="2"/>
      <c r="M877" s="2"/>
      <c r="N877" s="2"/>
      <c r="O877" s="2"/>
      <c r="P877" s="2"/>
      <c r="Q877" s="2"/>
      <c r="R877" s="2"/>
      <c r="S877" s="2"/>
      <c r="T877" s="2"/>
    </row>
    <row r="878" spans="1:20" ht="15.75" customHeight="1">
      <c r="A878" s="1"/>
      <c r="B878" s="2"/>
      <c r="C878" s="2"/>
      <c r="D878" s="2"/>
      <c r="E878" s="2"/>
      <c r="F878" s="2"/>
      <c r="G878" s="2"/>
      <c r="H878" s="2"/>
      <c r="I878" s="2"/>
      <c r="J878" s="2"/>
      <c r="K878" s="2"/>
      <c r="L878" s="2"/>
      <c r="M878" s="2"/>
      <c r="N878" s="2"/>
      <c r="O878" s="2"/>
      <c r="P878" s="2"/>
      <c r="Q878" s="2"/>
      <c r="R878" s="2"/>
      <c r="S878" s="2"/>
      <c r="T878" s="2"/>
    </row>
    <row r="879" spans="1:20" ht="15.75" customHeight="1">
      <c r="A879" s="1"/>
      <c r="B879" s="2"/>
      <c r="C879" s="2"/>
      <c r="D879" s="2"/>
      <c r="E879" s="2"/>
      <c r="F879" s="2"/>
      <c r="G879" s="2"/>
      <c r="H879" s="2"/>
      <c r="I879" s="2"/>
      <c r="J879" s="2"/>
      <c r="K879" s="2"/>
      <c r="L879" s="2"/>
      <c r="M879" s="2"/>
      <c r="N879" s="2"/>
      <c r="O879" s="2"/>
      <c r="P879" s="2"/>
      <c r="Q879" s="2"/>
      <c r="R879" s="2"/>
      <c r="S879" s="2"/>
      <c r="T879" s="2"/>
    </row>
    <row r="880" spans="1:20" ht="15.75" customHeight="1">
      <c r="A880" s="1"/>
      <c r="B880" s="2"/>
      <c r="C880" s="2"/>
      <c r="D880" s="2"/>
      <c r="E880" s="2"/>
      <c r="F880" s="2"/>
      <c r="G880" s="2"/>
      <c r="H880" s="2"/>
      <c r="I880" s="2"/>
      <c r="J880" s="2"/>
      <c r="K880" s="2"/>
      <c r="L880" s="2"/>
      <c r="M880" s="2"/>
      <c r="N880" s="2"/>
      <c r="O880" s="2"/>
      <c r="P880" s="2"/>
      <c r="Q880" s="2"/>
      <c r="R880" s="2"/>
      <c r="S880" s="2"/>
      <c r="T880" s="2"/>
    </row>
    <row r="881" spans="1:20" ht="15.75" customHeight="1">
      <c r="A881" s="1"/>
      <c r="B881" s="2"/>
      <c r="C881" s="2"/>
      <c r="D881" s="2"/>
      <c r="E881" s="2"/>
      <c r="F881" s="2"/>
      <c r="G881" s="2"/>
      <c r="H881" s="2"/>
      <c r="I881" s="2"/>
      <c r="J881" s="2"/>
      <c r="K881" s="2"/>
      <c r="L881" s="2"/>
      <c r="M881" s="2"/>
      <c r="N881" s="2"/>
      <c r="O881" s="2"/>
      <c r="P881" s="2"/>
      <c r="Q881" s="2"/>
      <c r="R881" s="2"/>
      <c r="S881" s="2"/>
      <c r="T881" s="2"/>
    </row>
    <row r="882" spans="1:20" ht="15.75" customHeight="1">
      <c r="A882" s="1"/>
      <c r="B882" s="2"/>
      <c r="C882" s="2"/>
      <c r="D882" s="2"/>
      <c r="E882" s="2"/>
      <c r="F882" s="2"/>
      <c r="G882" s="2"/>
      <c r="H882" s="2"/>
      <c r="I882" s="2"/>
      <c r="J882" s="2"/>
      <c r="K882" s="2"/>
      <c r="L882" s="2"/>
      <c r="M882" s="2"/>
      <c r="N882" s="2"/>
      <c r="O882" s="2"/>
      <c r="P882" s="2"/>
      <c r="Q882" s="2"/>
      <c r="R882" s="2"/>
      <c r="S882" s="2"/>
      <c r="T882" s="2"/>
    </row>
    <row r="883" spans="1:20" ht="15.75" customHeight="1">
      <c r="A883" s="1"/>
      <c r="B883" s="2"/>
      <c r="C883" s="2"/>
      <c r="D883" s="2"/>
      <c r="E883" s="2"/>
      <c r="F883" s="2"/>
      <c r="G883" s="2"/>
      <c r="H883" s="2"/>
      <c r="I883" s="2"/>
      <c r="J883" s="2"/>
      <c r="K883" s="2"/>
      <c r="L883" s="2"/>
      <c r="M883" s="2"/>
      <c r="N883" s="2"/>
      <c r="O883" s="2"/>
      <c r="P883" s="2"/>
      <c r="Q883" s="2"/>
      <c r="R883" s="2"/>
      <c r="S883" s="2"/>
      <c r="T883" s="2"/>
    </row>
    <row r="884" spans="1:20" ht="15.75" customHeight="1">
      <c r="A884" s="1"/>
      <c r="B884" s="2"/>
      <c r="C884" s="2"/>
      <c r="D884" s="2"/>
      <c r="E884" s="2"/>
      <c r="F884" s="2"/>
      <c r="G884" s="2"/>
      <c r="H884" s="2"/>
      <c r="I884" s="2"/>
      <c r="J884" s="2"/>
      <c r="K884" s="2"/>
      <c r="L884" s="2"/>
      <c r="M884" s="2"/>
      <c r="N884" s="2"/>
      <c r="O884" s="2"/>
      <c r="P884" s="2"/>
      <c r="Q884" s="2"/>
      <c r="R884" s="2"/>
      <c r="S884" s="2"/>
      <c r="T884" s="2"/>
    </row>
    <row r="885" spans="1:20" ht="15.75" customHeight="1">
      <c r="A885" s="1"/>
      <c r="B885" s="2"/>
      <c r="C885" s="2"/>
      <c r="D885" s="2"/>
      <c r="E885" s="2"/>
      <c r="F885" s="2"/>
      <c r="G885" s="2"/>
      <c r="H885" s="2"/>
      <c r="I885" s="2"/>
      <c r="J885" s="2"/>
      <c r="K885" s="2"/>
      <c r="L885" s="2"/>
      <c r="M885" s="2"/>
      <c r="N885" s="2"/>
      <c r="O885" s="2"/>
      <c r="P885" s="2"/>
      <c r="Q885" s="2"/>
      <c r="R885" s="2"/>
      <c r="S885" s="2"/>
      <c r="T885" s="2"/>
    </row>
    <row r="886" spans="1:20" ht="15.75" customHeight="1">
      <c r="A886" s="1"/>
      <c r="B886" s="2"/>
      <c r="C886" s="2"/>
      <c r="D886" s="2"/>
      <c r="E886" s="2"/>
      <c r="F886" s="2"/>
      <c r="G886" s="2"/>
      <c r="H886" s="2"/>
      <c r="I886" s="2"/>
      <c r="J886" s="2"/>
      <c r="K886" s="2"/>
      <c r="L886" s="2"/>
      <c r="M886" s="2"/>
      <c r="N886" s="2"/>
      <c r="O886" s="2"/>
      <c r="P886" s="2"/>
      <c r="Q886" s="2"/>
      <c r="R886" s="2"/>
      <c r="S886" s="2"/>
      <c r="T886" s="2"/>
    </row>
    <row r="887" spans="1:20" ht="15.75" customHeight="1">
      <c r="A887" s="1"/>
      <c r="B887" s="2"/>
      <c r="C887" s="2"/>
      <c r="D887" s="2"/>
      <c r="E887" s="2"/>
      <c r="F887" s="2"/>
      <c r="G887" s="2"/>
      <c r="H887" s="2"/>
      <c r="I887" s="2"/>
      <c r="J887" s="2"/>
      <c r="K887" s="2"/>
      <c r="L887" s="2"/>
      <c r="M887" s="2"/>
      <c r="N887" s="2"/>
      <c r="O887" s="2"/>
      <c r="P887" s="2"/>
      <c r="Q887" s="2"/>
      <c r="R887" s="2"/>
      <c r="S887" s="2"/>
      <c r="T887" s="2"/>
    </row>
    <row r="888" spans="1:20" ht="15.75" customHeight="1">
      <c r="A888" s="1"/>
      <c r="B888" s="2"/>
      <c r="C888" s="2"/>
      <c r="D888" s="2"/>
      <c r="E888" s="2"/>
      <c r="F888" s="2"/>
      <c r="G888" s="2"/>
      <c r="H888" s="2"/>
      <c r="I888" s="2"/>
      <c r="J888" s="2"/>
      <c r="K888" s="2"/>
      <c r="L888" s="2"/>
      <c r="M888" s="2"/>
      <c r="N888" s="2"/>
      <c r="O888" s="2"/>
      <c r="P888" s="2"/>
      <c r="Q888" s="2"/>
      <c r="R888" s="2"/>
      <c r="S888" s="2"/>
      <c r="T888" s="2"/>
    </row>
    <row r="889" spans="1:20" ht="15.75" customHeight="1">
      <c r="A889" s="1"/>
      <c r="B889" s="2"/>
      <c r="C889" s="2"/>
      <c r="D889" s="2"/>
      <c r="E889" s="2"/>
      <c r="F889" s="2"/>
      <c r="G889" s="2"/>
      <c r="H889" s="2"/>
      <c r="I889" s="2"/>
      <c r="J889" s="2"/>
      <c r="K889" s="2"/>
      <c r="L889" s="2"/>
      <c r="M889" s="2"/>
      <c r="N889" s="2"/>
      <c r="O889" s="2"/>
      <c r="P889" s="2"/>
      <c r="Q889" s="2"/>
      <c r="R889" s="2"/>
      <c r="S889" s="2"/>
      <c r="T889" s="2"/>
    </row>
    <row r="890" spans="1:20" ht="15.75" customHeight="1">
      <c r="A890" s="1"/>
      <c r="B890" s="2"/>
      <c r="C890" s="2"/>
      <c r="D890" s="2"/>
      <c r="E890" s="2"/>
      <c r="F890" s="2"/>
      <c r="G890" s="2"/>
      <c r="H890" s="2"/>
      <c r="I890" s="2"/>
      <c r="J890" s="2"/>
      <c r="K890" s="2"/>
      <c r="L890" s="2"/>
      <c r="M890" s="2"/>
      <c r="N890" s="2"/>
      <c r="O890" s="2"/>
      <c r="P890" s="2"/>
      <c r="Q890" s="2"/>
      <c r="R890" s="2"/>
      <c r="S890" s="2"/>
      <c r="T890" s="2"/>
    </row>
    <row r="891" spans="1:20" ht="15.75" customHeight="1">
      <c r="A891" s="1"/>
      <c r="B891" s="2"/>
      <c r="C891" s="2"/>
      <c r="D891" s="2"/>
      <c r="E891" s="2"/>
      <c r="F891" s="2"/>
      <c r="G891" s="2"/>
      <c r="H891" s="2"/>
      <c r="I891" s="2"/>
      <c r="J891" s="2"/>
      <c r="K891" s="2"/>
      <c r="L891" s="2"/>
      <c r="M891" s="2"/>
      <c r="N891" s="2"/>
      <c r="O891" s="2"/>
      <c r="P891" s="2"/>
      <c r="Q891" s="2"/>
      <c r="R891" s="2"/>
      <c r="S891" s="2"/>
      <c r="T891" s="2"/>
    </row>
    <row r="892" spans="1:20" ht="15.75" customHeight="1">
      <c r="A892" s="1"/>
      <c r="B892" s="2"/>
      <c r="C892" s="2"/>
      <c r="D892" s="2"/>
      <c r="E892" s="2"/>
      <c r="F892" s="2"/>
      <c r="G892" s="2"/>
      <c r="H892" s="2"/>
      <c r="I892" s="2"/>
      <c r="J892" s="2"/>
      <c r="K892" s="2"/>
      <c r="L892" s="2"/>
      <c r="M892" s="2"/>
      <c r="N892" s="2"/>
      <c r="O892" s="2"/>
      <c r="P892" s="2"/>
      <c r="Q892" s="2"/>
      <c r="R892" s="2"/>
      <c r="S892" s="2"/>
      <c r="T892" s="2"/>
    </row>
    <row r="893" spans="1:20" ht="15.75" customHeight="1">
      <c r="A893" s="1"/>
      <c r="B893" s="2"/>
      <c r="C893" s="2"/>
      <c r="D893" s="2"/>
      <c r="E893" s="2"/>
      <c r="F893" s="2"/>
      <c r="G893" s="2"/>
      <c r="H893" s="2"/>
      <c r="I893" s="2"/>
      <c r="J893" s="2"/>
      <c r="K893" s="2"/>
      <c r="L893" s="2"/>
      <c r="M893" s="2"/>
      <c r="N893" s="2"/>
      <c r="O893" s="2"/>
      <c r="P893" s="2"/>
      <c r="Q893" s="2"/>
      <c r="R893" s="2"/>
      <c r="S893" s="2"/>
      <c r="T893" s="2"/>
    </row>
    <row r="894" spans="1:20" ht="15.75" customHeight="1">
      <c r="A894" s="1"/>
      <c r="B894" s="2"/>
      <c r="C894" s="2"/>
      <c r="D894" s="2"/>
      <c r="E894" s="2"/>
      <c r="F894" s="2"/>
      <c r="G894" s="2"/>
      <c r="H894" s="2"/>
      <c r="I894" s="2"/>
      <c r="J894" s="2"/>
      <c r="K894" s="2"/>
      <c r="L894" s="2"/>
      <c r="M894" s="2"/>
      <c r="N894" s="2"/>
      <c r="O894" s="2"/>
      <c r="P894" s="2"/>
      <c r="Q894" s="2"/>
      <c r="R894" s="2"/>
      <c r="S894" s="2"/>
      <c r="T894" s="2"/>
    </row>
    <row r="895" spans="1:20" ht="15.75" customHeight="1">
      <c r="A895" s="1"/>
      <c r="B895" s="2"/>
      <c r="C895" s="2"/>
      <c r="D895" s="2"/>
      <c r="E895" s="2"/>
      <c r="F895" s="2"/>
      <c r="G895" s="2"/>
      <c r="H895" s="2"/>
      <c r="I895" s="2"/>
      <c r="J895" s="2"/>
      <c r="K895" s="2"/>
      <c r="L895" s="2"/>
      <c r="M895" s="2"/>
      <c r="N895" s="2"/>
      <c r="O895" s="2"/>
      <c r="P895" s="2"/>
      <c r="Q895" s="2"/>
      <c r="R895" s="2"/>
      <c r="S895" s="2"/>
      <c r="T895" s="2"/>
    </row>
    <row r="896" spans="1:20" ht="15.75" customHeight="1">
      <c r="A896" s="1"/>
      <c r="B896" s="2"/>
      <c r="C896" s="2"/>
      <c r="D896" s="2"/>
      <c r="E896" s="2"/>
      <c r="F896" s="2"/>
      <c r="G896" s="2"/>
      <c r="H896" s="2"/>
      <c r="I896" s="2"/>
      <c r="J896" s="2"/>
      <c r="K896" s="2"/>
      <c r="L896" s="2"/>
      <c r="M896" s="2"/>
      <c r="N896" s="2"/>
      <c r="O896" s="2"/>
      <c r="P896" s="2"/>
      <c r="Q896" s="2"/>
      <c r="R896" s="2"/>
      <c r="S896" s="2"/>
      <c r="T896" s="2"/>
    </row>
    <row r="897" spans="1:20" ht="15.75" customHeight="1">
      <c r="A897" s="1"/>
      <c r="B897" s="2"/>
      <c r="C897" s="2"/>
      <c r="D897" s="2"/>
      <c r="E897" s="2"/>
      <c r="F897" s="2"/>
      <c r="G897" s="2"/>
      <c r="H897" s="2"/>
      <c r="I897" s="2"/>
      <c r="J897" s="2"/>
      <c r="K897" s="2"/>
      <c r="L897" s="2"/>
      <c r="M897" s="2"/>
      <c r="N897" s="2"/>
      <c r="O897" s="2"/>
      <c r="P897" s="2"/>
      <c r="Q897" s="2"/>
      <c r="R897" s="2"/>
      <c r="S897" s="2"/>
      <c r="T897" s="2"/>
    </row>
    <row r="898" spans="1:20" ht="15.75" customHeight="1">
      <c r="A898" s="1"/>
      <c r="B898" s="2"/>
      <c r="C898" s="2"/>
      <c r="D898" s="2"/>
      <c r="E898" s="2"/>
      <c r="F898" s="2"/>
      <c r="G898" s="2"/>
      <c r="H898" s="2"/>
      <c r="I898" s="2"/>
      <c r="J898" s="2"/>
      <c r="K898" s="2"/>
      <c r="L898" s="2"/>
      <c r="M898" s="2"/>
      <c r="N898" s="2"/>
      <c r="O898" s="2"/>
      <c r="P898" s="2"/>
      <c r="Q898" s="2"/>
      <c r="R898" s="2"/>
      <c r="S898" s="2"/>
      <c r="T898" s="2"/>
    </row>
    <row r="899" spans="1:20" ht="15.75" customHeight="1">
      <c r="A899" s="1"/>
      <c r="B899" s="2"/>
      <c r="C899" s="2"/>
      <c r="D899" s="2"/>
      <c r="E899" s="2"/>
      <c r="F899" s="2"/>
      <c r="G899" s="2"/>
      <c r="H899" s="2"/>
      <c r="I899" s="2"/>
      <c r="J899" s="2"/>
      <c r="K899" s="2"/>
      <c r="L899" s="2"/>
      <c r="M899" s="2"/>
      <c r="N899" s="2"/>
      <c r="O899" s="2"/>
      <c r="P899" s="2"/>
      <c r="Q899" s="2"/>
      <c r="R899" s="2"/>
      <c r="S899" s="2"/>
      <c r="T899" s="2"/>
    </row>
    <row r="900" spans="1:20" ht="15.75" customHeight="1">
      <c r="A900" s="1"/>
      <c r="B900" s="2"/>
      <c r="C900" s="2"/>
      <c r="D900" s="2"/>
      <c r="E900" s="2"/>
      <c r="F900" s="2"/>
      <c r="G900" s="2"/>
      <c r="H900" s="2"/>
      <c r="I900" s="2"/>
      <c r="J900" s="2"/>
      <c r="K900" s="2"/>
      <c r="L900" s="2"/>
      <c r="M900" s="2"/>
      <c r="N900" s="2"/>
      <c r="O900" s="2"/>
      <c r="P900" s="2"/>
      <c r="Q900" s="2"/>
      <c r="R900" s="2"/>
      <c r="S900" s="2"/>
      <c r="T900" s="2"/>
    </row>
    <row r="901" spans="1:20" ht="15.75" customHeight="1">
      <c r="A901" s="1"/>
      <c r="B901" s="2"/>
      <c r="C901" s="2"/>
      <c r="D901" s="2"/>
      <c r="E901" s="2"/>
      <c r="F901" s="2"/>
      <c r="G901" s="2"/>
      <c r="H901" s="2"/>
      <c r="I901" s="2"/>
      <c r="J901" s="2"/>
      <c r="K901" s="2"/>
      <c r="L901" s="2"/>
      <c r="M901" s="2"/>
      <c r="N901" s="2"/>
      <c r="O901" s="2"/>
      <c r="P901" s="2"/>
      <c r="Q901" s="2"/>
      <c r="R901" s="2"/>
      <c r="S901" s="2"/>
      <c r="T901" s="2"/>
    </row>
    <row r="902" spans="1:20" ht="15.75" customHeight="1">
      <c r="A902" s="1"/>
      <c r="B902" s="2"/>
      <c r="C902" s="2"/>
      <c r="D902" s="2"/>
      <c r="E902" s="2"/>
      <c r="F902" s="2"/>
      <c r="G902" s="2"/>
      <c r="H902" s="2"/>
      <c r="I902" s="2"/>
      <c r="J902" s="2"/>
      <c r="K902" s="2"/>
      <c r="L902" s="2"/>
      <c r="M902" s="2"/>
      <c r="N902" s="2"/>
      <c r="O902" s="2"/>
      <c r="P902" s="2"/>
      <c r="Q902" s="2"/>
      <c r="R902" s="2"/>
      <c r="S902" s="2"/>
      <c r="T902" s="2"/>
    </row>
    <row r="903" spans="1:20" ht="15.75" customHeight="1">
      <c r="A903" s="1"/>
      <c r="B903" s="2"/>
      <c r="C903" s="2"/>
      <c r="D903" s="2"/>
      <c r="E903" s="2"/>
      <c r="F903" s="2"/>
      <c r="G903" s="2"/>
      <c r="H903" s="2"/>
      <c r="I903" s="2"/>
      <c r="J903" s="2"/>
      <c r="K903" s="2"/>
      <c r="L903" s="2"/>
      <c r="M903" s="2"/>
      <c r="N903" s="2"/>
      <c r="O903" s="2"/>
      <c r="P903" s="2"/>
      <c r="Q903" s="2"/>
      <c r="R903" s="2"/>
      <c r="S903" s="2"/>
      <c r="T903" s="2"/>
    </row>
    <row r="904" spans="1:20" ht="15.75" customHeight="1">
      <c r="A904" s="1"/>
      <c r="B904" s="2"/>
      <c r="C904" s="2"/>
      <c r="D904" s="2"/>
      <c r="E904" s="2"/>
      <c r="F904" s="2"/>
      <c r="G904" s="2"/>
      <c r="H904" s="2"/>
      <c r="I904" s="2"/>
      <c r="J904" s="2"/>
      <c r="K904" s="2"/>
      <c r="L904" s="2"/>
      <c r="M904" s="2"/>
      <c r="N904" s="2"/>
      <c r="O904" s="2"/>
      <c r="P904" s="2"/>
      <c r="Q904" s="2"/>
      <c r="R904" s="2"/>
      <c r="S904" s="2"/>
      <c r="T904" s="2"/>
    </row>
    <row r="905" spans="1:20" ht="15.75" customHeight="1">
      <c r="A905" s="1"/>
      <c r="B905" s="2"/>
      <c r="C905" s="2"/>
      <c r="D905" s="2"/>
      <c r="E905" s="2"/>
      <c r="F905" s="2"/>
      <c r="G905" s="2"/>
      <c r="H905" s="2"/>
      <c r="I905" s="2"/>
      <c r="J905" s="2"/>
      <c r="K905" s="2"/>
      <c r="L905" s="2"/>
      <c r="M905" s="2"/>
      <c r="N905" s="2"/>
      <c r="O905" s="2"/>
      <c r="P905" s="2"/>
      <c r="Q905" s="2"/>
      <c r="R905" s="2"/>
      <c r="S905" s="2"/>
      <c r="T905" s="2"/>
    </row>
    <row r="906" spans="1:20" ht="15.75" customHeight="1">
      <c r="A906" s="1"/>
      <c r="B906" s="2"/>
      <c r="C906" s="2"/>
      <c r="D906" s="2"/>
      <c r="E906" s="2"/>
      <c r="F906" s="2"/>
      <c r="G906" s="2"/>
      <c r="H906" s="2"/>
      <c r="I906" s="2"/>
      <c r="J906" s="2"/>
      <c r="K906" s="2"/>
      <c r="L906" s="2"/>
      <c r="M906" s="2"/>
      <c r="N906" s="2"/>
      <c r="O906" s="2"/>
      <c r="P906" s="2"/>
      <c r="Q906" s="2"/>
      <c r="R906" s="2"/>
      <c r="S906" s="2"/>
      <c r="T906" s="2"/>
    </row>
    <row r="907" spans="1:20" ht="15.75" customHeight="1">
      <c r="A907" s="1"/>
      <c r="B907" s="2"/>
      <c r="C907" s="2"/>
      <c r="D907" s="2"/>
      <c r="E907" s="2"/>
      <c r="F907" s="2"/>
      <c r="G907" s="2"/>
      <c r="H907" s="2"/>
      <c r="I907" s="2"/>
      <c r="J907" s="2"/>
      <c r="K907" s="2"/>
      <c r="L907" s="2"/>
      <c r="M907" s="2"/>
      <c r="N907" s="2"/>
      <c r="O907" s="2"/>
      <c r="P907" s="2"/>
      <c r="Q907" s="2"/>
      <c r="R907" s="2"/>
      <c r="S907" s="2"/>
      <c r="T907" s="2"/>
    </row>
    <row r="908" spans="1:20" ht="15.75" customHeight="1">
      <c r="A908" s="1"/>
      <c r="B908" s="2"/>
      <c r="C908" s="2"/>
      <c r="D908" s="2"/>
      <c r="E908" s="2"/>
      <c r="F908" s="2"/>
      <c r="G908" s="2"/>
      <c r="H908" s="2"/>
      <c r="I908" s="2"/>
      <c r="J908" s="2"/>
      <c r="K908" s="2"/>
      <c r="L908" s="2"/>
      <c r="M908" s="2"/>
      <c r="N908" s="2"/>
      <c r="O908" s="2"/>
      <c r="P908" s="2"/>
      <c r="Q908" s="2"/>
      <c r="R908" s="2"/>
      <c r="S908" s="2"/>
      <c r="T908" s="2"/>
    </row>
    <row r="909" spans="1:20" ht="15.75" customHeight="1">
      <c r="A909" s="1"/>
      <c r="B909" s="2"/>
      <c r="C909" s="2"/>
      <c r="D909" s="2"/>
      <c r="E909" s="2"/>
      <c r="F909" s="2"/>
      <c r="G909" s="2"/>
      <c r="H909" s="2"/>
      <c r="I909" s="2"/>
      <c r="J909" s="2"/>
      <c r="K909" s="2"/>
      <c r="L909" s="2"/>
      <c r="M909" s="2"/>
      <c r="N909" s="2"/>
      <c r="O909" s="2"/>
      <c r="P909" s="2"/>
      <c r="Q909" s="2"/>
      <c r="R909" s="2"/>
      <c r="S909" s="2"/>
      <c r="T909" s="2"/>
    </row>
    <row r="910" spans="1:20" ht="15.75" customHeight="1">
      <c r="A910" s="1"/>
      <c r="B910" s="2"/>
      <c r="C910" s="2"/>
      <c r="D910" s="2"/>
      <c r="E910" s="2"/>
      <c r="F910" s="2"/>
      <c r="G910" s="2"/>
      <c r="H910" s="2"/>
      <c r="I910" s="2"/>
      <c r="J910" s="2"/>
      <c r="K910" s="2"/>
      <c r="L910" s="2"/>
      <c r="M910" s="2"/>
      <c r="N910" s="2"/>
      <c r="O910" s="2"/>
      <c r="P910" s="2"/>
      <c r="Q910" s="2"/>
      <c r="R910" s="2"/>
      <c r="S910" s="2"/>
      <c r="T910" s="2"/>
    </row>
    <row r="911" spans="1:20" ht="15.75" customHeight="1">
      <c r="A911" s="1"/>
      <c r="B911" s="2"/>
      <c r="C911" s="2"/>
      <c r="D911" s="2"/>
      <c r="E911" s="2"/>
      <c r="F911" s="2"/>
      <c r="G911" s="2"/>
      <c r="H911" s="2"/>
      <c r="I911" s="2"/>
      <c r="J911" s="2"/>
      <c r="K911" s="2"/>
      <c r="L911" s="2"/>
      <c r="M911" s="2"/>
      <c r="N911" s="2"/>
      <c r="O911" s="2"/>
      <c r="P911" s="2"/>
      <c r="Q911" s="2"/>
      <c r="R911" s="2"/>
      <c r="S911" s="2"/>
      <c r="T911" s="2"/>
    </row>
    <row r="912" spans="1:20" ht="15.75" customHeight="1">
      <c r="A912" s="1"/>
      <c r="B912" s="2"/>
      <c r="C912" s="2"/>
      <c r="D912" s="2"/>
      <c r="E912" s="2"/>
      <c r="F912" s="2"/>
      <c r="G912" s="2"/>
      <c r="H912" s="2"/>
      <c r="I912" s="2"/>
      <c r="J912" s="2"/>
      <c r="K912" s="2"/>
      <c r="L912" s="2"/>
      <c r="M912" s="2"/>
      <c r="N912" s="2"/>
      <c r="O912" s="2"/>
      <c r="P912" s="2"/>
      <c r="Q912" s="2"/>
      <c r="R912" s="2"/>
      <c r="S912" s="2"/>
      <c r="T912" s="2"/>
    </row>
    <row r="913" spans="1:20" ht="15.75" customHeight="1">
      <c r="A913" s="1"/>
      <c r="B913" s="2"/>
      <c r="C913" s="2"/>
      <c r="D913" s="2"/>
      <c r="E913" s="2"/>
      <c r="F913" s="2"/>
      <c r="G913" s="2"/>
      <c r="H913" s="2"/>
      <c r="I913" s="2"/>
      <c r="J913" s="2"/>
      <c r="K913" s="2"/>
      <c r="L913" s="2"/>
      <c r="M913" s="2"/>
      <c r="N913" s="2"/>
      <c r="O913" s="2"/>
      <c r="P913" s="2"/>
      <c r="Q913" s="2"/>
      <c r="R913" s="2"/>
      <c r="S913" s="2"/>
      <c r="T913" s="2"/>
    </row>
    <row r="914" spans="1:20" ht="15.75" customHeight="1">
      <c r="A914" s="1"/>
      <c r="B914" s="2"/>
      <c r="C914" s="2"/>
      <c r="D914" s="2"/>
      <c r="E914" s="2"/>
      <c r="F914" s="2"/>
      <c r="G914" s="2"/>
      <c r="H914" s="2"/>
      <c r="I914" s="2"/>
      <c r="J914" s="2"/>
      <c r="K914" s="2"/>
      <c r="L914" s="2"/>
      <c r="M914" s="2"/>
      <c r="N914" s="2"/>
      <c r="O914" s="2"/>
      <c r="P914" s="2"/>
      <c r="Q914" s="2"/>
      <c r="R914" s="2"/>
      <c r="S914" s="2"/>
      <c r="T914" s="2"/>
    </row>
    <row r="915" spans="1:20" ht="15.75" customHeight="1">
      <c r="A915" s="1"/>
      <c r="B915" s="2"/>
      <c r="C915" s="2"/>
      <c r="D915" s="2"/>
      <c r="E915" s="2"/>
      <c r="F915" s="2"/>
      <c r="G915" s="2"/>
      <c r="H915" s="2"/>
      <c r="I915" s="2"/>
      <c r="J915" s="2"/>
      <c r="K915" s="2"/>
      <c r="L915" s="2"/>
      <c r="M915" s="2"/>
      <c r="N915" s="2"/>
      <c r="O915" s="2"/>
      <c r="P915" s="2"/>
      <c r="Q915" s="2"/>
      <c r="R915" s="2"/>
      <c r="S915" s="2"/>
      <c r="T915" s="2"/>
    </row>
    <row r="916" spans="1:20" ht="15.75" customHeight="1">
      <c r="A916" s="1"/>
      <c r="B916" s="2"/>
      <c r="C916" s="2"/>
      <c r="D916" s="2"/>
      <c r="E916" s="2"/>
      <c r="F916" s="2"/>
      <c r="G916" s="2"/>
      <c r="H916" s="2"/>
      <c r="I916" s="2"/>
      <c r="J916" s="2"/>
      <c r="K916" s="2"/>
      <c r="L916" s="2"/>
      <c r="M916" s="2"/>
      <c r="N916" s="2"/>
      <c r="O916" s="2"/>
      <c r="P916" s="2"/>
      <c r="Q916" s="2"/>
      <c r="R916" s="2"/>
      <c r="S916" s="2"/>
      <c r="T916" s="2"/>
    </row>
    <row r="917" spans="1:20" ht="15.75" customHeight="1">
      <c r="A917" s="1"/>
      <c r="B917" s="2"/>
      <c r="C917" s="2"/>
      <c r="D917" s="2"/>
      <c r="E917" s="2"/>
      <c r="F917" s="2"/>
      <c r="G917" s="2"/>
      <c r="H917" s="2"/>
      <c r="I917" s="2"/>
      <c r="J917" s="2"/>
      <c r="K917" s="2"/>
      <c r="L917" s="2"/>
      <c r="M917" s="2"/>
      <c r="N917" s="2"/>
      <c r="O917" s="2"/>
      <c r="P917" s="2"/>
      <c r="Q917" s="2"/>
      <c r="R917" s="2"/>
      <c r="S917" s="2"/>
      <c r="T917" s="2"/>
    </row>
    <row r="918" spans="1:20" ht="15.75" customHeight="1">
      <c r="A918" s="1"/>
      <c r="B918" s="2"/>
      <c r="C918" s="2"/>
      <c r="D918" s="2"/>
      <c r="E918" s="2"/>
      <c r="F918" s="2"/>
      <c r="G918" s="2"/>
      <c r="H918" s="2"/>
      <c r="I918" s="2"/>
      <c r="J918" s="2"/>
      <c r="K918" s="2"/>
      <c r="L918" s="2"/>
      <c r="M918" s="2"/>
      <c r="N918" s="2"/>
      <c r="O918" s="2"/>
      <c r="P918" s="2"/>
      <c r="Q918" s="2"/>
      <c r="R918" s="2"/>
      <c r="S918" s="2"/>
      <c r="T918" s="2"/>
    </row>
    <row r="919" spans="1:20" ht="15.75" customHeight="1">
      <c r="A919" s="1"/>
      <c r="B919" s="2"/>
      <c r="C919" s="2"/>
      <c r="D919" s="2"/>
      <c r="E919" s="2"/>
      <c r="F919" s="2"/>
      <c r="G919" s="2"/>
      <c r="H919" s="2"/>
      <c r="I919" s="2"/>
      <c r="J919" s="2"/>
      <c r="K919" s="2"/>
      <c r="L919" s="2"/>
      <c r="M919" s="2"/>
      <c r="N919" s="2"/>
      <c r="O919" s="2"/>
      <c r="P919" s="2"/>
      <c r="Q919" s="2"/>
      <c r="R919" s="2"/>
      <c r="S919" s="2"/>
      <c r="T919" s="2"/>
    </row>
    <row r="920" spans="1:20" ht="15.75" customHeight="1">
      <c r="A920" s="1"/>
      <c r="B920" s="2"/>
      <c r="C920" s="2"/>
      <c r="D920" s="2"/>
      <c r="E920" s="2"/>
      <c r="F920" s="2"/>
      <c r="G920" s="2"/>
      <c r="H920" s="2"/>
      <c r="I920" s="2"/>
      <c r="J920" s="2"/>
      <c r="K920" s="2"/>
      <c r="L920" s="2"/>
      <c r="M920" s="2"/>
      <c r="N920" s="2"/>
      <c r="O920" s="2"/>
      <c r="P920" s="2"/>
      <c r="Q920" s="2"/>
      <c r="R920" s="2"/>
      <c r="S920" s="2"/>
      <c r="T920" s="2"/>
    </row>
    <row r="921" spans="1:20" ht="15.75" customHeight="1">
      <c r="A921" s="1"/>
      <c r="B921" s="2"/>
      <c r="C921" s="2"/>
      <c r="D921" s="2"/>
      <c r="E921" s="2"/>
      <c r="F921" s="2"/>
      <c r="G921" s="2"/>
      <c r="H921" s="2"/>
      <c r="I921" s="2"/>
      <c r="J921" s="2"/>
      <c r="K921" s="2"/>
      <c r="L921" s="2"/>
      <c r="M921" s="2"/>
      <c r="N921" s="2"/>
      <c r="O921" s="2"/>
      <c r="P921" s="2"/>
      <c r="Q921" s="2"/>
      <c r="R921" s="2"/>
      <c r="S921" s="2"/>
      <c r="T921" s="2"/>
    </row>
    <row r="922" spans="1:20" ht="15.75" customHeight="1">
      <c r="A922" s="1"/>
      <c r="B922" s="2"/>
      <c r="C922" s="2"/>
      <c r="D922" s="2"/>
      <c r="E922" s="2"/>
      <c r="F922" s="2"/>
      <c r="G922" s="2"/>
      <c r="H922" s="2"/>
      <c r="I922" s="2"/>
      <c r="J922" s="2"/>
      <c r="K922" s="2"/>
      <c r="L922" s="2"/>
      <c r="M922" s="2"/>
      <c r="N922" s="2"/>
      <c r="O922" s="2"/>
      <c r="P922" s="2"/>
      <c r="Q922" s="2"/>
      <c r="R922" s="2"/>
      <c r="S922" s="2"/>
      <c r="T922" s="2"/>
    </row>
    <row r="923" spans="1:20" ht="15.75" customHeight="1">
      <c r="A923" s="1"/>
      <c r="B923" s="2"/>
      <c r="C923" s="2"/>
      <c r="D923" s="2"/>
      <c r="E923" s="2"/>
      <c r="F923" s="2"/>
      <c r="G923" s="2"/>
      <c r="H923" s="2"/>
      <c r="I923" s="2"/>
      <c r="J923" s="2"/>
      <c r="K923" s="2"/>
      <c r="L923" s="2"/>
      <c r="M923" s="2"/>
      <c r="N923" s="2"/>
      <c r="O923" s="2"/>
      <c r="P923" s="2"/>
      <c r="Q923" s="2"/>
      <c r="R923" s="2"/>
      <c r="S923" s="2"/>
      <c r="T923" s="2"/>
    </row>
    <row r="924" spans="1:20" ht="15.75" customHeight="1">
      <c r="A924" s="1"/>
      <c r="B924" s="2"/>
      <c r="C924" s="2"/>
      <c r="D924" s="2"/>
      <c r="E924" s="2"/>
      <c r="F924" s="2"/>
      <c r="G924" s="2"/>
      <c r="H924" s="2"/>
      <c r="I924" s="2"/>
      <c r="J924" s="2"/>
      <c r="K924" s="2"/>
      <c r="L924" s="2"/>
      <c r="M924" s="2"/>
      <c r="N924" s="2"/>
      <c r="O924" s="2"/>
      <c r="P924" s="2"/>
      <c r="Q924" s="2"/>
      <c r="R924" s="2"/>
      <c r="S924" s="2"/>
      <c r="T924" s="2"/>
    </row>
    <row r="925" spans="1:20" ht="15.75" customHeight="1">
      <c r="A925" s="1"/>
      <c r="B925" s="2"/>
      <c r="C925" s="2"/>
      <c r="D925" s="2"/>
      <c r="E925" s="2"/>
      <c r="F925" s="2"/>
      <c r="G925" s="2"/>
      <c r="H925" s="2"/>
      <c r="I925" s="2"/>
      <c r="J925" s="2"/>
      <c r="K925" s="2"/>
      <c r="L925" s="2"/>
      <c r="M925" s="2"/>
      <c r="N925" s="2"/>
      <c r="O925" s="2"/>
      <c r="P925" s="2"/>
      <c r="Q925" s="2"/>
      <c r="R925" s="2"/>
      <c r="S925" s="2"/>
      <c r="T925" s="2"/>
    </row>
    <row r="926" spans="1:20" ht="15.75" customHeight="1">
      <c r="A926" s="1"/>
      <c r="B926" s="2"/>
      <c r="C926" s="2"/>
      <c r="D926" s="2"/>
      <c r="E926" s="2"/>
      <c r="F926" s="2"/>
      <c r="G926" s="2"/>
      <c r="H926" s="2"/>
      <c r="I926" s="2"/>
      <c r="J926" s="2"/>
      <c r="K926" s="2"/>
      <c r="L926" s="2"/>
      <c r="M926" s="2"/>
      <c r="N926" s="2"/>
      <c r="O926" s="2"/>
      <c r="P926" s="2"/>
      <c r="Q926" s="2"/>
      <c r="R926" s="2"/>
      <c r="S926" s="2"/>
      <c r="T926" s="2"/>
    </row>
    <row r="927" spans="1:20" ht="15.75" customHeight="1">
      <c r="A927" s="1"/>
      <c r="B927" s="2"/>
      <c r="C927" s="2"/>
      <c r="D927" s="2"/>
      <c r="E927" s="2"/>
      <c r="F927" s="2"/>
      <c r="G927" s="2"/>
      <c r="H927" s="2"/>
      <c r="I927" s="2"/>
      <c r="J927" s="2"/>
      <c r="K927" s="2"/>
      <c r="L927" s="2"/>
      <c r="M927" s="2"/>
      <c r="N927" s="2"/>
      <c r="O927" s="2"/>
      <c r="P927" s="2"/>
      <c r="Q927" s="2"/>
      <c r="R927" s="2"/>
      <c r="S927" s="2"/>
      <c r="T927" s="2"/>
    </row>
    <row r="928" spans="1:20" ht="15.75" customHeight="1">
      <c r="A928" s="1"/>
      <c r="B928" s="2"/>
      <c r="C928" s="2"/>
      <c r="D928" s="2"/>
      <c r="E928" s="2"/>
      <c r="F928" s="2"/>
      <c r="G928" s="2"/>
      <c r="H928" s="2"/>
      <c r="I928" s="2"/>
      <c r="J928" s="2"/>
      <c r="K928" s="2"/>
      <c r="L928" s="2"/>
      <c r="M928" s="2"/>
      <c r="N928" s="2"/>
      <c r="O928" s="2"/>
      <c r="P928" s="2"/>
      <c r="Q928" s="2"/>
      <c r="R928" s="2"/>
      <c r="S928" s="2"/>
      <c r="T928" s="2"/>
    </row>
    <row r="929" spans="1:20" ht="15.75" customHeight="1">
      <c r="A929" s="1"/>
      <c r="B929" s="2"/>
      <c r="C929" s="2"/>
      <c r="D929" s="2"/>
      <c r="E929" s="2"/>
      <c r="F929" s="2"/>
      <c r="G929" s="2"/>
      <c r="H929" s="2"/>
      <c r="I929" s="2"/>
      <c r="J929" s="2"/>
      <c r="K929" s="2"/>
      <c r="L929" s="2"/>
      <c r="M929" s="2"/>
      <c r="N929" s="2"/>
      <c r="O929" s="2"/>
      <c r="P929" s="2"/>
      <c r="Q929" s="2"/>
      <c r="R929" s="2"/>
      <c r="S929" s="2"/>
      <c r="T929" s="2"/>
    </row>
    <row r="930" spans="1:20" ht="15.75" customHeight="1">
      <c r="A930" s="1"/>
      <c r="B930" s="2"/>
      <c r="C930" s="2"/>
      <c r="D930" s="2"/>
      <c r="E930" s="2"/>
      <c r="F930" s="2"/>
      <c r="G930" s="2"/>
      <c r="H930" s="2"/>
      <c r="I930" s="2"/>
      <c r="J930" s="2"/>
      <c r="K930" s="2"/>
      <c r="L930" s="2"/>
      <c r="M930" s="2"/>
      <c r="N930" s="2"/>
      <c r="O930" s="2"/>
      <c r="P930" s="2"/>
      <c r="Q930" s="2"/>
      <c r="R930" s="2"/>
      <c r="S930" s="2"/>
      <c r="T930" s="2"/>
    </row>
    <row r="931" spans="1:20" ht="15.75" customHeight="1">
      <c r="A931" s="1"/>
      <c r="B931" s="2"/>
      <c r="C931" s="2"/>
      <c r="D931" s="2"/>
      <c r="E931" s="2"/>
      <c r="F931" s="2"/>
      <c r="G931" s="2"/>
      <c r="H931" s="2"/>
      <c r="I931" s="2"/>
      <c r="J931" s="2"/>
      <c r="K931" s="2"/>
      <c r="L931" s="2"/>
      <c r="M931" s="2"/>
      <c r="N931" s="2"/>
      <c r="O931" s="2"/>
      <c r="P931" s="2"/>
      <c r="Q931" s="2"/>
      <c r="R931" s="2"/>
      <c r="S931" s="2"/>
      <c r="T931" s="2"/>
    </row>
    <row r="932" spans="1:20" ht="15.75" customHeight="1">
      <c r="A932" s="1"/>
      <c r="B932" s="2"/>
      <c r="C932" s="2"/>
      <c r="D932" s="2"/>
      <c r="E932" s="2"/>
      <c r="F932" s="2"/>
      <c r="G932" s="2"/>
      <c r="H932" s="2"/>
      <c r="I932" s="2"/>
      <c r="J932" s="2"/>
      <c r="K932" s="2"/>
      <c r="L932" s="2"/>
      <c r="M932" s="2"/>
      <c r="N932" s="2"/>
      <c r="O932" s="2"/>
      <c r="P932" s="2"/>
      <c r="Q932" s="2"/>
      <c r="R932" s="2"/>
      <c r="S932" s="2"/>
      <c r="T932" s="2"/>
    </row>
    <row r="933" spans="1:20" ht="15.75" customHeight="1">
      <c r="A933" s="1"/>
      <c r="B933" s="2"/>
      <c r="C933" s="2"/>
      <c r="D933" s="2"/>
      <c r="E933" s="2"/>
      <c r="F933" s="2"/>
      <c r="G933" s="2"/>
      <c r="H933" s="2"/>
      <c r="I933" s="2"/>
      <c r="J933" s="2"/>
      <c r="K933" s="2"/>
      <c r="L933" s="2"/>
      <c r="M933" s="2"/>
      <c r="N933" s="2"/>
      <c r="O933" s="2"/>
      <c r="P933" s="2"/>
      <c r="Q933" s="2"/>
      <c r="R933" s="2"/>
      <c r="S933" s="2"/>
      <c r="T933" s="2"/>
    </row>
    <row r="934" spans="1:20" ht="15.75" customHeight="1">
      <c r="A934" s="1"/>
      <c r="B934" s="2"/>
      <c r="C934" s="2"/>
      <c r="D934" s="2"/>
      <c r="E934" s="2"/>
      <c r="F934" s="2"/>
      <c r="G934" s="2"/>
      <c r="H934" s="2"/>
      <c r="I934" s="2"/>
      <c r="J934" s="2"/>
      <c r="K934" s="2"/>
      <c r="L934" s="2"/>
      <c r="M934" s="2"/>
      <c r="N934" s="2"/>
      <c r="O934" s="2"/>
      <c r="P934" s="2"/>
      <c r="Q934" s="2"/>
      <c r="R934" s="2"/>
      <c r="S934" s="2"/>
      <c r="T934" s="2"/>
    </row>
    <row r="935" spans="1:20" ht="15.75" customHeight="1">
      <c r="A935" s="1"/>
      <c r="B935" s="2"/>
      <c r="C935" s="2"/>
      <c r="D935" s="2"/>
      <c r="E935" s="2"/>
      <c r="F935" s="2"/>
      <c r="G935" s="2"/>
      <c r="H935" s="2"/>
      <c r="I935" s="2"/>
      <c r="J935" s="2"/>
      <c r="K935" s="2"/>
      <c r="L935" s="2"/>
      <c r="M935" s="2"/>
      <c r="N935" s="2"/>
      <c r="O935" s="2"/>
      <c r="P935" s="2"/>
      <c r="Q935" s="2"/>
      <c r="R935" s="2"/>
      <c r="S935" s="2"/>
      <c r="T935" s="2"/>
    </row>
    <row r="936" spans="1:20" ht="15.75" customHeight="1">
      <c r="A936" s="1"/>
      <c r="B936" s="2"/>
      <c r="C936" s="2"/>
      <c r="D936" s="2"/>
      <c r="E936" s="2"/>
      <c r="F936" s="2"/>
      <c r="G936" s="2"/>
      <c r="H936" s="2"/>
      <c r="I936" s="2"/>
      <c r="J936" s="2"/>
      <c r="K936" s="2"/>
      <c r="L936" s="2"/>
      <c r="M936" s="2"/>
      <c r="N936" s="2"/>
      <c r="O936" s="2"/>
      <c r="P936" s="2"/>
      <c r="Q936" s="2"/>
      <c r="R936" s="2"/>
      <c r="S936" s="2"/>
      <c r="T936" s="2"/>
    </row>
    <row r="937" spans="1:20" ht="15.75" customHeight="1">
      <c r="A937" s="1"/>
      <c r="B937" s="2"/>
      <c r="C937" s="2"/>
      <c r="D937" s="2"/>
      <c r="E937" s="2"/>
      <c r="F937" s="2"/>
      <c r="G937" s="2"/>
      <c r="H937" s="2"/>
      <c r="I937" s="2"/>
      <c r="J937" s="2"/>
      <c r="K937" s="2"/>
      <c r="L937" s="2"/>
      <c r="M937" s="2"/>
      <c r="N937" s="2"/>
      <c r="O937" s="2"/>
      <c r="P937" s="2"/>
      <c r="Q937" s="2"/>
      <c r="R937" s="2"/>
      <c r="S937" s="2"/>
      <c r="T937" s="2"/>
    </row>
    <row r="938" spans="1:20" ht="15.75" customHeight="1">
      <c r="A938" s="1"/>
      <c r="B938" s="2"/>
      <c r="C938" s="2"/>
      <c r="D938" s="2"/>
      <c r="E938" s="2"/>
      <c r="F938" s="2"/>
      <c r="G938" s="2"/>
      <c r="H938" s="2"/>
      <c r="I938" s="2"/>
      <c r="J938" s="2"/>
      <c r="K938" s="2"/>
      <c r="L938" s="2"/>
      <c r="M938" s="2"/>
      <c r="N938" s="2"/>
      <c r="O938" s="2"/>
      <c r="P938" s="2"/>
      <c r="Q938" s="2"/>
      <c r="R938" s="2"/>
      <c r="S938" s="2"/>
      <c r="T938" s="2"/>
    </row>
    <row r="939" spans="1:20" ht="15.75" customHeight="1">
      <c r="A939" s="1"/>
      <c r="B939" s="2"/>
      <c r="C939" s="2"/>
      <c r="D939" s="2"/>
      <c r="E939" s="2"/>
      <c r="F939" s="2"/>
      <c r="G939" s="2"/>
      <c r="H939" s="2"/>
      <c r="I939" s="2"/>
      <c r="J939" s="2"/>
      <c r="K939" s="2"/>
      <c r="L939" s="2"/>
      <c r="M939" s="2"/>
      <c r="N939" s="2"/>
      <c r="O939" s="2"/>
      <c r="P939" s="2"/>
      <c r="Q939" s="2"/>
      <c r="R939" s="2"/>
      <c r="S939" s="2"/>
      <c r="T939" s="2"/>
    </row>
    <row r="940" spans="1:20" ht="15.75" customHeight="1">
      <c r="A940" s="1"/>
      <c r="B940" s="2"/>
      <c r="C940" s="2"/>
      <c r="D940" s="2"/>
      <c r="E940" s="2"/>
      <c r="F940" s="2"/>
      <c r="G940" s="2"/>
      <c r="H940" s="2"/>
      <c r="I940" s="2"/>
      <c r="J940" s="2"/>
      <c r="K940" s="2"/>
      <c r="L940" s="2"/>
      <c r="M940" s="2"/>
      <c r="N940" s="2"/>
      <c r="O940" s="2"/>
      <c r="P940" s="2"/>
      <c r="Q940" s="2"/>
      <c r="R940" s="2"/>
      <c r="S940" s="2"/>
      <c r="T940" s="2"/>
    </row>
    <row r="941" spans="1:20" ht="15.75" customHeight="1">
      <c r="A941" s="1"/>
      <c r="B941" s="2"/>
      <c r="C941" s="2"/>
      <c r="D941" s="2"/>
      <c r="E941" s="2"/>
      <c r="F941" s="2"/>
      <c r="G941" s="2"/>
      <c r="H941" s="2"/>
      <c r="I941" s="2"/>
      <c r="J941" s="2"/>
      <c r="K941" s="2"/>
      <c r="L941" s="2"/>
      <c r="M941" s="2"/>
      <c r="N941" s="2"/>
      <c r="O941" s="2"/>
      <c r="P941" s="2"/>
      <c r="Q941" s="2"/>
      <c r="R941" s="2"/>
      <c r="S941" s="2"/>
      <c r="T941" s="2"/>
    </row>
    <row r="942" spans="1:20" ht="15.75" customHeight="1">
      <c r="A942" s="1"/>
      <c r="B942" s="2"/>
      <c r="C942" s="2"/>
      <c r="D942" s="2"/>
      <c r="E942" s="2"/>
      <c r="F942" s="2"/>
      <c r="G942" s="2"/>
      <c r="H942" s="2"/>
      <c r="I942" s="2"/>
      <c r="J942" s="2"/>
      <c r="K942" s="2"/>
      <c r="L942" s="2"/>
      <c r="M942" s="2"/>
      <c r="N942" s="2"/>
      <c r="O942" s="2"/>
      <c r="P942" s="2"/>
      <c r="Q942" s="2"/>
      <c r="R942" s="2"/>
      <c r="S942" s="2"/>
      <c r="T942" s="2"/>
    </row>
    <row r="943" spans="1:20" ht="15.75" customHeight="1">
      <c r="A943" s="1"/>
      <c r="B943" s="2"/>
      <c r="C943" s="2"/>
      <c r="D943" s="2"/>
      <c r="E943" s="2"/>
      <c r="F943" s="2"/>
      <c r="G943" s="2"/>
      <c r="H943" s="2"/>
      <c r="I943" s="2"/>
      <c r="J943" s="2"/>
      <c r="K943" s="2"/>
      <c r="L943" s="2"/>
      <c r="M943" s="2"/>
      <c r="N943" s="2"/>
      <c r="O943" s="2"/>
      <c r="P943" s="2"/>
      <c r="Q943" s="2"/>
      <c r="R943" s="2"/>
      <c r="S943" s="2"/>
      <c r="T943" s="2"/>
    </row>
    <row r="944" spans="1:20" ht="15.75" customHeight="1">
      <c r="A944" s="1"/>
      <c r="B944" s="2"/>
      <c r="C944" s="2"/>
      <c r="D944" s="2"/>
      <c r="E944" s="2"/>
      <c r="F944" s="2"/>
      <c r="G944" s="2"/>
      <c r="H944" s="2"/>
      <c r="I944" s="2"/>
      <c r="J944" s="2"/>
      <c r="K944" s="2"/>
      <c r="L944" s="2"/>
      <c r="M944" s="2"/>
      <c r="N944" s="2"/>
      <c r="O944" s="2"/>
      <c r="P944" s="2"/>
      <c r="Q944" s="2"/>
      <c r="R944" s="2"/>
      <c r="S944" s="2"/>
      <c r="T944" s="2"/>
    </row>
    <row r="945" spans="1:20" ht="15.75" customHeight="1">
      <c r="A945" s="1"/>
      <c r="B945" s="2"/>
      <c r="C945" s="2"/>
      <c r="D945" s="2"/>
      <c r="E945" s="2"/>
      <c r="F945" s="2"/>
      <c r="G945" s="2"/>
      <c r="H945" s="2"/>
      <c r="I945" s="2"/>
      <c r="J945" s="2"/>
      <c r="K945" s="2"/>
      <c r="L945" s="2"/>
      <c r="M945" s="2"/>
      <c r="N945" s="2"/>
      <c r="O945" s="2"/>
      <c r="P945" s="2"/>
      <c r="Q945" s="2"/>
      <c r="R945" s="2"/>
      <c r="S945" s="2"/>
      <c r="T945" s="2"/>
    </row>
    <row r="946" spans="1:20" ht="15.75" customHeight="1">
      <c r="A946" s="1"/>
      <c r="B946" s="2"/>
      <c r="C946" s="2"/>
      <c r="D946" s="2"/>
      <c r="E946" s="2"/>
      <c r="F946" s="2"/>
      <c r="G946" s="2"/>
      <c r="H946" s="2"/>
      <c r="I946" s="2"/>
      <c r="J946" s="2"/>
      <c r="K946" s="2"/>
      <c r="L946" s="2"/>
      <c r="M946" s="2"/>
      <c r="N946" s="2"/>
      <c r="O946" s="2"/>
      <c r="P946" s="2"/>
      <c r="Q946" s="2"/>
      <c r="R946" s="2"/>
      <c r="S946" s="2"/>
      <c r="T946" s="2"/>
    </row>
    <row r="947" spans="1:20" ht="15.75" customHeight="1">
      <c r="A947" s="1"/>
      <c r="B947" s="2"/>
      <c r="C947" s="2"/>
      <c r="D947" s="2"/>
      <c r="E947" s="2"/>
      <c r="F947" s="2"/>
      <c r="G947" s="2"/>
      <c r="H947" s="2"/>
      <c r="I947" s="2"/>
      <c r="J947" s="2"/>
      <c r="K947" s="2"/>
      <c r="L947" s="2"/>
      <c r="M947" s="2"/>
      <c r="N947" s="2"/>
      <c r="O947" s="2"/>
      <c r="P947" s="2"/>
      <c r="Q947" s="2"/>
      <c r="R947" s="2"/>
      <c r="S947" s="2"/>
      <c r="T947" s="2"/>
    </row>
    <row r="948" spans="1:20" ht="15.75" customHeight="1">
      <c r="A948" s="1"/>
      <c r="B948" s="2"/>
      <c r="C948" s="2"/>
      <c r="D948" s="2"/>
      <c r="E948" s="2"/>
      <c r="F948" s="2"/>
      <c r="G948" s="2"/>
      <c r="H948" s="2"/>
      <c r="I948" s="2"/>
      <c r="J948" s="2"/>
      <c r="K948" s="2"/>
      <c r="L948" s="2"/>
      <c r="M948" s="2"/>
      <c r="N948" s="2"/>
      <c r="O948" s="2"/>
      <c r="P948" s="2"/>
      <c r="Q948" s="2"/>
      <c r="R948" s="2"/>
      <c r="S948" s="2"/>
      <c r="T948" s="2"/>
    </row>
    <row r="949" spans="1:20" ht="15.75" customHeight="1">
      <c r="A949" s="1"/>
      <c r="B949" s="2"/>
      <c r="C949" s="2"/>
      <c r="D949" s="2"/>
      <c r="E949" s="2"/>
      <c r="F949" s="2"/>
      <c r="G949" s="2"/>
      <c r="H949" s="2"/>
      <c r="I949" s="2"/>
      <c r="J949" s="2"/>
      <c r="K949" s="2"/>
      <c r="L949" s="2"/>
      <c r="M949" s="2"/>
      <c r="N949" s="2"/>
      <c r="O949" s="2"/>
      <c r="P949" s="2"/>
      <c r="Q949" s="2"/>
      <c r="R949" s="2"/>
      <c r="S949" s="2"/>
      <c r="T949" s="2"/>
    </row>
    <row r="950" spans="1:20" ht="15.75" customHeight="1">
      <c r="A950" s="1"/>
      <c r="B950" s="2"/>
      <c r="C950" s="2"/>
      <c r="D950" s="2"/>
      <c r="E950" s="2"/>
      <c r="F950" s="2"/>
      <c r="G950" s="2"/>
      <c r="H950" s="2"/>
      <c r="I950" s="2"/>
      <c r="J950" s="2"/>
      <c r="K950" s="2"/>
      <c r="L950" s="2"/>
      <c r="M950" s="2"/>
      <c r="N950" s="2"/>
      <c r="O950" s="2"/>
      <c r="P950" s="2"/>
      <c r="Q950" s="2"/>
      <c r="R950" s="2"/>
      <c r="S950" s="2"/>
      <c r="T950" s="2"/>
    </row>
    <row r="951" spans="1:20" ht="15.75" customHeight="1">
      <c r="A951" s="1"/>
      <c r="B951" s="2"/>
      <c r="C951" s="2"/>
      <c r="D951" s="2"/>
      <c r="E951" s="2"/>
      <c r="F951" s="2"/>
      <c r="G951" s="2"/>
      <c r="H951" s="2"/>
      <c r="I951" s="2"/>
      <c r="J951" s="2"/>
      <c r="K951" s="2"/>
      <c r="L951" s="2"/>
      <c r="M951" s="2"/>
      <c r="N951" s="2"/>
      <c r="O951" s="2"/>
      <c r="P951" s="2"/>
      <c r="Q951" s="2"/>
      <c r="R951" s="2"/>
      <c r="S951" s="2"/>
      <c r="T951" s="2"/>
    </row>
    <row r="952" spans="1:20" ht="15.75" customHeight="1">
      <c r="A952" s="1"/>
      <c r="B952" s="2"/>
      <c r="C952" s="2"/>
      <c r="D952" s="2"/>
      <c r="E952" s="2"/>
      <c r="F952" s="2"/>
      <c r="G952" s="2"/>
      <c r="H952" s="2"/>
      <c r="I952" s="2"/>
      <c r="J952" s="2"/>
      <c r="K952" s="2"/>
      <c r="L952" s="2"/>
      <c r="M952" s="2"/>
      <c r="N952" s="2"/>
      <c r="O952" s="2"/>
      <c r="P952" s="2"/>
      <c r="Q952" s="2"/>
      <c r="R952" s="2"/>
      <c r="S952" s="2"/>
      <c r="T952" s="2"/>
    </row>
    <row r="953" spans="1:20" ht="15.75" customHeight="1">
      <c r="A953" s="1"/>
      <c r="B953" s="2"/>
      <c r="C953" s="2"/>
      <c r="D953" s="2"/>
      <c r="E953" s="2"/>
      <c r="F953" s="2"/>
      <c r="G953" s="2"/>
      <c r="H953" s="2"/>
      <c r="I953" s="2"/>
      <c r="J953" s="2"/>
      <c r="K953" s="2"/>
      <c r="L953" s="2"/>
      <c r="M953" s="2"/>
      <c r="N953" s="2"/>
      <c r="O953" s="2"/>
      <c r="P953" s="2"/>
      <c r="Q953" s="2"/>
      <c r="R953" s="2"/>
      <c r="S953" s="2"/>
      <c r="T953" s="2"/>
    </row>
    <row r="954" spans="1:20" ht="15.75" customHeight="1">
      <c r="A954" s="1"/>
      <c r="B954" s="2"/>
      <c r="C954" s="2"/>
      <c r="D954" s="2"/>
      <c r="E954" s="2"/>
      <c r="F954" s="2"/>
      <c r="G954" s="2"/>
      <c r="H954" s="2"/>
      <c r="I954" s="2"/>
      <c r="J954" s="2"/>
      <c r="K954" s="2"/>
      <c r="L954" s="2"/>
      <c r="M954" s="2"/>
      <c r="N954" s="2"/>
      <c r="O954" s="2"/>
      <c r="P954" s="2"/>
      <c r="Q954" s="2"/>
      <c r="R954" s="2"/>
      <c r="S954" s="2"/>
      <c r="T954" s="2"/>
    </row>
    <row r="955" spans="1:20" ht="15.75" customHeight="1">
      <c r="A955" s="1"/>
      <c r="B955" s="2"/>
      <c r="C955" s="2"/>
      <c r="D955" s="2"/>
      <c r="E955" s="2"/>
      <c r="F955" s="2"/>
      <c r="G955" s="2"/>
      <c r="H955" s="2"/>
      <c r="I955" s="2"/>
      <c r="J955" s="2"/>
      <c r="K955" s="2"/>
      <c r="L955" s="2"/>
      <c r="M955" s="2"/>
      <c r="N955" s="2"/>
      <c r="O955" s="2"/>
      <c r="P955" s="2"/>
      <c r="Q955" s="2"/>
      <c r="R955" s="2"/>
      <c r="S955" s="2"/>
      <c r="T955" s="2"/>
    </row>
    <row r="956" spans="1:20" ht="15.75" customHeight="1">
      <c r="A956" s="1"/>
      <c r="B956" s="2"/>
      <c r="C956" s="2"/>
      <c r="D956" s="2"/>
      <c r="E956" s="2"/>
      <c r="F956" s="2"/>
      <c r="G956" s="2"/>
      <c r="H956" s="2"/>
      <c r="I956" s="2"/>
      <c r="J956" s="2"/>
      <c r="K956" s="2"/>
      <c r="L956" s="2"/>
      <c r="M956" s="2"/>
      <c r="N956" s="2"/>
      <c r="O956" s="2"/>
      <c r="P956" s="2"/>
      <c r="Q956" s="2"/>
      <c r="R956" s="2"/>
      <c r="S956" s="2"/>
      <c r="T956" s="2"/>
    </row>
    <row r="957" spans="1:20" ht="15.75" customHeight="1">
      <c r="A957" s="1"/>
      <c r="B957" s="2"/>
      <c r="C957" s="2"/>
      <c r="D957" s="2"/>
      <c r="E957" s="2"/>
      <c r="F957" s="2"/>
      <c r="G957" s="2"/>
      <c r="H957" s="2"/>
      <c r="I957" s="2"/>
      <c r="J957" s="2"/>
      <c r="K957" s="2"/>
      <c r="L957" s="2"/>
      <c r="M957" s="2"/>
      <c r="N957" s="2"/>
      <c r="O957" s="2"/>
      <c r="P957" s="2"/>
      <c r="Q957" s="2"/>
      <c r="R957" s="2"/>
      <c r="S957" s="2"/>
      <c r="T957" s="2"/>
    </row>
    <row r="958" spans="1:20" ht="15.75" customHeight="1">
      <c r="A958" s="1"/>
      <c r="B958" s="2"/>
      <c r="C958" s="2"/>
      <c r="D958" s="2"/>
      <c r="E958" s="2"/>
      <c r="F958" s="2"/>
      <c r="G958" s="2"/>
      <c r="H958" s="2"/>
      <c r="I958" s="2"/>
      <c r="J958" s="2"/>
      <c r="K958" s="2"/>
      <c r="L958" s="2"/>
      <c r="M958" s="2"/>
      <c r="N958" s="2"/>
      <c r="O958" s="2"/>
      <c r="P958" s="2"/>
      <c r="Q958" s="2"/>
      <c r="R958" s="2"/>
      <c r="S958" s="2"/>
      <c r="T958" s="2"/>
    </row>
    <row r="959" spans="1:20" ht="15.75" customHeight="1">
      <c r="A959" s="1"/>
      <c r="B959" s="2"/>
      <c r="C959" s="2"/>
      <c r="D959" s="2"/>
      <c r="E959" s="2"/>
      <c r="F959" s="2"/>
      <c r="G959" s="2"/>
      <c r="H959" s="2"/>
      <c r="I959" s="2"/>
      <c r="J959" s="2"/>
      <c r="K959" s="2"/>
      <c r="L959" s="2"/>
      <c r="M959" s="2"/>
      <c r="N959" s="2"/>
      <c r="O959" s="2"/>
      <c r="P959" s="2"/>
      <c r="Q959" s="2"/>
      <c r="R959" s="2"/>
      <c r="S959" s="2"/>
      <c r="T959" s="2"/>
    </row>
    <row r="960" spans="1:20" ht="15.75" customHeight="1">
      <c r="A960" s="1"/>
      <c r="B960" s="2"/>
      <c r="C960" s="2"/>
      <c r="D960" s="2"/>
      <c r="E960" s="2"/>
      <c r="F960" s="2"/>
      <c r="G960" s="2"/>
      <c r="H960" s="2"/>
      <c r="I960" s="2"/>
      <c r="J960" s="2"/>
      <c r="K960" s="2"/>
      <c r="L960" s="2"/>
      <c r="M960" s="2"/>
      <c r="N960" s="2"/>
      <c r="O960" s="2"/>
      <c r="P960" s="2"/>
      <c r="Q960" s="2"/>
      <c r="R960" s="2"/>
      <c r="S960" s="2"/>
      <c r="T960" s="2"/>
    </row>
    <row r="961" spans="1:20" ht="15.75" customHeight="1">
      <c r="A961" s="1"/>
      <c r="B961" s="2"/>
      <c r="C961" s="2"/>
      <c r="D961" s="2"/>
      <c r="E961" s="2"/>
      <c r="F961" s="2"/>
      <c r="G961" s="2"/>
      <c r="H961" s="2"/>
      <c r="I961" s="2"/>
      <c r="J961" s="2"/>
      <c r="K961" s="2"/>
      <c r="L961" s="2"/>
      <c r="M961" s="2"/>
      <c r="N961" s="2"/>
      <c r="O961" s="2"/>
      <c r="P961" s="2"/>
      <c r="Q961" s="2"/>
      <c r="R961" s="2"/>
      <c r="S961" s="2"/>
      <c r="T961" s="2"/>
    </row>
    <row r="962" spans="1:20" ht="15.75" customHeight="1">
      <c r="A962" s="1"/>
      <c r="B962" s="2"/>
      <c r="C962" s="2"/>
      <c r="D962" s="2"/>
      <c r="E962" s="2"/>
      <c r="F962" s="2"/>
      <c r="G962" s="2"/>
      <c r="H962" s="2"/>
      <c r="I962" s="2"/>
      <c r="J962" s="2"/>
      <c r="K962" s="2"/>
      <c r="L962" s="2"/>
      <c r="M962" s="2"/>
      <c r="N962" s="2"/>
      <c r="O962" s="2"/>
      <c r="P962" s="2"/>
      <c r="Q962" s="2"/>
      <c r="R962" s="2"/>
      <c r="S962" s="2"/>
      <c r="T962" s="2"/>
    </row>
    <row r="963" spans="1:20" ht="15.75" customHeight="1">
      <c r="A963" s="1"/>
      <c r="B963" s="2"/>
      <c r="C963" s="2"/>
      <c r="D963" s="2"/>
      <c r="E963" s="2"/>
      <c r="F963" s="2"/>
      <c r="G963" s="2"/>
      <c r="H963" s="2"/>
      <c r="I963" s="2"/>
      <c r="J963" s="2"/>
      <c r="K963" s="2"/>
      <c r="L963" s="2"/>
      <c r="M963" s="2"/>
      <c r="N963" s="2"/>
      <c r="O963" s="2"/>
      <c r="P963" s="2"/>
      <c r="Q963" s="2"/>
      <c r="R963" s="2"/>
      <c r="S963" s="2"/>
      <c r="T963" s="2"/>
    </row>
    <row r="964" spans="1:20" ht="15.75" customHeight="1">
      <c r="A964" s="1"/>
      <c r="B964" s="2"/>
      <c r="C964" s="2"/>
      <c r="D964" s="2"/>
      <c r="E964" s="2"/>
      <c r="F964" s="2"/>
      <c r="G964" s="2"/>
      <c r="H964" s="2"/>
      <c r="I964" s="2"/>
      <c r="J964" s="2"/>
      <c r="K964" s="2"/>
      <c r="L964" s="2"/>
      <c r="M964" s="2"/>
      <c r="N964" s="2"/>
      <c r="O964" s="2"/>
      <c r="P964" s="2"/>
      <c r="Q964" s="2"/>
      <c r="R964" s="2"/>
      <c r="S964" s="2"/>
      <c r="T964" s="2"/>
    </row>
    <row r="965" spans="1:20" ht="15.75" customHeight="1">
      <c r="A965" s="1"/>
      <c r="B965" s="2"/>
      <c r="C965" s="2"/>
      <c r="D965" s="2"/>
      <c r="E965" s="2"/>
      <c r="F965" s="2"/>
      <c r="G965" s="2"/>
      <c r="H965" s="2"/>
      <c r="I965" s="2"/>
      <c r="J965" s="2"/>
      <c r="K965" s="2"/>
      <c r="L965" s="2"/>
      <c r="M965" s="2"/>
      <c r="N965" s="2"/>
      <c r="O965" s="2"/>
      <c r="P965" s="2"/>
      <c r="Q965" s="2"/>
      <c r="R965" s="2"/>
      <c r="S965" s="2"/>
      <c r="T965" s="2"/>
    </row>
    <row r="966" spans="1:20" ht="15.75" customHeight="1">
      <c r="A966" s="1"/>
      <c r="B966" s="2"/>
      <c r="C966" s="2"/>
      <c r="D966" s="2"/>
      <c r="E966" s="2"/>
      <c r="F966" s="2"/>
      <c r="G966" s="2"/>
      <c r="H966" s="2"/>
      <c r="I966" s="2"/>
      <c r="J966" s="2"/>
      <c r="K966" s="2"/>
      <c r="L966" s="2"/>
      <c r="M966" s="2"/>
      <c r="N966" s="2"/>
      <c r="O966" s="2"/>
      <c r="P966" s="2"/>
      <c r="Q966" s="2"/>
      <c r="R966" s="2"/>
      <c r="S966" s="2"/>
      <c r="T966" s="2"/>
    </row>
    <row r="967" spans="1:20" ht="15.75" customHeight="1">
      <c r="A967" s="1"/>
      <c r="B967" s="2"/>
      <c r="C967" s="2"/>
      <c r="D967" s="2"/>
      <c r="E967" s="2"/>
      <c r="F967" s="2"/>
      <c r="G967" s="2"/>
      <c r="H967" s="2"/>
      <c r="I967" s="2"/>
      <c r="J967" s="2"/>
      <c r="K967" s="2"/>
      <c r="L967" s="2"/>
      <c r="M967" s="2"/>
      <c r="N967" s="2"/>
      <c r="O967" s="2"/>
      <c r="P967" s="2"/>
      <c r="Q967" s="2"/>
      <c r="R967" s="2"/>
      <c r="S967" s="2"/>
      <c r="T967" s="2"/>
    </row>
    <row r="968" spans="1:20" ht="15.75" customHeight="1">
      <c r="A968" s="1"/>
      <c r="B968" s="2"/>
      <c r="C968" s="2"/>
      <c r="D968" s="2"/>
      <c r="E968" s="2"/>
      <c r="F968" s="2"/>
      <c r="G968" s="2"/>
      <c r="H968" s="2"/>
      <c r="I968" s="2"/>
      <c r="J968" s="2"/>
      <c r="K968" s="2"/>
      <c r="L968" s="2"/>
      <c r="M968" s="2"/>
      <c r="N968" s="2"/>
      <c r="O968" s="2"/>
      <c r="P968" s="2"/>
      <c r="Q968" s="2"/>
      <c r="R968" s="2"/>
      <c r="S968" s="2"/>
      <c r="T968" s="2"/>
    </row>
    <row r="969" spans="1:20" ht="15.75" customHeight="1">
      <c r="A969" s="1"/>
      <c r="B969" s="2"/>
      <c r="C969" s="2"/>
      <c r="D969" s="2"/>
      <c r="E969" s="2"/>
      <c r="F969" s="2"/>
      <c r="G969" s="2"/>
      <c r="H969" s="2"/>
      <c r="I969" s="2"/>
      <c r="J969" s="2"/>
      <c r="K969" s="2"/>
      <c r="L969" s="2"/>
      <c r="M969" s="2"/>
      <c r="N969" s="2"/>
      <c r="O969" s="2"/>
      <c r="P969" s="2"/>
      <c r="Q969" s="2"/>
      <c r="R969" s="2"/>
      <c r="S969" s="2"/>
      <c r="T969" s="2"/>
    </row>
    <row r="970" spans="1:20" ht="15.75" customHeight="1">
      <c r="A970" s="1"/>
      <c r="B970" s="2"/>
      <c r="C970" s="2"/>
      <c r="D970" s="2"/>
      <c r="E970" s="2"/>
      <c r="F970" s="2"/>
      <c r="G970" s="2"/>
      <c r="H970" s="2"/>
      <c r="I970" s="2"/>
      <c r="J970" s="2"/>
      <c r="K970" s="2"/>
      <c r="L970" s="2"/>
      <c r="M970" s="2"/>
      <c r="N970" s="2"/>
      <c r="O970" s="2"/>
      <c r="P970" s="2"/>
      <c r="Q970" s="2"/>
      <c r="R970" s="2"/>
      <c r="S970" s="2"/>
      <c r="T970" s="2"/>
    </row>
    <row r="971" spans="1:20" ht="15.75" customHeight="1">
      <c r="A971" s="1"/>
      <c r="B971" s="2"/>
      <c r="C971" s="2"/>
      <c r="D971" s="2"/>
      <c r="E971" s="2"/>
      <c r="F971" s="2"/>
      <c r="G971" s="2"/>
      <c r="H971" s="2"/>
      <c r="I971" s="2"/>
      <c r="J971" s="2"/>
      <c r="K971" s="2"/>
      <c r="L971" s="2"/>
      <c r="M971" s="2"/>
      <c r="N971" s="2"/>
      <c r="O971" s="2"/>
      <c r="P971" s="2"/>
      <c r="Q971" s="2"/>
      <c r="R971" s="2"/>
      <c r="S971" s="2"/>
      <c r="T971" s="2"/>
    </row>
    <row r="972" spans="1:20" ht="15.75" customHeight="1">
      <c r="A972" s="1"/>
      <c r="B972" s="2"/>
      <c r="C972" s="2"/>
      <c r="D972" s="2"/>
      <c r="E972" s="2"/>
      <c r="F972" s="2"/>
      <c r="G972" s="2"/>
      <c r="H972" s="2"/>
      <c r="I972" s="2"/>
      <c r="J972" s="2"/>
      <c r="K972" s="2"/>
      <c r="L972" s="2"/>
      <c r="M972" s="2"/>
      <c r="N972" s="2"/>
      <c r="O972" s="2"/>
      <c r="P972" s="2"/>
      <c r="Q972" s="2"/>
      <c r="R972" s="2"/>
      <c r="S972" s="2"/>
      <c r="T972" s="2"/>
    </row>
    <row r="973" spans="1:20" ht="15.75" customHeight="1">
      <c r="A973" s="1"/>
      <c r="B973" s="2"/>
      <c r="C973" s="2"/>
      <c r="D973" s="2"/>
      <c r="E973" s="2"/>
      <c r="F973" s="2"/>
      <c r="G973" s="2"/>
      <c r="H973" s="2"/>
      <c r="I973" s="2"/>
      <c r="J973" s="2"/>
      <c r="K973" s="2"/>
      <c r="L973" s="2"/>
      <c r="M973" s="2"/>
      <c r="N973" s="2"/>
      <c r="O973" s="2"/>
      <c r="P973" s="2"/>
      <c r="Q973" s="2"/>
      <c r="R973" s="2"/>
      <c r="S973" s="2"/>
      <c r="T973" s="2"/>
    </row>
    <row r="974" spans="1:20" ht="15.75" customHeight="1">
      <c r="A974" s="1"/>
      <c r="B974" s="2"/>
      <c r="C974" s="2"/>
      <c r="D974" s="2"/>
      <c r="E974" s="2"/>
      <c r="F974" s="2"/>
      <c r="G974" s="2"/>
      <c r="H974" s="2"/>
      <c r="I974" s="2"/>
      <c r="J974" s="2"/>
      <c r="K974" s="2"/>
      <c r="L974" s="2"/>
      <c r="M974" s="2"/>
      <c r="N974" s="2"/>
      <c r="O974" s="2"/>
      <c r="P974" s="2"/>
      <c r="Q974" s="2"/>
      <c r="R974" s="2"/>
      <c r="S974" s="2"/>
      <c r="T974" s="2"/>
    </row>
    <row r="975" spans="1:20" ht="15.75" customHeight="1">
      <c r="A975" s="1"/>
      <c r="B975" s="2"/>
      <c r="C975" s="2"/>
      <c r="D975" s="2"/>
      <c r="E975" s="2"/>
      <c r="F975" s="2"/>
      <c r="G975" s="2"/>
      <c r="H975" s="2"/>
      <c r="I975" s="2"/>
      <c r="J975" s="2"/>
      <c r="K975" s="2"/>
      <c r="L975" s="2"/>
      <c r="M975" s="2"/>
      <c r="N975" s="2"/>
      <c r="O975" s="2"/>
      <c r="P975" s="2"/>
      <c r="Q975" s="2"/>
      <c r="R975" s="2"/>
      <c r="S975" s="2"/>
      <c r="T975" s="2"/>
    </row>
    <row r="976" spans="1:20" ht="15.75" customHeight="1">
      <c r="A976" s="1"/>
      <c r="B976" s="2"/>
      <c r="C976" s="2"/>
      <c r="D976" s="2"/>
      <c r="E976" s="2"/>
      <c r="F976" s="2"/>
      <c r="G976" s="2"/>
      <c r="H976" s="2"/>
      <c r="I976" s="2"/>
      <c r="J976" s="2"/>
      <c r="K976" s="2"/>
      <c r="L976" s="2"/>
      <c r="M976" s="2"/>
      <c r="N976" s="2"/>
      <c r="O976" s="2"/>
      <c r="P976" s="2"/>
      <c r="Q976" s="2"/>
      <c r="R976" s="2"/>
      <c r="S976" s="2"/>
      <c r="T976" s="2"/>
    </row>
    <row r="977" spans="1:20" ht="15.75" customHeight="1">
      <c r="A977" s="1"/>
      <c r="B977" s="2"/>
      <c r="C977" s="2"/>
      <c r="D977" s="2"/>
      <c r="E977" s="2"/>
      <c r="F977" s="2"/>
      <c r="G977" s="2"/>
      <c r="H977" s="2"/>
      <c r="I977" s="2"/>
      <c r="J977" s="2"/>
      <c r="K977" s="2"/>
      <c r="L977" s="2"/>
      <c r="M977" s="2"/>
      <c r="N977" s="2"/>
      <c r="O977" s="2"/>
      <c r="P977" s="2"/>
      <c r="Q977" s="2"/>
      <c r="R977" s="2"/>
      <c r="S977" s="2"/>
      <c r="T977" s="2"/>
    </row>
    <row r="978" spans="1:20" ht="15.75" customHeight="1">
      <c r="A978" s="1"/>
      <c r="B978" s="2"/>
      <c r="C978" s="2"/>
      <c r="D978" s="2"/>
      <c r="E978" s="2"/>
      <c r="F978" s="2"/>
      <c r="G978" s="2"/>
      <c r="H978" s="2"/>
      <c r="I978" s="2"/>
      <c r="J978" s="2"/>
      <c r="K978" s="2"/>
      <c r="L978" s="2"/>
      <c r="M978" s="2"/>
      <c r="N978" s="2"/>
      <c r="O978" s="2"/>
      <c r="P978" s="2"/>
      <c r="Q978" s="2"/>
      <c r="R978" s="2"/>
      <c r="S978" s="2"/>
      <c r="T978" s="2"/>
    </row>
    <row r="979" spans="1:20" ht="15.75" customHeight="1">
      <c r="A979" s="1"/>
      <c r="B979" s="2"/>
      <c r="C979" s="2"/>
      <c r="D979" s="2"/>
      <c r="E979" s="2"/>
      <c r="F979" s="2"/>
      <c r="G979" s="2"/>
      <c r="H979" s="2"/>
      <c r="I979" s="2"/>
      <c r="J979" s="2"/>
      <c r="K979" s="2"/>
      <c r="L979" s="2"/>
      <c r="M979" s="2"/>
      <c r="N979" s="2"/>
      <c r="O979" s="2"/>
      <c r="P979" s="2"/>
      <c r="Q979" s="2"/>
      <c r="R979" s="2"/>
      <c r="S979" s="2"/>
      <c r="T979" s="2"/>
    </row>
    <row r="980" spans="1:20" ht="15.75" customHeight="1">
      <c r="A980" s="1"/>
      <c r="B980" s="2"/>
      <c r="C980" s="2"/>
      <c r="D980" s="2"/>
      <c r="E980" s="2"/>
      <c r="F980" s="2"/>
      <c r="G980" s="2"/>
      <c r="H980" s="2"/>
      <c r="I980" s="2"/>
      <c r="J980" s="2"/>
      <c r="K980" s="2"/>
      <c r="L980" s="2"/>
      <c r="M980" s="2"/>
      <c r="N980" s="2"/>
      <c r="O980" s="2"/>
      <c r="P980" s="2"/>
      <c r="Q980" s="2"/>
      <c r="R980" s="2"/>
      <c r="S980" s="2"/>
      <c r="T980" s="2"/>
    </row>
    <row r="981" spans="1:20" ht="15.75" customHeight="1">
      <c r="A981" s="1"/>
      <c r="B981" s="2"/>
      <c r="C981" s="2"/>
      <c r="D981" s="2"/>
      <c r="E981" s="2"/>
      <c r="F981" s="2"/>
      <c r="G981" s="2"/>
      <c r="H981" s="2"/>
      <c r="I981" s="2"/>
      <c r="J981" s="2"/>
      <c r="K981" s="2"/>
      <c r="L981" s="2"/>
      <c r="M981" s="2"/>
      <c r="N981" s="2"/>
      <c r="O981" s="2"/>
      <c r="P981" s="2"/>
      <c r="Q981" s="2"/>
      <c r="R981" s="2"/>
      <c r="S981" s="2"/>
      <c r="T981" s="2"/>
    </row>
    <row r="982" spans="1:20" ht="15.75" customHeight="1">
      <c r="A982" s="1"/>
      <c r="B982" s="2"/>
      <c r="C982" s="2"/>
      <c r="D982" s="2"/>
      <c r="E982" s="2"/>
      <c r="F982" s="2"/>
      <c r="G982" s="2"/>
      <c r="H982" s="2"/>
      <c r="I982" s="2"/>
      <c r="J982" s="2"/>
      <c r="K982" s="2"/>
      <c r="L982" s="2"/>
      <c r="M982" s="2"/>
      <c r="N982" s="2"/>
      <c r="O982" s="2"/>
      <c r="P982" s="2"/>
      <c r="Q982" s="2"/>
      <c r="R982" s="2"/>
      <c r="S982" s="2"/>
      <c r="T982" s="2"/>
    </row>
    <row r="983" spans="1:20" ht="15.75" customHeight="1">
      <c r="A983" s="1"/>
      <c r="B983" s="2"/>
      <c r="C983" s="2"/>
      <c r="D983" s="2"/>
      <c r="E983" s="2"/>
      <c r="F983" s="2"/>
      <c r="G983" s="2"/>
      <c r="H983" s="2"/>
      <c r="I983" s="2"/>
      <c r="J983" s="2"/>
      <c r="K983" s="2"/>
      <c r="L983" s="2"/>
      <c r="M983" s="2"/>
      <c r="N983" s="2"/>
      <c r="O983" s="2"/>
      <c r="P983" s="2"/>
      <c r="Q983" s="2"/>
      <c r="R983" s="2"/>
      <c r="S983" s="2"/>
      <c r="T983" s="2"/>
    </row>
    <row r="984" spans="1:20" ht="15.75" customHeight="1">
      <c r="A984" s="1"/>
      <c r="B984" s="2"/>
      <c r="C984" s="2"/>
      <c r="D984" s="2"/>
      <c r="E984" s="2"/>
      <c r="F984" s="2"/>
      <c r="G984" s="2"/>
      <c r="H984" s="2"/>
      <c r="I984" s="2"/>
      <c r="J984" s="2"/>
      <c r="K984" s="2"/>
      <c r="L984" s="2"/>
      <c r="M984" s="2"/>
      <c r="N984" s="2"/>
      <c r="O984" s="2"/>
      <c r="P984" s="2"/>
      <c r="Q984" s="2"/>
      <c r="R984" s="2"/>
      <c r="S984" s="2"/>
      <c r="T984" s="2"/>
    </row>
    <row r="985" spans="1:20" ht="15.75" customHeight="1">
      <c r="A985" s="1"/>
      <c r="B985" s="2"/>
      <c r="C985" s="2"/>
      <c r="D985" s="2"/>
      <c r="E985" s="2"/>
      <c r="F985" s="2"/>
      <c r="G985" s="2"/>
      <c r="H985" s="2"/>
      <c r="I985" s="2"/>
      <c r="J985" s="2"/>
      <c r="K985" s="2"/>
      <c r="L985" s="2"/>
      <c r="M985" s="2"/>
      <c r="N985" s="2"/>
      <c r="O985" s="2"/>
      <c r="P985" s="2"/>
      <c r="Q985" s="2"/>
      <c r="R985" s="2"/>
      <c r="S985" s="2"/>
      <c r="T985" s="2"/>
    </row>
    <row r="986" spans="1:20" ht="15.75" customHeight="1">
      <c r="A986" s="1"/>
      <c r="B986" s="2"/>
      <c r="C986" s="2"/>
      <c r="D986" s="2"/>
      <c r="E986" s="2"/>
      <c r="F986" s="2"/>
      <c r="G986" s="2"/>
      <c r="H986" s="2"/>
      <c r="I986" s="2"/>
      <c r="J986" s="2"/>
      <c r="K986" s="2"/>
      <c r="L986" s="2"/>
      <c r="M986" s="2"/>
      <c r="N986" s="2"/>
      <c r="O986" s="2"/>
      <c r="P986" s="2"/>
      <c r="Q986" s="2"/>
      <c r="R986" s="2"/>
      <c r="S986" s="2"/>
      <c r="T986" s="2"/>
    </row>
    <row r="987" spans="1:20" ht="15.75" customHeight="1">
      <c r="A987" s="1"/>
      <c r="B987" s="2"/>
      <c r="C987" s="2"/>
      <c r="D987" s="2"/>
      <c r="E987" s="2"/>
      <c r="F987" s="2"/>
      <c r="G987" s="2"/>
      <c r="H987" s="2"/>
      <c r="I987" s="2"/>
      <c r="J987" s="2"/>
      <c r="K987" s="2"/>
      <c r="L987" s="2"/>
      <c r="M987" s="2"/>
      <c r="N987" s="2"/>
      <c r="O987" s="2"/>
      <c r="P987" s="2"/>
      <c r="Q987" s="2"/>
      <c r="R987" s="2"/>
      <c r="S987" s="2"/>
      <c r="T987" s="2"/>
    </row>
    <row r="988" spans="1:20" ht="15.75" customHeight="1">
      <c r="A988" s="1"/>
      <c r="B988" s="2"/>
      <c r="C988" s="2"/>
      <c r="D988" s="2"/>
      <c r="E988" s="2"/>
      <c r="F988" s="2"/>
      <c r="G988" s="2"/>
      <c r="H988" s="2"/>
      <c r="I988" s="2"/>
      <c r="J988" s="2"/>
      <c r="K988" s="2"/>
      <c r="L988" s="2"/>
      <c r="M988" s="2"/>
      <c r="N988" s="2"/>
      <c r="O988" s="2"/>
      <c r="P988" s="2"/>
      <c r="Q988" s="2"/>
      <c r="R988" s="2"/>
      <c r="S988" s="2"/>
      <c r="T988" s="2"/>
    </row>
    <row r="989" spans="1:20" ht="15.75" customHeight="1">
      <c r="A989" s="1"/>
      <c r="B989" s="2"/>
      <c r="C989" s="2"/>
      <c r="D989" s="2"/>
      <c r="E989" s="2"/>
      <c r="F989" s="2"/>
      <c r="G989" s="2"/>
      <c r="H989" s="2"/>
      <c r="I989" s="2"/>
      <c r="J989" s="2"/>
      <c r="K989" s="2"/>
      <c r="L989" s="2"/>
      <c r="M989" s="2"/>
      <c r="N989" s="2"/>
      <c r="O989" s="2"/>
      <c r="P989" s="2"/>
      <c r="Q989" s="2"/>
      <c r="R989" s="2"/>
      <c r="S989" s="2"/>
      <c r="T989" s="2"/>
    </row>
    <row r="990" spans="1:20" ht="15.75" customHeight="1">
      <c r="A990" s="1"/>
      <c r="B990" s="2"/>
      <c r="C990" s="2"/>
      <c r="D990" s="2"/>
      <c r="E990" s="2"/>
      <c r="F990" s="2"/>
      <c r="G990" s="2"/>
      <c r="H990" s="2"/>
      <c r="I990" s="2"/>
      <c r="J990" s="2"/>
      <c r="K990" s="2"/>
      <c r="L990" s="2"/>
      <c r="M990" s="2"/>
      <c r="N990" s="2"/>
      <c r="O990" s="2"/>
      <c r="P990" s="2"/>
      <c r="Q990" s="2"/>
      <c r="R990" s="2"/>
      <c r="S990" s="2"/>
      <c r="T990" s="2"/>
    </row>
    <row r="991" spans="1:20" ht="15.75" customHeight="1">
      <c r="A991" s="1"/>
      <c r="B991" s="2"/>
      <c r="C991" s="2"/>
      <c r="D991" s="2"/>
      <c r="E991" s="2"/>
      <c r="F991" s="2"/>
      <c r="G991" s="2"/>
      <c r="H991" s="2"/>
      <c r="I991" s="2"/>
      <c r="J991" s="2"/>
      <c r="K991" s="2"/>
      <c r="L991" s="2"/>
      <c r="M991" s="2"/>
      <c r="N991" s="2"/>
      <c r="O991" s="2"/>
      <c r="P991" s="2"/>
      <c r="Q991" s="2"/>
      <c r="R991" s="2"/>
      <c r="S991" s="2"/>
      <c r="T991" s="2"/>
    </row>
    <row r="992" spans="1:20" ht="15.75" customHeight="1">
      <c r="A992" s="1"/>
      <c r="B992" s="2"/>
      <c r="C992" s="2"/>
      <c r="D992" s="2"/>
      <c r="E992" s="2"/>
      <c r="F992" s="2"/>
      <c r="G992" s="2"/>
      <c r="H992" s="2"/>
      <c r="I992" s="2"/>
      <c r="J992" s="2"/>
      <c r="K992" s="2"/>
      <c r="L992" s="2"/>
      <c r="M992" s="2"/>
      <c r="N992" s="2"/>
      <c r="O992" s="2"/>
      <c r="P992" s="2"/>
      <c r="Q992" s="2"/>
      <c r="R992" s="2"/>
      <c r="S992" s="2"/>
      <c r="T992" s="2"/>
    </row>
    <row r="993" spans="1:20" ht="15.75" customHeight="1">
      <c r="A993" s="1"/>
      <c r="B993" s="2"/>
      <c r="C993" s="2"/>
      <c r="D993" s="2"/>
      <c r="E993" s="2"/>
      <c r="F993" s="2"/>
      <c r="G993" s="2"/>
      <c r="H993" s="2"/>
      <c r="I993" s="2"/>
      <c r="J993" s="2"/>
      <c r="K993" s="2"/>
      <c r="L993" s="2"/>
      <c r="M993" s="2"/>
      <c r="N993" s="2"/>
      <c r="O993" s="2"/>
      <c r="P993" s="2"/>
      <c r="Q993" s="2"/>
      <c r="R993" s="2"/>
      <c r="S993" s="2"/>
      <c r="T993" s="2"/>
    </row>
    <row r="994" spans="1:20" ht="15.75" customHeight="1">
      <c r="A994" s="1"/>
      <c r="B994" s="2"/>
      <c r="C994" s="2"/>
      <c r="D994" s="2"/>
      <c r="E994" s="2"/>
      <c r="F994" s="2"/>
      <c r="G994" s="2"/>
      <c r="H994" s="2"/>
      <c r="I994" s="2"/>
      <c r="J994" s="2"/>
      <c r="K994" s="2"/>
      <c r="L994" s="2"/>
      <c r="M994" s="2"/>
      <c r="N994" s="2"/>
      <c r="O994" s="2"/>
      <c r="P994" s="2"/>
      <c r="Q994" s="2"/>
      <c r="R994" s="2"/>
      <c r="S994" s="2"/>
      <c r="T994" s="2"/>
    </row>
    <row r="995" spans="1:20" ht="15.75" customHeight="1">
      <c r="A995" s="1"/>
      <c r="B995" s="2"/>
      <c r="C995" s="2"/>
      <c r="D995" s="2"/>
      <c r="E995" s="2"/>
      <c r="F995" s="2"/>
      <c r="G995" s="2"/>
      <c r="H995" s="2"/>
      <c r="I995" s="2"/>
      <c r="J995" s="2"/>
      <c r="K995" s="2"/>
      <c r="L995" s="2"/>
      <c r="M995" s="2"/>
      <c r="N995" s="2"/>
      <c r="O995" s="2"/>
      <c r="P995" s="2"/>
      <c r="Q995" s="2"/>
      <c r="R995" s="2"/>
      <c r="S995" s="2"/>
      <c r="T995" s="2"/>
    </row>
    <row r="996" spans="1:20" ht="15.75" customHeight="1">
      <c r="A996" s="1"/>
      <c r="B996" s="2"/>
      <c r="C996" s="2"/>
      <c r="D996" s="2"/>
      <c r="E996" s="2"/>
      <c r="F996" s="2"/>
      <c r="G996" s="2"/>
      <c r="H996" s="2"/>
      <c r="I996" s="2"/>
      <c r="J996" s="2"/>
      <c r="K996" s="2"/>
      <c r="L996" s="2"/>
      <c r="M996" s="2"/>
      <c r="N996" s="2"/>
      <c r="O996" s="2"/>
      <c r="P996" s="2"/>
      <c r="Q996" s="2"/>
      <c r="R996" s="2"/>
      <c r="S996" s="2"/>
      <c r="T996" s="2"/>
    </row>
    <row r="997" spans="1:20" ht="15.75" customHeight="1">
      <c r="A997" s="1"/>
      <c r="B997" s="2"/>
      <c r="C997" s="2"/>
      <c r="D997" s="2"/>
      <c r="E997" s="2"/>
      <c r="F997" s="2"/>
      <c r="G997" s="2"/>
      <c r="H997" s="2"/>
      <c r="I997" s="2"/>
      <c r="J997" s="2"/>
      <c r="K997" s="2"/>
      <c r="L997" s="2"/>
      <c r="M997" s="2"/>
      <c r="N997" s="2"/>
      <c r="O997" s="2"/>
      <c r="P997" s="2"/>
      <c r="Q997" s="2"/>
      <c r="R997" s="2"/>
      <c r="S997" s="2"/>
      <c r="T997" s="2"/>
    </row>
    <row r="998" spans="1:20" ht="15.75" customHeight="1">
      <c r="A998" s="1"/>
      <c r="B998" s="2"/>
      <c r="C998" s="2"/>
      <c r="D998" s="2"/>
      <c r="E998" s="2"/>
      <c r="F998" s="2"/>
      <c r="G998" s="2"/>
      <c r="H998" s="2"/>
      <c r="I998" s="2"/>
      <c r="J998" s="2"/>
      <c r="K998" s="2"/>
      <c r="L998" s="2"/>
      <c r="M998" s="2"/>
      <c r="N998" s="2"/>
      <c r="O998" s="2"/>
      <c r="P998" s="2"/>
      <c r="Q998" s="2"/>
      <c r="R998" s="2"/>
      <c r="S998" s="2"/>
      <c r="T998" s="2"/>
    </row>
    <row r="999" spans="1:20" ht="15.75" customHeight="1">
      <c r="A999" s="1"/>
      <c r="B999" s="2"/>
      <c r="C999" s="2"/>
      <c r="D999" s="2"/>
      <c r="E999" s="2"/>
      <c r="F999" s="2"/>
      <c r="G999" s="2"/>
      <c r="H999" s="2"/>
      <c r="I999" s="2"/>
      <c r="J999" s="2"/>
      <c r="K999" s="2"/>
      <c r="L999" s="2"/>
      <c r="M999" s="2"/>
      <c r="N999" s="2"/>
      <c r="O999" s="2"/>
      <c r="P999" s="2"/>
      <c r="Q999" s="2"/>
      <c r="R999" s="2"/>
      <c r="S999" s="2"/>
      <c r="T999" s="2"/>
    </row>
    <row r="1000" spans="1:20" ht="15.75" customHeight="1">
      <c r="A1000" s="1"/>
      <c r="B1000" s="2"/>
      <c r="C1000" s="2"/>
      <c r="D1000" s="2"/>
      <c r="E1000" s="2"/>
      <c r="F1000" s="2"/>
      <c r="G1000" s="2"/>
      <c r="H1000" s="2"/>
      <c r="I1000" s="2"/>
      <c r="J1000" s="2"/>
      <c r="K1000" s="2"/>
      <c r="L1000" s="2"/>
      <c r="M1000" s="2"/>
      <c r="N1000" s="2"/>
      <c r="O1000" s="2"/>
      <c r="P1000" s="2"/>
      <c r="Q1000" s="2"/>
      <c r="R1000" s="2"/>
      <c r="S1000" s="2"/>
      <c r="T1000" s="2"/>
    </row>
  </sheetData>
  <conditionalFormatting sqref="E98:T98">
    <cfRule type="containsText" dxfId="17" priority="6" operator="containsText" text="TRUE">
      <formula>NOT(ISERROR(SEARCH(("TRUE"),(E98))))</formula>
    </cfRule>
  </conditionalFormatting>
  <conditionalFormatting sqref="E118:T118">
    <cfRule type="containsText" dxfId="16" priority="5" operator="containsText" text="TRUE">
      <formula>NOT(ISERROR(SEARCH(("TRUE"),(E118))))</formula>
    </cfRule>
  </conditionalFormatting>
  <conditionalFormatting sqref="E153:T153">
    <cfRule type="containsText" dxfId="15" priority="4" operator="containsText" text="TRUE">
      <formula>NOT(ISERROR(SEARCH(("TRUE"),(E153))))</formula>
    </cfRule>
  </conditionalFormatting>
  <pageMargins left="0.7" right="0.7" top="0.75" bottom="0.75" header="0" footer="0"/>
  <pageSetup paperSize="9"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4.9989318521683403E-2"/>
  </sheetPr>
  <dimension ref="A1:AC1000"/>
  <sheetViews>
    <sheetView zoomScale="75" zoomScaleNormal="60" workbookViewId="0">
      <pane xSplit="3" ySplit="3" topLeftCell="T4" activePane="bottomRight" state="frozen"/>
      <selection pane="topRight" activeCell="D1" sqref="D1"/>
      <selection pane="bottomLeft" activeCell="A4" sqref="A4"/>
      <selection pane="bottomRight" activeCell="AC1" sqref="AC1:AC1048576"/>
    </sheetView>
  </sheetViews>
  <sheetFormatPr defaultColWidth="14.42578125" defaultRowHeight="15" customHeight="1"/>
  <cols>
    <col min="1" max="1" width="5.5703125" customWidth="1"/>
    <col min="2" max="2" width="41.28515625" customWidth="1"/>
    <col min="3" max="3" width="15" customWidth="1"/>
    <col min="4" max="4" width="14.85546875" hidden="1" customWidth="1"/>
    <col min="5" max="8" width="14.42578125" hidden="1" customWidth="1"/>
    <col min="9" max="9" width="15.42578125" hidden="1" customWidth="1"/>
    <col min="10" max="10" width="18.28515625" hidden="1" customWidth="1"/>
    <col min="11" max="11" width="16.42578125" hidden="1" customWidth="1"/>
    <col min="12" max="12" width="17.28515625" customWidth="1"/>
    <col min="13" max="13" width="16.42578125" customWidth="1"/>
    <col min="14" max="14" width="17.28515625" customWidth="1"/>
    <col min="15" max="20" width="22.28515625" customWidth="1"/>
  </cols>
  <sheetData>
    <row r="1" spans="1:29" ht="15.75" customHeight="1">
      <c r="A1" s="1"/>
      <c r="B1" s="2"/>
      <c r="C1" s="2"/>
      <c r="D1" s="2"/>
      <c r="E1" s="2"/>
      <c r="F1" s="2"/>
      <c r="G1" s="2"/>
      <c r="H1" s="2"/>
      <c r="I1" s="2"/>
      <c r="J1" s="2"/>
      <c r="K1" s="2"/>
      <c r="L1" s="2"/>
      <c r="M1" s="2"/>
      <c r="N1" s="2"/>
      <c r="O1" s="2"/>
      <c r="P1" s="2"/>
      <c r="Q1" s="2"/>
      <c r="R1" s="2"/>
      <c r="S1" s="2"/>
      <c r="T1" s="2"/>
    </row>
    <row r="2" spans="1:29" ht="15.75" customHeight="1" thickBot="1">
      <c r="A2" s="1"/>
      <c r="B2" s="2"/>
      <c r="C2" s="2"/>
      <c r="D2" s="2"/>
      <c r="E2" s="2"/>
      <c r="F2" s="2"/>
      <c r="G2" s="2"/>
      <c r="H2" s="2"/>
      <c r="I2" s="2"/>
      <c r="J2" s="2"/>
      <c r="K2" s="2"/>
      <c r="L2" s="2"/>
      <c r="M2" s="2"/>
      <c r="N2" s="2"/>
      <c r="O2" s="2"/>
      <c r="P2" s="2"/>
      <c r="Q2" s="2"/>
      <c r="R2" s="2"/>
      <c r="S2" s="2"/>
      <c r="T2" s="2"/>
    </row>
    <row r="3" spans="1:29" ht="15.75" customHeight="1" thickBot="1">
      <c r="A3" s="76"/>
      <c r="B3" s="77" t="s">
        <v>105</v>
      </c>
      <c r="C3" s="78" t="s">
        <v>1</v>
      </c>
      <c r="D3" s="78">
        <v>2008</v>
      </c>
      <c r="E3" s="78">
        <f t="shared" ref="E3:T3" si="0">D3+1</f>
        <v>2009</v>
      </c>
      <c r="F3" s="78">
        <f t="shared" si="0"/>
        <v>2010</v>
      </c>
      <c r="G3" s="78">
        <f t="shared" si="0"/>
        <v>2011</v>
      </c>
      <c r="H3" s="78">
        <f t="shared" si="0"/>
        <v>2012</v>
      </c>
      <c r="I3" s="78">
        <f t="shared" si="0"/>
        <v>2013</v>
      </c>
      <c r="J3" s="78">
        <f t="shared" si="0"/>
        <v>2014</v>
      </c>
      <c r="K3" s="78">
        <f t="shared" si="0"/>
        <v>2015</v>
      </c>
      <c r="L3" s="78">
        <f t="shared" si="0"/>
        <v>2016</v>
      </c>
      <c r="M3" s="78">
        <f t="shared" si="0"/>
        <v>2017</v>
      </c>
      <c r="N3" s="78">
        <f t="shared" si="0"/>
        <v>2018</v>
      </c>
      <c r="O3" s="78">
        <f t="shared" si="0"/>
        <v>2019</v>
      </c>
      <c r="P3" s="78">
        <f t="shared" si="0"/>
        <v>2020</v>
      </c>
      <c r="Q3" s="78">
        <f t="shared" si="0"/>
        <v>2021</v>
      </c>
      <c r="R3" s="78">
        <f t="shared" si="0"/>
        <v>2022</v>
      </c>
      <c r="S3" s="78">
        <f t="shared" si="0"/>
        <v>2023</v>
      </c>
      <c r="T3" s="78">
        <f t="shared" si="0"/>
        <v>2024</v>
      </c>
    </row>
    <row r="4" spans="1:29" ht="15.75" customHeight="1">
      <c r="A4" s="1"/>
      <c r="B4" s="2"/>
      <c r="C4" s="2"/>
      <c r="D4" s="2"/>
      <c r="E4" s="2"/>
      <c r="F4" s="2"/>
      <c r="G4" s="2"/>
      <c r="H4" s="2"/>
      <c r="I4" s="2"/>
      <c r="J4" s="2"/>
      <c r="K4" s="2"/>
      <c r="L4" s="2"/>
      <c r="M4" s="2"/>
      <c r="N4" s="2"/>
      <c r="O4" s="2"/>
      <c r="P4" s="2"/>
      <c r="Q4" s="2"/>
      <c r="R4" s="2"/>
      <c r="S4" s="2"/>
      <c r="T4" s="2"/>
    </row>
    <row r="5" spans="1:29" ht="15.75" customHeight="1">
      <c r="A5" s="6" t="s">
        <v>89</v>
      </c>
      <c r="B5" s="2"/>
      <c r="C5" s="2"/>
      <c r="D5" s="2"/>
      <c r="E5" s="2"/>
      <c r="F5" s="2"/>
      <c r="G5" s="2"/>
      <c r="H5" s="2"/>
      <c r="I5" s="2"/>
      <c r="J5" s="2"/>
      <c r="K5" s="2"/>
      <c r="L5" s="2"/>
      <c r="M5" s="2"/>
      <c r="N5" s="2"/>
      <c r="O5" s="2"/>
      <c r="P5" s="2"/>
      <c r="Q5" s="2"/>
      <c r="R5" s="2"/>
      <c r="S5" s="2"/>
      <c r="T5" s="2"/>
    </row>
    <row r="6" spans="1:29" ht="6.75" customHeight="1" thickBot="1">
      <c r="A6" s="7"/>
      <c r="B6" s="2"/>
      <c r="C6" s="2"/>
      <c r="D6" s="2"/>
      <c r="E6" s="2"/>
      <c r="F6" s="2"/>
      <c r="G6" s="2"/>
      <c r="H6" s="2"/>
      <c r="I6" s="2"/>
      <c r="J6" s="2"/>
      <c r="K6" s="2"/>
      <c r="L6" s="2"/>
      <c r="M6" s="2"/>
      <c r="N6" s="2"/>
      <c r="O6" s="2"/>
      <c r="P6" s="2"/>
      <c r="Q6" s="2"/>
      <c r="R6" s="2"/>
      <c r="S6" s="2"/>
      <c r="T6" s="2"/>
    </row>
    <row r="7" spans="1:29" ht="15.75" customHeight="1" thickBot="1">
      <c r="A7" s="79" t="s">
        <v>3</v>
      </c>
      <c r="B7" s="77" t="s">
        <v>4</v>
      </c>
      <c r="C7" s="78" t="s">
        <v>5</v>
      </c>
      <c r="D7" s="78">
        <f t="shared" ref="D7:T7" si="1">D$3</f>
        <v>2008</v>
      </c>
      <c r="E7" s="78">
        <f t="shared" si="1"/>
        <v>2009</v>
      </c>
      <c r="F7" s="78">
        <f t="shared" si="1"/>
        <v>2010</v>
      </c>
      <c r="G7" s="78">
        <f t="shared" si="1"/>
        <v>2011</v>
      </c>
      <c r="H7" s="78">
        <f t="shared" si="1"/>
        <v>2012</v>
      </c>
      <c r="I7" s="78">
        <f t="shared" si="1"/>
        <v>2013</v>
      </c>
      <c r="J7" s="78">
        <f t="shared" si="1"/>
        <v>2014</v>
      </c>
      <c r="K7" s="78">
        <f t="shared" si="1"/>
        <v>2015</v>
      </c>
      <c r="L7" s="78">
        <f t="shared" si="1"/>
        <v>2016</v>
      </c>
      <c r="M7" s="78">
        <f t="shared" si="1"/>
        <v>2017</v>
      </c>
      <c r="N7" s="78">
        <f t="shared" si="1"/>
        <v>2018</v>
      </c>
      <c r="O7" s="78">
        <f t="shared" si="1"/>
        <v>2019</v>
      </c>
      <c r="P7" s="78">
        <f t="shared" si="1"/>
        <v>2020</v>
      </c>
      <c r="Q7" s="78">
        <f t="shared" si="1"/>
        <v>2021</v>
      </c>
      <c r="R7" s="78">
        <f t="shared" si="1"/>
        <v>2022</v>
      </c>
      <c r="S7" s="78">
        <f t="shared" si="1"/>
        <v>2023</v>
      </c>
      <c r="T7" s="78">
        <f t="shared" si="1"/>
        <v>2024</v>
      </c>
    </row>
    <row r="8" spans="1:29"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f t="shared" si="2"/>
        <v>-15</v>
      </c>
      <c r="P8" s="9">
        <f t="shared" si="2"/>
        <v>-16</v>
      </c>
      <c r="Q8" s="9">
        <f t="shared" si="2"/>
        <v>-17</v>
      </c>
      <c r="R8" s="9">
        <f t="shared" si="2"/>
        <v>-18</v>
      </c>
      <c r="S8" s="9">
        <f t="shared" si="2"/>
        <v>-19</v>
      </c>
      <c r="T8" s="9">
        <f t="shared" si="2"/>
        <v>-20</v>
      </c>
    </row>
    <row r="9" spans="1:29" ht="15.75" customHeight="1">
      <c r="A9" s="23">
        <v>1</v>
      </c>
      <c r="B9" s="24" t="s">
        <v>6</v>
      </c>
      <c r="C9" s="23" t="s">
        <v>84</v>
      </c>
      <c r="D9" s="34">
        <f t="shared" ref="D9:S9" si="3">SUM(D10:D11)</f>
        <v>0</v>
      </c>
      <c r="E9" s="34">
        <f t="shared" si="3"/>
        <v>0</v>
      </c>
      <c r="F9" s="34">
        <f t="shared" si="3"/>
        <v>0</v>
      </c>
      <c r="G9" s="34">
        <f t="shared" si="3"/>
        <v>0</v>
      </c>
      <c r="H9" s="34">
        <f t="shared" si="3"/>
        <v>0</v>
      </c>
      <c r="I9" s="34">
        <f t="shared" si="3"/>
        <v>3535732595.7970104</v>
      </c>
      <c r="J9" s="34">
        <f t="shared" si="3"/>
        <v>3277767162.23</v>
      </c>
      <c r="K9" s="34">
        <f t="shared" si="3"/>
        <v>3194045389.6114435</v>
      </c>
      <c r="L9" s="34">
        <f t="shared" si="3"/>
        <v>3130082868.4258766</v>
      </c>
      <c r="M9" s="34">
        <f t="shared" si="3"/>
        <v>2842908028</v>
      </c>
      <c r="N9" s="34">
        <f t="shared" si="3"/>
        <v>2767999086.4083037</v>
      </c>
      <c r="O9" s="34">
        <f t="shared" si="3"/>
        <v>2851070244.4083037</v>
      </c>
      <c r="P9" s="34">
        <f t="shared" si="3"/>
        <v>3197397801.34022</v>
      </c>
      <c r="Q9" s="34">
        <f t="shared" si="3"/>
        <v>3115958764</v>
      </c>
      <c r="R9" s="34">
        <v>3338276233</v>
      </c>
      <c r="S9" s="34">
        <f t="shared" si="3"/>
        <v>3231362489.044096</v>
      </c>
      <c r="T9" s="34">
        <f t="shared" ref="T9" si="4">SUM(T10:T11)</f>
        <v>3214862972</v>
      </c>
      <c r="Z9" s="209"/>
      <c r="AA9" s="209"/>
      <c r="AB9" s="209"/>
      <c r="AC9" s="209"/>
    </row>
    <row r="10" spans="1:29" ht="15.75" customHeight="1">
      <c r="A10" s="14">
        <v>1.1000000000000001</v>
      </c>
      <c r="B10" s="15" t="s">
        <v>8</v>
      </c>
      <c r="C10" s="14" t="s">
        <v>84</v>
      </c>
      <c r="D10" s="16"/>
      <c r="E10" s="16"/>
      <c r="F10" s="16"/>
      <c r="G10" s="16"/>
      <c r="H10" s="16"/>
      <c r="I10" s="16">
        <v>2875849187.1092787</v>
      </c>
      <c r="J10" s="16">
        <v>2631905928.8000002</v>
      </c>
      <c r="K10" s="16">
        <v>2698915733.5010309</v>
      </c>
      <c r="L10" s="16">
        <v>2663031502.2845364</v>
      </c>
      <c r="M10" s="16">
        <v>1004677004</v>
      </c>
      <c r="N10" s="16">
        <v>919971098.78005075</v>
      </c>
      <c r="O10" s="16">
        <v>904508371.78005075</v>
      </c>
      <c r="P10" s="16">
        <v>1008766141.88335</v>
      </c>
      <c r="Q10" s="16">
        <v>463477486</v>
      </c>
      <c r="R10" s="16">
        <v>476153184</v>
      </c>
      <c r="S10" s="16">
        <v>988566976.19748724</v>
      </c>
      <c r="T10" s="16">
        <v>1017673789</v>
      </c>
      <c r="Z10" s="209"/>
      <c r="AA10" s="209"/>
      <c r="AB10" s="209"/>
      <c r="AC10" s="209"/>
    </row>
    <row r="11" spans="1:29" ht="15.75" customHeight="1">
      <c r="A11" s="14">
        <v>1.2</v>
      </c>
      <c r="B11" s="15" t="s">
        <v>9</v>
      </c>
      <c r="C11" s="14" t="s">
        <v>84</v>
      </c>
      <c r="D11" s="16"/>
      <c r="E11" s="16"/>
      <c r="F11" s="16"/>
      <c r="G11" s="16"/>
      <c r="H11" s="16"/>
      <c r="I11" s="16">
        <v>659883408.68773198</v>
      </c>
      <c r="J11" s="16">
        <v>645861233.42999995</v>
      </c>
      <c r="K11" s="16">
        <v>495129656.11041236</v>
      </c>
      <c r="L11" s="16">
        <v>467051366.1413402</v>
      </c>
      <c r="M11" s="16">
        <v>1838231024</v>
      </c>
      <c r="N11" s="16">
        <v>1848027987.628253</v>
      </c>
      <c r="O11" s="16">
        <v>1946561872.628253</v>
      </c>
      <c r="P11" s="16">
        <v>2188631659.4568701</v>
      </c>
      <c r="Q11" s="16">
        <v>2652481278</v>
      </c>
      <c r="R11" s="16">
        <v>2862123050</v>
      </c>
      <c r="S11" s="16">
        <v>2242795512.8466086</v>
      </c>
      <c r="T11" s="16">
        <v>2197189183</v>
      </c>
      <c r="Z11" s="209"/>
      <c r="AA11" s="209"/>
      <c r="AB11" s="209"/>
      <c r="AC11" s="209"/>
    </row>
    <row r="12" spans="1:29" ht="15.75" customHeight="1">
      <c r="A12" s="23">
        <v>2</v>
      </c>
      <c r="B12" s="24" t="s">
        <v>10</v>
      </c>
      <c r="C12" s="23" t="s">
        <v>84</v>
      </c>
      <c r="D12" s="34">
        <f t="shared" ref="D12:S12" si="5">SUM(D13:D16)</f>
        <v>0</v>
      </c>
      <c r="E12" s="34">
        <f t="shared" si="5"/>
        <v>0</v>
      </c>
      <c r="F12" s="34">
        <f t="shared" si="5"/>
        <v>0</v>
      </c>
      <c r="G12" s="34">
        <f t="shared" si="5"/>
        <v>0</v>
      </c>
      <c r="H12" s="34">
        <f t="shared" si="5"/>
        <v>0</v>
      </c>
      <c r="I12" s="34">
        <f t="shared" si="5"/>
        <v>4355721766.0515461</v>
      </c>
      <c r="J12" s="34">
        <f t="shared" si="5"/>
        <v>14468642881</v>
      </c>
      <c r="K12" s="34">
        <f t="shared" si="5"/>
        <v>6720221886.85567</v>
      </c>
      <c r="L12" s="34">
        <f t="shared" si="5"/>
        <v>4691838389.0031967</v>
      </c>
      <c r="M12" s="34">
        <f t="shared" si="5"/>
        <v>6602024217</v>
      </c>
      <c r="N12" s="34">
        <f t="shared" si="5"/>
        <v>6443362301.6100006</v>
      </c>
      <c r="O12" s="34">
        <f t="shared" si="5"/>
        <v>7569203799.2442369</v>
      </c>
      <c r="P12" s="34">
        <f t="shared" si="5"/>
        <v>10395503706.436489</v>
      </c>
      <c r="Q12" s="34">
        <f t="shared" si="5"/>
        <v>10545904475</v>
      </c>
      <c r="R12" s="34">
        <f t="shared" si="5"/>
        <v>11139528507</v>
      </c>
      <c r="S12" s="34">
        <f t="shared" si="5"/>
        <v>11402868257.200724</v>
      </c>
      <c r="T12" s="34">
        <f>SUM(T13:T16)</f>
        <v>12807267930</v>
      </c>
      <c r="Z12" s="209"/>
      <c r="AA12" s="209"/>
      <c r="AB12" s="209"/>
      <c r="AC12" s="209"/>
    </row>
    <row r="13" spans="1:29" ht="15.75" customHeight="1">
      <c r="A13" s="14">
        <v>2.1</v>
      </c>
      <c r="B13" s="15" t="s">
        <v>11</v>
      </c>
      <c r="C13" s="14" t="s">
        <v>84</v>
      </c>
      <c r="D13" s="16"/>
      <c r="E13" s="16"/>
      <c r="F13" s="16"/>
      <c r="G13" s="16"/>
      <c r="H13" s="16"/>
      <c r="I13" s="16">
        <v>992206</v>
      </c>
      <c r="J13" s="16">
        <v>481000</v>
      </c>
      <c r="K13" s="16">
        <v>481000</v>
      </c>
      <c r="L13" s="16">
        <v>1553848</v>
      </c>
      <c r="M13" s="16">
        <v>1553848</v>
      </c>
      <c r="N13" s="16">
        <v>502206</v>
      </c>
      <c r="O13" s="16">
        <v>502206</v>
      </c>
      <c r="P13" s="16">
        <v>502206</v>
      </c>
      <c r="Q13" s="16">
        <v>502206</v>
      </c>
      <c r="R13" s="16">
        <v>502206</v>
      </c>
      <c r="S13" s="16">
        <v>502206</v>
      </c>
      <c r="T13" s="16"/>
      <c r="Z13" s="209"/>
      <c r="AA13" s="209"/>
      <c r="AB13" s="209"/>
      <c r="AC13" s="209"/>
    </row>
    <row r="14" spans="1:29" ht="15.75" customHeight="1">
      <c r="A14" s="14">
        <v>2.2000000000000002</v>
      </c>
      <c r="B14" s="15" t="s">
        <v>12</v>
      </c>
      <c r="C14" s="14" t="s">
        <v>84</v>
      </c>
      <c r="D14" s="16"/>
      <c r="E14" s="16"/>
      <c r="F14" s="16"/>
      <c r="G14" s="16"/>
      <c r="H14" s="16"/>
      <c r="I14" s="16">
        <v>802698117.7525773</v>
      </c>
      <c r="J14" s="16">
        <v>10601758426</v>
      </c>
      <c r="K14" s="16">
        <v>1508343153.8350515</v>
      </c>
      <c r="L14" s="16">
        <v>1560201672.5773196</v>
      </c>
      <c r="M14" s="16">
        <v>1348592023</v>
      </c>
      <c r="N14" s="16">
        <v>1263522099</v>
      </c>
      <c r="O14" s="16">
        <v>1505606732.2245574</v>
      </c>
      <c r="P14" s="16">
        <v>3110502221.6138501</v>
      </c>
      <c r="Q14" s="16">
        <v>3217177183</v>
      </c>
      <c r="R14" s="16">
        <v>3483951798</v>
      </c>
      <c r="S14" s="16">
        <v>3379357809.2941175</v>
      </c>
      <c r="T14" s="16">
        <v>4374217307</v>
      </c>
      <c r="Z14" s="209"/>
      <c r="AA14" s="209"/>
      <c r="AB14" s="209"/>
      <c r="AC14" s="209"/>
    </row>
    <row r="15" spans="1:29" ht="15.75" customHeight="1">
      <c r="A15" s="14">
        <v>2.2999999999999998</v>
      </c>
      <c r="B15" s="15" t="s">
        <v>13</v>
      </c>
      <c r="C15" s="14" t="s">
        <v>84</v>
      </c>
      <c r="D15" s="16"/>
      <c r="E15" s="16"/>
      <c r="F15" s="16"/>
      <c r="G15" s="16"/>
      <c r="H15" s="16"/>
      <c r="I15" s="16">
        <v>527423888.90721643</v>
      </c>
      <c r="J15" s="16">
        <v>327943448</v>
      </c>
      <c r="K15" s="16">
        <v>2102081787.8762884</v>
      </c>
      <c r="L15" s="16">
        <v>467051366.1413402</v>
      </c>
      <c r="M15" s="16">
        <v>4307600829</v>
      </c>
      <c r="N15" s="16">
        <v>4194401640.6100001</v>
      </c>
      <c r="O15" s="16">
        <v>4818742724.4492121</v>
      </c>
      <c r="P15" s="16">
        <v>4845285026.3244495</v>
      </c>
      <c r="Q15" s="16">
        <v>4901464273</v>
      </c>
      <c r="R15" s="16">
        <v>5142772164</v>
      </c>
      <c r="S15" s="16">
        <v>5519664918.5536642</v>
      </c>
      <c r="T15" s="16">
        <v>5841974775</v>
      </c>
      <c r="Z15" s="209"/>
      <c r="AA15" s="209"/>
      <c r="AB15" s="209"/>
      <c r="AC15" s="209"/>
    </row>
    <row r="16" spans="1:29" ht="15.75" customHeight="1">
      <c r="A16" s="14">
        <v>2.4</v>
      </c>
      <c r="B16" s="15" t="s">
        <v>14</v>
      </c>
      <c r="C16" s="14" t="s">
        <v>84</v>
      </c>
      <c r="D16" s="16"/>
      <c r="E16" s="16"/>
      <c r="F16" s="16"/>
      <c r="G16" s="16"/>
      <c r="H16" s="16"/>
      <c r="I16" s="16">
        <v>3024607553.3917527</v>
      </c>
      <c r="J16" s="16">
        <v>3538460007</v>
      </c>
      <c r="K16" s="16">
        <v>3109315945.14433</v>
      </c>
      <c r="L16" s="16">
        <v>2663031502.2845364</v>
      </c>
      <c r="M16" s="16">
        <v>944277517</v>
      </c>
      <c r="N16" s="16">
        <v>984936356</v>
      </c>
      <c r="O16" s="16">
        <v>1244352136.5704679</v>
      </c>
      <c r="P16" s="16">
        <v>2439214252.4981899</v>
      </c>
      <c r="Q16" s="16">
        <v>2426760813</v>
      </c>
      <c r="R16" s="16">
        <v>2512302339</v>
      </c>
      <c r="S16" s="16">
        <v>2503343323.352941</v>
      </c>
      <c r="T16" s="16">
        <v>2591075848</v>
      </c>
      <c r="Z16" s="209"/>
      <c r="AA16" s="209"/>
      <c r="AB16" s="209"/>
      <c r="AC16" s="209"/>
    </row>
    <row r="17" spans="1:29" ht="15.75" customHeight="1">
      <c r="A17" s="17" t="s">
        <v>15</v>
      </c>
      <c r="B17" s="2"/>
      <c r="C17" s="2"/>
      <c r="D17" s="2"/>
      <c r="E17" s="2"/>
      <c r="F17" s="2"/>
      <c r="G17" s="2"/>
      <c r="H17" s="2"/>
      <c r="I17" s="2"/>
      <c r="J17" s="2"/>
      <c r="K17" s="2"/>
      <c r="L17" s="2"/>
      <c r="M17" s="2"/>
      <c r="N17" s="2"/>
      <c r="O17" s="185">
        <f>O18*1000000</f>
        <v>7569000000</v>
      </c>
      <c r="P17" s="185"/>
      <c r="Q17" s="185"/>
      <c r="R17" s="185"/>
      <c r="S17" s="185"/>
      <c r="T17" s="185"/>
    </row>
    <row r="18" spans="1:29" ht="15.75" customHeight="1">
      <c r="A18" s="1"/>
      <c r="B18" s="2"/>
      <c r="C18" s="2"/>
      <c r="D18" s="2"/>
      <c r="E18" s="2"/>
      <c r="F18" s="2"/>
      <c r="G18" s="2"/>
      <c r="H18" s="2"/>
      <c r="I18" s="2"/>
      <c r="J18" s="2"/>
      <c r="K18" s="2"/>
      <c r="L18" s="2"/>
      <c r="M18" s="2"/>
      <c r="N18" s="2"/>
      <c r="O18" s="2">
        <v>7569</v>
      </c>
      <c r="P18" s="194"/>
      <c r="Q18" s="194"/>
      <c r="R18" s="194"/>
      <c r="S18" s="194"/>
      <c r="T18" s="194"/>
    </row>
    <row r="19" spans="1:29" ht="15.75" customHeight="1">
      <c r="A19" s="1"/>
      <c r="B19" s="2"/>
      <c r="C19" s="2"/>
      <c r="D19" s="2"/>
      <c r="E19" s="2"/>
      <c r="F19" s="2"/>
      <c r="G19" s="2"/>
      <c r="H19" s="2"/>
      <c r="I19" s="2"/>
      <c r="J19" s="2"/>
      <c r="K19" s="2"/>
      <c r="L19" s="2"/>
      <c r="M19" s="2"/>
      <c r="N19" s="2"/>
      <c r="O19" s="2"/>
      <c r="P19" s="193"/>
      <c r="Q19" s="193"/>
      <c r="R19" s="193"/>
      <c r="S19" s="193"/>
      <c r="T19" s="193"/>
    </row>
    <row r="20" spans="1:29" ht="15.75" customHeight="1">
      <c r="A20" s="6" t="s">
        <v>90</v>
      </c>
      <c r="B20" s="2"/>
      <c r="C20" s="2"/>
      <c r="D20" s="2"/>
      <c r="E20" s="2"/>
      <c r="F20" s="2"/>
      <c r="G20" s="2"/>
      <c r="H20" s="2"/>
      <c r="I20" s="2"/>
      <c r="J20" s="2"/>
      <c r="K20" s="2"/>
      <c r="L20" s="2"/>
      <c r="M20" s="2"/>
      <c r="N20" s="2"/>
      <c r="O20" s="2"/>
      <c r="P20" s="192"/>
      <c r="Q20" s="192"/>
      <c r="R20" s="192"/>
      <c r="S20" s="192"/>
      <c r="T20" s="192"/>
    </row>
    <row r="21" spans="1:29" ht="15.75" customHeight="1" thickBot="1">
      <c r="A21" s="7"/>
      <c r="B21" s="2"/>
      <c r="C21" s="2"/>
      <c r="D21" s="2"/>
      <c r="E21" s="2"/>
      <c r="F21" s="2"/>
      <c r="G21" s="2"/>
      <c r="H21" s="2"/>
      <c r="I21" s="2"/>
      <c r="J21" s="2"/>
      <c r="K21" s="2"/>
      <c r="L21" s="2"/>
      <c r="M21" s="2"/>
      <c r="N21" s="2"/>
      <c r="O21" s="2"/>
      <c r="P21" s="2"/>
      <c r="Q21" s="2"/>
      <c r="R21" s="2"/>
      <c r="S21" s="2"/>
      <c r="T21" s="2"/>
    </row>
    <row r="22" spans="1:29" ht="15.75" customHeight="1" thickBot="1">
      <c r="A22" s="79" t="s">
        <v>3</v>
      </c>
      <c r="B22" s="77" t="s">
        <v>4</v>
      </c>
      <c r="C22" s="78" t="s">
        <v>5</v>
      </c>
      <c r="D22" s="78">
        <f t="shared" ref="D22:T22" si="6">D$3</f>
        <v>2008</v>
      </c>
      <c r="E22" s="78">
        <f t="shared" si="6"/>
        <v>2009</v>
      </c>
      <c r="F22" s="78">
        <f t="shared" si="6"/>
        <v>2010</v>
      </c>
      <c r="G22" s="78">
        <f t="shared" si="6"/>
        <v>2011</v>
      </c>
      <c r="H22" s="78">
        <f t="shared" si="6"/>
        <v>2012</v>
      </c>
      <c r="I22" s="78">
        <f t="shared" si="6"/>
        <v>2013</v>
      </c>
      <c r="J22" s="78">
        <f t="shared" si="6"/>
        <v>2014</v>
      </c>
      <c r="K22" s="78">
        <f t="shared" si="6"/>
        <v>2015</v>
      </c>
      <c r="L22" s="78">
        <f t="shared" si="6"/>
        <v>2016</v>
      </c>
      <c r="M22" s="78">
        <f t="shared" si="6"/>
        <v>2017</v>
      </c>
      <c r="N22" s="78">
        <f t="shared" si="6"/>
        <v>2018</v>
      </c>
      <c r="O22" s="78">
        <f t="shared" si="6"/>
        <v>2019</v>
      </c>
      <c r="P22" s="78">
        <f t="shared" si="6"/>
        <v>2020</v>
      </c>
      <c r="Q22" s="78">
        <f t="shared" si="6"/>
        <v>2021</v>
      </c>
      <c r="R22" s="78">
        <f t="shared" si="6"/>
        <v>2022</v>
      </c>
      <c r="S22" s="78">
        <f t="shared" si="6"/>
        <v>2023</v>
      </c>
      <c r="T22" s="78">
        <f t="shared" si="6"/>
        <v>2024</v>
      </c>
    </row>
    <row r="23" spans="1:29" ht="15.75" customHeight="1">
      <c r="A23" s="9">
        <v>-1</v>
      </c>
      <c r="B23" s="9">
        <f t="shared" ref="B23:T23" si="7">A23-1</f>
        <v>-2</v>
      </c>
      <c r="C23" s="9">
        <f t="shared" si="7"/>
        <v>-3</v>
      </c>
      <c r="D23" s="9">
        <f t="shared" si="7"/>
        <v>-4</v>
      </c>
      <c r="E23" s="9">
        <f t="shared" si="7"/>
        <v>-5</v>
      </c>
      <c r="F23" s="9">
        <f t="shared" si="7"/>
        <v>-6</v>
      </c>
      <c r="G23" s="9">
        <f t="shared" si="7"/>
        <v>-7</v>
      </c>
      <c r="H23" s="9">
        <f t="shared" si="7"/>
        <v>-8</v>
      </c>
      <c r="I23" s="9">
        <f t="shared" si="7"/>
        <v>-9</v>
      </c>
      <c r="J23" s="9">
        <f t="shared" si="7"/>
        <v>-10</v>
      </c>
      <c r="K23" s="9">
        <f t="shared" si="7"/>
        <v>-11</v>
      </c>
      <c r="L23" s="9">
        <f t="shared" si="7"/>
        <v>-12</v>
      </c>
      <c r="M23" s="9">
        <f t="shared" si="7"/>
        <v>-13</v>
      </c>
      <c r="N23" s="9">
        <f t="shared" si="7"/>
        <v>-14</v>
      </c>
      <c r="O23" s="9">
        <f t="shared" si="7"/>
        <v>-15</v>
      </c>
      <c r="P23" s="9">
        <f t="shared" si="7"/>
        <v>-16</v>
      </c>
      <c r="Q23" s="9">
        <f t="shared" si="7"/>
        <v>-17</v>
      </c>
      <c r="R23" s="9">
        <f t="shared" si="7"/>
        <v>-18</v>
      </c>
      <c r="S23" s="9">
        <f t="shared" si="7"/>
        <v>-19</v>
      </c>
      <c r="T23" s="9">
        <f t="shared" si="7"/>
        <v>-20</v>
      </c>
    </row>
    <row r="24" spans="1:29" ht="15.75" customHeight="1">
      <c r="A24" s="23">
        <v>1</v>
      </c>
      <c r="B24" s="24" t="s">
        <v>6</v>
      </c>
      <c r="C24" s="23" t="s">
        <v>84</v>
      </c>
      <c r="D24" s="34">
        <f t="shared" ref="D24:S24" si="8">SUM(D25:D26)</f>
        <v>0</v>
      </c>
      <c r="E24" s="34">
        <f t="shared" si="8"/>
        <v>0</v>
      </c>
      <c r="F24" s="34">
        <f t="shared" si="8"/>
        <v>0</v>
      </c>
      <c r="G24" s="34">
        <f t="shared" si="8"/>
        <v>0</v>
      </c>
      <c r="H24" s="34">
        <f t="shared" si="8"/>
        <v>13465</v>
      </c>
      <c r="I24" s="34">
        <f t="shared" si="8"/>
        <v>14056.498905826986</v>
      </c>
      <c r="J24" s="34">
        <f t="shared" si="8"/>
        <v>14047.40190891977</v>
      </c>
      <c r="K24" s="34">
        <f t="shared" si="8"/>
        <v>13029.442849930078</v>
      </c>
      <c r="L24" s="34">
        <f t="shared" si="8"/>
        <v>13827.635354105956</v>
      </c>
      <c r="M24" s="34">
        <f t="shared" si="8"/>
        <v>5681.87194</v>
      </c>
      <c r="N24" s="34">
        <f t="shared" si="8"/>
        <v>13179.200563465332</v>
      </c>
      <c r="O24" s="34">
        <f t="shared" si="8"/>
        <v>13129.596218225333</v>
      </c>
      <c r="P24" s="34">
        <f t="shared" si="8"/>
        <v>11456.637637430289</v>
      </c>
      <c r="Q24" s="34">
        <f t="shared" si="8"/>
        <v>11540</v>
      </c>
      <c r="R24" s="34">
        <v>44286.6</v>
      </c>
      <c r="S24" s="34">
        <f t="shared" si="8"/>
        <v>42657.384220725791</v>
      </c>
      <c r="T24" s="34">
        <f t="shared" ref="T24" si="9">SUM(T25:T26)</f>
        <v>42593</v>
      </c>
      <c r="Z24" s="209"/>
      <c r="AA24" s="209"/>
      <c r="AB24" s="209"/>
      <c r="AC24" s="209"/>
    </row>
    <row r="25" spans="1:29" ht="15.75" customHeight="1">
      <c r="A25" s="14">
        <v>1.1000000000000001</v>
      </c>
      <c r="B25" s="15" t="s">
        <v>8</v>
      </c>
      <c r="C25" s="14" t="s">
        <v>84</v>
      </c>
      <c r="D25" s="16"/>
      <c r="E25" s="16"/>
      <c r="F25" s="16"/>
      <c r="G25" s="16"/>
      <c r="H25" s="16">
        <v>13465</v>
      </c>
      <c r="I25" s="16">
        <v>11783.511731294848</v>
      </c>
      <c r="J25" s="16">
        <v>11718.354292119589</v>
      </c>
      <c r="K25" s="16">
        <v>11122.560469851547</v>
      </c>
      <c r="L25" s="16">
        <v>12184.78956677526</v>
      </c>
      <c r="M25" s="16">
        <v>3187.7126899999998</v>
      </c>
      <c r="N25" s="16">
        <v>4992.0928596162366</v>
      </c>
      <c r="O25" s="16">
        <v>5131.1482745862368</v>
      </c>
      <c r="P25" s="16">
        <v>3863.2843940399098</v>
      </c>
      <c r="Q25" s="16">
        <v>1988</v>
      </c>
      <c r="R25" s="16">
        <v>1928</v>
      </c>
      <c r="S25" s="16">
        <v>3539.9918881971003</v>
      </c>
      <c r="T25" s="16">
        <v>3554</v>
      </c>
      <c r="Z25" s="209"/>
      <c r="AA25" s="209"/>
      <c r="AB25" s="209"/>
      <c r="AC25" s="209"/>
    </row>
    <row r="26" spans="1:29" ht="15.75" customHeight="1">
      <c r="A26" s="14">
        <v>1.2</v>
      </c>
      <c r="B26" s="15" t="s">
        <v>9</v>
      </c>
      <c r="C26" s="14" t="s">
        <v>84</v>
      </c>
      <c r="D26" s="16"/>
      <c r="E26" s="16"/>
      <c r="F26" s="16"/>
      <c r="G26" s="16"/>
      <c r="H26" s="16"/>
      <c r="I26" s="16">
        <v>2272.9871745321389</v>
      </c>
      <c r="J26" s="16">
        <v>2329.0476168001801</v>
      </c>
      <c r="K26" s="16">
        <v>1906.8823800785306</v>
      </c>
      <c r="L26" s="16">
        <v>1642.8457873306957</v>
      </c>
      <c r="M26" s="16">
        <v>2494.1592500000002</v>
      </c>
      <c r="N26" s="16">
        <v>8187.1077038490967</v>
      </c>
      <c r="O26" s="16">
        <v>7998.4479436390966</v>
      </c>
      <c r="P26" s="16">
        <v>7593.3532433903802</v>
      </c>
      <c r="Q26" s="16">
        <v>9552</v>
      </c>
      <c r="R26" s="16">
        <v>42358</v>
      </c>
      <c r="S26" s="16">
        <v>39117.392332528689</v>
      </c>
      <c r="T26" s="16">
        <v>39039</v>
      </c>
      <c r="Z26" s="209"/>
      <c r="AA26" s="209"/>
      <c r="AB26" s="209"/>
      <c r="AC26" s="209"/>
    </row>
    <row r="27" spans="1:29" ht="15.75" customHeight="1">
      <c r="A27" s="23">
        <v>2</v>
      </c>
      <c r="B27" s="24" t="s">
        <v>10</v>
      </c>
      <c r="C27" s="23" t="s">
        <v>84</v>
      </c>
      <c r="D27" s="34">
        <f t="shared" ref="D27:S27" si="10">SUM(D28:D31)</f>
        <v>0</v>
      </c>
      <c r="E27" s="34">
        <f t="shared" si="10"/>
        <v>0</v>
      </c>
      <c r="F27" s="34">
        <f t="shared" si="10"/>
        <v>0</v>
      </c>
      <c r="G27" s="34">
        <f t="shared" si="10"/>
        <v>0</v>
      </c>
      <c r="H27" s="34">
        <f t="shared" si="10"/>
        <v>830125</v>
      </c>
      <c r="I27" s="34">
        <f t="shared" si="10"/>
        <v>833030.72684671194</v>
      </c>
      <c r="J27" s="34">
        <f t="shared" si="10"/>
        <v>836808.68571423762</v>
      </c>
      <c r="K27" s="34">
        <f t="shared" si="10"/>
        <v>837606.37962526851</v>
      </c>
      <c r="L27" s="34">
        <f t="shared" si="10"/>
        <v>840728.86795749632</v>
      </c>
      <c r="M27" s="34">
        <f t="shared" si="10"/>
        <v>839331.76310587418</v>
      </c>
      <c r="N27" s="34">
        <f t="shared" si="10"/>
        <v>58931.380280845973</v>
      </c>
      <c r="O27" s="34">
        <f t="shared" si="10"/>
        <v>76716.53854426746</v>
      </c>
      <c r="P27" s="34">
        <f t="shared" si="10"/>
        <v>70353.497949047465</v>
      </c>
      <c r="Q27" s="34">
        <f t="shared" si="10"/>
        <v>78830</v>
      </c>
      <c r="R27" s="34">
        <f t="shared" si="10"/>
        <v>164685</v>
      </c>
      <c r="S27" s="34">
        <f t="shared" si="10"/>
        <v>166530.69036334072</v>
      </c>
      <c r="T27" s="34">
        <f>SUM(T28:T31)</f>
        <v>327111</v>
      </c>
      <c r="Z27" s="209"/>
      <c r="AA27" s="209"/>
      <c r="AB27" s="209"/>
      <c r="AC27" s="209"/>
    </row>
    <row r="28" spans="1:29" ht="15.75" customHeight="1">
      <c r="A28" s="14">
        <v>2.1</v>
      </c>
      <c r="B28" s="15" t="s">
        <v>11</v>
      </c>
      <c r="C28" s="14" t="s">
        <v>84</v>
      </c>
      <c r="D28" s="16"/>
      <c r="E28" s="16"/>
      <c r="F28" s="16"/>
      <c r="G28" s="16"/>
      <c r="H28" s="16">
        <v>830125</v>
      </c>
      <c r="I28" s="16">
        <v>249.79512</v>
      </c>
      <c r="J28" s="16">
        <v>214.61311999999998</v>
      </c>
      <c r="K28" s="16">
        <v>214.18900000000002</v>
      </c>
      <c r="L28" s="16">
        <v>219.12410080000001</v>
      </c>
      <c r="M28" s="16">
        <v>219.13</v>
      </c>
      <c r="N28" s="16">
        <v>215.92789199999999</v>
      </c>
      <c r="O28" s="16">
        <v>215.92789199999999</v>
      </c>
      <c r="P28" s="16">
        <v>205.65345199999999</v>
      </c>
      <c r="Q28" s="16">
        <v>206</v>
      </c>
      <c r="R28" s="16">
        <v>206</v>
      </c>
      <c r="S28" s="16">
        <v>205.65345200000002</v>
      </c>
      <c r="T28" s="16"/>
      <c r="Z28" s="209"/>
      <c r="AA28" s="209"/>
      <c r="AB28" s="209"/>
      <c r="AC28" s="209"/>
    </row>
    <row r="29" spans="1:29" ht="15.75" customHeight="1">
      <c r="A29" s="14">
        <v>2.2000000000000002</v>
      </c>
      <c r="B29" s="15" t="s">
        <v>12</v>
      </c>
      <c r="C29" s="14" t="s">
        <v>84</v>
      </c>
      <c r="D29" s="16"/>
      <c r="E29" s="16"/>
      <c r="F29" s="16"/>
      <c r="G29" s="16"/>
      <c r="H29" s="16"/>
      <c r="I29" s="16">
        <v>503545.0584093763</v>
      </c>
      <c r="J29" s="16">
        <v>505404.22108298441</v>
      </c>
      <c r="K29" s="16">
        <v>503842.4297897885</v>
      </c>
      <c r="L29" s="16">
        <v>503998.78716859565</v>
      </c>
      <c r="M29" s="16">
        <v>504172.07</v>
      </c>
      <c r="N29" s="16">
        <v>36477.944371113976</v>
      </c>
      <c r="O29" s="16">
        <v>52750.179101719179</v>
      </c>
      <c r="P29" s="16">
        <v>46819.503725923802</v>
      </c>
      <c r="Q29" s="16">
        <v>54140</v>
      </c>
      <c r="R29" s="16">
        <v>96655</v>
      </c>
      <c r="S29" s="16">
        <v>96845.798398211482</v>
      </c>
      <c r="T29" s="16">
        <v>121539</v>
      </c>
      <c r="Z29" s="209"/>
      <c r="AA29" s="209"/>
      <c r="AB29" s="209"/>
      <c r="AC29" s="209"/>
    </row>
    <row r="30" spans="1:29" ht="15.75" customHeight="1">
      <c r="A30" s="14">
        <v>2.2999999999999998</v>
      </c>
      <c r="B30" s="15" t="s">
        <v>13</v>
      </c>
      <c r="C30" s="14" t="s">
        <v>84</v>
      </c>
      <c r="D30" s="16"/>
      <c r="E30" s="16"/>
      <c r="F30" s="16"/>
      <c r="G30" s="16"/>
      <c r="H30" s="16"/>
      <c r="I30" s="16">
        <v>5318.5032472164958</v>
      </c>
      <c r="J30" s="16">
        <v>7301.5980669072187</v>
      </c>
      <c r="K30" s="16">
        <v>9605.0176437113423</v>
      </c>
      <c r="L30" s="16">
        <v>10586.833134884535</v>
      </c>
      <c r="M30" s="16">
        <v>16366.529675874101</v>
      </c>
      <c r="N30" s="16">
        <v>16177.468238802994</v>
      </c>
      <c r="O30" s="16">
        <v>16940.427479397516</v>
      </c>
      <c r="P30" s="16">
        <v>17078.479373117501</v>
      </c>
      <c r="Q30" s="16">
        <v>17892</v>
      </c>
      <c r="R30" s="16">
        <v>53091</v>
      </c>
      <c r="S30" s="16">
        <v>54346.703026898133</v>
      </c>
      <c r="T30" s="16">
        <v>176833</v>
      </c>
      <c r="Z30" s="209"/>
      <c r="AA30" s="209"/>
      <c r="AB30" s="209"/>
      <c r="AC30" s="209"/>
    </row>
    <row r="31" spans="1:29" ht="15.75" customHeight="1">
      <c r="A31" s="14">
        <v>2.4</v>
      </c>
      <c r="B31" s="15" t="s">
        <v>14</v>
      </c>
      <c r="C31" s="14" t="s">
        <v>84</v>
      </c>
      <c r="D31" s="16"/>
      <c r="E31" s="16"/>
      <c r="F31" s="16"/>
      <c r="G31" s="16"/>
      <c r="H31" s="16"/>
      <c r="I31" s="16">
        <v>323917.37007011916</v>
      </c>
      <c r="J31" s="16">
        <v>323888.25344434596</v>
      </c>
      <c r="K31" s="16">
        <v>323944.74319176865</v>
      </c>
      <c r="L31" s="16">
        <v>325924.12355321611</v>
      </c>
      <c r="M31" s="16">
        <v>318574.03343000001</v>
      </c>
      <c r="N31" s="16">
        <v>6060.0397789290009</v>
      </c>
      <c r="O31" s="16">
        <v>6810.0040711507554</v>
      </c>
      <c r="P31" s="16">
        <v>6249.86139800617</v>
      </c>
      <c r="Q31" s="16">
        <v>6592</v>
      </c>
      <c r="R31" s="16">
        <v>14733</v>
      </c>
      <c r="S31" s="16">
        <v>15132.535486231092</v>
      </c>
      <c r="T31" s="16">
        <v>28739</v>
      </c>
      <c r="Z31" s="209"/>
      <c r="AA31" s="209"/>
      <c r="AB31" s="209"/>
      <c r="AC31" s="209"/>
    </row>
    <row r="32" spans="1:29" ht="15.75" customHeight="1">
      <c r="A32" s="17" t="s">
        <v>15</v>
      </c>
      <c r="B32" s="2"/>
      <c r="C32" s="2"/>
      <c r="D32" s="2"/>
      <c r="E32" s="2"/>
      <c r="F32" s="2"/>
      <c r="G32" s="2"/>
      <c r="H32" s="2"/>
      <c r="I32" s="2"/>
      <c r="J32" s="2"/>
      <c r="K32" s="2"/>
      <c r="L32" s="2"/>
      <c r="M32" s="2"/>
      <c r="N32" s="2"/>
      <c r="O32" s="2"/>
      <c r="P32" s="2"/>
      <c r="Q32" s="2"/>
      <c r="R32" s="2"/>
      <c r="S32" s="2"/>
      <c r="T32" s="2"/>
    </row>
    <row r="33" spans="1:29" ht="15.75" customHeight="1">
      <c r="A33" s="1"/>
      <c r="B33" s="2"/>
      <c r="C33" s="2"/>
      <c r="D33" s="2"/>
      <c r="E33" s="2"/>
      <c r="F33" s="2"/>
      <c r="G33" s="2"/>
      <c r="H33" s="2"/>
      <c r="I33" s="2"/>
      <c r="J33" s="2"/>
      <c r="K33" s="2"/>
      <c r="L33" s="2"/>
      <c r="M33" s="2"/>
      <c r="N33" s="2"/>
      <c r="O33" s="2"/>
      <c r="P33" s="2"/>
      <c r="Q33" s="2"/>
      <c r="R33" s="2"/>
      <c r="S33" s="2"/>
      <c r="T33" s="2"/>
    </row>
    <row r="34" spans="1:29" ht="15.75" customHeight="1">
      <c r="A34" s="1"/>
      <c r="B34" s="2"/>
      <c r="C34" s="2"/>
      <c r="D34" s="2"/>
      <c r="E34" s="2"/>
      <c r="F34" s="2"/>
      <c r="G34" s="2"/>
      <c r="H34" s="2"/>
      <c r="I34" s="2"/>
      <c r="J34" s="2"/>
      <c r="K34" s="2"/>
      <c r="L34" s="2"/>
      <c r="M34" s="2"/>
      <c r="N34" s="2"/>
      <c r="O34" s="2"/>
      <c r="P34" s="192"/>
      <c r="Q34" s="192"/>
      <c r="R34" s="192"/>
      <c r="S34" s="192"/>
      <c r="T34" s="192"/>
    </row>
    <row r="35" spans="1:29" ht="15.75" customHeight="1">
      <c r="A35" s="6" t="s">
        <v>91</v>
      </c>
      <c r="B35" s="2"/>
      <c r="C35" s="2"/>
      <c r="D35" s="2"/>
      <c r="E35" s="2"/>
      <c r="F35" s="2"/>
      <c r="G35" s="2"/>
      <c r="H35" s="2"/>
      <c r="I35" s="2"/>
      <c r="J35" s="2"/>
      <c r="K35" s="2"/>
      <c r="L35" s="2"/>
      <c r="M35" s="2"/>
      <c r="N35" s="2"/>
      <c r="O35" s="2"/>
      <c r="P35" s="192"/>
      <c r="Q35" s="192"/>
      <c r="R35" s="192"/>
      <c r="S35" s="192"/>
      <c r="T35" s="192"/>
    </row>
    <row r="36" spans="1:29" ht="7.5" customHeight="1" thickBot="1">
      <c r="A36" s="7"/>
      <c r="B36" s="2"/>
      <c r="C36" s="2"/>
      <c r="D36" s="2"/>
      <c r="E36" s="2"/>
      <c r="F36" s="2"/>
      <c r="G36" s="2"/>
      <c r="H36" s="2"/>
      <c r="I36" s="2"/>
      <c r="J36" s="2"/>
      <c r="K36" s="2"/>
      <c r="L36" s="2"/>
      <c r="M36" s="2"/>
      <c r="N36" s="2"/>
      <c r="O36" s="2"/>
      <c r="P36" s="2"/>
      <c r="Q36" s="2"/>
      <c r="R36" s="2"/>
      <c r="S36" s="2"/>
      <c r="T36" s="2"/>
    </row>
    <row r="37" spans="1:29" ht="15.75" customHeight="1" thickBot="1">
      <c r="A37" s="79" t="s">
        <v>3</v>
      </c>
      <c r="B37" s="77" t="s">
        <v>4</v>
      </c>
      <c r="C37" s="78" t="s">
        <v>5</v>
      </c>
      <c r="D37" s="78">
        <f t="shared" ref="D37:T37" si="11">D$3</f>
        <v>2008</v>
      </c>
      <c r="E37" s="78">
        <f t="shared" si="11"/>
        <v>2009</v>
      </c>
      <c r="F37" s="78">
        <f t="shared" si="11"/>
        <v>2010</v>
      </c>
      <c r="G37" s="78">
        <f t="shared" si="11"/>
        <v>2011</v>
      </c>
      <c r="H37" s="78">
        <f t="shared" si="11"/>
        <v>2012</v>
      </c>
      <c r="I37" s="78">
        <f t="shared" si="11"/>
        <v>2013</v>
      </c>
      <c r="J37" s="78">
        <f t="shared" si="11"/>
        <v>2014</v>
      </c>
      <c r="K37" s="78">
        <f t="shared" si="11"/>
        <v>2015</v>
      </c>
      <c r="L37" s="78">
        <f t="shared" si="11"/>
        <v>2016</v>
      </c>
      <c r="M37" s="78">
        <f t="shared" si="11"/>
        <v>2017</v>
      </c>
      <c r="N37" s="78">
        <f t="shared" si="11"/>
        <v>2018</v>
      </c>
      <c r="O37" s="78">
        <f t="shared" si="11"/>
        <v>2019</v>
      </c>
      <c r="P37" s="78">
        <f t="shared" si="11"/>
        <v>2020</v>
      </c>
      <c r="Q37" s="78">
        <f t="shared" si="11"/>
        <v>2021</v>
      </c>
      <c r="R37" s="78">
        <f t="shared" si="11"/>
        <v>2022</v>
      </c>
      <c r="S37" s="78">
        <f t="shared" si="11"/>
        <v>2023</v>
      </c>
      <c r="T37" s="78">
        <f t="shared" si="11"/>
        <v>2024</v>
      </c>
    </row>
    <row r="38" spans="1:29" ht="15.75" customHeight="1">
      <c r="A38" s="9">
        <v>-1</v>
      </c>
      <c r="B38" s="9">
        <f t="shared" ref="B38:T38" si="12">A38-1</f>
        <v>-2</v>
      </c>
      <c r="C38" s="9">
        <f t="shared" si="12"/>
        <v>-3</v>
      </c>
      <c r="D38" s="9">
        <f t="shared" si="12"/>
        <v>-4</v>
      </c>
      <c r="E38" s="9">
        <f t="shared" si="12"/>
        <v>-5</v>
      </c>
      <c r="F38" s="9">
        <f t="shared" si="12"/>
        <v>-6</v>
      </c>
      <c r="G38" s="9">
        <f t="shared" si="12"/>
        <v>-7</v>
      </c>
      <c r="H38" s="9">
        <f t="shared" si="12"/>
        <v>-8</v>
      </c>
      <c r="I38" s="9">
        <f t="shared" si="12"/>
        <v>-9</v>
      </c>
      <c r="J38" s="9">
        <f t="shared" si="12"/>
        <v>-10</v>
      </c>
      <c r="K38" s="9">
        <f t="shared" si="12"/>
        <v>-11</v>
      </c>
      <c r="L38" s="9">
        <f t="shared" si="12"/>
        <v>-12</v>
      </c>
      <c r="M38" s="9">
        <f t="shared" si="12"/>
        <v>-13</v>
      </c>
      <c r="N38" s="9">
        <f t="shared" si="12"/>
        <v>-14</v>
      </c>
      <c r="O38" s="9">
        <f t="shared" si="12"/>
        <v>-15</v>
      </c>
      <c r="P38" s="9">
        <f t="shared" si="12"/>
        <v>-16</v>
      </c>
      <c r="Q38" s="9">
        <f t="shared" si="12"/>
        <v>-17</v>
      </c>
      <c r="R38" s="9">
        <f t="shared" si="12"/>
        <v>-18</v>
      </c>
      <c r="S38" s="9">
        <f t="shared" si="12"/>
        <v>-19</v>
      </c>
      <c r="T38" s="9">
        <f t="shared" si="12"/>
        <v>-20</v>
      </c>
    </row>
    <row r="39" spans="1:29" ht="15.75" customHeight="1">
      <c r="A39" s="14">
        <v>1</v>
      </c>
      <c r="B39" s="15" t="s">
        <v>92</v>
      </c>
      <c r="C39" s="14"/>
      <c r="D39" s="18"/>
      <c r="E39" s="18"/>
      <c r="F39" s="18"/>
      <c r="G39" s="18"/>
      <c r="H39" s="18"/>
      <c r="I39" s="18"/>
      <c r="J39" s="18"/>
      <c r="K39" s="18"/>
      <c r="L39" s="18"/>
      <c r="M39" s="18"/>
      <c r="N39" s="18"/>
      <c r="O39" s="18"/>
      <c r="P39" s="18"/>
      <c r="Q39" s="18"/>
      <c r="R39" s="18"/>
      <c r="S39" s="18"/>
      <c r="T39" s="18"/>
    </row>
    <row r="40" spans="1:29" ht="15.75" customHeight="1">
      <c r="A40" s="14"/>
      <c r="B40" s="15" t="s">
        <v>106</v>
      </c>
      <c r="C40" s="14" t="s">
        <v>84</v>
      </c>
      <c r="D40" s="18">
        <v>200.62538900000001</v>
      </c>
      <c r="E40" s="18">
        <v>305.664800571618</v>
      </c>
      <c r="F40" s="18">
        <v>278.78083199999998</v>
      </c>
      <c r="G40" s="18">
        <v>200.38669264325401</v>
      </c>
      <c r="H40" s="18">
        <v>203.82477873431</v>
      </c>
      <c r="I40" s="18">
        <v>208.24233610264201</v>
      </c>
      <c r="J40" s="18">
        <v>252.70998361072</v>
      </c>
      <c r="K40" s="18">
        <v>319.594025131639</v>
      </c>
      <c r="L40" s="18">
        <v>322.63207576288653</v>
      </c>
      <c r="M40" s="18">
        <v>328.77661489577258</v>
      </c>
      <c r="N40" s="18">
        <v>308.65152066217297</v>
      </c>
      <c r="O40" s="18">
        <v>487.79706293598747</v>
      </c>
      <c r="P40" s="18">
        <v>338.09591647999997</v>
      </c>
      <c r="Q40" s="18">
        <v>397.90466875999999</v>
      </c>
      <c r="R40" s="18">
        <v>443.86844457000001</v>
      </c>
      <c r="S40" s="18">
        <v>348.27924547000003</v>
      </c>
      <c r="T40" s="18">
        <v>549.04399999999998</v>
      </c>
      <c r="Z40" s="209"/>
      <c r="AA40" s="209"/>
      <c r="AB40" s="209"/>
      <c r="AC40" s="209"/>
    </row>
    <row r="41" spans="1:29" ht="15.75" customHeight="1">
      <c r="A41" s="14"/>
      <c r="B41" s="170" t="s">
        <v>267</v>
      </c>
      <c r="C41" s="14"/>
      <c r="D41" s="18"/>
      <c r="E41" s="18"/>
      <c r="F41" s="18"/>
      <c r="G41" s="18"/>
      <c r="H41" s="18"/>
      <c r="I41" s="18"/>
      <c r="J41" s="18"/>
      <c r="K41" s="18"/>
      <c r="L41" s="18"/>
      <c r="M41" s="18"/>
      <c r="N41" s="18"/>
      <c r="O41" s="18"/>
      <c r="P41" s="18"/>
      <c r="Q41" s="169">
        <f>Lakin!E10*1000000-Gold!Q41</f>
        <v>2355872</v>
      </c>
      <c r="R41" s="169">
        <f>([2]Update!S66/[2]Update!S65)/([2]Update!R66/[2]Update!R65)*Q41</f>
        <v>1758179.7952604194</v>
      </c>
      <c r="S41" s="169">
        <f>([2]Update!T66/[2]Update!T65)/([2]Update!S66/[2]Update!S65)*R41</f>
        <v>1919342.7274497084</v>
      </c>
      <c r="T41" s="169">
        <f>([2]Update!U66/[2]Update!U65)/([2]Update!T66/[2]Update!T65)*S41</f>
        <v>2554978.8049517511</v>
      </c>
      <c r="Z41" s="209"/>
      <c r="AA41" s="209"/>
      <c r="AB41" s="209"/>
      <c r="AC41" s="209"/>
    </row>
    <row r="42" spans="1:29" ht="15.75" customHeight="1">
      <c r="A42" s="14"/>
      <c r="B42" s="15"/>
      <c r="C42" s="14"/>
      <c r="D42" s="18"/>
      <c r="E42" s="18"/>
      <c r="F42" s="18"/>
      <c r="G42" s="18"/>
      <c r="H42" s="18"/>
      <c r="I42" s="18"/>
      <c r="J42" s="18"/>
      <c r="K42" s="18"/>
      <c r="L42" s="18"/>
      <c r="M42" s="18"/>
      <c r="N42" s="18"/>
      <c r="O42" s="18"/>
      <c r="P42" s="18"/>
      <c r="Q42" s="18"/>
      <c r="R42" s="18"/>
      <c r="S42" s="18"/>
      <c r="T42" s="18"/>
      <c r="Z42" s="209"/>
      <c r="AA42" s="209"/>
      <c r="AB42" s="209"/>
      <c r="AC42" s="209"/>
    </row>
    <row r="43" spans="1:29" ht="15.75" customHeight="1">
      <c r="A43" s="14"/>
      <c r="B43" s="15"/>
      <c r="C43" s="14"/>
      <c r="D43" s="18"/>
      <c r="E43" s="18"/>
      <c r="F43" s="18"/>
      <c r="G43" s="18"/>
      <c r="H43" s="18"/>
      <c r="I43" s="18"/>
      <c r="J43" s="18"/>
      <c r="K43" s="18"/>
      <c r="L43" s="18"/>
      <c r="M43" s="18"/>
      <c r="N43" s="18"/>
      <c r="O43" s="18"/>
      <c r="P43" s="18"/>
      <c r="Q43" s="18"/>
      <c r="R43" s="18"/>
      <c r="S43" s="18"/>
      <c r="T43" s="18"/>
      <c r="Z43" s="209"/>
      <c r="AA43" s="209"/>
      <c r="AB43" s="209"/>
      <c r="AC43" s="209"/>
    </row>
    <row r="44" spans="1:29" ht="15.75" customHeight="1">
      <c r="A44" s="14"/>
      <c r="B44" s="15"/>
      <c r="C44" s="14"/>
      <c r="D44" s="18"/>
      <c r="E44" s="18"/>
      <c r="F44" s="18"/>
      <c r="G44" s="18"/>
      <c r="H44" s="18"/>
      <c r="I44" s="18"/>
      <c r="J44" s="18"/>
      <c r="K44" s="18"/>
      <c r="L44" s="18"/>
      <c r="M44" s="18"/>
      <c r="N44" s="18"/>
      <c r="O44" s="18"/>
      <c r="P44" s="18"/>
      <c r="Q44" s="18"/>
      <c r="R44" s="18"/>
      <c r="S44" s="18"/>
      <c r="T44" s="18"/>
      <c r="Z44" s="209"/>
      <c r="AA44" s="209"/>
      <c r="AB44" s="209"/>
      <c r="AC44" s="209"/>
    </row>
    <row r="45" spans="1:29" ht="15.75" customHeight="1">
      <c r="A45" s="31">
        <v>2</v>
      </c>
      <c r="B45" s="32" t="s">
        <v>94</v>
      </c>
      <c r="C45" s="31" t="s">
        <v>84</v>
      </c>
      <c r="D45" s="35">
        <f t="shared" ref="D45:O45" si="13">D40</f>
        <v>200.62538900000001</v>
      </c>
      <c r="E45" s="35">
        <f t="shared" si="13"/>
        <v>305.664800571618</v>
      </c>
      <c r="F45" s="35">
        <f t="shared" si="13"/>
        <v>278.78083199999998</v>
      </c>
      <c r="G45" s="35">
        <f t="shared" si="13"/>
        <v>200.38669264325401</v>
      </c>
      <c r="H45" s="35">
        <f t="shared" si="13"/>
        <v>203.82477873431</v>
      </c>
      <c r="I45" s="35">
        <f t="shared" si="13"/>
        <v>208.24233610264201</v>
      </c>
      <c r="J45" s="35">
        <f t="shared" si="13"/>
        <v>252.70998361072</v>
      </c>
      <c r="K45" s="35">
        <f t="shared" si="13"/>
        <v>319.594025131639</v>
      </c>
      <c r="L45" s="35">
        <f t="shared" si="13"/>
        <v>322.63207576288653</v>
      </c>
      <c r="M45" s="35">
        <f t="shared" si="13"/>
        <v>328.77661489577258</v>
      </c>
      <c r="N45" s="35">
        <f t="shared" si="13"/>
        <v>308.65152066217297</v>
      </c>
      <c r="O45" s="35">
        <f t="shared" si="13"/>
        <v>487.79706293598747</v>
      </c>
      <c r="P45" s="35">
        <f>P40/Lakin!D$32</f>
        <v>346.89567321030137</v>
      </c>
      <c r="Q45" s="35">
        <f>Q40/Lakin!E$32</f>
        <v>385.69900407411046</v>
      </c>
      <c r="R45" s="35">
        <f>R40/Lakin!F$32</f>
        <v>456.21594104105856</v>
      </c>
      <c r="S45" s="35">
        <f>S40/Lakin!G$32</f>
        <v>300.16074706456686</v>
      </c>
      <c r="T45" s="35">
        <f>T40/Lakin!H$32</f>
        <v>543.15776898247771</v>
      </c>
      <c r="Z45" s="209"/>
      <c r="AA45" s="209"/>
      <c r="AB45" s="209"/>
      <c r="AC45" s="209"/>
    </row>
    <row r="46" spans="1:29" ht="15.75" customHeight="1">
      <c r="A46" s="31">
        <v>3</v>
      </c>
      <c r="B46" s="32" t="s">
        <v>95</v>
      </c>
      <c r="C46" s="31" t="s">
        <v>84</v>
      </c>
      <c r="D46" s="35">
        <f>D45/'Conversion Factor'!$B$13*100</f>
        <v>590074.67352941178</v>
      </c>
      <c r="E46" s="35">
        <f>E45/'Conversion Factor'!$B$13*100</f>
        <v>899014.11932828813</v>
      </c>
      <c r="F46" s="35">
        <f>F45/'Conversion Factor'!$B$13*100</f>
        <v>819943.62352941174</v>
      </c>
      <c r="G46" s="35">
        <f>G45/'Conversion Factor'!$B$13*100</f>
        <v>589372.62542133534</v>
      </c>
      <c r="H46" s="35">
        <f>H45/'Conversion Factor'!$B$13*100</f>
        <v>599484.64333620586</v>
      </c>
      <c r="I46" s="35">
        <f>I45/'Conversion Factor'!$B$13*100</f>
        <v>612477.45912541763</v>
      </c>
      <c r="J46" s="35">
        <f>J45/'Conversion Factor'!$B$13*100</f>
        <v>743264.65767858818</v>
      </c>
      <c r="K46" s="35">
        <f>K45/'Conversion Factor'!$B$13*100</f>
        <v>939982.42685776169</v>
      </c>
      <c r="L46" s="35">
        <f>L45/'Conversion Factor'!$B$13*100</f>
        <v>948917.8698908427</v>
      </c>
      <c r="M46" s="35">
        <f>M45/'Conversion Factor'!$B$13*100</f>
        <v>966990.04381109576</v>
      </c>
      <c r="N46" s="35">
        <f>N45/'Conversion Factor'!$B$13*100</f>
        <v>907798.59018286166</v>
      </c>
      <c r="O46" s="35">
        <f>O45/'Conversion Factor'!$B$13*100</f>
        <v>1434697.2439293747</v>
      </c>
      <c r="P46" s="35">
        <f>P45/'Conversion Factor'!$B$13*100</f>
        <v>1020281.3917950039</v>
      </c>
      <c r="Q46" s="35">
        <f>Q41</f>
        <v>2355872</v>
      </c>
      <c r="R46" s="35">
        <f>R41</f>
        <v>1758179.7952604194</v>
      </c>
      <c r="S46" s="35">
        <f>S41</f>
        <v>1919342.7274497084</v>
      </c>
      <c r="T46" s="35">
        <f>T41</f>
        <v>2554978.8049517511</v>
      </c>
      <c r="Z46" s="209"/>
      <c r="AA46" s="209"/>
      <c r="AB46" s="209"/>
      <c r="AC46" s="209"/>
    </row>
    <row r="47" spans="1:29" ht="15.75" customHeight="1">
      <c r="A47" s="14">
        <v>4</v>
      </c>
      <c r="B47" s="15" t="s">
        <v>19</v>
      </c>
      <c r="C47" s="14" t="s">
        <v>96</v>
      </c>
      <c r="D47" s="18">
        <f t="shared" ref="D47:H47" si="14">D48/D45</f>
        <v>6021.4496495951216</v>
      </c>
      <c r="E47" s="18">
        <f t="shared" si="14"/>
        <v>6556.4821285448415</v>
      </c>
      <c r="F47" s="18">
        <f t="shared" si="14"/>
        <v>6254.8372485718764</v>
      </c>
      <c r="G47" s="18">
        <f t="shared" si="14"/>
        <v>8303.0100576346886</v>
      </c>
      <c r="H47" s="18">
        <f t="shared" si="14"/>
        <v>9607.9028062184716</v>
      </c>
      <c r="I47" s="18">
        <v>8666.0600426809069</v>
      </c>
      <c r="J47" s="18">
        <v>7724.2172791433441</v>
      </c>
      <c r="K47" s="18">
        <v>6716.6108333333332</v>
      </c>
      <c r="L47" s="18">
        <v>7303.708333333333</v>
      </c>
      <c r="M47" s="18">
        <v>6716.6108333333332</v>
      </c>
      <c r="N47" s="18">
        <f t="shared" ref="N47:Q47" si="15">N48/N45</f>
        <v>4314.816063454492</v>
      </c>
      <c r="O47" s="18">
        <f t="shared" si="15"/>
        <v>2847.2060624538585</v>
      </c>
      <c r="P47" s="18">
        <f t="shared" si="15"/>
        <v>3823.1692549014306</v>
      </c>
      <c r="Q47" s="18">
        <f t="shared" si="15"/>
        <v>3985.9615811198532</v>
      </c>
      <c r="R47" s="18">
        <f t="shared" ref="R47:S47" si="16">R48/R45</f>
        <v>2583.1516925366268</v>
      </c>
      <c r="S47" s="18">
        <f t="shared" si="16"/>
        <v>4409.8948242064589</v>
      </c>
      <c r="T47" s="18">
        <f t="shared" ref="T47" si="17">T48/T45</f>
        <v>3841.8082824740204</v>
      </c>
      <c r="Z47" s="209"/>
      <c r="AA47" s="209"/>
      <c r="AB47" s="209"/>
      <c r="AC47" s="209"/>
    </row>
    <row r="48" spans="1:29" ht="15.75" customHeight="1">
      <c r="A48" s="14">
        <v>5</v>
      </c>
      <c r="B48" s="15" t="s">
        <v>21</v>
      </c>
      <c r="C48" s="14" t="s">
        <v>22</v>
      </c>
      <c r="D48" s="18">
        <v>1208055.678293935</v>
      </c>
      <c r="E48" s="18">
        <v>2004085.8022730364</v>
      </c>
      <c r="F48" s="18">
        <v>1743728.7321814583</v>
      </c>
      <c r="G48" s="18">
        <v>1663812.7244330889</v>
      </c>
      <c r="H48" s="18">
        <v>1958328.663578236</v>
      </c>
      <c r="I48" s="18">
        <f t="shared" ref="I48:M48" si="18">I45*I47</f>
        <v>1804640.5880936335</v>
      </c>
      <c r="J48" s="18">
        <f t="shared" si="18"/>
        <v>1951986.8220179547</v>
      </c>
      <c r="K48" s="18">
        <f t="shared" si="18"/>
        <v>2146588.6914677722</v>
      </c>
      <c r="L48" s="18">
        <f t="shared" si="18"/>
        <v>2356410.5803500256</v>
      </c>
      <c r="M48" s="18">
        <f t="shared" si="18"/>
        <v>2208264.5733556072</v>
      </c>
      <c r="N48" s="18">
        <v>1331774.5393628001</v>
      </c>
      <c r="O48" s="18">
        <v>1388858.75483853</v>
      </c>
      <c r="P48" s="18">
        <v>1326240.872475958</v>
      </c>
      <c r="Q48" s="18">
        <v>1537381.4121155941</v>
      </c>
      <c r="R48" s="18">
        <v>1178474.9802624003</v>
      </c>
      <c r="S48" s="18">
        <v>1323677.3249099774</v>
      </c>
      <c r="T48" s="18">
        <v>2086708.0155669935</v>
      </c>
      <c r="Z48" s="209"/>
      <c r="AA48" s="209"/>
      <c r="AB48" s="209"/>
      <c r="AC48" s="209"/>
    </row>
    <row r="49" spans="1:29" ht="15.75" customHeight="1">
      <c r="A49" s="17" t="s">
        <v>23</v>
      </c>
      <c r="B49" s="2"/>
      <c r="C49" s="2"/>
      <c r="D49" s="2"/>
      <c r="E49" s="2"/>
      <c r="F49" s="2"/>
      <c r="G49" s="2"/>
      <c r="H49" s="2"/>
      <c r="I49" s="2"/>
      <c r="J49" s="2"/>
      <c r="K49" s="2"/>
      <c r="L49" s="2"/>
      <c r="M49" s="2"/>
      <c r="N49" s="2"/>
      <c r="O49" s="2"/>
      <c r="P49" s="2"/>
      <c r="Q49" s="2"/>
      <c r="R49" s="2"/>
      <c r="S49" s="2"/>
      <c r="T49" s="2"/>
      <c r="Z49" s="209"/>
      <c r="AA49" s="209"/>
      <c r="AB49" s="209"/>
      <c r="AC49" s="209"/>
    </row>
    <row r="50" spans="1:29" ht="15.75" customHeight="1">
      <c r="A50" s="19"/>
      <c r="B50" s="2"/>
      <c r="C50" s="2"/>
      <c r="D50" s="2"/>
      <c r="E50" s="2"/>
      <c r="F50" s="2"/>
      <c r="G50" s="2"/>
      <c r="H50" s="2"/>
      <c r="I50" s="2"/>
      <c r="J50" s="2"/>
      <c r="K50" s="80"/>
      <c r="L50" s="80"/>
      <c r="M50" s="2"/>
      <c r="N50" s="60"/>
      <c r="O50" s="2"/>
      <c r="P50" s="2"/>
      <c r="Q50" s="2"/>
      <c r="R50" s="178"/>
      <c r="S50" s="178"/>
      <c r="T50" s="178"/>
      <c r="Z50" s="209"/>
      <c r="AA50" s="209"/>
      <c r="AB50" s="209"/>
      <c r="AC50" s="209"/>
    </row>
    <row r="51" spans="1:29" ht="15.75" customHeight="1">
      <c r="A51" s="19"/>
      <c r="B51" s="2"/>
      <c r="C51" s="2"/>
      <c r="D51" s="2"/>
      <c r="E51" s="2"/>
      <c r="F51" s="2"/>
      <c r="G51" s="2"/>
      <c r="H51" s="2"/>
      <c r="I51" s="2"/>
      <c r="J51" s="2"/>
      <c r="K51" s="2"/>
      <c r="L51" s="2"/>
      <c r="M51" s="2"/>
      <c r="N51" s="2"/>
      <c r="O51" s="2"/>
      <c r="P51" s="2"/>
      <c r="Q51" s="2"/>
      <c r="R51" s="2"/>
      <c r="S51" s="2"/>
      <c r="T51" s="2"/>
      <c r="Z51" s="209"/>
      <c r="AA51" s="209"/>
      <c r="AB51" s="209"/>
      <c r="AC51" s="209"/>
    </row>
    <row r="52" spans="1:29" ht="15.75" customHeight="1">
      <c r="A52" s="6" t="s">
        <v>97</v>
      </c>
      <c r="B52" s="2"/>
      <c r="C52" s="2"/>
      <c r="D52" s="2"/>
      <c r="E52" s="2"/>
      <c r="F52" s="2"/>
      <c r="G52" s="2"/>
      <c r="H52" s="2"/>
      <c r="I52" s="2"/>
      <c r="J52" s="2"/>
      <c r="K52" s="2"/>
      <c r="L52" s="2"/>
      <c r="M52" s="2"/>
      <c r="N52" s="2"/>
      <c r="O52" s="2"/>
      <c r="P52" s="2"/>
      <c r="Q52" s="2"/>
      <c r="R52" s="2"/>
      <c r="S52" s="2"/>
      <c r="T52" s="2"/>
      <c r="Z52" s="209"/>
      <c r="AA52" s="209"/>
      <c r="AB52" s="209"/>
      <c r="AC52" s="209"/>
    </row>
    <row r="53" spans="1:29" ht="7.5" customHeight="1" thickBot="1">
      <c r="A53" s="19"/>
      <c r="B53" s="2"/>
      <c r="C53" s="2"/>
      <c r="D53" s="2"/>
      <c r="E53" s="2"/>
      <c r="F53" s="2"/>
      <c r="G53" s="2"/>
      <c r="H53" s="2"/>
      <c r="I53" s="2"/>
      <c r="J53" s="2"/>
      <c r="K53" s="2"/>
      <c r="L53" s="2"/>
      <c r="M53" s="2"/>
      <c r="N53" s="2"/>
      <c r="O53" s="2"/>
      <c r="P53" s="2"/>
      <c r="Q53" s="2"/>
      <c r="R53" s="2"/>
      <c r="S53" s="2"/>
      <c r="T53" s="2"/>
      <c r="Z53" s="209"/>
      <c r="AA53" s="209"/>
      <c r="AB53" s="209"/>
      <c r="AC53" s="209"/>
    </row>
    <row r="54" spans="1:29" ht="15.75" customHeight="1" thickBot="1">
      <c r="A54" s="79" t="s">
        <v>3</v>
      </c>
      <c r="B54" s="77" t="s">
        <v>4</v>
      </c>
      <c r="C54" s="78" t="s">
        <v>5</v>
      </c>
      <c r="D54" s="78">
        <f t="shared" ref="D54:T54" si="19">D$3</f>
        <v>2008</v>
      </c>
      <c r="E54" s="78">
        <f t="shared" si="19"/>
        <v>2009</v>
      </c>
      <c r="F54" s="78">
        <f t="shared" si="19"/>
        <v>2010</v>
      </c>
      <c r="G54" s="78">
        <f t="shared" si="19"/>
        <v>2011</v>
      </c>
      <c r="H54" s="78">
        <f t="shared" si="19"/>
        <v>2012</v>
      </c>
      <c r="I54" s="78">
        <f t="shared" si="19"/>
        <v>2013</v>
      </c>
      <c r="J54" s="78">
        <f t="shared" si="19"/>
        <v>2014</v>
      </c>
      <c r="K54" s="78">
        <f t="shared" si="19"/>
        <v>2015</v>
      </c>
      <c r="L54" s="78">
        <f t="shared" si="19"/>
        <v>2016</v>
      </c>
      <c r="M54" s="78">
        <f t="shared" si="19"/>
        <v>2017</v>
      </c>
      <c r="N54" s="78">
        <f t="shared" si="19"/>
        <v>2018</v>
      </c>
      <c r="O54" s="78">
        <f t="shared" si="19"/>
        <v>2019</v>
      </c>
      <c r="P54" s="78">
        <f t="shared" si="19"/>
        <v>2020</v>
      </c>
      <c r="Q54" s="78">
        <f t="shared" si="19"/>
        <v>2021</v>
      </c>
      <c r="R54" s="78">
        <f t="shared" si="19"/>
        <v>2022</v>
      </c>
      <c r="S54" s="78">
        <f t="shared" si="19"/>
        <v>2023</v>
      </c>
      <c r="T54" s="78">
        <f t="shared" si="19"/>
        <v>2024</v>
      </c>
      <c r="Z54" s="209"/>
      <c r="AA54" s="209"/>
      <c r="AB54" s="209"/>
      <c r="AC54" s="209"/>
    </row>
    <row r="55" spans="1:29" ht="15.75" customHeight="1">
      <c r="A55" s="9">
        <v>-1</v>
      </c>
      <c r="B55" s="9">
        <f t="shared" ref="B55:T55" si="20">A55-1</f>
        <v>-2</v>
      </c>
      <c r="C55" s="9">
        <f t="shared" si="20"/>
        <v>-3</v>
      </c>
      <c r="D55" s="9">
        <f t="shared" si="20"/>
        <v>-4</v>
      </c>
      <c r="E55" s="9">
        <f t="shared" si="20"/>
        <v>-5</v>
      </c>
      <c r="F55" s="9">
        <f t="shared" si="20"/>
        <v>-6</v>
      </c>
      <c r="G55" s="9">
        <f t="shared" si="20"/>
        <v>-7</v>
      </c>
      <c r="H55" s="9">
        <f t="shared" si="20"/>
        <v>-8</v>
      </c>
      <c r="I55" s="9">
        <f t="shared" si="20"/>
        <v>-9</v>
      </c>
      <c r="J55" s="9">
        <f t="shared" si="20"/>
        <v>-10</v>
      </c>
      <c r="K55" s="9">
        <f t="shared" si="20"/>
        <v>-11</v>
      </c>
      <c r="L55" s="9">
        <f t="shared" si="20"/>
        <v>-12</v>
      </c>
      <c r="M55" s="9">
        <f t="shared" si="20"/>
        <v>-13</v>
      </c>
      <c r="N55" s="9">
        <f t="shared" si="20"/>
        <v>-14</v>
      </c>
      <c r="O55" s="9">
        <f t="shared" si="20"/>
        <v>-15</v>
      </c>
      <c r="P55" s="9">
        <f t="shared" si="20"/>
        <v>-16</v>
      </c>
      <c r="Q55" s="9">
        <f t="shared" si="20"/>
        <v>-17</v>
      </c>
      <c r="R55" s="9">
        <f t="shared" si="20"/>
        <v>-18</v>
      </c>
      <c r="S55" s="9">
        <f t="shared" si="20"/>
        <v>-19</v>
      </c>
      <c r="T55" s="9">
        <f t="shared" si="20"/>
        <v>-20</v>
      </c>
      <c r="Z55" s="209"/>
      <c r="AA55" s="209"/>
      <c r="AB55" s="209"/>
      <c r="AC55" s="209"/>
    </row>
    <row r="56" spans="1:29" ht="15.75" customHeight="1">
      <c r="A56" s="14">
        <v>1</v>
      </c>
      <c r="B56" s="21" t="s">
        <v>25</v>
      </c>
      <c r="C56" s="14" t="s">
        <v>22</v>
      </c>
      <c r="D56" s="18"/>
      <c r="E56" s="18"/>
      <c r="F56" s="22">
        <v>79145788</v>
      </c>
      <c r="G56" s="18"/>
      <c r="H56" s="18"/>
      <c r="I56" s="18"/>
      <c r="J56" s="18"/>
      <c r="K56" s="18"/>
      <c r="L56" s="18">
        <v>707664</v>
      </c>
      <c r="M56" s="18"/>
      <c r="N56" s="18"/>
      <c r="O56" s="18"/>
      <c r="P56" s="18"/>
      <c r="Q56" s="18"/>
      <c r="R56" s="18"/>
      <c r="S56" s="18"/>
      <c r="T56" s="18"/>
      <c r="Z56" s="209"/>
      <c r="AA56" s="209"/>
      <c r="AB56" s="209"/>
      <c r="AC56" s="209"/>
    </row>
    <row r="57" spans="1:29" ht="15.75" customHeight="1">
      <c r="A57" s="14">
        <v>2</v>
      </c>
      <c r="B57" s="15" t="s">
        <v>26</v>
      </c>
      <c r="C57" s="14" t="s">
        <v>22</v>
      </c>
      <c r="D57" s="18"/>
      <c r="E57" s="18"/>
      <c r="F57" s="22">
        <v>18280023</v>
      </c>
      <c r="G57" s="18"/>
      <c r="H57" s="18"/>
      <c r="I57" s="18"/>
      <c r="J57" s="18"/>
      <c r="K57" s="18"/>
      <c r="L57" s="18">
        <v>531210</v>
      </c>
      <c r="M57" s="18"/>
      <c r="N57" s="18"/>
      <c r="O57" s="18"/>
      <c r="P57" s="18"/>
      <c r="Q57" s="18"/>
      <c r="R57" s="18"/>
      <c r="S57" s="18"/>
      <c r="T57" s="18"/>
    </row>
    <row r="58" spans="1:29" ht="15.75" customHeight="1">
      <c r="A58" s="14">
        <v>3</v>
      </c>
      <c r="B58" s="21" t="s">
        <v>27</v>
      </c>
      <c r="C58" s="14" t="s">
        <v>22</v>
      </c>
      <c r="D58" s="18"/>
      <c r="E58" s="18"/>
      <c r="F58" s="22">
        <v>1506374</v>
      </c>
      <c r="G58" s="18"/>
      <c r="H58" s="18"/>
      <c r="I58" s="18"/>
      <c r="J58" s="18"/>
      <c r="K58" s="18"/>
      <c r="L58" s="18">
        <v>6305</v>
      </c>
      <c r="M58" s="18"/>
      <c r="N58" s="18"/>
      <c r="O58" s="18"/>
      <c r="P58" s="18"/>
      <c r="Q58" s="18"/>
      <c r="R58" s="18"/>
      <c r="S58" s="18"/>
      <c r="T58" s="18"/>
    </row>
    <row r="59" spans="1:29" ht="15.75" customHeight="1">
      <c r="A59" s="14">
        <v>4</v>
      </c>
      <c r="B59" s="21" t="s">
        <v>28</v>
      </c>
      <c r="C59" s="14" t="s">
        <v>22</v>
      </c>
      <c r="D59" s="18"/>
      <c r="E59" s="18"/>
      <c r="F59" s="22">
        <v>151748081</v>
      </c>
      <c r="G59" s="18"/>
      <c r="H59" s="18"/>
      <c r="I59" s="18"/>
      <c r="J59" s="18"/>
      <c r="K59" s="18"/>
      <c r="L59" s="18">
        <v>574828</v>
      </c>
      <c r="M59" s="18"/>
      <c r="N59" s="18"/>
      <c r="O59" s="18"/>
      <c r="P59" s="18"/>
      <c r="Q59" s="18"/>
      <c r="R59" s="18"/>
      <c r="S59" s="18"/>
      <c r="T59" s="18"/>
    </row>
    <row r="60" spans="1:29" ht="15.75" customHeight="1">
      <c r="A60" s="14">
        <v>5</v>
      </c>
      <c r="B60" s="21" t="s">
        <v>29</v>
      </c>
      <c r="C60" s="14" t="s">
        <v>22</v>
      </c>
      <c r="D60" s="18"/>
      <c r="E60" s="18"/>
      <c r="F60" s="22">
        <v>250680266</v>
      </c>
      <c r="G60" s="18"/>
      <c r="H60" s="18"/>
      <c r="I60" s="18"/>
      <c r="J60" s="18"/>
      <c r="K60" s="18"/>
      <c r="L60" s="18">
        <v>1820007</v>
      </c>
      <c r="M60" s="18"/>
      <c r="N60" s="18"/>
      <c r="O60" s="18"/>
      <c r="P60" s="18"/>
      <c r="Q60" s="18"/>
      <c r="R60" s="18"/>
      <c r="S60" s="18"/>
      <c r="T60" s="18"/>
    </row>
    <row r="61" spans="1:29" ht="15.75" customHeight="1">
      <c r="A61" s="17" t="s">
        <v>30</v>
      </c>
      <c r="B61" s="2"/>
      <c r="C61" s="2"/>
      <c r="D61" s="2"/>
      <c r="E61" s="2"/>
      <c r="F61" s="2"/>
      <c r="G61" s="2"/>
      <c r="H61" s="2"/>
      <c r="I61" s="2"/>
      <c r="J61" s="2"/>
      <c r="K61" s="2"/>
      <c r="L61" s="2"/>
      <c r="M61" s="2"/>
      <c r="N61" s="2"/>
      <c r="O61" s="2"/>
      <c r="P61" s="2"/>
      <c r="Q61" s="2"/>
      <c r="R61" s="2"/>
      <c r="S61" s="2"/>
      <c r="T61" s="2"/>
    </row>
    <row r="62" spans="1:29" ht="15.75" customHeight="1">
      <c r="A62" s="19"/>
      <c r="B62" s="2"/>
      <c r="C62" s="2"/>
      <c r="D62" s="2"/>
      <c r="E62" s="2"/>
      <c r="F62" s="2"/>
      <c r="G62" s="2"/>
      <c r="H62" s="2"/>
      <c r="I62" s="2"/>
      <c r="J62" s="2"/>
      <c r="K62" s="2"/>
      <c r="L62" s="2"/>
      <c r="M62" s="2"/>
      <c r="N62" s="2"/>
      <c r="O62" s="2"/>
      <c r="P62" s="2"/>
      <c r="Q62" s="2"/>
      <c r="R62" s="2"/>
      <c r="S62" s="2"/>
      <c r="T62" s="2"/>
    </row>
    <row r="63" spans="1:29" ht="15.75" customHeight="1">
      <c r="A63" s="19"/>
      <c r="B63" s="2"/>
      <c r="C63" s="2"/>
      <c r="D63" s="2"/>
      <c r="E63" s="2"/>
      <c r="F63" s="2"/>
      <c r="G63" s="2"/>
      <c r="H63" s="2"/>
      <c r="I63" s="2"/>
      <c r="J63" s="2"/>
      <c r="K63" s="2"/>
      <c r="L63" s="2"/>
      <c r="M63" s="2"/>
      <c r="N63" s="2"/>
      <c r="O63" s="2"/>
      <c r="P63" s="2"/>
      <c r="Q63" s="2"/>
      <c r="R63" s="2"/>
      <c r="S63" s="2"/>
      <c r="T63" s="2"/>
    </row>
    <row r="64" spans="1:29" ht="15.75" customHeight="1">
      <c r="A64" s="6" t="s">
        <v>98</v>
      </c>
      <c r="B64" s="2"/>
      <c r="C64" s="2"/>
      <c r="D64" s="2"/>
      <c r="E64" s="2"/>
      <c r="F64" s="2"/>
      <c r="G64" s="2"/>
      <c r="H64" s="2"/>
      <c r="I64" s="2"/>
      <c r="J64" s="2"/>
      <c r="K64" s="2"/>
      <c r="L64" s="2"/>
      <c r="M64" s="2"/>
      <c r="N64" s="2"/>
      <c r="O64" s="2"/>
      <c r="P64" s="2"/>
      <c r="Q64" s="2"/>
      <c r="R64" s="2"/>
      <c r="S64" s="2"/>
      <c r="T64" s="2"/>
    </row>
    <row r="65" spans="1:29" ht="7.5" customHeight="1" thickBot="1">
      <c r="A65" s="7"/>
      <c r="B65" s="2"/>
      <c r="C65" s="2"/>
      <c r="D65" s="2"/>
      <c r="E65" s="2"/>
      <c r="F65" s="2"/>
      <c r="G65" s="2"/>
      <c r="H65" s="2"/>
      <c r="I65" s="2"/>
      <c r="J65" s="2"/>
      <c r="K65" s="2"/>
      <c r="L65" s="2"/>
      <c r="M65" s="2"/>
      <c r="N65" s="2"/>
      <c r="O65" s="2"/>
      <c r="P65" s="2"/>
      <c r="Q65" s="2"/>
      <c r="R65" s="2"/>
      <c r="S65" s="2"/>
      <c r="T65" s="2"/>
    </row>
    <row r="66" spans="1:29" ht="15.75" customHeight="1" thickBot="1">
      <c r="A66" s="79" t="s">
        <v>3</v>
      </c>
      <c r="B66" s="77" t="s">
        <v>4</v>
      </c>
      <c r="C66" s="78" t="s">
        <v>5</v>
      </c>
      <c r="D66" s="78">
        <f t="shared" ref="D66:T66" si="21">D$3</f>
        <v>2008</v>
      </c>
      <c r="E66" s="78">
        <f t="shared" si="21"/>
        <v>2009</v>
      </c>
      <c r="F66" s="78">
        <f t="shared" si="21"/>
        <v>2010</v>
      </c>
      <c r="G66" s="78">
        <f t="shared" si="21"/>
        <v>2011</v>
      </c>
      <c r="H66" s="78">
        <f t="shared" si="21"/>
        <v>2012</v>
      </c>
      <c r="I66" s="78">
        <f t="shared" si="21"/>
        <v>2013</v>
      </c>
      <c r="J66" s="78">
        <f t="shared" si="21"/>
        <v>2014</v>
      </c>
      <c r="K66" s="78">
        <f t="shared" si="21"/>
        <v>2015</v>
      </c>
      <c r="L66" s="78">
        <f t="shared" si="21"/>
        <v>2016</v>
      </c>
      <c r="M66" s="78">
        <f t="shared" si="21"/>
        <v>2017</v>
      </c>
      <c r="N66" s="78">
        <f t="shared" si="21"/>
        <v>2018</v>
      </c>
      <c r="O66" s="78">
        <f t="shared" si="21"/>
        <v>2019</v>
      </c>
      <c r="P66" s="78">
        <f t="shared" si="21"/>
        <v>2020</v>
      </c>
      <c r="Q66" s="78">
        <f t="shared" si="21"/>
        <v>2021</v>
      </c>
      <c r="R66" s="78">
        <f t="shared" si="21"/>
        <v>2022</v>
      </c>
      <c r="S66" s="78">
        <f t="shared" si="21"/>
        <v>2023</v>
      </c>
      <c r="T66" s="78">
        <f t="shared" si="21"/>
        <v>2024</v>
      </c>
    </row>
    <row r="67" spans="1:29" ht="15.75" customHeight="1">
      <c r="A67" s="9">
        <v>-1</v>
      </c>
      <c r="B67" s="9">
        <f t="shared" ref="B67:T67" si="22">A67-1</f>
        <v>-2</v>
      </c>
      <c r="C67" s="9">
        <f t="shared" si="22"/>
        <v>-3</v>
      </c>
      <c r="D67" s="9">
        <f t="shared" si="22"/>
        <v>-4</v>
      </c>
      <c r="E67" s="9">
        <f t="shared" si="22"/>
        <v>-5</v>
      </c>
      <c r="F67" s="9">
        <f t="shared" si="22"/>
        <v>-6</v>
      </c>
      <c r="G67" s="9">
        <f t="shared" si="22"/>
        <v>-7</v>
      </c>
      <c r="H67" s="9">
        <f t="shared" si="22"/>
        <v>-8</v>
      </c>
      <c r="I67" s="9">
        <f t="shared" si="22"/>
        <v>-9</v>
      </c>
      <c r="J67" s="9">
        <f t="shared" si="22"/>
        <v>-10</v>
      </c>
      <c r="K67" s="9">
        <f t="shared" si="22"/>
        <v>-11</v>
      </c>
      <c r="L67" s="9">
        <f t="shared" si="22"/>
        <v>-12</v>
      </c>
      <c r="M67" s="9">
        <f t="shared" si="22"/>
        <v>-13</v>
      </c>
      <c r="N67" s="9">
        <f t="shared" si="22"/>
        <v>-14</v>
      </c>
      <c r="O67" s="9">
        <f t="shared" si="22"/>
        <v>-15</v>
      </c>
      <c r="P67" s="9">
        <f t="shared" si="22"/>
        <v>-16</v>
      </c>
      <c r="Q67" s="9">
        <f t="shared" si="22"/>
        <v>-17</v>
      </c>
      <c r="R67" s="9">
        <f t="shared" si="22"/>
        <v>-18</v>
      </c>
      <c r="S67" s="9">
        <f t="shared" si="22"/>
        <v>-19</v>
      </c>
      <c r="T67" s="9">
        <f t="shared" si="22"/>
        <v>-20</v>
      </c>
    </row>
    <row r="68" spans="1:29" ht="15.75" customHeight="1">
      <c r="A68" s="14">
        <v>1</v>
      </c>
      <c r="B68" s="15" t="s">
        <v>21</v>
      </c>
      <c r="C68" s="14" t="s">
        <v>22</v>
      </c>
      <c r="D68" s="18">
        <f t="shared" ref="D68:Q68" si="23">D48</f>
        <v>1208055.678293935</v>
      </c>
      <c r="E68" s="18">
        <f t="shared" si="23"/>
        <v>2004085.8022730364</v>
      </c>
      <c r="F68" s="18">
        <f t="shared" si="23"/>
        <v>1743728.7321814583</v>
      </c>
      <c r="G68" s="18">
        <f t="shared" si="23"/>
        <v>1663812.7244330889</v>
      </c>
      <c r="H68" s="18">
        <f t="shared" si="23"/>
        <v>1958328.663578236</v>
      </c>
      <c r="I68" s="18">
        <f t="shared" si="23"/>
        <v>1804640.5880936335</v>
      </c>
      <c r="J68" s="18">
        <f t="shared" si="23"/>
        <v>1951986.8220179547</v>
      </c>
      <c r="K68" s="18">
        <f t="shared" si="23"/>
        <v>2146588.6914677722</v>
      </c>
      <c r="L68" s="18">
        <f t="shared" si="23"/>
        <v>2356410.5803500256</v>
      </c>
      <c r="M68" s="18">
        <f t="shared" si="23"/>
        <v>2208264.5733556072</v>
      </c>
      <c r="N68" s="18">
        <f t="shared" si="23"/>
        <v>1331774.5393628001</v>
      </c>
      <c r="O68" s="18">
        <f t="shared" si="23"/>
        <v>1388858.75483853</v>
      </c>
      <c r="P68" s="18">
        <f t="shared" si="23"/>
        <v>1326240.872475958</v>
      </c>
      <c r="Q68" s="18">
        <f t="shared" si="23"/>
        <v>1537381.4121155941</v>
      </c>
      <c r="R68" s="18">
        <f t="shared" ref="R68:S68" si="24">R48</f>
        <v>1178474.9802624003</v>
      </c>
      <c r="S68" s="18">
        <f t="shared" si="24"/>
        <v>1323677.3249099774</v>
      </c>
      <c r="T68" s="18">
        <f t="shared" ref="T68" si="25">T48</f>
        <v>2086708.0155669935</v>
      </c>
      <c r="Z68" s="209"/>
      <c r="AA68" s="209"/>
      <c r="AB68" s="209"/>
      <c r="AC68" s="209"/>
    </row>
    <row r="69" spans="1:29" ht="15.75" customHeight="1">
      <c r="A69" s="14">
        <f t="shared" ref="A69:A78" si="26">A68+1</f>
        <v>2</v>
      </c>
      <c r="B69" s="15" t="s">
        <v>32</v>
      </c>
      <c r="C69" s="14" t="s">
        <v>22</v>
      </c>
      <c r="D69" s="18">
        <f t="shared" ref="D69:M69" si="27">$F56/$F$60*D$68</f>
        <v>381412.22734480415</v>
      </c>
      <c r="E69" s="18">
        <f t="shared" si="27"/>
        <v>632738.07935289037</v>
      </c>
      <c r="F69" s="18">
        <f t="shared" si="27"/>
        <v>550537.09160633513</v>
      </c>
      <c r="G69" s="18">
        <f t="shared" si="27"/>
        <v>525305.68624689302</v>
      </c>
      <c r="H69" s="18">
        <f t="shared" si="27"/>
        <v>618291.45036046195</v>
      </c>
      <c r="I69" s="18">
        <f t="shared" si="27"/>
        <v>569768.42924466194</v>
      </c>
      <c r="J69" s="18">
        <f t="shared" si="27"/>
        <v>616289.17847975623</v>
      </c>
      <c r="K69" s="18">
        <f t="shared" si="27"/>
        <v>677729.66819057753</v>
      </c>
      <c r="L69" s="18">
        <f t="shared" si="27"/>
        <v>743975.48402689223</v>
      </c>
      <c r="M69" s="18">
        <f t="shared" si="27"/>
        <v>697202.22720169497</v>
      </c>
      <c r="N69" s="18">
        <f t="shared" ref="N69:Q69" si="28">$L56/$L$60*N$68</f>
        <v>517827.07298578334</v>
      </c>
      <c r="O69" s="18">
        <f t="shared" si="28"/>
        <v>540022.83611219819</v>
      </c>
      <c r="P69" s="18">
        <f t="shared" si="28"/>
        <v>515675.44563280599</v>
      </c>
      <c r="Q69" s="18">
        <f t="shared" si="28"/>
        <v>597772.1402298836</v>
      </c>
      <c r="R69" s="18">
        <f t="shared" ref="R69:S69" si="29">$L56/$L$60*R$68</f>
        <v>458220.39059872372</v>
      </c>
      <c r="S69" s="18">
        <f t="shared" si="29"/>
        <v>514678.67456284194</v>
      </c>
      <c r="T69" s="18">
        <f t="shared" ref="T69" si="30">$L56/$L$60*T$68</f>
        <v>811363.9898792702</v>
      </c>
      <c r="Z69" s="209"/>
      <c r="AA69" s="209"/>
      <c r="AB69" s="209"/>
      <c r="AC69" s="209"/>
    </row>
    <row r="70" spans="1:29" ht="15.75" customHeight="1">
      <c r="A70" s="14">
        <f t="shared" si="26"/>
        <v>3</v>
      </c>
      <c r="B70" s="15" t="s">
        <v>26</v>
      </c>
      <c r="C70" s="14" t="s">
        <v>22</v>
      </c>
      <c r="D70" s="18">
        <f t="shared" ref="D70:M70" si="31">$F57/$F$60*D$68</f>
        <v>88093.434464816353</v>
      </c>
      <c r="E70" s="18">
        <f t="shared" si="31"/>
        <v>146141.27846634947</v>
      </c>
      <c r="F70" s="18">
        <f t="shared" si="31"/>
        <v>127155.60677615483</v>
      </c>
      <c r="G70" s="18">
        <f t="shared" si="31"/>
        <v>121327.99823313385</v>
      </c>
      <c r="H70" s="18">
        <f t="shared" si="31"/>
        <v>142804.59161380265</v>
      </c>
      <c r="I70" s="18">
        <f t="shared" si="31"/>
        <v>131597.40087831701</v>
      </c>
      <c r="J70" s="18">
        <f t="shared" si="31"/>
        <v>142342.13395235952</v>
      </c>
      <c r="K70" s="18">
        <f t="shared" si="31"/>
        <v>156532.82676655042</v>
      </c>
      <c r="L70" s="18">
        <f t="shared" si="31"/>
        <v>171833.38877676878</v>
      </c>
      <c r="M70" s="18">
        <f t="shared" si="31"/>
        <v>161030.33491685256</v>
      </c>
      <c r="N70" s="18">
        <f t="shared" ref="N70:Q70" si="32">$L57/$L$60*N$68</f>
        <v>388708.36928369675</v>
      </c>
      <c r="O70" s="18">
        <f t="shared" si="32"/>
        <v>405369.68218131881</v>
      </c>
      <c r="P70" s="18">
        <f t="shared" si="32"/>
        <v>387093.24407431053</v>
      </c>
      <c r="Q70" s="18">
        <f t="shared" si="32"/>
        <v>448719.36202988494</v>
      </c>
      <c r="R70" s="18">
        <f t="shared" ref="R70:S70" si="33">$L57/$L$60*R$68</f>
        <v>343964.44313960866</v>
      </c>
      <c r="S70" s="18">
        <f t="shared" si="33"/>
        <v>386345.01502765052</v>
      </c>
      <c r="T70" s="18">
        <f t="shared" ref="T70" si="34">$L57/$L$60*T$68</f>
        <v>609052.69317609363</v>
      </c>
      <c r="Z70" s="209"/>
      <c r="AA70" s="209"/>
      <c r="AB70" s="209"/>
      <c r="AC70" s="209"/>
    </row>
    <row r="71" spans="1:29" ht="15.75" customHeight="1">
      <c r="A71" s="14">
        <f t="shared" si="26"/>
        <v>4</v>
      </c>
      <c r="B71" s="21" t="s">
        <v>27</v>
      </c>
      <c r="C71" s="14" t="s">
        <v>22</v>
      </c>
      <c r="D71" s="18">
        <f t="shared" ref="D71:M71" si="35">$F58/$F$60*D$68</f>
        <v>7259.3814159043059</v>
      </c>
      <c r="E71" s="18">
        <f t="shared" si="35"/>
        <v>12042.841642402131</v>
      </c>
      <c r="F71" s="18">
        <f t="shared" si="35"/>
        <v>10478.318326066847</v>
      </c>
      <c r="G71" s="18">
        <f t="shared" si="35"/>
        <v>9998.0914690555255</v>
      </c>
      <c r="H71" s="18">
        <f t="shared" si="35"/>
        <v>11767.880373435544</v>
      </c>
      <c r="I71" s="18">
        <f t="shared" si="35"/>
        <v>10844.346484174222</v>
      </c>
      <c r="J71" s="18">
        <f t="shared" si="35"/>
        <v>11729.771329628613</v>
      </c>
      <c r="K71" s="18">
        <f t="shared" si="35"/>
        <v>12899.162128386579</v>
      </c>
      <c r="L71" s="18">
        <f t="shared" si="35"/>
        <v>14160.012226746996</v>
      </c>
      <c r="M71" s="18">
        <f t="shared" si="35"/>
        <v>13269.781429161159</v>
      </c>
      <c r="N71" s="18">
        <f t="shared" ref="N71:Q71" si="36">$L58/$L$60*N$68</f>
        <v>4613.6297666341143</v>
      </c>
      <c r="O71" s="18">
        <f t="shared" si="36"/>
        <v>4811.3850382206947</v>
      </c>
      <c r="P71" s="18">
        <f t="shared" si="36"/>
        <v>4594.4596372216783</v>
      </c>
      <c r="Q71" s="18">
        <f t="shared" si="36"/>
        <v>5325.9079791389931</v>
      </c>
      <c r="R71" s="18">
        <f t="shared" ref="R71:S71" si="37">$L58/$L$60*R$68</f>
        <v>4082.5583366187243</v>
      </c>
      <c r="S71" s="18">
        <f t="shared" si="37"/>
        <v>4585.5788101679873</v>
      </c>
      <c r="T71" s="18">
        <f t="shared" ref="T71" si="38">$L58/$L$60*T$68</f>
        <v>7228.9249646566714</v>
      </c>
      <c r="Z71" s="209"/>
      <c r="AA71" s="209"/>
      <c r="AB71" s="209"/>
      <c r="AC71" s="209"/>
    </row>
    <row r="72" spans="1:29" ht="15.75" customHeight="1">
      <c r="A72" s="23">
        <f t="shared" si="26"/>
        <v>5</v>
      </c>
      <c r="B72" s="24" t="s">
        <v>33</v>
      </c>
      <c r="C72" s="23" t="s">
        <v>22</v>
      </c>
      <c r="D72" s="25">
        <f t="shared" ref="D72:M72" si="39">$F59/$F$60*D$68</f>
        <v>731290.63506841019</v>
      </c>
      <c r="E72" s="25">
        <f t="shared" si="39"/>
        <v>1213163.6028113945</v>
      </c>
      <c r="F72" s="25">
        <f t="shared" si="39"/>
        <v>1055557.7154729015</v>
      </c>
      <c r="G72" s="25">
        <f t="shared" si="39"/>
        <v>1007180.9484840066</v>
      </c>
      <c r="H72" s="25">
        <f t="shared" si="39"/>
        <v>1185464.741230536</v>
      </c>
      <c r="I72" s="25">
        <f t="shared" si="39"/>
        <v>1092430.4114864804</v>
      </c>
      <c r="J72" s="25">
        <f t="shared" si="39"/>
        <v>1181625.7382562102</v>
      </c>
      <c r="K72" s="25">
        <f t="shared" si="39"/>
        <v>1299427.0343822578</v>
      </c>
      <c r="L72" s="25">
        <f t="shared" si="39"/>
        <v>1426441.6953196176</v>
      </c>
      <c r="M72" s="25">
        <f t="shared" si="39"/>
        <v>1336762.2298078986</v>
      </c>
      <c r="N72" s="25">
        <f t="shared" ref="N72:Q72" si="40">$L59/$L$60*N$68</f>
        <v>420625.4673266859</v>
      </c>
      <c r="O72" s="25">
        <f t="shared" si="40"/>
        <v>438654.8515067923</v>
      </c>
      <c r="P72" s="25">
        <f t="shared" si="40"/>
        <v>418877.7231316198</v>
      </c>
      <c r="Q72" s="25">
        <f t="shared" si="40"/>
        <v>485564.00187668658</v>
      </c>
      <c r="R72" s="25">
        <f t="shared" ref="R72:S72" si="41">$L59/$L$60*R$68</f>
        <v>372207.58818744932</v>
      </c>
      <c r="S72" s="25">
        <f t="shared" si="41"/>
        <v>418068.05650931696</v>
      </c>
      <c r="T72" s="25">
        <f t="shared" ref="T72" si="42">$L59/$L$60*T$68</f>
        <v>659062.40754697297</v>
      </c>
      <c r="Z72" s="209"/>
      <c r="AA72" s="209"/>
      <c r="AB72" s="209"/>
      <c r="AC72" s="209"/>
    </row>
    <row r="73" spans="1:29" ht="15.75" customHeight="1">
      <c r="A73" s="14">
        <f t="shared" si="26"/>
        <v>6</v>
      </c>
      <c r="B73" s="21" t="s">
        <v>34</v>
      </c>
      <c r="C73" s="14" t="s">
        <v>22</v>
      </c>
      <c r="D73" s="18"/>
      <c r="E73" s="18"/>
      <c r="F73" s="18"/>
      <c r="G73" s="18"/>
      <c r="H73" s="18"/>
      <c r="I73" s="18"/>
      <c r="J73" s="18"/>
      <c r="K73" s="18"/>
      <c r="L73" s="18"/>
      <c r="M73" s="18"/>
      <c r="N73" s="18"/>
      <c r="O73" s="18"/>
      <c r="P73" s="18"/>
      <c r="Q73" s="18"/>
      <c r="R73" s="18"/>
      <c r="S73" s="18"/>
      <c r="T73" s="18"/>
      <c r="Z73" s="209"/>
      <c r="AA73" s="209"/>
      <c r="AB73" s="209"/>
      <c r="AC73" s="209"/>
    </row>
    <row r="74" spans="1:29" ht="15.75" customHeight="1">
      <c r="A74" s="14">
        <f t="shared" si="26"/>
        <v>7</v>
      </c>
      <c r="B74" s="15" t="s">
        <v>35</v>
      </c>
      <c r="C74" s="14" t="s">
        <v>22</v>
      </c>
      <c r="D74" s="18"/>
      <c r="E74" s="18"/>
      <c r="F74" s="18"/>
      <c r="G74" s="18"/>
      <c r="H74" s="18"/>
      <c r="I74" s="18"/>
      <c r="J74" s="18"/>
      <c r="K74" s="18"/>
      <c r="L74" s="18"/>
      <c r="M74" s="18"/>
      <c r="N74" s="18"/>
      <c r="O74" s="18"/>
      <c r="P74" s="18"/>
      <c r="Q74" s="18"/>
      <c r="R74" s="18"/>
      <c r="S74" s="18"/>
      <c r="T74" s="18"/>
      <c r="Z74" s="209"/>
      <c r="AA74" s="209"/>
      <c r="AB74" s="209"/>
      <c r="AC74" s="209"/>
    </row>
    <row r="75" spans="1:29" ht="15.75" customHeight="1">
      <c r="A75" s="14">
        <f t="shared" si="26"/>
        <v>8</v>
      </c>
      <c r="B75" s="21" t="s">
        <v>36</v>
      </c>
      <c r="C75" s="14" t="s">
        <v>22</v>
      </c>
      <c r="D75" s="18"/>
      <c r="E75" s="18"/>
      <c r="F75" s="18"/>
      <c r="G75" s="18"/>
      <c r="H75" s="18"/>
      <c r="I75" s="18"/>
      <c r="J75" s="18"/>
      <c r="K75" s="18"/>
      <c r="L75" s="18"/>
      <c r="M75" s="18"/>
      <c r="N75" s="18"/>
      <c r="O75" s="18"/>
      <c r="P75" s="18"/>
      <c r="Q75" s="18"/>
      <c r="R75" s="18"/>
      <c r="S75" s="18"/>
      <c r="T75" s="18"/>
      <c r="Z75" s="209"/>
      <c r="AA75" s="209"/>
      <c r="AB75" s="209"/>
      <c r="AC75" s="209"/>
    </row>
    <row r="76" spans="1:29" ht="15.75" customHeight="1">
      <c r="A76" s="23">
        <f t="shared" si="26"/>
        <v>9</v>
      </c>
      <c r="B76" s="24" t="s">
        <v>37</v>
      </c>
      <c r="C76" s="23" t="s">
        <v>22</v>
      </c>
      <c r="D76" s="25">
        <f t="shared" ref="D76:Q76" si="43">D72+D73-D74-D75</f>
        <v>731290.63506841019</v>
      </c>
      <c r="E76" s="25">
        <f t="shared" si="43"/>
        <v>1213163.6028113945</v>
      </c>
      <c r="F76" s="25">
        <f t="shared" si="43"/>
        <v>1055557.7154729015</v>
      </c>
      <c r="G76" s="25">
        <f t="shared" si="43"/>
        <v>1007180.9484840066</v>
      </c>
      <c r="H76" s="25">
        <f t="shared" si="43"/>
        <v>1185464.741230536</v>
      </c>
      <c r="I76" s="25">
        <f t="shared" si="43"/>
        <v>1092430.4114864804</v>
      </c>
      <c r="J76" s="25">
        <f t="shared" si="43"/>
        <v>1181625.7382562102</v>
      </c>
      <c r="K76" s="25">
        <f t="shared" si="43"/>
        <v>1299427.0343822578</v>
      </c>
      <c r="L76" s="25">
        <f t="shared" si="43"/>
        <v>1426441.6953196176</v>
      </c>
      <c r="M76" s="25">
        <f t="shared" si="43"/>
        <v>1336762.2298078986</v>
      </c>
      <c r="N76" s="25">
        <f t="shared" si="43"/>
        <v>420625.4673266859</v>
      </c>
      <c r="O76" s="25">
        <f t="shared" si="43"/>
        <v>438654.8515067923</v>
      </c>
      <c r="P76" s="25">
        <f t="shared" si="43"/>
        <v>418877.7231316198</v>
      </c>
      <c r="Q76" s="25">
        <f t="shared" si="43"/>
        <v>485564.00187668658</v>
      </c>
      <c r="R76" s="25">
        <f t="shared" ref="R76:S76" si="44">R72+R73-R74-R75</f>
        <v>372207.58818744932</v>
      </c>
      <c r="S76" s="25">
        <f t="shared" si="44"/>
        <v>418068.05650931696</v>
      </c>
      <c r="T76" s="25">
        <f t="shared" ref="T76" si="45">T72+T73-T74-T75</f>
        <v>659062.40754697297</v>
      </c>
    </row>
    <row r="77" spans="1:29" ht="15.75" customHeight="1">
      <c r="A77" s="14">
        <f t="shared" si="26"/>
        <v>10</v>
      </c>
      <c r="B77" s="21" t="s">
        <v>99</v>
      </c>
      <c r="C77" s="26" t="s">
        <v>84</v>
      </c>
      <c r="D77" s="18">
        <f t="shared" ref="D77:Q77" si="46">D45</f>
        <v>200.62538900000001</v>
      </c>
      <c r="E77" s="18">
        <f t="shared" si="46"/>
        <v>305.664800571618</v>
      </c>
      <c r="F77" s="18">
        <f t="shared" si="46"/>
        <v>278.78083199999998</v>
      </c>
      <c r="G77" s="18">
        <f t="shared" si="46"/>
        <v>200.38669264325401</v>
      </c>
      <c r="H77" s="18">
        <f t="shared" si="46"/>
        <v>203.82477873431</v>
      </c>
      <c r="I77" s="18">
        <f t="shared" si="46"/>
        <v>208.24233610264201</v>
      </c>
      <c r="J77" s="18">
        <f t="shared" si="46"/>
        <v>252.70998361072</v>
      </c>
      <c r="K77" s="18">
        <f t="shared" si="46"/>
        <v>319.594025131639</v>
      </c>
      <c r="L77" s="18">
        <f t="shared" si="46"/>
        <v>322.63207576288653</v>
      </c>
      <c r="M77" s="18">
        <f t="shared" si="46"/>
        <v>328.77661489577258</v>
      </c>
      <c r="N77" s="18">
        <f t="shared" si="46"/>
        <v>308.65152066217297</v>
      </c>
      <c r="O77" s="18">
        <f t="shared" si="46"/>
        <v>487.79706293598747</v>
      </c>
      <c r="P77" s="18">
        <f t="shared" si="46"/>
        <v>346.89567321030137</v>
      </c>
      <c r="Q77" s="18">
        <f t="shared" si="46"/>
        <v>385.69900407411046</v>
      </c>
      <c r="R77" s="18">
        <f t="shared" ref="R77:S77" si="47">R45</f>
        <v>456.21594104105856</v>
      </c>
      <c r="S77" s="18">
        <f t="shared" si="47"/>
        <v>300.16074706456686</v>
      </c>
      <c r="T77" s="18">
        <f t="shared" ref="T77" si="48">T45</f>
        <v>543.15776898247771</v>
      </c>
    </row>
    <row r="78" spans="1:29" ht="15.75" customHeight="1">
      <c r="A78" s="23">
        <f t="shared" si="26"/>
        <v>11</v>
      </c>
      <c r="B78" s="24" t="s">
        <v>39</v>
      </c>
      <c r="C78" s="23" t="s">
        <v>96</v>
      </c>
      <c r="D78" s="25">
        <f t="shared" ref="D78:Q78" si="49">D76/D77</f>
        <v>3645.0552879347197</v>
      </c>
      <c r="E78" s="25">
        <f t="shared" si="49"/>
        <v>3968.9345994130827</v>
      </c>
      <c r="F78" s="25">
        <f t="shared" si="49"/>
        <v>3786.3353369750384</v>
      </c>
      <c r="G78" s="25">
        <f t="shared" si="49"/>
        <v>5026.1867951335398</v>
      </c>
      <c r="H78" s="25">
        <f t="shared" si="49"/>
        <v>5816.0972801830676</v>
      </c>
      <c r="I78" s="25">
        <f t="shared" si="49"/>
        <v>5245.9573395681882</v>
      </c>
      <c r="J78" s="25">
        <f t="shared" si="49"/>
        <v>4675.8173989533097</v>
      </c>
      <c r="K78" s="25">
        <f t="shared" si="49"/>
        <v>4065.8677328120607</v>
      </c>
      <c r="L78" s="25">
        <f t="shared" si="49"/>
        <v>4421.264351805984</v>
      </c>
      <c r="M78" s="25">
        <f t="shared" si="49"/>
        <v>4065.8677328120602</v>
      </c>
      <c r="N78" s="25">
        <f t="shared" si="49"/>
        <v>1362.7843673806854</v>
      </c>
      <c r="O78" s="25">
        <f t="shared" si="49"/>
        <v>899.25685256607619</v>
      </c>
      <c r="P78" s="25">
        <f t="shared" si="49"/>
        <v>1207.5034527100606</v>
      </c>
      <c r="Q78" s="25">
        <f t="shared" si="49"/>
        <v>1258.9195117117479</v>
      </c>
      <c r="R78" s="25">
        <f t="shared" ref="R78:S78" si="50">R76/R77</f>
        <v>815.85835720271632</v>
      </c>
      <c r="S78" s="25">
        <f t="shared" si="50"/>
        <v>1392.8138858855764</v>
      </c>
      <c r="T78" s="25">
        <f t="shared" ref="T78" si="51">T76/T77</f>
        <v>1213.3903723436097</v>
      </c>
    </row>
    <row r="79" spans="1:29" ht="15.75" customHeight="1">
      <c r="A79" s="19"/>
      <c r="B79" s="2"/>
      <c r="C79" s="2"/>
      <c r="D79" s="2"/>
      <c r="E79" s="2"/>
      <c r="F79" s="2"/>
      <c r="G79" s="2"/>
      <c r="H79" s="2"/>
      <c r="I79" s="2"/>
      <c r="J79" s="2"/>
      <c r="K79" s="2"/>
      <c r="L79" s="2"/>
      <c r="M79" s="2"/>
      <c r="N79" s="2"/>
      <c r="O79" s="2"/>
      <c r="P79" s="2"/>
      <c r="Q79" s="2"/>
      <c r="R79" s="2"/>
      <c r="S79" s="2"/>
      <c r="T79" s="2"/>
    </row>
    <row r="80" spans="1:29" ht="15.75" customHeight="1">
      <c r="A80" s="19"/>
      <c r="B80" s="2"/>
      <c r="C80" s="2"/>
      <c r="D80" s="2"/>
      <c r="E80" s="2"/>
      <c r="F80" s="2"/>
      <c r="G80" s="2"/>
      <c r="H80" s="2"/>
      <c r="I80" s="2"/>
      <c r="J80" s="2"/>
      <c r="K80" s="2"/>
      <c r="L80" s="2"/>
      <c r="M80" s="2"/>
      <c r="N80" s="2"/>
      <c r="O80" s="2"/>
      <c r="P80" s="2"/>
      <c r="Q80" s="2"/>
      <c r="R80" s="2"/>
      <c r="S80" s="2"/>
      <c r="T80" s="2"/>
    </row>
    <row r="81" spans="1:20" ht="15.75" customHeight="1">
      <c r="A81" s="6" t="s">
        <v>100</v>
      </c>
      <c r="B81" s="2"/>
      <c r="C81" s="2"/>
      <c r="D81" s="2"/>
      <c r="E81" s="2"/>
      <c r="F81" s="2"/>
      <c r="G81" s="2"/>
      <c r="H81" s="2"/>
      <c r="I81" s="2"/>
      <c r="J81" s="2"/>
      <c r="K81" s="2"/>
      <c r="L81" s="2"/>
      <c r="M81" s="2"/>
      <c r="N81" s="2"/>
      <c r="O81" s="2"/>
      <c r="P81" s="2"/>
      <c r="Q81" s="2"/>
      <c r="R81" s="2"/>
      <c r="S81" s="2"/>
      <c r="T81" s="2"/>
    </row>
    <row r="82" spans="1:20" ht="15.75" customHeight="1" thickBot="1">
      <c r="A82" s="19"/>
      <c r="B82" s="2"/>
      <c r="C82" s="2"/>
      <c r="D82" s="2"/>
      <c r="E82" s="2"/>
      <c r="F82" s="2"/>
      <c r="G82" s="2"/>
      <c r="H82" s="2"/>
      <c r="I82" s="2"/>
      <c r="J82" s="2"/>
      <c r="K82" s="2"/>
      <c r="L82" s="2"/>
      <c r="M82" s="2"/>
      <c r="N82" s="2"/>
      <c r="O82" s="2"/>
      <c r="P82" s="2"/>
      <c r="Q82" s="2"/>
      <c r="R82" s="2"/>
      <c r="S82" s="2"/>
      <c r="T82" s="2"/>
    </row>
    <row r="83" spans="1:20" ht="15.75" customHeight="1" thickBot="1">
      <c r="A83" s="79" t="s">
        <v>3</v>
      </c>
      <c r="B83" s="77" t="s">
        <v>4</v>
      </c>
      <c r="C83" s="78" t="s">
        <v>5</v>
      </c>
      <c r="D83" s="78">
        <f t="shared" ref="D83:T83" si="52">D$3</f>
        <v>2008</v>
      </c>
      <c r="E83" s="78">
        <f t="shared" si="52"/>
        <v>2009</v>
      </c>
      <c r="F83" s="78">
        <f t="shared" si="52"/>
        <v>2010</v>
      </c>
      <c r="G83" s="78">
        <f t="shared" si="52"/>
        <v>2011</v>
      </c>
      <c r="H83" s="78">
        <f t="shared" si="52"/>
        <v>2012</v>
      </c>
      <c r="I83" s="78">
        <f t="shared" si="52"/>
        <v>2013</v>
      </c>
      <c r="J83" s="78">
        <f t="shared" si="52"/>
        <v>2014</v>
      </c>
      <c r="K83" s="78">
        <f t="shared" si="52"/>
        <v>2015</v>
      </c>
      <c r="L83" s="78">
        <f t="shared" si="52"/>
        <v>2016</v>
      </c>
      <c r="M83" s="78">
        <f t="shared" si="52"/>
        <v>2017</v>
      </c>
      <c r="N83" s="78">
        <f t="shared" si="52"/>
        <v>2018</v>
      </c>
      <c r="O83" s="78">
        <f t="shared" si="52"/>
        <v>2019</v>
      </c>
      <c r="P83" s="78">
        <f t="shared" si="52"/>
        <v>2020</v>
      </c>
      <c r="Q83" s="78">
        <f t="shared" si="52"/>
        <v>2021</v>
      </c>
      <c r="R83" s="78">
        <f t="shared" si="52"/>
        <v>2022</v>
      </c>
      <c r="S83" s="78">
        <f t="shared" si="52"/>
        <v>2023</v>
      </c>
      <c r="T83" s="78">
        <f t="shared" si="52"/>
        <v>2024</v>
      </c>
    </row>
    <row r="84" spans="1:20" ht="15.75" customHeight="1">
      <c r="A84" s="9">
        <v>-1</v>
      </c>
      <c r="B84" s="9">
        <f t="shared" ref="B84:T84" si="53">A84-1</f>
        <v>-2</v>
      </c>
      <c r="C84" s="9">
        <f t="shared" si="53"/>
        <v>-3</v>
      </c>
      <c r="D84" s="9">
        <f t="shared" si="53"/>
        <v>-4</v>
      </c>
      <c r="E84" s="9">
        <f t="shared" si="53"/>
        <v>-5</v>
      </c>
      <c r="F84" s="9">
        <f t="shared" si="53"/>
        <v>-6</v>
      </c>
      <c r="G84" s="9">
        <f t="shared" si="53"/>
        <v>-7</v>
      </c>
      <c r="H84" s="9">
        <f t="shared" si="53"/>
        <v>-8</v>
      </c>
      <c r="I84" s="9">
        <f t="shared" si="53"/>
        <v>-9</v>
      </c>
      <c r="J84" s="9">
        <f t="shared" si="53"/>
        <v>-10</v>
      </c>
      <c r="K84" s="9">
        <f t="shared" si="53"/>
        <v>-11</v>
      </c>
      <c r="L84" s="9">
        <f t="shared" si="53"/>
        <v>-12</v>
      </c>
      <c r="M84" s="9">
        <f t="shared" si="53"/>
        <v>-13</v>
      </c>
      <c r="N84" s="9">
        <f t="shared" si="53"/>
        <v>-14</v>
      </c>
      <c r="O84" s="9">
        <f t="shared" si="53"/>
        <v>-15</v>
      </c>
      <c r="P84" s="9">
        <f t="shared" si="53"/>
        <v>-16</v>
      </c>
      <c r="Q84" s="9">
        <f t="shared" si="53"/>
        <v>-17</v>
      </c>
      <c r="R84" s="9">
        <f t="shared" si="53"/>
        <v>-18</v>
      </c>
      <c r="S84" s="9">
        <f t="shared" si="53"/>
        <v>-19</v>
      </c>
      <c r="T84" s="9">
        <f t="shared" si="53"/>
        <v>-20</v>
      </c>
    </row>
    <row r="85" spans="1:20" ht="15.75" customHeight="1">
      <c r="A85" s="23">
        <v>1</v>
      </c>
      <c r="B85" s="24" t="s">
        <v>41</v>
      </c>
      <c r="C85" s="23" t="s">
        <v>107</v>
      </c>
      <c r="D85" s="25"/>
      <c r="E85" s="25">
        <f t="shared" ref="E85:T85" si="54">D9/1000</f>
        <v>0</v>
      </c>
      <c r="F85" s="25">
        <f t="shared" si="54"/>
        <v>0</v>
      </c>
      <c r="G85" s="25">
        <f t="shared" si="54"/>
        <v>0</v>
      </c>
      <c r="H85" s="25">
        <f t="shared" si="54"/>
        <v>0</v>
      </c>
      <c r="I85" s="25">
        <f t="shared" si="54"/>
        <v>0</v>
      </c>
      <c r="J85" s="25">
        <f t="shared" si="54"/>
        <v>3535732.5957970102</v>
      </c>
      <c r="K85" s="25">
        <f t="shared" si="54"/>
        <v>3277767.1622299999</v>
      </c>
      <c r="L85" s="25">
        <f t="shared" si="54"/>
        <v>3194045.3896114435</v>
      </c>
      <c r="M85" s="25">
        <f t="shared" si="54"/>
        <v>3130082.8684258768</v>
      </c>
      <c r="N85" s="25">
        <f t="shared" si="54"/>
        <v>2842908.0279999999</v>
      </c>
      <c r="O85" s="25">
        <f t="shared" si="54"/>
        <v>2767999.0864083036</v>
      </c>
      <c r="P85" s="25">
        <f t="shared" si="54"/>
        <v>2851070.2444083039</v>
      </c>
      <c r="Q85" s="25">
        <f t="shared" si="54"/>
        <v>3197397.80134022</v>
      </c>
      <c r="R85" s="25">
        <f t="shared" si="54"/>
        <v>3115958.764</v>
      </c>
      <c r="S85" s="25">
        <f t="shared" si="54"/>
        <v>3338276.233</v>
      </c>
      <c r="T85" s="25">
        <f t="shared" si="54"/>
        <v>3231362.4890440959</v>
      </c>
    </row>
    <row r="86" spans="1:20" ht="15.75" customHeight="1">
      <c r="A86" s="23">
        <v>2</v>
      </c>
      <c r="B86" s="24" t="s">
        <v>43</v>
      </c>
      <c r="C86" s="23" t="s">
        <v>107</v>
      </c>
      <c r="D86" s="25">
        <f t="shared" ref="D86:Q86" si="55">SUM(D87:D89)</f>
        <v>0</v>
      </c>
      <c r="E86" s="25">
        <f t="shared" si="55"/>
        <v>0</v>
      </c>
      <c r="F86" s="25">
        <f t="shared" si="55"/>
        <v>0</v>
      </c>
      <c r="G86" s="25">
        <f t="shared" si="55"/>
        <v>0</v>
      </c>
      <c r="H86" s="25">
        <f t="shared" si="55"/>
        <v>0</v>
      </c>
      <c r="I86" s="25">
        <f t="shared" si="55"/>
        <v>0</v>
      </c>
      <c r="J86" s="25">
        <f t="shared" si="55"/>
        <v>0</v>
      </c>
      <c r="K86" s="25">
        <f t="shared" si="55"/>
        <v>0</v>
      </c>
      <c r="L86" s="25">
        <f t="shared" si="55"/>
        <v>0</v>
      </c>
      <c r="M86" s="25">
        <f t="shared" si="55"/>
        <v>0</v>
      </c>
      <c r="N86" s="25">
        <f t="shared" si="55"/>
        <v>0</v>
      </c>
      <c r="O86" s="25">
        <f t="shared" si="55"/>
        <v>0</v>
      </c>
      <c r="P86" s="25">
        <f t="shared" si="55"/>
        <v>0</v>
      </c>
      <c r="Q86" s="25">
        <f t="shared" si="55"/>
        <v>0</v>
      </c>
      <c r="R86" s="25">
        <f t="shared" ref="R86:S86" si="56">SUM(R87:R89)</f>
        <v>0</v>
      </c>
      <c r="S86" s="25">
        <f t="shared" si="56"/>
        <v>0</v>
      </c>
      <c r="T86" s="25">
        <f t="shared" ref="T86" si="57">SUM(T87:T89)</f>
        <v>0</v>
      </c>
    </row>
    <row r="87" spans="1:20" ht="15.75" customHeight="1">
      <c r="A87" s="14">
        <v>2.1</v>
      </c>
      <c r="B87" s="15" t="s">
        <v>44</v>
      </c>
      <c r="C87" s="14" t="s">
        <v>107</v>
      </c>
      <c r="D87" s="18"/>
      <c r="E87" s="18"/>
      <c r="F87" s="18"/>
      <c r="G87" s="18"/>
      <c r="H87" s="18"/>
      <c r="I87" s="18"/>
      <c r="J87" s="18"/>
      <c r="K87" s="18"/>
      <c r="L87" s="18"/>
      <c r="M87" s="18"/>
      <c r="N87" s="18"/>
      <c r="O87" s="18"/>
      <c r="P87" s="18"/>
      <c r="Q87" s="18"/>
      <c r="R87" s="18"/>
      <c r="S87" s="18"/>
      <c r="T87" s="18"/>
    </row>
    <row r="88" spans="1:20" ht="15.75" customHeight="1">
      <c r="A88" s="14">
        <v>2.2000000000000002</v>
      </c>
      <c r="B88" s="15" t="s">
        <v>45</v>
      </c>
      <c r="C88" s="14" t="s">
        <v>107</v>
      </c>
      <c r="D88" s="18"/>
      <c r="E88" s="18"/>
      <c r="F88" s="18"/>
      <c r="G88" s="18"/>
      <c r="H88" s="18"/>
      <c r="I88" s="18"/>
      <c r="J88" s="18"/>
      <c r="K88" s="18"/>
      <c r="L88" s="18"/>
      <c r="M88" s="18"/>
      <c r="N88" s="18"/>
      <c r="O88" s="18"/>
      <c r="P88" s="18"/>
      <c r="Q88" s="18"/>
      <c r="R88" s="18"/>
      <c r="S88" s="18"/>
      <c r="T88" s="18"/>
    </row>
    <row r="89" spans="1:20" ht="15.75" customHeight="1">
      <c r="A89" s="14">
        <v>2.2999999999999998</v>
      </c>
      <c r="B89" s="15" t="s">
        <v>46</v>
      </c>
      <c r="C89" s="14" t="s">
        <v>107</v>
      </c>
      <c r="D89" s="18"/>
      <c r="E89" s="18"/>
      <c r="F89" s="18"/>
      <c r="G89" s="18"/>
      <c r="H89" s="18"/>
      <c r="I89" s="18"/>
      <c r="J89" s="18"/>
      <c r="K89" s="18"/>
      <c r="L89" s="18"/>
      <c r="M89" s="18"/>
      <c r="N89" s="18"/>
      <c r="O89" s="18"/>
      <c r="P89" s="18"/>
      <c r="Q89" s="18"/>
      <c r="R89" s="18"/>
      <c r="S89" s="18"/>
      <c r="T89" s="18"/>
    </row>
    <row r="90" spans="1:20" ht="15.75" customHeight="1">
      <c r="A90" s="23">
        <v>3</v>
      </c>
      <c r="B90" s="24" t="s">
        <v>47</v>
      </c>
      <c r="C90" s="23" t="s">
        <v>107</v>
      </c>
      <c r="D90" s="25">
        <f t="shared" ref="D90:Q90" si="58">SUM(D91:D94)</f>
        <v>590.07467352941183</v>
      </c>
      <c r="E90" s="25">
        <f t="shared" si="58"/>
        <v>899.01411932828807</v>
      </c>
      <c r="F90" s="25">
        <f t="shared" si="58"/>
        <v>819.94362352941175</v>
      </c>
      <c r="G90" s="25">
        <f t="shared" si="58"/>
        <v>589.37262542133533</v>
      </c>
      <c r="H90" s="25">
        <f t="shared" si="58"/>
        <v>599.48464333620586</v>
      </c>
      <c r="I90" s="25">
        <f t="shared" si="58"/>
        <v>612.47745912541768</v>
      </c>
      <c r="J90" s="25">
        <f t="shared" si="58"/>
        <v>743.26465767858815</v>
      </c>
      <c r="K90" s="25">
        <f t="shared" si="58"/>
        <v>939.98242685776165</v>
      </c>
      <c r="L90" s="25">
        <f t="shared" si="58"/>
        <v>948.91786989084267</v>
      </c>
      <c r="M90" s="25">
        <f t="shared" si="58"/>
        <v>966.9900438110958</v>
      </c>
      <c r="N90" s="25">
        <f t="shared" si="58"/>
        <v>907.79859018286163</v>
      </c>
      <c r="O90" s="25">
        <f t="shared" si="58"/>
        <v>1434.6972439293747</v>
      </c>
      <c r="P90" s="25">
        <f t="shared" si="58"/>
        <v>1020.2813917950039</v>
      </c>
      <c r="Q90" s="25">
        <f t="shared" si="58"/>
        <v>2355.8719999999998</v>
      </c>
      <c r="R90" s="25">
        <f t="shared" ref="R90:S90" si="59">SUM(R91:R94)</f>
        <v>1758.1797952604193</v>
      </c>
      <c r="S90" s="25">
        <f t="shared" si="59"/>
        <v>1919.3427274497085</v>
      </c>
      <c r="T90" s="25">
        <f t="shared" ref="T90" si="60">SUM(T91:T94)</f>
        <v>2554.978804951751</v>
      </c>
    </row>
    <row r="91" spans="1:20" ht="15.75" customHeight="1">
      <c r="A91" s="14">
        <v>3.1</v>
      </c>
      <c r="B91" s="15" t="s">
        <v>48</v>
      </c>
      <c r="C91" s="14" t="s">
        <v>107</v>
      </c>
      <c r="D91" s="18">
        <f t="shared" ref="D91:Q91" si="61">D46/1000</f>
        <v>590.07467352941183</v>
      </c>
      <c r="E91" s="18">
        <f t="shared" si="61"/>
        <v>899.01411932828807</v>
      </c>
      <c r="F91" s="18">
        <f t="shared" si="61"/>
        <v>819.94362352941175</v>
      </c>
      <c r="G91" s="18">
        <f t="shared" si="61"/>
        <v>589.37262542133533</v>
      </c>
      <c r="H91" s="18">
        <f t="shared" si="61"/>
        <v>599.48464333620586</v>
      </c>
      <c r="I91" s="18">
        <f t="shared" si="61"/>
        <v>612.47745912541768</v>
      </c>
      <c r="J91" s="18">
        <f t="shared" si="61"/>
        <v>743.26465767858815</v>
      </c>
      <c r="K91" s="18">
        <f t="shared" si="61"/>
        <v>939.98242685776165</v>
      </c>
      <c r="L91" s="18">
        <f t="shared" si="61"/>
        <v>948.91786989084267</v>
      </c>
      <c r="M91" s="18">
        <f t="shared" si="61"/>
        <v>966.9900438110958</v>
      </c>
      <c r="N91" s="18">
        <f t="shared" si="61"/>
        <v>907.79859018286163</v>
      </c>
      <c r="O91" s="18">
        <f t="shared" si="61"/>
        <v>1434.6972439293747</v>
      </c>
      <c r="P91" s="18">
        <f t="shared" si="61"/>
        <v>1020.2813917950039</v>
      </c>
      <c r="Q91" s="18">
        <f t="shared" si="61"/>
        <v>2355.8719999999998</v>
      </c>
      <c r="R91" s="18">
        <f t="shared" ref="R91:S91" si="62">R46/1000</f>
        <v>1758.1797952604193</v>
      </c>
      <c r="S91" s="18">
        <f t="shared" si="62"/>
        <v>1919.3427274497085</v>
      </c>
      <c r="T91" s="18">
        <f t="shared" ref="T91" si="63">T46/1000</f>
        <v>2554.978804951751</v>
      </c>
    </row>
    <row r="92" spans="1:20" ht="15.75" customHeight="1">
      <c r="A92" s="14">
        <v>3.2</v>
      </c>
      <c r="B92" s="15" t="s">
        <v>49</v>
      </c>
      <c r="C92" s="14" t="s">
        <v>107</v>
      </c>
      <c r="D92" s="18"/>
      <c r="E92" s="18"/>
      <c r="F92" s="18"/>
      <c r="G92" s="18"/>
      <c r="H92" s="18"/>
      <c r="I92" s="18"/>
      <c r="J92" s="18"/>
      <c r="K92" s="18"/>
      <c r="L92" s="18"/>
      <c r="M92" s="18"/>
      <c r="N92" s="18"/>
      <c r="O92" s="18"/>
      <c r="P92" s="18"/>
      <c r="Q92" s="18"/>
      <c r="R92" s="18"/>
      <c r="S92" s="18"/>
      <c r="T92" s="18"/>
    </row>
    <row r="93" spans="1:20" ht="15.75" customHeight="1">
      <c r="A93" s="14">
        <v>3.3</v>
      </c>
      <c r="B93" s="15" t="s">
        <v>50</v>
      </c>
      <c r="C93" s="14" t="s">
        <v>107</v>
      </c>
      <c r="D93" s="18"/>
      <c r="E93" s="18"/>
      <c r="F93" s="18"/>
      <c r="G93" s="18"/>
      <c r="H93" s="18"/>
      <c r="I93" s="18"/>
      <c r="J93" s="18"/>
      <c r="K93" s="18"/>
      <c r="L93" s="18"/>
      <c r="M93" s="18"/>
      <c r="N93" s="18"/>
      <c r="O93" s="18"/>
      <c r="P93" s="18"/>
      <c r="Q93" s="18"/>
      <c r="R93" s="18"/>
      <c r="S93" s="18"/>
      <c r="T93" s="18"/>
    </row>
    <row r="94" spans="1:20" ht="15.75" customHeight="1">
      <c r="A94" s="14">
        <v>3.4</v>
      </c>
      <c r="B94" s="15" t="s">
        <v>46</v>
      </c>
      <c r="C94" s="14" t="s">
        <v>107</v>
      </c>
      <c r="D94" s="18"/>
      <c r="E94" s="18"/>
      <c r="F94" s="18"/>
      <c r="G94" s="18"/>
      <c r="H94" s="18"/>
      <c r="I94" s="18"/>
      <c r="J94" s="18"/>
      <c r="K94" s="18"/>
      <c r="L94" s="18"/>
      <c r="M94" s="18"/>
      <c r="N94" s="18"/>
      <c r="O94" s="18"/>
      <c r="P94" s="18"/>
      <c r="Q94" s="18"/>
      <c r="R94" s="18"/>
      <c r="S94" s="18"/>
      <c r="T94" s="18"/>
    </row>
    <row r="95" spans="1:20" ht="15.75" customHeight="1">
      <c r="A95" s="23">
        <v>4</v>
      </c>
      <c r="B95" s="24" t="s">
        <v>51</v>
      </c>
      <c r="C95" s="23" t="s">
        <v>107</v>
      </c>
      <c r="D95" s="25">
        <f t="shared" ref="D95:Q95" si="64">D96-D85-D86+D90</f>
        <v>590.07467352941183</v>
      </c>
      <c r="E95" s="25">
        <f t="shared" si="64"/>
        <v>899.01411932828807</v>
      </c>
      <c r="F95" s="25">
        <f t="shared" si="64"/>
        <v>819.94362352941175</v>
      </c>
      <c r="G95" s="25">
        <f t="shared" si="64"/>
        <v>589.37262542133533</v>
      </c>
      <c r="H95" s="25">
        <f t="shared" si="64"/>
        <v>599.48464333620586</v>
      </c>
      <c r="I95" s="25">
        <f t="shared" si="64"/>
        <v>3536345.0732561355</v>
      </c>
      <c r="J95" s="25">
        <f t="shared" si="64"/>
        <v>-257222.16890933175</v>
      </c>
      <c r="K95" s="25">
        <f t="shared" si="64"/>
        <v>-82781.79019169863</v>
      </c>
      <c r="L95" s="25">
        <f t="shared" si="64"/>
        <v>-63013.603315675828</v>
      </c>
      <c r="M95" s="25">
        <f t="shared" si="64"/>
        <v>-286207.85038206581</v>
      </c>
      <c r="N95" s="25">
        <f t="shared" si="64"/>
        <v>-74001.143001513483</v>
      </c>
      <c r="O95" s="25">
        <f t="shared" si="64"/>
        <v>84505.855243929662</v>
      </c>
      <c r="P95" s="25">
        <f t="shared" si="64"/>
        <v>347347.83832371118</v>
      </c>
      <c r="Q95" s="25">
        <f t="shared" si="64"/>
        <v>-79083.165340220061</v>
      </c>
      <c r="R95" s="25">
        <f t="shared" ref="R95:S95" si="65">R96-R85-R86+R90</f>
        <v>224075.64879526047</v>
      </c>
      <c r="S95" s="25">
        <f t="shared" si="65"/>
        <v>-104994.40122845444</v>
      </c>
      <c r="T95" s="25">
        <f t="shared" ref="T95" si="66">T96-T85-T86+T90</f>
        <v>-13944.538239144036</v>
      </c>
    </row>
    <row r="96" spans="1:20" ht="15.75" customHeight="1">
      <c r="A96" s="23">
        <v>5</v>
      </c>
      <c r="B96" s="24" t="s">
        <v>52</v>
      </c>
      <c r="C96" s="23" t="s">
        <v>107</v>
      </c>
      <c r="D96" s="25">
        <f t="shared" ref="D96:Q96" si="67">D9/1000</f>
        <v>0</v>
      </c>
      <c r="E96" s="25">
        <f t="shared" si="67"/>
        <v>0</v>
      </c>
      <c r="F96" s="25">
        <f t="shared" si="67"/>
        <v>0</v>
      </c>
      <c r="G96" s="25">
        <f t="shared" si="67"/>
        <v>0</v>
      </c>
      <c r="H96" s="25">
        <f t="shared" si="67"/>
        <v>0</v>
      </c>
      <c r="I96" s="25">
        <f t="shared" si="67"/>
        <v>3535732.5957970102</v>
      </c>
      <c r="J96" s="25">
        <f t="shared" si="67"/>
        <v>3277767.1622299999</v>
      </c>
      <c r="K96" s="25">
        <f t="shared" si="67"/>
        <v>3194045.3896114435</v>
      </c>
      <c r="L96" s="25">
        <f t="shared" si="67"/>
        <v>3130082.8684258768</v>
      </c>
      <c r="M96" s="25">
        <f t="shared" si="67"/>
        <v>2842908.0279999999</v>
      </c>
      <c r="N96" s="25">
        <f t="shared" si="67"/>
        <v>2767999.0864083036</v>
      </c>
      <c r="O96" s="25">
        <f t="shared" si="67"/>
        <v>2851070.2444083039</v>
      </c>
      <c r="P96" s="25">
        <f t="shared" si="67"/>
        <v>3197397.80134022</v>
      </c>
      <c r="Q96" s="25">
        <f t="shared" si="67"/>
        <v>3115958.764</v>
      </c>
      <c r="R96" s="25">
        <f t="shared" ref="R96:S96" si="68">R9/1000</f>
        <v>3338276.233</v>
      </c>
      <c r="S96" s="25">
        <f t="shared" si="68"/>
        <v>3231362.4890440959</v>
      </c>
      <c r="T96" s="25">
        <f t="shared" ref="T96" si="69">T9/1000</f>
        <v>3214862.9720000001</v>
      </c>
    </row>
    <row r="97" spans="1:20" ht="15.75" customHeight="1">
      <c r="A97" s="1"/>
      <c r="B97" s="2"/>
      <c r="C97" s="2"/>
      <c r="D97" s="20"/>
      <c r="E97" s="2"/>
      <c r="F97" s="2"/>
      <c r="G97" s="2"/>
      <c r="H97" s="2"/>
      <c r="I97" s="2"/>
      <c r="J97" s="2"/>
      <c r="K97" s="2"/>
      <c r="L97" s="2"/>
      <c r="M97" s="2"/>
      <c r="N97" s="2"/>
      <c r="O97" s="2"/>
      <c r="P97" s="2"/>
      <c r="Q97" s="2"/>
      <c r="R97" s="2"/>
      <c r="S97" s="2"/>
      <c r="T97" s="2"/>
    </row>
    <row r="98" spans="1:20" ht="15.75" customHeight="1">
      <c r="A98" s="28"/>
      <c r="B98" s="29" t="s">
        <v>53</v>
      </c>
      <c r="C98" s="30"/>
      <c r="D98" s="2"/>
      <c r="E98" s="2" t="b">
        <f t="shared" ref="E98:Q98" si="70">E85+E86-E90+E95=E96</f>
        <v>1</v>
      </c>
      <c r="F98" s="2" t="b">
        <f t="shared" si="70"/>
        <v>1</v>
      </c>
      <c r="G98" s="2" t="b">
        <f t="shared" si="70"/>
        <v>1</v>
      </c>
      <c r="H98" s="2" t="b">
        <f t="shared" si="70"/>
        <v>1</v>
      </c>
      <c r="I98" s="2" t="b">
        <f t="shared" si="70"/>
        <v>1</v>
      </c>
      <c r="J98" s="2" t="b">
        <f t="shared" si="70"/>
        <v>1</v>
      </c>
      <c r="K98" s="2" t="b">
        <f t="shared" si="70"/>
        <v>1</v>
      </c>
      <c r="L98" s="2" t="b">
        <f t="shared" si="70"/>
        <v>1</v>
      </c>
      <c r="M98" s="2" t="b">
        <f t="shared" si="70"/>
        <v>1</v>
      </c>
      <c r="N98" s="2" t="b">
        <f t="shared" si="70"/>
        <v>1</v>
      </c>
      <c r="O98" s="2" t="b">
        <f t="shared" si="70"/>
        <v>1</v>
      </c>
      <c r="P98" s="2" t="b">
        <f t="shared" si="70"/>
        <v>1</v>
      </c>
      <c r="Q98" s="2" t="b">
        <f t="shared" si="70"/>
        <v>1</v>
      </c>
      <c r="R98" s="2" t="b">
        <f t="shared" ref="R98:S98" si="71">R85+R86-R90+R95=R96</f>
        <v>1</v>
      </c>
      <c r="S98" s="2" t="b">
        <f t="shared" si="71"/>
        <v>1</v>
      </c>
      <c r="T98" s="2" t="b">
        <f t="shared" ref="T98" si="72">T85+T86-T90+T95=T96</f>
        <v>1</v>
      </c>
    </row>
    <row r="99" spans="1:20" ht="15.75" customHeight="1">
      <c r="A99" s="19"/>
      <c r="B99" s="2"/>
      <c r="C99" s="2"/>
      <c r="D99" s="2"/>
      <c r="E99" s="2"/>
      <c r="F99" s="2"/>
      <c r="G99" s="2"/>
      <c r="H99" s="2"/>
      <c r="I99" s="2"/>
      <c r="J99" s="2"/>
      <c r="K99" s="2"/>
      <c r="L99" s="2"/>
      <c r="M99" s="2"/>
      <c r="N99" s="2"/>
      <c r="O99" s="2"/>
      <c r="P99" s="2"/>
      <c r="Q99" s="2"/>
      <c r="R99" s="2"/>
      <c r="S99" s="2"/>
      <c r="T99" s="2"/>
    </row>
    <row r="100" spans="1:20" ht="15.75" customHeight="1">
      <c r="A100" s="19"/>
      <c r="B100" s="2"/>
      <c r="C100" s="2"/>
      <c r="D100" s="2"/>
      <c r="E100" s="2"/>
      <c r="F100" s="2"/>
      <c r="G100" s="2"/>
      <c r="H100" s="2"/>
      <c r="I100" s="2"/>
      <c r="J100" s="2"/>
      <c r="K100" s="2"/>
      <c r="L100" s="2"/>
      <c r="M100" s="2"/>
      <c r="N100" s="2"/>
      <c r="O100" s="2"/>
      <c r="P100" s="2"/>
      <c r="Q100" s="2"/>
      <c r="R100" s="2"/>
      <c r="S100" s="2"/>
      <c r="T100" s="2"/>
    </row>
    <row r="101" spans="1:20" ht="15.75" customHeight="1">
      <c r="A101" s="6" t="s">
        <v>101</v>
      </c>
      <c r="B101" s="2"/>
      <c r="C101" s="2"/>
      <c r="D101" s="2"/>
      <c r="E101" s="2"/>
      <c r="F101" s="2"/>
      <c r="G101" s="2"/>
      <c r="H101" s="2"/>
      <c r="I101" s="2"/>
      <c r="J101" s="2"/>
      <c r="K101" s="2"/>
      <c r="L101" s="2"/>
      <c r="M101" s="2"/>
      <c r="N101" s="2"/>
      <c r="O101" s="2"/>
      <c r="P101" s="2"/>
      <c r="Q101" s="2"/>
      <c r="R101" s="2"/>
      <c r="S101" s="2"/>
      <c r="T101" s="2"/>
    </row>
    <row r="102" spans="1:20" ht="15.75" customHeight="1" thickBot="1">
      <c r="A102" s="19"/>
      <c r="B102" s="2"/>
      <c r="C102" s="2"/>
      <c r="D102" s="2"/>
      <c r="E102" s="2"/>
      <c r="F102" s="2"/>
      <c r="G102" s="2"/>
      <c r="H102" s="2"/>
      <c r="I102" s="2"/>
      <c r="J102" s="2"/>
      <c r="K102" s="2"/>
      <c r="L102" s="2"/>
      <c r="M102" s="2"/>
      <c r="N102" s="2"/>
      <c r="O102" s="2"/>
      <c r="P102" s="2"/>
      <c r="Q102" s="2"/>
      <c r="R102" s="2"/>
      <c r="S102" s="2"/>
      <c r="T102" s="2"/>
    </row>
    <row r="103" spans="1:20" ht="15.75" customHeight="1" thickBot="1">
      <c r="A103" s="79" t="s">
        <v>3</v>
      </c>
      <c r="B103" s="77" t="s">
        <v>4</v>
      </c>
      <c r="C103" s="78" t="s">
        <v>5</v>
      </c>
      <c r="D103" s="78">
        <f t="shared" ref="D103:T103" si="73">D$3</f>
        <v>2008</v>
      </c>
      <c r="E103" s="78">
        <f t="shared" si="73"/>
        <v>2009</v>
      </c>
      <c r="F103" s="78">
        <f t="shared" si="73"/>
        <v>2010</v>
      </c>
      <c r="G103" s="78">
        <f t="shared" si="73"/>
        <v>2011</v>
      </c>
      <c r="H103" s="78">
        <f t="shared" si="73"/>
        <v>2012</v>
      </c>
      <c r="I103" s="78">
        <f t="shared" si="73"/>
        <v>2013</v>
      </c>
      <c r="J103" s="78">
        <f t="shared" si="73"/>
        <v>2014</v>
      </c>
      <c r="K103" s="78">
        <f t="shared" si="73"/>
        <v>2015</v>
      </c>
      <c r="L103" s="78">
        <f t="shared" si="73"/>
        <v>2016</v>
      </c>
      <c r="M103" s="78">
        <f t="shared" si="73"/>
        <v>2017</v>
      </c>
      <c r="N103" s="78">
        <f t="shared" si="73"/>
        <v>2018</v>
      </c>
      <c r="O103" s="78">
        <f t="shared" si="73"/>
        <v>2019</v>
      </c>
      <c r="P103" s="78">
        <f t="shared" si="73"/>
        <v>2020</v>
      </c>
      <c r="Q103" s="78">
        <f t="shared" si="73"/>
        <v>2021</v>
      </c>
      <c r="R103" s="78">
        <f t="shared" si="73"/>
        <v>2022</v>
      </c>
      <c r="S103" s="78">
        <f t="shared" si="73"/>
        <v>2023</v>
      </c>
      <c r="T103" s="78">
        <f t="shared" si="73"/>
        <v>2024</v>
      </c>
    </row>
    <row r="104" spans="1:20" ht="15.75" customHeight="1">
      <c r="A104" s="9">
        <v>-1</v>
      </c>
      <c r="B104" s="9">
        <f t="shared" ref="B104:T104" si="74">A104-1</f>
        <v>-2</v>
      </c>
      <c r="C104" s="9">
        <f t="shared" si="74"/>
        <v>-3</v>
      </c>
      <c r="D104" s="9">
        <f t="shared" si="74"/>
        <v>-4</v>
      </c>
      <c r="E104" s="9">
        <f t="shared" si="74"/>
        <v>-5</v>
      </c>
      <c r="F104" s="9">
        <f t="shared" si="74"/>
        <v>-6</v>
      </c>
      <c r="G104" s="9">
        <f t="shared" si="74"/>
        <v>-7</v>
      </c>
      <c r="H104" s="9">
        <f t="shared" si="74"/>
        <v>-8</v>
      </c>
      <c r="I104" s="9">
        <f t="shared" si="74"/>
        <v>-9</v>
      </c>
      <c r="J104" s="9">
        <f t="shared" si="74"/>
        <v>-10</v>
      </c>
      <c r="K104" s="9">
        <f t="shared" si="74"/>
        <v>-11</v>
      </c>
      <c r="L104" s="9">
        <f t="shared" si="74"/>
        <v>-12</v>
      </c>
      <c r="M104" s="9">
        <f t="shared" si="74"/>
        <v>-13</v>
      </c>
      <c r="N104" s="9">
        <f t="shared" si="74"/>
        <v>-14</v>
      </c>
      <c r="O104" s="9">
        <f t="shared" si="74"/>
        <v>-15</v>
      </c>
      <c r="P104" s="9">
        <f t="shared" si="74"/>
        <v>-16</v>
      </c>
      <c r="Q104" s="9">
        <f t="shared" si="74"/>
        <v>-17</v>
      </c>
      <c r="R104" s="9">
        <f t="shared" si="74"/>
        <v>-18</v>
      </c>
      <c r="S104" s="9">
        <f t="shared" si="74"/>
        <v>-19</v>
      </c>
      <c r="T104" s="9">
        <f t="shared" si="74"/>
        <v>-20</v>
      </c>
    </row>
    <row r="105" spans="1:20" ht="15.75" customHeight="1">
      <c r="A105" s="23">
        <v>1</v>
      </c>
      <c r="B105" s="24" t="s">
        <v>41</v>
      </c>
      <c r="C105" s="23" t="s">
        <v>84</v>
      </c>
      <c r="D105" s="25"/>
      <c r="E105" s="25">
        <f t="shared" ref="E105:T105" si="75">D24</f>
        <v>0</v>
      </c>
      <c r="F105" s="25">
        <f t="shared" si="75"/>
        <v>0</v>
      </c>
      <c r="G105" s="25">
        <f t="shared" si="75"/>
        <v>0</v>
      </c>
      <c r="H105" s="25">
        <f t="shared" si="75"/>
        <v>0</v>
      </c>
      <c r="I105" s="25">
        <f t="shared" si="75"/>
        <v>13465</v>
      </c>
      <c r="J105" s="25">
        <f t="shared" si="75"/>
        <v>14056.498905826986</v>
      </c>
      <c r="K105" s="25">
        <f t="shared" si="75"/>
        <v>14047.40190891977</v>
      </c>
      <c r="L105" s="25">
        <f t="shared" si="75"/>
        <v>13029.442849930078</v>
      </c>
      <c r="M105" s="25">
        <f t="shared" si="75"/>
        <v>13827.635354105956</v>
      </c>
      <c r="N105" s="25">
        <f t="shared" si="75"/>
        <v>5681.87194</v>
      </c>
      <c r="O105" s="25">
        <f t="shared" si="75"/>
        <v>13179.200563465332</v>
      </c>
      <c r="P105" s="25">
        <f t="shared" si="75"/>
        <v>13129.596218225333</v>
      </c>
      <c r="Q105" s="25">
        <f t="shared" si="75"/>
        <v>11456.637637430289</v>
      </c>
      <c r="R105" s="25">
        <f t="shared" si="75"/>
        <v>11540</v>
      </c>
      <c r="S105" s="25">
        <f t="shared" si="75"/>
        <v>44286.6</v>
      </c>
      <c r="T105" s="25">
        <f t="shared" si="75"/>
        <v>42657.384220725791</v>
      </c>
    </row>
    <row r="106" spans="1:20" ht="15.75" customHeight="1">
      <c r="A106" s="23">
        <v>2</v>
      </c>
      <c r="B106" s="24" t="s">
        <v>43</v>
      </c>
      <c r="C106" s="23" t="s">
        <v>84</v>
      </c>
      <c r="D106" s="25">
        <f t="shared" ref="D106:Q106" si="76">SUM(D107:D109)</f>
        <v>0</v>
      </c>
      <c r="E106" s="25">
        <f t="shared" si="76"/>
        <v>0</v>
      </c>
      <c r="F106" s="25">
        <f t="shared" si="76"/>
        <v>0</v>
      </c>
      <c r="G106" s="25">
        <f t="shared" si="76"/>
        <v>0</v>
      </c>
      <c r="H106" s="25">
        <f t="shared" si="76"/>
        <v>0</v>
      </c>
      <c r="I106" s="25">
        <f t="shared" si="76"/>
        <v>0</v>
      </c>
      <c r="J106" s="25">
        <f t="shared" si="76"/>
        <v>0</v>
      </c>
      <c r="K106" s="25">
        <f t="shared" si="76"/>
        <v>0</v>
      </c>
      <c r="L106" s="25">
        <f t="shared" si="76"/>
        <v>0</v>
      </c>
      <c r="M106" s="25">
        <f t="shared" si="76"/>
        <v>0</v>
      </c>
      <c r="N106" s="25">
        <f t="shared" si="76"/>
        <v>0</v>
      </c>
      <c r="O106" s="25">
        <f t="shared" si="76"/>
        <v>0</v>
      </c>
      <c r="P106" s="25">
        <f t="shared" si="76"/>
        <v>0</v>
      </c>
      <c r="Q106" s="25">
        <f t="shared" si="76"/>
        <v>0</v>
      </c>
      <c r="R106" s="25">
        <f t="shared" ref="R106:S106" si="77">SUM(R107:R109)</f>
        <v>0</v>
      </c>
      <c r="S106" s="25">
        <f t="shared" si="77"/>
        <v>0</v>
      </c>
      <c r="T106" s="25">
        <f t="shared" ref="T106" si="78">SUM(T107:T109)</f>
        <v>0</v>
      </c>
    </row>
    <row r="107" spans="1:20" ht="15.75" customHeight="1">
      <c r="A107" s="14">
        <v>2.1</v>
      </c>
      <c r="B107" s="15" t="s">
        <v>44</v>
      </c>
      <c r="C107" s="14" t="s">
        <v>84</v>
      </c>
      <c r="D107" s="18"/>
      <c r="E107" s="18"/>
      <c r="F107" s="18"/>
      <c r="G107" s="18"/>
      <c r="H107" s="18"/>
      <c r="I107" s="18"/>
      <c r="J107" s="18"/>
      <c r="K107" s="18"/>
      <c r="L107" s="18"/>
      <c r="M107" s="18"/>
      <c r="N107" s="18"/>
      <c r="O107" s="18"/>
      <c r="P107" s="18"/>
      <c r="Q107" s="18"/>
      <c r="R107" s="18"/>
      <c r="S107" s="18"/>
      <c r="T107" s="18"/>
    </row>
    <row r="108" spans="1:20" ht="15.75" customHeight="1">
      <c r="A108" s="14">
        <v>2.2000000000000002</v>
      </c>
      <c r="B108" s="15" t="s">
        <v>45</v>
      </c>
      <c r="C108" s="14" t="s">
        <v>84</v>
      </c>
      <c r="D108" s="18"/>
      <c r="E108" s="18"/>
      <c r="F108" s="18"/>
      <c r="G108" s="18"/>
      <c r="H108" s="18"/>
      <c r="I108" s="18"/>
      <c r="J108" s="18"/>
      <c r="K108" s="18"/>
      <c r="L108" s="18"/>
      <c r="M108" s="18"/>
      <c r="N108" s="18"/>
      <c r="O108" s="18"/>
      <c r="P108" s="18"/>
      <c r="Q108" s="18"/>
      <c r="R108" s="18"/>
      <c r="S108" s="18"/>
      <c r="T108" s="18"/>
    </row>
    <row r="109" spans="1:20" ht="15.75" customHeight="1">
      <c r="A109" s="14">
        <v>2.2999999999999998</v>
      </c>
      <c r="B109" s="15" t="s">
        <v>46</v>
      </c>
      <c r="C109" s="14" t="s">
        <v>84</v>
      </c>
      <c r="D109" s="18"/>
      <c r="E109" s="18"/>
      <c r="F109" s="18"/>
      <c r="G109" s="18"/>
      <c r="H109" s="18"/>
      <c r="I109" s="18"/>
      <c r="J109" s="18"/>
      <c r="K109" s="18"/>
      <c r="L109" s="18"/>
      <c r="M109" s="18"/>
      <c r="N109" s="18"/>
      <c r="O109" s="18"/>
      <c r="P109" s="18"/>
      <c r="Q109" s="18"/>
      <c r="R109" s="18"/>
      <c r="S109" s="18"/>
      <c r="T109" s="18"/>
    </row>
    <row r="110" spans="1:20" ht="15.75" customHeight="1">
      <c r="A110" s="23">
        <v>3</v>
      </c>
      <c r="B110" s="24" t="s">
        <v>47</v>
      </c>
      <c r="C110" s="23" t="s">
        <v>84</v>
      </c>
      <c r="D110" s="25">
        <f t="shared" ref="D110:Q110" si="79">SUM(D111:D114)</f>
        <v>200.62538900000001</v>
      </c>
      <c r="E110" s="25">
        <f t="shared" si="79"/>
        <v>305.664800571618</v>
      </c>
      <c r="F110" s="25">
        <f t="shared" si="79"/>
        <v>278.78083199999998</v>
      </c>
      <c r="G110" s="25">
        <f t="shared" si="79"/>
        <v>200.38669264325401</v>
      </c>
      <c r="H110" s="25">
        <f t="shared" si="79"/>
        <v>203.82477873431</v>
      </c>
      <c r="I110" s="25">
        <f t="shared" si="79"/>
        <v>208.24233610264201</v>
      </c>
      <c r="J110" s="25">
        <f t="shared" si="79"/>
        <v>252.70998361072</v>
      </c>
      <c r="K110" s="25">
        <f t="shared" si="79"/>
        <v>319.594025131639</v>
      </c>
      <c r="L110" s="25">
        <f t="shared" si="79"/>
        <v>322.63207576288653</v>
      </c>
      <c r="M110" s="25">
        <f t="shared" si="79"/>
        <v>328.77661489577258</v>
      </c>
      <c r="N110" s="25">
        <f t="shared" si="79"/>
        <v>308.65152066217297</v>
      </c>
      <c r="O110" s="25">
        <f t="shared" si="79"/>
        <v>487.79706293598747</v>
      </c>
      <c r="P110" s="25">
        <f t="shared" si="79"/>
        <v>346.89567321030137</v>
      </c>
      <c r="Q110" s="25">
        <f t="shared" si="79"/>
        <v>385.69900407411046</v>
      </c>
      <c r="R110" s="25">
        <f t="shared" ref="R110:S110" si="80">SUM(R111:R114)</f>
        <v>456.21594104105856</v>
      </c>
      <c r="S110" s="25">
        <f t="shared" si="80"/>
        <v>300.16074706456686</v>
      </c>
      <c r="T110" s="25">
        <f t="shared" ref="T110" si="81">SUM(T111:T114)</f>
        <v>543.15776898247771</v>
      </c>
    </row>
    <row r="111" spans="1:20" ht="15.75" customHeight="1">
      <c r="A111" s="14">
        <v>3.1</v>
      </c>
      <c r="B111" s="15" t="s">
        <v>48</v>
      </c>
      <c r="C111" s="14" t="s">
        <v>84</v>
      </c>
      <c r="D111" s="18">
        <f t="shared" ref="D111:Q111" si="82">D45</f>
        <v>200.62538900000001</v>
      </c>
      <c r="E111" s="18">
        <f t="shared" si="82"/>
        <v>305.664800571618</v>
      </c>
      <c r="F111" s="18">
        <f t="shared" si="82"/>
        <v>278.78083199999998</v>
      </c>
      <c r="G111" s="18">
        <f t="shared" si="82"/>
        <v>200.38669264325401</v>
      </c>
      <c r="H111" s="18">
        <f t="shared" si="82"/>
        <v>203.82477873431</v>
      </c>
      <c r="I111" s="18">
        <f t="shared" si="82"/>
        <v>208.24233610264201</v>
      </c>
      <c r="J111" s="18">
        <f t="shared" si="82"/>
        <v>252.70998361072</v>
      </c>
      <c r="K111" s="18">
        <f t="shared" si="82"/>
        <v>319.594025131639</v>
      </c>
      <c r="L111" s="18">
        <f t="shared" si="82"/>
        <v>322.63207576288653</v>
      </c>
      <c r="M111" s="18">
        <f t="shared" si="82"/>
        <v>328.77661489577258</v>
      </c>
      <c r="N111" s="18">
        <f t="shared" si="82"/>
        <v>308.65152066217297</v>
      </c>
      <c r="O111" s="18">
        <f t="shared" si="82"/>
        <v>487.79706293598747</v>
      </c>
      <c r="P111" s="18">
        <f t="shared" si="82"/>
        <v>346.89567321030137</v>
      </c>
      <c r="Q111" s="18">
        <f t="shared" si="82"/>
        <v>385.69900407411046</v>
      </c>
      <c r="R111" s="18">
        <f t="shared" ref="R111:S111" si="83">R45</f>
        <v>456.21594104105856</v>
      </c>
      <c r="S111" s="18">
        <f t="shared" si="83"/>
        <v>300.16074706456686</v>
      </c>
      <c r="T111" s="18">
        <f t="shared" ref="T111" si="84">T45</f>
        <v>543.15776898247771</v>
      </c>
    </row>
    <row r="112" spans="1:20" ht="15.75" customHeight="1">
      <c r="A112" s="14">
        <v>3.2</v>
      </c>
      <c r="B112" s="15" t="s">
        <v>49</v>
      </c>
      <c r="C112" s="14" t="s">
        <v>84</v>
      </c>
      <c r="D112" s="18"/>
      <c r="E112" s="18"/>
      <c r="F112" s="18"/>
      <c r="G112" s="18"/>
      <c r="H112" s="18"/>
      <c r="I112" s="18"/>
      <c r="J112" s="18"/>
      <c r="K112" s="18"/>
      <c r="L112" s="18"/>
      <c r="M112" s="18"/>
      <c r="N112" s="18"/>
      <c r="O112" s="18"/>
      <c r="P112" s="18"/>
      <c r="Q112" s="18"/>
      <c r="R112" s="18"/>
      <c r="S112" s="18"/>
      <c r="T112" s="18"/>
    </row>
    <row r="113" spans="1:20" ht="15.75" customHeight="1">
      <c r="A113" s="14">
        <v>3.3</v>
      </c>
      <c r="B113" s="15" t="s">
        <v>50</v>
      </c>
      <c r="C113" s="14" t="s">
        <v>84</v>
      </c>
      <c r="D113" s="18"/>
      <c r="E113" s="18"/>
      <c r="F113" s="18"/>
      <c r="G113" s="18"/>
      <c r="H113" s="18"/>
      <c r="I113" s="18"/>
      <c r="J113" s="18"/>
      <c r="K113" s="18"/>
      <c r="L113" s="18"/>
      <c r="M113" s="18"/>
      <c r="N113" s="18"/>
      <c r="O113" s="18"/>
      <c r="P113" s="18"/>
      <c r="Q113" s="18"/>
      <c r="R113" s="18"/>
      <c r="S113" s="18"/>
      <c r="T113" s="18"/>
    </row>
    <row r="114" spans="1:20" ht="15.75" customHeight="1">
      <c r="A114" s="14">
        <v>3.4</v>
      </c>
      <c r="B114" s="15" t="s">
        <v>46</v>
      </c>
      <c r="C114" s="14" t="s">
        <v>84</v>
      </c>
      <c r="D114" s="18"/>
      <c r="E114" s="18"/>
      <c r="F114" s="18"/>
      <c r="G114" s="18"/>
      <c r="H114" s="18"/>
      <c r="I114" s="18"/>
      <c r="J114" s="18"/>
      <c r="K114" s="18"/>
      <c r="L114" s="18"/>
      <c r="M114" s="18"/>
      <c r="N114" s="18"/>
      <c r="O114" s="18"/>
      <c r="P114" s="18"/>
      <c r="Q114" s="18"/>
      <c r="R114" s="18"/>
      <c r="S114" s="18"/>
      <c r="T114" s="18"/>
    </row>
    <row r="115" spans="1:20" ht="15.75" customHeight="1">
      <c r="A115" s="23">
        <v>4</v>
      </c>
      <c r="B115" s="24" t="s">
        <v>51</v>
      </c>
      <c r="C115" s="23" t="s">
        <v>84</v>
      </c>
      <c r="D115" s="25">
        <f t="shared" ref="D115:Q115" si="85">D116-D105-D106+D110</f>
        <v>200.62538900000001</v>
      </c>
      <c r="E115" s="25">
        <f t="shared" si="85"/>
        <v>305.664800571618</v>
      </c>
      <c r="F115" s="25">
        <f t="shared" si="85"/>
        <v>278.78083199999998</v>
      </c>
      <c r="G115" s="25">
        <f t="shared" si="85"/>
        <v>200.38669264325401</v>
      </c>
      <c r="H115" s="25">
        <f t="shared" si="85"/>
        <v>13668.82477873431</v>
      </c>
      <c r="I115" s="25">
        <f t="shared" si="85"/>
        <v>799.74124192962768</v>
      </c>
      <c r="J115" s="25">
        <f t="shared" si="85"/>
        <v>243.61298670350428</v>
      </c>
      <c r="K115" s="25">
        <f t="shared" si="85"/>
        <v>-698.36503385805349</v>
      </c>
      <c r="L115" s="25">
        <f t="shared" si="85"/>
        <v>1120.8245799387651</v>
      </c>
      <c r="M115" s="25">
        <f t="shared" si="85"/>
        <v>-7816.9867992101836</v>
      </c>
      <c r="N115" s="25">
        <f t="shared" si="85"/>
        <v>7805.9801441275049</v>
      </c>
      <c r="O115" s="25">
        <f t="shared" si="85"/>
        <v>438.19271769598845</v>
      </c>
      <c r="P115" s="25">
        <f t="shared" si="85"/>
        <v>-1326.062907584743</v>
      </c>
      <c r="Q115" s="25">
        <f t="shared" si="85"/>
        <v>469.06136664382143</v>
      </c>
      <c r="R115" s="25">
        <f t="shared" ref="R115:S115" si="86">R116-R105-R106+R110</f>
        <v>33202.815941041059</v>
      </c>
      <c r="S115" s="25">
        <f t="shared" si="86"/>
        <v>-1329.0550322096406</v>
      </c>
      <c r="T115" s="25">
        <f t="shared" ref="T115" si="87">T116-T105-T106+T110</f>
        <v>478.77354825668647</v>
      </c>
    </row>
    <row r="116" spans="1:20" ht="15.75" customHeight="1">
      <c r="A116" s="23">
        <v>5</v>
      </c>
      <c r="B116" s="24" t="s">
        <v>52</v>
      </c>
      <c r="C116" s="23" t="s">
        <v>84</v>
      </c>
      <c r="D116" s="25">
        <f t="shared" ref="D116:Q116" si="88">D24</f>
        <v>0</v>
      </c>
      <c r="E116" s="25">
        <f t="shared" si="88"/>
        <v>0</v>
      </c>
      <c r="F116" s="25">
        <f t="shared" si="88"/>
        <v>0</v>
      </c>
      <c r="G116" s="25">
        <f t="shared" si="88"/>
        <v>0</v>
      </c>
      <c r="H116" s="25">
        <f t="shared" si="88"/>
        <v>13465</v>
      </c>
      <c r="I116" s="25">
        <f t="shared" si="88"/>
        <v>14056.498905826986</v>
      </c>
      <c r="J116" s="25">
        <f t="shared" si="88"/>
        <v>14047.40190891977</v>
      </c>
      <c r="K116" s="25">
        <f t="shared" si="88"/>
        <v>13029.442849930078</v>
      </c>
      <c r="L116" s="25">
        <f t="shared" si="88"/>
        <v>13827.635354105956</v>
      </c>
      <c r="M116" s="25">
        <f t="shared" si="88"/>
        <v>5681.87194</v>
      </c>
      <c r="N116" s="25">
        <f t="shared" si="88"/>
        <v>13179.200563465332</v>
      </c>
      <c r="O116" s="25">
        <f t="shared" si="88"/>
        <v>13129.596218225333</v>
      </c>
      <c r="P116" s="25">
        <f t="shared" si="88"/>
        <v>11456.637637430289</v>
      </c>
      <c r="Q116" s="25">
        <f t="shared" si="88"/>
        <v>11540</v>
      </c>
      <c r="R116" s="25">
        <f t="shared" ref="R116:S116" si="89">R24</f>
        <v>44286.6</v>
      </c>
      <c r="S116" s="25">
        <f t="shared" si="89"/>
        <v>42657.384220725791</v>
      </c>
      <c r="T116" s="25">
        <f t="shared" ref="T116" si="90">T24</f>
        <v>42593</v>
      </c>
    </row>
    <row r="117" spans="1:20" ht="15.75" customHeight="1">
      <c r="A117" s="1"/>
      <c r="B117" s="2"/>
      <c r="C117" s="2"/>
      <c r="D117" s="20"/>
      <c r="E117" s="2"/>
      <c r="F117" s="2"/>
      <c r="G117" s="2"/>
      <c r="H117" s="2"/>
      <c r="I117" s="2"/>
      <c r="J117" s="2"/>
      <c r="K117" s="2"/>
      <c r="L117" s="2"/>
      <c r="M117" s="2"/>
      <c r="N117" s="2"/>
      <c r="O117" s="2"/>
      <c r="P117" s="2"/>
      <c r="Q117" s="2"/>
      <c r="R117" s="2"/>
      <c r="S117" s="2"/>
      <c r="T117" s="2"/>
    </row>
    <row r="118" spans="1:20" ht="15.75" customHeight="1">
      <c r="A118" s="28"/>
      <c r="B118" s="29" t="s">
        <v>53</v>
      </c>
      <c r="C118" s="30"/>
      <c r="D118" s="2"/>
      <c r="E118" s="2" t="b">
        <f t="shared" ref="E118:Q118" si="91">E105+E106-E110+E115=E116</f>
        <v>1</v>
      </c>
      <c r="F118" s="2" t="b">
        <f t="shared" si="91"/>
        <v>1</v>
      </c>
      <c r="G118" s="2" t="b">
        <f t="shared" si="91"/>
        <v>1</v>
      </c>
      <c r="H118" s="2" t="b">
        <f t="shared" si="91"/>
        <v>1</v>
      </c>
      <c r="I118" s="2" t="b">
        <f t="shared" si="91"/>
        <v>1</v>
      </c>
      <c r="J118" s="2" t="b">
        <f t="shared" si="91"/>
        <v>1</v>
      </c>
      <c r="K118" s="2" t="b">
        <f t="shared" si="91"/>
        <v>1</v>
      </c>
      <c r="L118" s="2" t="b">
        <f t="shared" si="91"/>
        <v>1</v>
      </c>
      <c r="M118" s="2" t="b">
        <f t="shared" si="91"/>
        <v>1</v>
      </c>
      <c r="N118" s="2" t="b">
        <f t="shared" si="91"/>
        <v>1</v>
      </c>
      <c r="O118" s="2" t="b">
        <f t="shared" si="91"/>
        <v>1</v>
      </c>
      <c r="P118" s="2" t="b">
        <f t="shared" si="91"/>
        <v>1</v>
      </c>
      <c r="Q118" s="2" t="b">
        <f t="shared" si="91"/>
        <v>1</v>
      </c>
      <c r="R118" s="2" t="b">
        <f t="shared" ref="R118:S118" si="92">R105+R106-R110+R115=R116</f>
        <v>1</v>
      </c>
      <c r="S118" s="2" t="b">
        <f t="shared" si="92"/>
        <v>1</v>
      </c>
      <c r="T118" s="2" t="b">
        <f t="shared" ref="T118" si="93">T105+T106-T110+T115=T116</f>
        <v>1</v>
      </c>
    </row>
    <row r="119" spans="1:20" ht="15.75" customHeight="1">
      <c r="A119" s="1"/>
      <c r="B119" s="2"/>
      <c r="C119" s="2"/>
      <c r="D119" s="20"/>
      <c r="E119" s="2"/>
      <c r="F119" s="2"/>
      <c r="G119" s="2"/>
      <c r="H119" s="2"/>
      <c r="I119" s="2"/>
      <c r="J119" s="2"/>
      <c r="K119" s="2"/>
      <c r="L119" s="2"/>
      <c r="M119" s="2"/>
      <c r="N119" s="2"/>
      <c r="O119" s="2"/>
      <c r="P119" s="2"/>
      <c r="Q119" s="2"/>
      <c r="R119" s="2"/>
      <c r="S119" s="2"/>
      <c r="T119" s="2"/>
    </row>
    <row r="120" spans="1:20" ht="15.75" customHeight="1">
      <c r="A120" s="6" t="s">
        <v>102</v>
      </c>
      <c r="B120" s="2"/>
      <c r="C120" s="2"/>
      <c r="D120" s="2"/>
      <c r="E120" s="2"/>
      <c r="F120" s="2"/>
      <c r="G120" s="2"/>
      <c r="H120" s="2"/>
      <c r="I120" s="2"/>
      <c r="J120" s="2"/>
      <c r="K120" s="2"/>
      <c r="L120" s="2"/>
      <c r="M120" s="2"/>
      <c r="N120" s="2"/>
      <c r="O120" s="2"/>
      <c r="P120" s="2"/>
      <c r="Q120" s="2"/>
      <c r="R120" s="2"/>
      <c r="S120" s="2"/>
      <c r="T120" s="2"/>
    </row>
    <row r="121" spans="1:20" ht="15.75" customHeight="1" thickBot="1">
      <c r="A121" s="7"/>
      <c r="B121" s="2"/>
      <c r="C121" s="2"/>
      <c r="D121" s="2"/>
      <c r="E121" s="2"/>
      <c r="F121" s="2"/>
      <c r="G121" s="2"/>
      <c r="H121" s="2"/>
      <c r="I121" s="2"/>
      <c r="J121" s="2"/>
      <c r="K121" s="2"/>
      <c r="L121" s="2"/>
      <c r="M121" s="2"/>
      <c r="N121" s="2"/>
      <c r="O121" s="2"/>
      <c r="P121" s="2"/>
      <c r="Q121" s="2"/>
      <c r="R121" s="2"/>
      <c r="S121" s="2"/>
      <c r="T121" s="2"/>
    </row>
    <row r="122" spans="1:20" ht="15.75" customHeight="1" thickBot="1">
      <c r="A122" s="79" t="s">
        <v>3</v>
      </c>
      <c r="B122" s="77" t="s">
        <v>4</v>
      </c>
      <c r="C122" s="78" t="s">
        <v>5</v>
      </c>
      <c r="D122" s="78">
        <f t="shared" ref="D122:T122" si="94">D$3</f>
        <v>2008</v>
      </c>
      <c r="E122" s="78">
        <f t="shared" si="94"/>
        <v>2009</v>
      </c>
      <c r="F122" s="78">
        <f t="shared" si="94"/>
        <v>2010</v>
      </c>
      <c r="G122" s="78">
        <f t="shared" si="94"/>
        <v>2011</v>
      </c>
      <c r="H122" s="78">
        <f t="shared" si="94"/>
        <v>2012</v>
      </c>
      <c r="I122" s="78">
        <f t="shared" si="94"/>
        <v>2013</v>
      </c>
      <c r="J122" s="78">
        <f t="shared" si="94"/>
        <v>2014</v>
      </c>
      <c r="K122" s="78">
        <f t="shared" si="94"/>
        <v>2015</v>
      </c>
      <c r="L122" s="78">
        <f t="shared" si="94"/>
        <v>2016</v>
      </c>
      <c r="M122" s="78">
        <f t="shared" si="94"/>
        <v>2017</v>
      </c>
      <c r="N122" s="78">
        <f t="shared" si="94"/>
        <v>2018</v>
      </c>
      <c r="O122" s="78">
        <f t="shared" si="94"/>
        <v>2019</v>
      </c>
      <c r="P122" s="78">
        <f t="shared" si="94"/>
        <v>2020</v>
      </c>
      <c r="Q122" s="78">
        <f t="shared" si="94"/>
        <v>2021</v>
      </c>
      <c r="R122" s="78">
        <f t="shared" si="94"/>
        <v>2022</v>
      </c>
      <c r="S122" s="78">
        <f t="shared" si="94"/>
        <v>2023</v>
      </c>
      <c r="T122" s="78">
        <f t="shared" si="94"/>
        <v>2024</v>
      </c>
    </row>
    <row r="123" spans="1:20" ht="15.75" customHeight="1">
      <c r="A123" s="9">
        <v>-1</v>
      </c>
      <c r="B123" s="9">
        <f t="shared" ref="B123:T123" si="95">A123-1</f>
        <v>-2</v>
      </c>
      <c r="C123" s="9">
        <f t="shared" si="95"/>
        <v>-3</v>
      </c>
      <c r="D123" s="9">
        <f t="shared" si="95"/>
        <v>-4</v>
      </c>
      <c r="E123" s="9">
        <f t="shared" si="95"/>
        <v>-5</v>
      </c>
      <c r="F123" s="9">
        <f t="shared" si="95"/>
        <v>-6</v>
      </c>
      <c r="G123" s="9">
        <f t="shared" si="95"/>
        <v>-7</v>
      </c>
      <c r="H123" s="9">
        <f t="shared" si="95"/>
        <v>-8</v>
      </c>
      <c r="I123" s="9">
        <f t="shared" si="95"/>
        <v>-9</v>
      </c>
      <c r="J123" s="9">
        <f t="shared" si="95"/>
        <v>-10</v>
      </c>
      <c r="K123" s="9">
        <f t="shared" si="95"/>
        <v>-11</v>
      </c>
      <c r="L123" s="9">
        <f t="shared" si="95"/>
        <v>-12</v>
      </c>
      <c r="M123" s="9">
        <f t="shared" si="95"/>
        <v>-13</v>
      </c>
      <c r="N123" s="9">
        <f t="shared" si="95"/>
        <v>-14</v>
      </c>
      <c r="O123" s="9">
        <f t="shared" si="95"/>
        <v>-15</v>
      </c>
      <c r="P123" s="9">
        <f t="shared" si="95"/>
        <v>-16</v>
      </c>
      <c r="Q123" s="9">
        <f t="shared" si="95"/>
        <v>-17</v>
      </c>
      <c r="R123" s="9">
        <f t="shared" si="95"/>
        <v>-18</v>
      </c>
      <c r="S123" s="9">
        <f t="shared" si="95"/>
        <v>-19</v>
      </c>
      <c r="T123" s="9">
        <f t="shared" si="95"/>
        <v>-20</v>
      </c>
    </row>
    <row r="124" spans="1:20" ht="15.75" customHeight="1">
      <c r="A124" s="14">
        <v>1</v>
      </c>
      <c r="B124" s="15" t="s">
        <v>55</v>
      </c>
      <c r="C124" s="14" t="s">
        <v>96</v>
      </c>
      <c r="D124" s="18">
        <f t="shared" ref="D124:Q124" si="96">D78</f>
        <v>3645.0552879347197</v>
      </c>
      <c r="E124" s="18">
        <f t="shared" si="96"/>
        <v>3968.9345994130827</v>
      </c>
      <c r="F124" s="18">
        <f t="shared" si="96"/>
        <v>3786.3353369750384</v>
      </c>
      <c r="G124" s="18">
        <f t="shared" si="96"/>
        <v>5026.1867951335398</v>
      </c>
      <c r="H124" s="18">
        <f t="shared" si="96"/>
        <v>5816.0972801830676</v>
      </c>
      <c r="I124" s="18">
        <f t="shared" si="96"/>
        <v>5245.9573395681882</v>
      </c>
      <c r="J124" s="18">
        <f t="shared" si="96"/>
        <v>4675.8173989533097</v>
      </c>
      <c r="K124" s="18">
        <f t="shared" si="96"/>
        <v>4065.8677328120607</v>
      </c>
      <c r="L124" s="18">
        <f t="shared" si="96"/>
        <v>4421.264351805984</v>
      </c>
      <c r="M124" s="18">
        <f t="shared" si="96"/>
        <v>4065.8677328120602</v>
      </c>
      <c r="N124" s="18">
        <f t="shared" si="96"/>
        <v>1362.7843673806854</v>
      </c>
      <c r="O124" s="18">
        <f t="shared" si="96"/>
        <v>899.25685256607619</v>
      </c>
      <c r="P124" s="18">
        <f t="shared" si="96"/>
        <v>1207.5034527100606</v>
      </c>
      <c r="Q124" s="18">
        <f t="shared" si="96"/>
        <v>1258.9195117117479</v>
      </c>
      <c r="R124" s="18">
        <f t="shared" ref="R124:S124" si="97">R78</f>
        <v>815.85835720271632</v>
      </c>
      <c r="S124" s="18">
        <f t="shared" si="97"/>
        <v>1392.8138858855764</v>
      </c>
      <c r="T124" s="18">
        <f t="shared" ref="T124" si="98">T78</f>
        <v>1213.3903723436097</v>
      </c>
    </row>
    <row r="125" spans="1:20" ht="15.75" customHeight="1">
      <c r="A125" s="14">
        <f t="shared" ref="A125:A132" si="99">A124+1</f>
        <v>2</v>
      </c>
      <c r="B125" s="15" t="s">
        <v>56</v>
      </c>
      <c r="C125" s="14" t="s">
        <v>84</v>
      </c>
      <c r="D125" s="18">
        <f t="shared" ref="D125:Q125" si="100">D77</f>
        <v>200.62538900000001</v>
      </c>
      <c r="E125" s="18">
        <f t="shared" si="100"/>
        <v>305.664800571618</v>
      </c>
      <c r="F125" s="18">
        <f t="shared" si="100"/>
        <v>278.78083199999998</v>
      </c>
      <c r="G125" s="18">
        <f t="shared" si="100"/>
        <v>200.38669264325401</v>
      </c>
      <c r="H125" s="18">
        <f t="shared" si="100"/>
        <v>203.82477873431</v>
      </c>
      <c r="I125" s="18">
        <f t="shared" si="100"/>
        <v>208.24233610264201</v>
      </c>
      <c r="J125" s="18">
        <f t="shared" si="100"/>
        <v>252.70998361072</v>
      </c>
      <c r="K125" s="18">
        <f t="shared" si="100"/>
        <v>319.594025131639</v>
      </c>
      <c r="L125" s="18">
        <f t="shared" si="100"/>
        <v>322.63207576288653</v>
      </c>
      <c r="M125" s="18">
        <f t="shared" si="100"/>
        <v>328.77661489577258</v>
      </c>
      <c r="N125" s="18">
        <f t="shared" si="100"/>
        <v>308.65152066217297</v>
      </c>
      <c r="O125" s="18">
        <f t="shared" si="100"/>
        <v>487.79706293598747</v>
      </c>
      <c r="P125" s="18">
        <f t="shared" si="100"/>
        <v>346.89567321030137</v>
      </c>
      <c r="Q125" s="18">
        <f t="shared" si="100"/>
        <v>385.69900407411046</v>
      </c>
      <c r="R125" s="18">
        <f t="shared" ref="R125:S125" si="101">R77</f>
        <v>456.21594104105856</v>
      </c>
      <c r="S125" s="18">
        <f t="shared" si="101"/>
        <v>300.16074706456686</v>
      </c>
      <c r="T125" s="18">
        <f t="shared" ref="T125" si="102">T77</f>
        <v>543.15776898247771</v>
      </c>
    </row>
    <row r="126" spans="1:20" ht="15.75" customHeight="1">
      <c r="A126" s="14">
        <f t="shared" si="99"/>
        <v>3</v>
      </c>
      <c r="B126" s="15" t="s">
        <v>57</v>
      </c>
      <c r="C126" s="14" t="s">
        <v>58</v>
      </c>
      <c r="D126" s="18">
        <f t="shared" ref="D126:Q126" si="103">D124*D125/1000</f>
        <v>731.29063506841021</v>
      </c>
      <c r="E126" s="18">
        <f t="shared" si="103"/>
        <v>1213.1636028113944</v>
      </c>
      <c r="F126" s="18">
        <f t="shared" si="103"/>
        <v>1055.5577154729015</v>
      </c>
      <c r="G126" s="18">
        <f t="shared" si="103"/>
        <v>1007.1809484840065</v>
      </c>
      <c r="H126" s="18">
        <f t="shared" si="103"/>
        <v>1185.464741230536</v>
      </c>
      <c r="I126" s="18">
        <f t="shared" si="103"/>
        <v>1092.4304114864804</v>
      </c>
      <c r="J126" s="18">
        <f t="shared" si="103"/>
        <v>1181.6257382562103</v>
      </c>
      <c r="K126" s="18">
        <f t="shared" si="103"/>
        <v>1299.4270343822579</v>
      </c>
      <c r="L126" s="18">
        <f t="shared" si="103"/>
        <v>1426.4416953196176</v>
      </c>
      <c r="M126" s="18">
        <f t="shared" si="103"/>
        <v>1336.7622298078986</v>
      </c>
      <c r="N126" s="18">
        <f t="shared" si="103"/>
        <v>420.62546732668591</v>
      </c>
      <c r="O126" s="18">
        <f t="shared" si="103"/>
        <v>438.65485150679228</v>
      </c>
      <c r="P126" s="18">
        <f t="shared" si="103"/>
        <v>418.8777231316198</v>
      </c>
      <c r="Q126" s="18">
        <f t="shared" si="103"/>
        <v>485.56400187668658</v>
      </c>
      <c r="R126" s="18">
        <f t="shared" ref="R126:S126" si="104">R124*R125/1000</f>
        <v>372.20758818744935</v>
      </c>
      <c r="S126" s="18">
        <f t="shared" si="104"/>
        <v>418.06805650931699</v>
      </c>
      <c r="T126" s="18">
        <f t="shared" ref="T126" si="105">T124*T125/1000</f>
        <v>659.06240754697296</v>
      </c>
    </row>
    <row r="127" spans="1:20" ht="15.75" customHeight="1">
      <c r="A127" s="14">
        <f t="shared" si="99"/>
        <v>4</v>
      </c>
      <c r="B127" s="21" t="s">
        <v>59</v>
      </c>
      <c r="C127" s="14" t="s">
        <v>60</v>
      </c>
      <c r="D127" s="18">
        <f t="shared" ref="D127:M127" si="106">D116/D125</f>
        <v>0</v>
      </c>
      <c r="E127" s="18">
        <f t="shared" si="106"/>
        <v>0</v>
      </c>
      <c r="F127" s="18">
        <f t="shared" si="106"/>
        <v>0</v>
      </c>
      <c r="G127" s="18">
        <f t="shared" si="106"/>
        <v>0</v>
      </c>
      <c r="H127" s="18">
        <f t="shared" si="106"/>
        <v>66.061644141666989</v>
      </c>
      <c r="I127" s="18">
        <f t="shared" si="106"/>
        <v>67.500678146919086</v>
      </c>
      <c r="J127" s="18">
        <f t="shared" si="106"/>
        <v>55.58704768292295</v>
      </c>
      <c r="K127" s="18">
        <f t="shared" si="106"/>
        <v>40.768731031699737</v>
      </c>
      <c r="L127" s="18">
        <f t="shared" si="106"/>
        <v>42.858836404934408</v>
      </c>
      <c r="M127" s="18">
        <f t="shared" si="106"/>
        <v>17.281861551501294</v>
      </c>
      <c r="N127" s="18">
        <f t="shared" ref="N127" si="107">AVERAGE(J116/J125,K116/125,L116/L125,M116/M125,N116/N125)</f>
        <v>52.532515541167491</v>
      </c>
      <c r="O127" s="18">
        <f t="shared" ref="O127:T127" si="108">AVERAGE(K116/K125,L116/L125,M116/M125,N116/N125,O116/O125)</f>
        <v>34.104964344984772</v>
      </c>
      <c r="P127" s="18">
        <f t="shared" si="108"/>
        <v>32.556453384969075</v>
      </c>
      <c r="Q127" s="18">
        <f t="shared" si="108"/>
        <v>29.968626885837381</v>
      </c>
      <c r="R127" s="18">
        <f t="shared" si="108"/>
        <v>45.927007992061988</v>
      </c>
      <c r="S127" s="18">
        <f t="shared" si="108"/>
        <v>65.810176558927665</v>
      </c>
      <c r="T127" s="18">
        <f t="shared" si="108"/>
        <v>76.110428488333952</v>
      </c>
    </row>
    <row r="128" spans="1:20" ht="15.75" customHeight="1">
      <c r="A128" s="31">
        <f t="shared" si="99"/>
        <v>5</v>
      </c>
      <c r="B128" s="32" t="s">
        <v>61</v>
      </c>
      <c r="C128" s="31"/>
      <c r="D128" s="33">
        <v>0.1318648305084745</v>
      </c>
      <c r="E128" s="33">
        <v>0.11456120218579237</v>
      </c>
      <c r="F128" s="33">
        <v>9.6083870967741916E-2</v>
      </c>
      <c r="G128" s="33">
        <v>8.4860816326530641E-2</v>
      </c>
      <c r="H128" s="33">
        <v>6.6462195121951215E-2</v>
      </c>
      <c r="I128" s="33">
        <v>7.5548571428571409E-2</v>
      </c>
      <c r="J128" s="33">
        <v>8.6841975308642003E-2</v>
      </c>
      <c r="K128" s="33">
        <v>8.4721074380165282E-2</v>
      </c>
      <c r="L128" s="33">
        <v>7.9230487804878069E-2</v>
      </c>
      <c r="M128" s="33">
        <v>7.6071308016877698E-2</v>
      </c>
      <c r="N128" s="33">
        <f>Bond!M26</f>
        <v>8.3599999999999994E-2</v>
      </c>
      <c r="O128" s="33">
        <f>Bond!N26</f>
        <v>7.6499999999999999E-2</v>
      </c>
      <c r="P128" s="33">
        <f>Bond!O26</f>
        <v>6.4799999999999996E-2</v>
      </c>
      <c r="Q128" s="33">
        <f>Bond!P26</f>
        <v>7.0499999999999993E-2</v>
      </c>
      <c r="R128" s="33">
        <f>Bond!Q26</f>
        <v>7.0900000000000005E-2</v>
      </c>
      <c r="S128" s="33">
        <f>Bond!R26</f>
        <v>6.7699999999999996E-2</v>
      </c>
      <c r="T128" s="33">
        <f>Bond!S26</f>
        <v>7.0900000000000005E-2</v>
      </c>
    </row>
    <row r="129" spans="1:20" ht="15.75" customHeight="1">
      <c r="A129" s="14">
        <f t="shared" si="99"/>
        <v>6</v>
      </c>
      <c r="B129" s="21" t="s">
        <v>62</v>
      </c>
      <c r="C129" s="14"/>
      <c r="D129" s="16" t="e">
        <f t="shared" ref="D129:Q129" si="109">PV(D128,D127,-1/D127)</f>
        <v>#DIV/0!</v>
      </c>
      <c r="E129" s="16" t="e">
        <f t="shared" si="109"/>
        <v>#DIV/0!</v>
      </c>
      <c r="F129" s="16" t="e">
        <f t="shared" si="109"/>
        <v>#DIV/0!</v>
      </c>
      <c r="G129" s="16" t="e">
        <f t="shared" si="109"/>
        <v>#DIV/0!</v>
      </c>
      <c r="H129" s="16">
        <f t="shared" si="109"/>
        <v>0.22451317584088579</v>
      </c>
      <c r="I129" s="16">
        <f t="shared" si="109"/>
        <v>0.19465771849868077</v>
      </c>
      <c r="J129" s="16">
        <f t="shared" si="109"/>
        <v>0.20513299503562951</v>
      </c>
      <c r="K129" s="16">
        <f t="shared" si="109"/>
        <v>0.27900688195780732</v>
      </c>
      <c r="L129" s="16">
        <f t="shared" si="109"/>
        <v>0.28327197225165618</v>
      </c>
      <c r="M129" s="16">
        <f t="shared" si="109"/>
        <v>0.54640893293976689</v>
      </c>
      <c r="N129" s="16">
        <f t="shared" si="109"/>
        <v>0.22434694959374948</v>
      </c>
      <c r="O129" s="16">
        <f t="shared" si="109"/>
        <v>0.35226126546860914</v>
      </c>
      <c r="P129" s="16">
        <f t="shared" si="109"/>
        <v>0.41262898780961299</v>
      </c>
      <c r="Q129" s="16">
        <f t="shared" si="109"/>
        <v>0.41186525252588058</v>
      </c>
      <c r="R129" s="16">
        <f t="shared" ref="R129:S129" si="110">PV(R128,R127,-1/R127)</f>
        <v>0.29389093488659229</v>
      </c>
      <c r="S129" s="16">
        <f t="shared" si="110"/>
        <v>0.22143721590730875</v>
      </c>
      <c r="T129" s="16">
        <f t="shared" ref="T129" si="111">PV(T128,T127,-1/T127)</f>
        <v>0.18430601207832181</v>
      </c>
    </row>
    <row r="130" spans="1:20" ht="15.75" customHeight="1">
      <c r="A130" s="23">
        <f t="shared" si="99"/>
        <v>7</v>
      </c>
      <c r="B130" s="24" t="s">
        <v>63</v>
      </c>
      <c r="C130" s="23" t="s">
        <v>58</v>
      </c>
      <c r="D130" s="25" t="e">
        <f t="shared" ref="D130:Q130" si="112">D126*D127*D129</f>
        <v>#DIV/0!</v>
      </c>
      <c r="E130" s="25" t="e">
        <f t="shared" si="112"/>
        <v>#DIV/0!</v>
      </c>
      <c r="F130" s="25" t="e">
        <f t="shared" si="112"/>
        <v>#DIV/0!</v>
      </c>
      <c r="G130" s="25" t="e">
        <f t="shared" si="112"/>
        <v>#DIV/0!</v>
      </c>
      <c r="H130" s="25">
        <f t="shared" si="112"/>
        <v>17582.468697043354</v>
      </c>
      <c r="I130" s="25">
        <f t="shared" si="112"/>
        <v>14354.019985451152</v>
      </c>
      <c r="J130" s="25">
        <f t="shared" si="112"/>
        <v>13473.768206839331</v>
      </c>
      <c r="K130" s="25">
        <f t="shared" si="112"/>
        <v>14780.666140090469</v>
      </c>
      <c r="L130" s="25">
        <f t="shared" si="112"/>
        <v>17318.010842119704</v>
      </c>
      <c r="M130" s="25">
        <f t="shared" si="112"/>
        <v>12622.996983780795</v>
      </c>
      <c r="N130" s="25">
        <f t="shared" si="112"/>
        <v>4957.2854899750519</v>
      </c>
      <c r="O130" s="25">
        <f t="shared" si="112"/>
        <v>5269.9370526771454</v>
      </c>
      <c r="P130" s="25">
        <f t="shared" si="112"/>
        <v>5627.0929192770755</v>
      </c>
      <c r="Q130" s="25">
        <f t="shared" si="112"/>
        <v>5993.3339944050504</v>
      </c>
      <c r="R130" s="25">
        <f t="shared" ref="R130:S130" si="113">R126*R127*R129</f>
        <v>5023.8835773639576</v>
      </c>
      <c r="S130" s="25">
        <f t="shared" si="113"/>
        <v>6092.431486606315</v>
      </c>
      <c r="T130" s="25">
        <f t="shared" ref="T130" si="114">T126*T127*T129</f>
        <v>9245.0701236394962</v>
      </c>
    </row>
    <row r="131" spans="1:20" ht="15.75" customHeight="1">
      <c r="A131" s="14">
        <f t="shared" si="99"/>
        <v>8</v>
      </c>
      <c r="B131" s="21" t="s">
        <v>64</v>
      </c>
      <c r="C131" s="14" t="s">
        <v>84</v>
      </c>
      <c r="D131" s="18">
        <f t="shared" ref="D131:Q131" si="115">D116</f>
        <v>0</v>
      </c>
      <c r="E131" s="18">
        <f t="shared" si="115"/>
        <v>0</v>
      </c>
      <c r="F131" s="18">
        <f t="shared" si="115"/>
        <v>0</v>
      </c>
      <c r="G131" s="18">
        <f t="shared" si="115"/>
        <v>0</v>
      </c>
      <c r="H131" s="18">
        <f t="shared" si="115"/>
        <v>13465</v>
      </c>
      <c r="I131" s="18">
        <f t="shared" si="115"/>
        <v>14056.498905826986</v>
      </c>
      <c r="J131" s="18">
        <f t="shared" si="115"/>
        <v>14047.40190891977</v>
      </c>
      <c r="K131" s="18">
        <f t="shared" si="115"/>
        <v>13029.442849930078</v>
      </c>
      <c r="L131" s="18">
        <f t="shared" si="115"/>
        <v>13827.635354105956</v>
      </c>
      <c r="M131" s="18">
        <f t="shared" si="115"/>
        <v>5681.87194</v>
      </c>
      <c r="N131" s="18">
        <f t="shared" si="115"/>
        <v>13179.200563465332</v>
      </c>
      <c r="O131" s="18">
        <f t="shared" si="115"/>
        <v>13129.596218225333</v>
      </c>
      <c r="P131" s="18">
        <f t="shared" si="115"/>
        <v>11456.637637430289</v>
      </c>
      <c r="Q131" s="18">
        <f t="shared" si="115"/>
        <v>11540</v>
      </c>
      <c r="R131" s="18">
        <f t="shared" ref="R131:S131" si="116">R116</f>
        <v>44286.6</v>
      </c>
      <c r="S131" s="18">
        <f t="shared" si="116"/>
        <v>42657.384220725791</v>
      </c>
      <c r="T131" s="18">
        <f t="shared" ref="T131" si="117">T116</f>
        <v>42593</v>
      </c>
    </row>
    <row r="132" spans="1:20" ht="15.75" customHeight="1">
      <c r="A132" s="14">
        <f t="shared" si="99"/>
        <v>9</v>
      </c>
      <c r="B132" s="15" t="s">
        <v>65</v>
      </c>
      <c r="C132" s="14" t="s">
        <v>96</v>
      </c>
      <c r="D132" s="18" t="e">
        <f t="shared" ref="D132:Q132" si="118">D130/D131*1000</f>
        <v>#DIV/0!</v>
      </c>
      <c r="E132" s="18" t="e">
        <f t="shared" si="118"/>
        <v>#DIV/0!</v>
      </c>
      <c r="F132" s="18" t="e">
        <f t="shared" si="118"/>
        <v>#DIV/0!</v>
      </c>
      <c r="G132" s="18" t="e">
        <f t="shared" si="118"/>
        <v>#DIV/0!</v>
      </c>
      <c r="H132" s="18">
        <f t="shared" si="118"/>
        <v>1305.790471373439</v>
      </c>
      <c r="I132" s="18">
        <f t="shared" si="118"/>
        <v>1021.1660870617527</v>
      </c>
      <c r="J132" s="18">
        <f t="shared" si="118"/>
        <v>959.16442728699928</v>
      </c>
      <c r="K132" s="18">
        <f t="shared" si="118"/>
        <v>1134.4050785847523</v>
      </c>
      <c r="L132" s="18">
        <f t="shared" si="118"/>
        <v>1252.4202727820214</v>
      </c>
      <c r="M132" s="18">
        <f t="shared" si="118"/>
        <v>2221.626449360067</v>
      </c>
      <c r="N132" s="18">
        <f t="shared" si="118"/>
        <v>376.14462774907389</v>
      </c>
      <c r="O132" s="18">
        <f t="shared" si="118"/>
        <v>401.37845559651629</v>
      </c>
      <c r="P132" s="18">
        <f t="shared" si="118"/>
        <v>491.16443212733282</v>
      </c>
      <c r="Q132" s="18">
        <f t="shared" si="118"/>
        <v>519.35303244411182</v>
      </c>
      <c r="R132" s="18">
        <f t="shared" ref="R132:S132" si="119">R130/R131*1000</f>
        <v>113.44026358681764</v>
      </c>
      <c r="S132" s="18">
        <f t="shared" si="119"/>
        <v>142.82243503450002</v>
      </c>
      <c r="T132" s="18">
        <f t="shared" ref="T132" si="120">T130/T131*1000</f>
        <v>217.05609193152623</v>
      </c>
    </row>
    <row r="133" spans="1:20" ht="15.75" customHeight="1">
      <c r="A133" s="1"/>
      <c r="B133" s="2"/>
      <c r="C133" s="2"/>
      <c r="D133" s="2"/>
      <c r="E133" s="2"/>
      <c r="F133" s="2"/>
      <c r="G133" s="2"/>
      <c r="H133" s="2"/>
      <c r="I133" s="2"/>
      <c r="J133" s="2"/>
      <c r="K133" s="2"/>
      <c r="L133" s="2"/>
      <c r="M133" s="2"/>
      <c r="N133" s="2"/>
      <c r="O133" s="2"/>
      <c r="P133" s="2"/>
      <c r="Q133" s="2"/>
      <c r="R133" s="2"/>
      <c r="S133" s="2"/>
      <c r="T133" s="2"/>
    </row>
    <row r="134" spans="1:20" ht="15.75" customHeight="1">
      <c r="A134" s="1"/>
      <c r="B134" s="2"/>
      <c r="C134" s="2"/>
      <c r="D134" s="2"/>
      <c r="E134" s="2"/>
      <c r="F134" s="2"/>
      <c r="G134" s="2"/>
      <c r="H134" s="2"/>
      <c r="I134" s="2"/>
      <c r="J134" s="2"/>
      <c r="K134" s="2"/>
      <c r="L134" s="2"/>
      <c r="M134" s="2"/>
      <c r="N134" s="2"/>
      <c r="O134" s="2"/>
      <c r="P134" s="2"/>
      <c r="Q134" s="2"/>
      <c r="R134" s="2"/>
      <c r="S134" s="2"/>
      <c r="T134" s="2"/>
    </row>
    <row r="135" spans="1:20" ht="15.75" customHeight="1">
      <c r="A135" s="6" t="s">
        <v>103</v>
      </c>
      <c r="B135" s="2"/>
      <c r="C135" s="2"/>
      <c r="D135" s="2"/>
      <c r="E135" s="2"/>
      <c r="F135" s="2"/>
      <c r="G135" s="2"/>
      <c r="H135" s="2"/>
      <c r="I135" s="2"/>
      <c r="J135" s="2"/>
      <c r="K135" s="2"/>
      <c r="L135" s="2"/>
      <c r="M135" s="2"/>
      <c r="N135" s="2"/>
      <c r="O135" s="2"/>
      <c r="P135" s="2"/>
      <c r="Q135" s="2"/>
      <c r="R135" s="2"/>
      <c r="S135" s="2"/>
      <c r="T135" s="2"/>
    </row>
    <row r="136" spans="1:20" ht="15.75" customHeight="1" thickBot="1">
      <c r="A136" s="19"/>
      <c r="B136" s="2"/>
      <c r="C136" s="2"/>
      <c r="D136" s="2"/>
      <c r="E136" s="2"/>
      <c r="F136" s="2"/>
      <c r="G136" s="2"/>
      <c r="H136" s="2"/>
      <c r="I136" s="2"/>
      <c r="J136" s="2"/>
      <c r="K136" s="2"/>
      <c r="L136" s="2"/>
      <c r="M136" s="2"/>
      <c r="N136" s="2"/>
      <c r="O136" s="2"/>
      <c r="P136" s="2"/>
      <c r="Q136" s="2"/>
      <c r="R136" s="2"/>
      <c r="S136" s="2"/>
      <c r="T136" s="2"/>
    </row>
    <row r="137" spans="1:20" ht="15.75" customHeight="1" thickBot="1">
      <c r="A137" s="79" t="s">
        <v>3</v>
      </c>
      <c r="B137" s="77" t="s">
        <v>4</v>
      </c>
      <c r="C137" s="78" t="s">
        <v>5</v>
      </c>
      <c r="D137" s="78">
        <f t="shared" ref="D137:T137" si="121">D$3</f>
        <v>2008</v>
      </c>
      <c r="E137" s="78">
        <f t="shared" si="121"/>
        <v>2009</v>
      </c>
      <c r="F137" s="78">
        <f t="shared" si="121"/>
        <v>2010</v>
      </c>
      <c r="G137" s="78">
        <f t="shared" si="121"/>
        <v>2011</v>
      </c>
      <c r="H137" s="78">
        <f t="shared" si="121"/>
        <v>2012</v>
      </c>
      <c r="I137" s="78">
        <f t="shared" si="121"/>
        <v>2013</v>
      </c>
      <c r="J137" s="78">
        <f t="shared" si="121"/>
        <v>2014</v>
      </c>
      <c r="K137" s="78">
        <f t="shared" si="121"/>
        <v>2015</v>
      </c>
      <c r="L137" s="78">
        <f t="shared" si="121"/>
        <v>2016</v>
      </c>
      <c r="M137" s="78">
        <f t="shared" si="121"/>
        <v>2017</v>
      </c>
      <c r="N137" s="78">
        <f t="shared" si="121"/>
        <v>2018</v>
      </c>
      <c r="O137" s="78">
        <f t="shared" si="121"/>
        <v>2019</v>
      </c>
      <c r="P137" s="78">
        <f t="shared" si="121"/>
        <v>2020</v>
      </c>
      <c r="Q137" s="78">
        <f t="shared" si="121"/>
        <v>2021</v>
      </c>
      <c r="R137" s="78">
        <f t="shared" si="121"/>
        <v>2022</v>
      </c>
      <c r="S137" s="78">
        <f t="shared" si="121"/>
        <v>2023</v>
      </c>
      <c r="T137" s="78">
        <f t="shared" si="121"/>
        <v>2024</v>
      </c>
    </row>
    <row r="138" spans="1:20" ht="15.75" customHeight="1">
      <c r="A138" s="9">
        <v>-1</v>
      </c>
      <c r="B138" s="9">
        <f t="shared" ref="B138:T138" si="122">A138-1</f>
        <v>-2</v>
      </c>
      <c r="C138" s="9">
        <f t="shared" si="122"/>
        <v>-3</v>
      </c>
      <c r="D138" s="9">
        <f t="shared" si="122"/>
        <v>-4</v>
      </c>
      <c r="E138" s="9">
        <f t="shared" si="122"/>
        <v>-5</v>
      </c>
      <c r="F138" s="9">
        <f t="shared" si="122"/>
        <v>-6</v>
      </c>
      <c r="G138" s="9">
        <f t="shared" si="122"/>
        <v>-7</v>
      </c>
      <c r="H138" s="9">
        <f t="shared" si="122"/>
        <v>-8</v>
      </c>
      <c r="I138" s="9">
        <f t="shared" si="122"/>
        <v>-9</v>
      </c>
      <c r="J138" s="9">
        <f t="shared" si="122"/>
        <v>-10</v>
      </c>
      <c r="K138" s="9">
        <f t="shared" si="122"/>
        <v>-11</v>
      </c>
      <c r="L138" s="9">
        <f t="shared" si="122"/>
        <v>-12</v>
      </c>
      <c r="M138" s="9">
        <f t="shared" si="122"/>
        <v>-13</v>
      </c>
      <c r="N138" s="9">
        <f t="shared" si="122"/>
        <v>-14</v>
      </c>
      <c r="O138" s="9">
        <f t="shared" si="122"/>
        <v>-15</v>
      </c>
      <c r="P138" s="9">
        <f t="shared" si="122"/>
        <v>-16</v>
      </c>
      <c r="Q138" s="9">
        <f t="shared" si="122"/>
        <v>-17</v>
      </c>
      <c r="R138" s="9">
        <f t="shared" si="122"/>
        <v>-18</v>
      </c>
      <c r="S138" s="9">
        <f t="shared" si="122"/>
        <v>-19</v>
      </c>
      <c r="T138" s="9">
        <f t="shared" si="122"/>
        <v>-20</v>
      </c>
    </row>
    <row r="139" spans="1:20" ht="15.75" customHeight="1">
      <c r="A139" s="31">
        <v>1</v>
      </c>
      <c r="B139" s="32" t="s">
        <v>41</v>
      </c>
      <c r="C139" s="31" t="s">
        <v>58</v>
      </c>
      <c r="D139" s="35"/>
      <c r="E139" s="35" t="e">
        <f t="shared" ref="E139:T139" si="123">D151</f>
        <v>#DIV/0!</v>
      </c>
      <c r="F139" s="35" t="e">
        <f t="shared" si="123"/>
        <v>#DIV/0!</v>
      </c>
      <c r="G139" s="35" t="e">
        <f t="shared" si="123"/>
        <v>#DIV/0!</v>
      </c>
      <c r="H139" s="35" t="e">
        <f t="shared" si="123"/>
        <v>#DIV/0!</v>
      </c>
      <c r="I139" s="35">
        <f t="shared" si="123"/>
        <v>17582.468697043354</v>
      </c>
      <c r="J139" s="35">
        <f t="shared" si="123"/>
        <v>14354.019985451152</v>
      </c>
      <c r="K139" s="35">
        <f t="shared" si="123"/>
        <v>13473.768206839331</v>
      </c>
      <c r="L139" s="35">
        <f t="shared" si="123"/>
        <v>14780.666140090469</v>
      </c>
      <c r="M139" s="35">
        <f t="shared" si="123"/>
        <v>17318.010842119704</v>
      </c>
      <c r="N139" s="35">
        <f t="shared" si="123"/>
        <v>12622.996983780795</v>
      </c>
      <c r="O139" s="35">
        <f t="shared" si="123"/>
        <v>4957.2854899750519</v>
      </c>
      <c r="P139" s="35">
        <f t="shared" si="123"/>
        <v>5269.9370526771454</v>
      </c>
      <c r="Q139" s="35">
        <f t="shared" si="123"/>
        <v>5627.0929192770755</v>
      </c>
      <c r="R139" s="35">
        <f t="shared" si="123"/>
        <v>5993.3339944050504</v>
      </c>
      <c r="S139" s="35">
        <f t="shared" si="123"/>
        <v>5023.8835773639576</v>
      </c>
      <c r="T139" s="35">
        <f t="shared" si="123"/>
        <v>6092.431486606315</v>
      </c>
    </row>
    <row r="140" spans="1:20" ht="15.75" customHeight="1">
      <c r="A140" s="31">
        <v>2</v>
      </c>
      <c r="B140" s="32" t="s">
        <v>43</v>
      </c>
      <c r="C140" s="31" t="s">
        <v>58</v>
      </c>
      <c r="D140" s="35">
        <f t="shared" ref="D140:Q140" si="124">SUM(D141:D143)</f>
        <v>0</v>
      </c>
      <c r="E140" s="35" t="e">
        <f t="shared" si="124"/>
        <v>#DIV/0!</v>
      </c>
      <c r="F140" s="35" t="e">
        <f t="shared" si="124"/>
        <v>#DIV/0!</v>
      </c>
      <c r="G140" s="35" t="e">
        <f t="shared" si="124"/>
        <v>#DIV/0!</v>
      </c>
      <c r="H140" s="35" t="e">
        <f t="shared" si="124"/>
        <v>#DIV/0!</v>
      </c>
      <c r="I140" s="35">
        <f t="shared" si="124"/>
        <v>0</v>
      </c>
      <c r="J140" s="35">
        <f t="shared" si="124"/>
        <v>0</v>
      </c>
      <c r="K140" s="35">
        <f t="shared" si="124"/>
        <v>0</v>
      </c>
      <c r="L140" s="35">
        <f t="shared" si="124"/>
        <v>0</v>
      </c>
      <c r="M140" s="35">
        <f t="shared" si="124"/>
        <v>0</v>
      </c>
      <c r="N140" s="35">
        <f t="shared" si="124"/>
        <v>0</v>
      </c>
      <c r="O140" s="35">
        <f t="shared" si="124"/>
        <v>0</v>
      </c>
      <c r="P140" s="35">
        <f t="shared" si="124"/>
        <v>0</v>
      </c>
      <c r="Q140" s="35">
        <f t="shared" si="124"/>
        <v>0</v>
      </c>
      <c r="R140" s="35">
        <f t="shared" ref="R140:S140" si="125">SUM(R141:R143)</f>
        <v>0</v>
      </c>
      <c r="S140" s="35">
        <f t="shared" si="125"/>
        <v>0</v>
      </c>
      <c r="T140" s="35">
        <f t="shared" ref="T140" si="126">SUM(T141:T143)</f>
        <v>0</v>
      </c>
    </row>
    <row r="141" spans="1:20" ht="15.75" customHeight="1">
      <c r="A141" s="14">
        <v>2.1</v>
      </c>
      <c r="B141" s="15" t="s">
        <v>44</v>
      </c>
      <c r="C141" s="14" t="s">
        <v>58</v>
      </c>
      <c r="D141" s="18"/>
      <c r="E141" s="18" t="e">
        <f t="shared" ref="E141:T141" si="127">0.5*(D$132+E$132)*E107/1000</f>
        <v>#DIV/0!</v>
      </c>
      <c r="F141" s="18" t="e">
        <f t="shared" si="127"/>
        <v>#DIV/0!</v>
      </c>
      <c r="G141" s="18" t="e">
        <f t="shared" si="127"/>
        <v>#DIV/0!</v>
      </c>
      <c r="H141" s="18" t="e">
        <f t="shared" si="127"/>
        <v>#DIV/0!</v>
      </c>
      <c r="I141" s="18">
        <f t="shared" si="127"/>
        <v>0</v>
      </c>
      <c r="J141" s="18">
        <f t="shared" si="127"/>
        <v>0</v>
      </c>
      <c r="K141" s="18">
        <f t="shared" si="127"/>
        <v>0</v>
      </c>
      <c r="L141" s="18">
        <f t="shared" si="127"/>
        <v>0</v>
      </c>
      <c r="M141" s="18">
        <f t="shared" si="127"/>
        <v>0</v>
      </c>
      <c r="N141" s="18">
        <f t="shared" si="127"/>
        <v>0</v>
      </c>
      <c r="O141" s="18">
        <f t="shared" si="127"/>
        <v>0</v>
      </c>
      <c r="P141" s="18">
        <f t="shared" si="127"/>
        <v>0</v>
      </c>
      <c r="Q141" s="18">
        <f t="shared" si="127"/>
        <v>0</v>
      </c>
      <c r="R141" s="18">
        <f t="shared" si="127"/>
        <v>0</v>
      </c>
      <c r="S141" s="18">
        <f t="shared" si="127"/>
        <v>0</v>
      </c>
      <c r="T141" s="18">
        <f t="shared" si="127"/>
        <v>0</v>
      </c>
    </row>
    <row r="142" spans="1:20" ht="15.75" customHeight="1">
      <c r="A142" s="14">
        <v>2.2000000000000002</v>
      </c>
      <c r="B142" s="15" t="s">
        <v>45</v>
      </c>
      <c r="C142" s="14" t="s">
        <v>58</v>
      </c>
      <c r="D142" s="18"/>
      <c r="E142" s="18" t="e">
        <f t="shared" ref="E142:T142" si="128">0.5*(D$132+E$132)*E108/1000</f>
        <v>#DIV/0!</v>
      </c>
      <c r="F142" s="18" t="e">
        <f t="shared" si="128"/>
        <v>#DIV/0!</v>
      </c>
      <c r="G142" s="18" t="e">
        <f t="shared" si="128"/>
        <v>#DIV/0!</v>
      </c>
      <c r="H142" s="18" t="e">
        <f t="shared" si="128"/>
        <v>#DIV/0!</v>
      </c>
      <c r="I142" s="18">
        <f t="shared" si="128"/>
        <v>0</v>
      </c>
      <c r="J142" s="18">
        <f t="shared" si="128"/>
        <v>0</v>
      </c>
      <c r="K142" s="18">
        <f t="shared" si="128"/>
        <v>0</v>
      </c>
      <c r="L142" s="18">
        <f t="shared" si="128"/>
        <v>0</v>
      </c>
      <c r="M142" s="18">
        <f t="shared" si="128"/>
        <v>0</v>
      </c>
      <c r="N142" s="18">
        <f t="shared" si="128"/>
        <v>0</v>
      </c>
      <c r="O142" s="18">
        <f t="shared" si="128"/>
        <v>0</v>
      </c>
      <c r="P142" s="18">
        <f t="shared" si="128"/>
        <v>0</v>
      </c>
      <c r="Q142" s="18">
        <f t="shared" si="128"/>
        <v>0</v>
      </c>
      <c r="R142" s="18">
        <f t="shared" si="128"/>
        <v>0</v>
      </c>
      <c r="S142" s="18">
        <f t="shared" si="128"/>
        <v>0</v>
      </c>
      <c r="T142" s="18">
        <f t="shared" si="128"/>
        <v>0</v>
      </c>
    </row>
    <row r="143" spans="1:20" ht="15.75" customHeight="1">
      <c r="A143" s="14">
        <v>2.2999999999999998</v>
      </c>
      <c r="B143" s="15" t="s">
        <v>46</v>
      </c>
      <c r="C143" s="14" t="s">
        <v>58</v>
      </c>
      <c r="D143" s="18"/>
      <c r="E143" s="18" t="e">
        <f t="shared" ref="E143:T143" si="129">0.5*(D$132+E$132)*E109/1000</f>
        <v>#DIV/0!</v>
      </c>
      <c r="F143" s="18" t="e">
        <f t="shared" si="129"/>
        <v>#DIV/0!</v>
      </c>
      <c r="G143" s="18" t="e">
        <f t="shared" si="129"/>
        <v>#DIV/0!</v>
      </c>
      <c r="H143" s="18" t="e">
        <f t="shared" si="129"/>
        <v>#DIV/0!</v>
      </c>
      <c r="I143" s="18">
        <f t="shared" si="129"/>
        <v>0</v>
      </c>
      <c r="J143" s="18">
        <f t="shared" si="129"/>
        <v>0</v>
      </c>
      <c r="K143" s="18">
        <f t="shared" si="129"/>
        <v>0</v>
      </c>
      <c r="L143" s="18">
        <f t="shared" si="129"/>
        <v>0</v>
      </c>
      <c r="M143" s="18">
        <f t="shared" si="129"/>
        <v>0</v>
      </c>
      <c r="N143" s="18">
        <f t="shared" si="129"/>
        <v>0</v>
      </c>
      <c r="O143" s="18">
        <f t="shared" si="129"/>
        <v>0</v>
      </c>
      <c r="P143" s="18">
        <f t="shared" si="129"/>
        <v>0</v>
      </c>
      <c r="Q143" s="18">
        <f t="shared" si="129"/>
        <v>0</v>
      </c>
      <c r="R143" s="18">
        <f t="shared" si="129"/>
        <v>0</v>
      </c>
      <c r="S143" s="18">
        <f t="shared" si="129"/>
        <v>0</v>
      </c>
      <c r="T143" s="18">
        <f t="shared" si="129"/>
        <v>0</v>
      </c>
    </row>
    <row r="144" spans="1:20" ht="15.75" customHeight="1">
      <c r="A144" s="31">
        <v>3</v>
      </c>
      <c r="B144" s="32" t="s">
        <v>47</v>
      </c>
      <c r="C144" s="31" t="s">
        <v>58</v>
      </c>
      <c r="D144" s="35">
        <f t="shared" ref="D144:Q144" si="130">SUM(D145:D148)</f>
        <v>0</v>
      </c>
      <c r="E144" s="35" t="e">
        <f t="shared" si="130"/>
        <v>#DIV/0!</v>
      </c>
      <c r="F144" s="35" t="e">
        <f t="shared" si="130"/>
        <v>#DIV/0!</v>
      </c>
      <c r="G144" s="35" t="e">
        <f t="shared" si="130"/>
        <v>#DIV/0!</v>
      </c>
      <c r="H144" s="35" t="e">
        <f t="shared" si="130"/>
        <v>#DIV/0!</v>
      </c>
      <c r="I144" s="35">
        <f t="shared" si="130"/>
        <v>242.28543486895418</v>
      </c>
      <c r="J144" s="35">
        <f t="shared" si="130"/>
        <v>250.22464591244091</v>
      </c>
      <c r="K144" s="35">
        <f t="shared" si="130"/>
        <v>334.54615263720478</v>
      </c>
      <c r="L144" s="35">
        <f t="shared" si="130"/>
        <v>385.03320879747162</v>
      </c>
      <c r="M144" s="35">
        <f t="shared" si="130"/>
        <v>571.09266064781525</v>
      </c>
      <c r="N144" s="35">
        <f t="shared" si="130"/>
        <v>400.90299664097364</v>
      </c>
      <c r="O144" s="35">
        <f t="shared" si="130"/>
        <v>189.63673821045595</v>
      </c>
      <c r="P144" s="35">
        <f t="shared" si="130"/>
        <v>154.80963295301552</v>
      </c>
      <c r="Q144" s="35">
        <f t="shared" si="130"/>
        <v>194.87778984235069</v>
      </c>
      <c r="R144" s="35">
        <f t="shared" ref="R144:S144" si="131">SUM(R145:R148)</f>
        <v>144.3451945166118</v>
      </c>
      <c r="S144" s="35">
        <f t="shared" si="131"/>
        <v>38.460001531478333</v>
      </c>
      <c r="T144" s="35">
        <f t="shared" ref="T144" si="132">SUM(T145:T148)</f>
        <v>97.735408905783629</v>
      </c>
    </row>
    <row r="145" spans="1:20" ht="15.75" customHeight="1">
      <c r="A145" s="14">
        <v>3.1</v>
      </c>
      <c r="B145" s="15" t="s">
        <v>67</v>
      </c>
      <c r="C145" s="14" t="s">
        <v>58</v>
      </c>
      <c r="D145" s="18"/>
      <c r="E145" s="18" t="e">
        <f t="shared" ref="E145:T145" si="133">0.5*(D$132+E$132)*E111/1000</f>
        <v>#DIV/0!</v>
      </c>
      <c r="F145" s="18" t="e">
        <f t="shared" si="133"/>
        <v>#DIV/0!</v>
      </c>
      <c r="G145" s="18" t="e">
        <f t="shared" si="133"/>
        <v>#DIV/0!</v>
      </c>
      <c r="H145" s="18" t="e">
        <f t="shared" si="133"/>
        <v>#DIV/0!</v>
      </c>
      <c r="I145" s="18">
        <f t="shared" si="133"/>
        <v>242.28543486895418</v>
      </c>
      <c r="J145" s="18">
        <f t="shared" si="133"/>
        <v>250.22464591244091</v>
      </c>
      <c r="K145" s="18">
        <f t="shared" si="133"/>
        <v>334.54615263720478</v>
      </c>
      <c r="L145" s="18">
        <f t="shared" si="133"/>
        <v>385.03320879747162</v>
      </c>
      <c r="M145" s="18">
        <f t="shared" si="133"/>
        <v>571.09266064781525</v>
      </c>
      <c r="N145" s="18">
        <f t="shared" si="133"/>
        <v>400.90299664097364</v>
      </c>
      <c r="O145" s="18">
        <f t="shared" si="133"/>
        <v>189.63673821045595</v>
      </c>
      <c r="P145" s="18">
        <f t="shared" si="133"/>
        <v>154.80963295301552</v>
      </c>
      <c r="Q145" s="18">
        <f t="shared" si="133"/>
        <v>194.87778984235069</v>
      </c>
      <c r="R145" s="18">
        <f t="shared" si="133"/>
        <v>144.3451945166118</v>
      </c>
      <c r="S145" s="18">
        <f t="shared" si="133"/>
        <v>38.460001531478333</v>
      </c>
      <c r="T145" s="18">
        <f t="shared" si="133"/>
        <v>97.735408905783629</v>
      </c>
    </row>
    <row r="146" spans="1:20" ht="15.75" customHeight="1">
      <c r="A146" s="14">
        <v>3.2</v>
      </c>
      <c r="B146" s="15" t="s">
        <v>49</v>
      </c>
      <c r="C146" s="14" t="s">
        <v>58</v>
      </c>
      <c r="D146" s="18"/>
      <c r="E146" s="18" t="e">
        <f t="shared" ref="E146:T146" si="134">0.5*(D$132+E$132)*E112/1000</f>
        <v>#DIV/0!</v>
      </c>
      <c r="F146" s="18" t="e">
        <f t="shared" si="134"/>
        <v>#DIV/0!</v>
      </c>
      <c r="G146" s="18" t="e">
        <f t="shared" si="134"/>
        <v>#DIV/0!</v>
      </c>
      <c r="H146" s="18" t="e">
        <f t="shared" si="134"/>
        <v>#DIV/0!</v>
      </c>
      <c r="I146" s="18">
        <f t="shared" si="134"/>
        <v>0</v>
      </c>
      <c r="J146" s="18">
        <f t="shared" si="134"/>
        <v>0</v>
      </c>
      <c r="K146" s="18">
        <f t="shared" si="134"/>
        <v>0</v>
      </c>
      <c r="L146" s="18">
        <f t="shared" si="134"/>
        <v>0</v>
      </c>
      <c r="M146" s="18">
        <f t="shared" si="134"/>
        <v>0</v>
      </c>
      <c r="N146" s="18">
        <f t="shared" si="134"/>
        <v>0</v>
      </c>
      <c r="O146" s="18">
        <f t="shared" si="134"/>
        <v>0</v>
      </c>
      <c r="P146" s="18">
        <f t="shared" si="134"/>
        <v>0</v>
      </c>
      <c r="Q146" s="18">
        <f t="shared" si="134"/>
        <v>0</v>
      </c>
      <c r="R146" s="18">
        <f t="shared" si="134"/>
        <v>0</v>
      </c>
      <c r="S146" s="18">
        <f t="shared" si="134"/>
        <v>0</v>
      </c>
      <c r="T146" s="18">
        <f t="shared" si="134"/>
        <v>0</v>
      </c>
    </row>
    <row r="147" spans="1:20" ht="15.75" customHeight="1">
      <c r="A147" s="14">
        <v>3.3</v>
      </c>
      <c r="B147" s="15" t="s">
        <v>50</v>
      </c>
      <c r="C147" s="14" t="s">
        <v>58</v>
      </c>
      <c r="D147" s="18"/>
      <c r="E147" s="18" t="e">
        <f t="shared" ref="E147:T147" si="135">0.5*(D$132+E$132)*E113/1000</f>
        <v>#DIV/0!</v>
      </c>
      <c r="F147" s="18" t="e">
        <f t="shared" si="135"/>
        <v>#DIV/0!</v>
      </c>
      <c r="G147" s="18" t="e">
        <f t="shared" si="135"/>
        <v>#DIV/0!</v>
      </c>
      <c r="H147" s="18" t="e">
        <f t="shared" si="135"/>
        <v>#DIV/0!</v>
      </c>
      <c r="I147" s="18">
        <f t="shared" si="135"/>
        <v>0</v>
      </c>
      <c r="J147" s="18">
        <f t="shared" si="135"/>
        <v>0</v>
      </c>
      <c r="K147" s="18">
        <f t="shared" si="135"/>
        <v>0</v>
      </c>
      <c r="L147" s="18">
        <f t="shared" si="135"/>
        <v>0</v>
      </c>
      <c r="M147" s="18">
        <f t="shared" si="135"/>
        <v>0</v>
      </c>
      <c r="N147" s="18">
        <f t="shared" si="135"/>
        <v>0</v>
      </c>
      <c r="O147" s="18">
        <f t="shared" si="135"/>
        <v>0</v>
      </c>
      <c r="P147" s="18">
        <f t="shared" si="135"/>
        <v>0</v>
      </c>
      <c r="Q147" s="18">
        <f t="shared" si="135"/>
        <v>0</v>
      </c>
      <c r="R147" s="18">
        <f t="shared" si="135"/>
        <v>0</v>
      </c>
      <c r="S147" s="18">
        <f t="shared" si="135"/>
        <v>0</v>
      </c>
      <c r="T147" s="18">
        <f t="shared" si="135"/>
        <v>0</v>
      </c>
    </row>
    <row r="148" spans="1:20" ht="15.75" customHeight="1">
      <c r="A148" s="14">
        <v>3.4</v>
      </c>
      <c r="B148" s="15" t="s">
        <v>46</v>
      </c>
      <c r="C148" s="14" t="s">
        <v>58</v>
      </c>
      <c r="D148" s="18"/>
      <c r="E148" s="18" t="e">
        <f t="shared" ref="E148:T148" si="136">0.5*(D$132+E$132)*E114/1000</f>
        <v>#DIV/0!</v>
      </c>
      <c r="F148" s="18" t="e">
        <f t="shared" si="136"/>
        <v>#DIV/0!</v>
      </c>
      <c r="G148" s="18" t="e">
        <f t="shared" si="136"/>
        <v>#DIV/0!</v>
      </c>
      <c r="H148" s="18" t="e">
        <f t="shared" si="136"/>
        <v>#DIV/0!</v>
      </c>
      <c r="I148" s="18">
        <f t="shared" si="136"/>
        <v>0</v>
      </c>
      <c r="J148" s="18">
        <f t="shared" si="136"/>
        <v>0</v>
      </c>
      <c r="K148" s="18">
        <f t="shared" si="136"/>
        <v>0</v>
      </c>
      <c r="L148" s="18">
        <f t="shared" si="136"/>
        <v>0</v>
      </c>
      <c r="M148" s="18">
        <f t="shared" si="136"/>
        <v>0</v>
      </c>
      <c r="N148" s="18">
        <f t="shared" si="136"/>
        <v>0</v>
      </c>
      <c r="O148" s="18">
        <f t="shared" si="136"/>
        <v>0</v>
      </c>
      <c r="P148" s="18">
        <f t="shared" si="136"/>
        <v>0</v>
      </c>
      <c r="Q148" s="18">
        <f t="shared" si="136"/>
        <v>0</v>
      </c>
      <c r="R148" s="18">
        <f t="shared" si="136"/>
        <v>0</v>
      </c>
      <c r="S148" s="18">
        <f t="shared" si="136"/>
        <v>0</v>
      </c>
      <c r="T148" s="18">
        <f t="shared" si="136"/>
        <v>0</v>
      </c>
    </row>
    <row r="149" spans="1:20" ht="15.75" customHeight="1">
      <c r="A149" s="31">
        <v>4</v>
      </c>
      <c r="B149" s="32" t="s">
        <v>68</v>
      </c>
      <c r="C149" s="31" t="s">
        <v>58</v>
      </c>
      <c r="D149" s="35"/>
      <c r="E149" s="35" t="e">
        <f t="shared" ref="E149:T149" si="137">0.5*(D$132+E$132)*E115/1000</f>
        <v>#DIV/0!</v>
      </c>
      <c r="F149" s="35" t="e">
        <f t="shared" si="137"/>
        <v>#DIV/0!</v>
      </c>
      <c r="G149" s="35" t="e">
        <f t="shared" si="137"/>
        <v>#DIV/0!</v>
      </c>
      <c r="H149" s="35" t="e">
        <f t="shared" si="137"/>
        <v>#DIV/0!</v>
      </c>
      <c r="I149" s="35">
        <f t="shared" si="137"/>
        <v>930.48156397962623</v>
      </c>
      <c r="J149" s="35">
        <f t="shared" si="137"/>
        <v>241.21711563029314</v>
      </c>
      <c r="K149" s="35">
        <f t="shared" si="137"/>
        <v>-731.03786942615704</v>
      </c>
      <c r="L149" s="35">
        <f t="shared" si="137"/>
        <v>1337.6062609164298</v>
      </c>
      <c r="M149" s="35">
        <f t="shared" si="137"/>
        <v>-13578.288683412058</v>
      </c>
      <c r="N149" s="35">
        <f t="shared" si="137"/>
        <v>10139.074723451338</v>
      </c>
      <c r="O149" s="35">
        <f t="shared" si="137"/>
        <v>170.35247648128433</v>
      </c>
      <c r="P149" s="35">
        <f t="shared" si="137"/>
        <v>-591.78400841958523</v>
      </c>
      <c r="Q149" s="35">
        <f t="shared" si="137"/>
        <v>236.99735147466561</v>
      </c>
      <c r="R149" s="35">
        <f t="shared" si="137"/>
        <v>10505.259668419829</v>
      </c>
      <c r="S149" s="35">
        <f t="shared" si="137"/>
        <v>-170.29361458514239</v>
      </c>
      <c r="T149" s="35">
        <f t="shared" si="137"/>
        <v>86.150159648457006</v>
      </c>
    </row>
    <row r="150" spans="1:20" ht="15.75" customHeight="1">
      <c r="A150" s="31">
        <v>5</v>
      </c>
      <c r="B150" s="32" t="s">
        <v>69</v>
      </c>
      <c r="C150" s="31" t="s">
        <v>58</v>
      </c>
      <c r="D150" s="35"/>
      <c r="E150" s="35" t="e">
        <f t="shared" ref="E150:T150" si="138">0.5*(D131+E131)*(E132-D132)/1000</f>
        <v>#DIV/0!</v>
      </c>
      <c r="F150" s="35" t="e">
        <f t="shared" si="138"/>
        <v>#DIV/0!</v>
      </c>
      <c r="G150" s="35" t="e">
        <f t="shared" si="138"/>
        <v>#DIV/0!</v>
      </c>
      <c r="H150" s="35" t="e">
        <f t="shared" si="138"/>
        <v>#DIV/0!</v>
      </c>
      <c r="I150" s="35">
        <f t="shared" si="138"/>
        <v>-3916.644840702877</v>
      </c>
      <c r="J150" s="35">
        <f t="shared" si="138"/>
        <v>-871.24424832967179</v>
      </c>
      <c r="K150" s="35">
        <f t="shared" si="138"/>
        <v>2372.4819553144994</v>
      </c>
      <c r="L150" s="35">
        <f t="shared" si="138"/>
        <v>1584.7716499102767</v>
      </c>
      <c r="M150" s="35">
        <f t="shared" si="138"/>
        <v>9454.3674857209626</v>
      </c>
      <c r="N150" s="35">
        <f t="shared" si="138"/>
        <v>-17403.88322061611</v>
      </c>
      <c r="O150" s="35">
        <f t="shared" si="138"/>
        <v>331.93582443126451</v>
      </c>
      <c r="P150" s="35">
        <f t="shared" si="138"/>
        <v>1103.7495079725311</v>
      </c>
      <c r="Q150" s="35">
        <f t="shared" si="138"/>
        <v>324.12151349565971</v>
      </c>
      <c r="R150" s="35">
        <f t="shared" si="138"/>
        <v>-11330.364890944309</v>
      </c>
      <c r="S150" s="35">
        <f t="shared" si="138"/>
        <v>1277.3015253589783</v>
      </c>
      <c r="T150" s="35">
        <f t="shared" si="138"/>
        <v>3164.2238862905078</v>
      </c>
    </row>
    <row r="151" spans="1:20" ht="15.75" customHeight="1">
      <c r="A151" s="31">
        <v>6</v>
      </c>
      <c r="B151" s="32" t="s">
        <v>52</v>
      </c>
      <c r="C151" s="31" t="s">
        <v>58</v>
      </c>
      <c r="D151" s="35" t="e">
        <f t="shared" ref="D151:Q151" si="139">D130</f>
        <v>#DIV/0!</v>
      </c>
      <c r="E151" s="35" t="e">
        <f t="shared" si="139"/>
        <v>#DIV/0!</v>
      </c>
      <c r="F151" s="35" t="e">
        <f t="shared" si="139"/>
        <v>#DIV/0!</v>
      </c>
      <c r="G151" s="35" t="e">
        <f t="shared" si="139"/>
        <v>#DIV/0!</v>
      </c>
      <c r="H151" s="35">
        <f t="shared" si="139"/>
        <v>17582.468697043354</v>
      </c>
      <c r="I151" s="35">
        <f t="shared" si="139"/>
        <v>14354.019985451152</v>
      </c>
      <c r="J151" s="35">
        <f t="shared" si="139"/>
        <v>13473.768206839331</v>
      </c>
      <c r="K151" s="35">
        <f t="shared" si="139"/>
        <v>14780.666140090469</v>
      </c>
      <c r="L151" s="35">
        <f t="shared" si="139"/>
        <v>17318.010842119704</v>
      </c>
      <c r="M151" s="35">
        <f t="shared" si="139"/>
        <v>12622.996983780795</v>
      </c>
      <c r="N151" s="35">
        <f t="shared" si="139"/>
        <v>4957.2854899750519</v>
      </c>
      <c r="O151" s="35">
        <f t="shared" si="139"/>
        <v>5269.9370526771454</v>
      </c>
      <c r="P151" s="35">
        <f t="shared" si="139"/>
        <v>5627.0929192770755</v>
      </c>
      <c r="Q151" s="35">
        <f t="shared" si="139"/>
        <v>5993.3339944050504</v>
      </c>
      <c r="R151" s="35">
        <f t="shared" ref="R151:S151" si="140">R130</f>
        <v>5023.8835773639576</v>
      </c>
      <c r="S151" s="35">
        <f t="shared" si="140"/>
        <v>6092.431486606315</v>
      </c>
      <c r="T151" s="35">
        <f t="shared" ref="T151" si="141">T130</f>
        <v>9245.0701236394962</v>
      </c>
    </row>
    <row r="152" spans="1:20" ht="15.75" customHeight="1">
      <c r="A152" s="1"/>
      <c r="B152" s="2"/>
      <c r="C152" s="2"/>
      <c r="D152" s="2"/>
      <c r="E152" s="2"/>
      <c r="F152" s="2"/>
      <c r="G152" s="2"/>
      <c r="H152" s="2"/>
      <c r="I152" s="2"/>
      <c r="J152" s="2"/>
      <c r="K152" s="2"/>
      <c r="L152" s="2"/>
      <c r="M152" s="2"/>
      <c r="N152" s="2"/>
      <c r="O152" s="2"/>
      <c r="P152" s="2"/>
      <c r="Q152" s="2"/>
      <c r="R152" s="2"/>
      <c r="S152" s="2"/>
      <c r="T152" s="2"/>
    </row>
    <row r="153" spans="1:20" ht="15.75" customHeight="1">
      <c r="A153" s="28"/>
      <c r="B153" s="29" t="s">
        <v>53</v>
      </c>
      <c r="C153" s="30"/>
      <c r="D153" s="2"/>
      <c r="E153" s="2" t="e">
        <f t="shared" ref="E153:R153" si="142">E139+E140-E144+E149+E150=E151</f>
        <v>#DIV/0!</v>
      </c>
      <c r="F153" s="2" t="e">
        <f t="shared" si="142"/>
        <v>#DIV/0!</v>
      </c>
      <c r="G153" s="2" t="e">
        <f t="shared" si="142"/>
        <v>#DIV/0!</v>
      </c>
      <c r="H153" s="2" t="e">
        <f t="shared" si="142"/>
        <v>#DIV/0!</v>
      </c>
      <c r="I153" s="2" t="b">
        <f t="shared" si="142"/>
        <v>0</v>
      </c>
      <c r="J153" s="2" t="b">
        <f t="shared" si="142"/>
        <v>1</v>
      </c>
      <c r="K153" s="2" t="b">
        <f t="shared" si="142"/>
        <v>1</v>
      </c>
      <c r="L153" s="2" t="b">
        <f t="shared" si="142"/>
        <v>1</v>
      </c>
      <c r="M153" s="2" t="b">
        <f t="shared" si="142"/>
        <v>1</v>
      </c>
      <c r="N153" s="2" t="b">
        <f t="shared" si="142"/>
        <v>1</v>
      </c>
      <c r="O153" s="2" t="b">
        <f t="shared" si="142"/>
        <v>0</v>
      </c>
      <c r="P153" s="2" t="b">
        <f t="shared" si="142"/>
        <v>1</v>
      </c>
      <c r="Q153" s="2" t="b">
        <f t="shared" si="142"/>
        <v>1</v>
      </c>
      <c r="R153" s="2" t="b">
        <f t="shared" si="142"/>
        <v>1</v>
      </c>
      <c r="S153" s="2" t="b">
        <f t="shared" ref="S153:T153" si="143">S139+S140-S144+S149+S150=S151</f>
        <v>1</v>
      </c>
      <c r="T153" s="2" t="b">
        <f t="shared" si="143"/>
        <v>1</v>
      </c>
    </row>
    <row r="154" spans="1:20" ht="15.75" customHeight="1">
      <c r="A154" s="1"/>
      <c r="B154" s="2"/>
      <c r="C154" s="2"/>
      <c r="D154" s="2"/>
      <c r="E154" s="2"/>
      <c r="F154" s="2"/>
      <c r="G154" s="2"/>
      <c r="H154" s="2"/>
      <c r="I154" s="2"/>
      <c r="J154" s="2"/>
      <c r="K154" s="2"/>
      <c r="L154" s="2"/>
      <c r="M154" s="2"/>
      <c r="N154" s="2"/>
      <c r="O154" s="2"/>
      <c r="P154" s="2"/>
      <c r="Q154" s="2"/>
      <c r="R154" s="2"/>
      <c r="S154" s="2"/>
      <c r="T154" s="2"/>
    </row>
    <row r="155" spans="1:20" ht="15.75" customHeight="1">
      <c r="A155" s="1"/>
      <c r="B155" s="2"/>
      <c r="C155" s="2"/>
      <c r="D155" s="2"/>
      <c r="E155" s="2"/>
      <c r="F155" s="2"/>
      <c r="G155" s="2"/>
      <c r="H155" s="2"/>
      <c r="I155" s="2"/>
      <c r="J155" s="2"/>
      <c r="K155" s="2"/>
      <c r="L155" s="2"/>
      <c r="M155" s="2"/>
      <c r="N155" s="2"/>
      <c r="O155" s="20"/>
      <c r="P155" s="2"/>
      <c r="Q155" s="2"/>
      <c r="R155" s="2"/>
      <c r="S155" s="2"/>
      <c r="T155" s="2"/>
    </row>
    <row r="156" spans="1:20" ht="15.75" customHeight="1">
      <c r="A156" s="1"/>
      <c r="B156" s="2"/>
      <c r="C156" s="2"/>
      <c r="D156" s="2"/>
      <c r="E156" s="2"/>
      <c r="F156" s="2"/>
      <c r="G156" s="2"/>
      <c r="H156" s="2"/>
      <c r="I156" s="2"/>
      <c r="J156" s="2"/>
      <c r="K156" s="2"/>
      <c r="L156" s="2"/>
      <c r="M156" s="2"/>
      <c r="N156" s="2"/>
      <c r="O156" s="2"/>
      <c r="P156" s="2"/>
      <c r="Q156" s="2"/>
      <c r="R156" s="2"/>
      <c r="S156" s="2"/>
      <c r="T156" s="2"/>
    </row>
    <row r="157" spans="1:20" ht="15.75" customHeight="1">
      <c r="A157" s="81"/>
      <c r="B157" s="82" t="s">
        <v>70</v>
      </c>
      <c r="C157" s="83"/>
      <c r="D157" s="84"/>
      <c r="E157" s="84"/>
      <c r="F157" s="84"/>
      <c r="G157" s="84"/>
      <c r="H157" s="84"/>
      <c r="I157" s="84"/>
      <c r="J157" s="84"/>
      <c r="K157" s="84"/>
      <c r="L157" s="84"/>
      <c r="M157" s="84"/>
      <c r="N157" s="84"/>
      <c r="O157" s="84"/>
      <c r="P157" s="84"/>
      <c r="Q157" s="84"/>
      <c r="R157" s="84"/>
      <c r="S157" s="84"/>
      <c r="T157" s="84"/>
    </row>
    <row r="158" spans="1:20" ht="15.75" customHeight="1">
      <c r="A158" s="1"/>
      <c r="B158" s="2"/>
      <c r="C158" s="2"/>
      <c r="D158" s="2"/>
      <c r="E158" s="2"/>
      <c r="F158" s="2"/>
      <c r="G158" s="2"/>
      <c r="H158" s="2"/>
      <c r="I158" s="2"/>
      <c r="J158" s="2"/>
      <c r="K158" s="2"/>
      <c r="L158" s="2"/>
      <c r="M158" s="2"/>
      <c r="N158" s="2"/>
      <c r="O158" s="2"/>
      <c r="P158" s="2"/>
      <c r="Q158" s="2"/>
      <c r="R158" s="2"/>
      <c r="S158" s="2"/>
      <c r="T158" s="2"/>
    </row>
    <row r="159" spans="1:20" ht="15.75" customHeight="1">
      <c r="A159" s="6" t="s">
        <v>108</v>
      </c>
      <c r="B159" s="2"/>
      <c r="C159" s="2"/>
      <c r="D159" s="2"/>
      <c r="E159" s="2"/>
      <c r="F159" s="2"/>
      <c r="G159" s="2"/>
      <c r="H159" s="2"/>
      <c r="I159" s="2"/>
      <c r="J159" s="2"/>
      <c r="K159" s="2"/>
      <c r="L159" s="2"/>
      <c r="M159" s="2"/>
      <c r="N159" s="2"/>
      <c r="O159" s="2"/>
      <c r="P159" s="2"/>
      <c r="Q159" s="2"/>
      <c r="R159" s="2"/>
      <c r="S159" s="2"/>
      <c r="T159" s="2"/>
    </row>
    <row r="160" spans="1:20" ht="15.75" customHeight="1">
      <c r="A160" s="1"/>
      <c r="B160" s="2"/>
      <c r="C160" s="2"/>
      <c r="D160" s="2"/>
      <c r="E160" s="2"/>
      <c r="F160" s="2"/>
      <c r="G160" s="2"/>
      <c r="H160" s="2"/>
      <c r="I160" s="2"/>
      <c r="J160" s="2"/>
      <c r="K160" s="2"/>
      <c r="L160" s="2"/>
      <c r="M160" s="2"/>
      <c r="N160" s="2"/>
      <c r="O160" s="2"/>
      <c r="P160" s="2"/>
      <c r="Q160" s="2"/>
      <c r="R160" s="2"/>
      <c r="S160" s="2"/>
      <c r="T160" s="2"/>
    </row>
    <row r="161" spans="1:20" ht="15.75" customHeight="1">
      <c r="A161" s="85" t="s">
        <v>3</v>
      </c>
      <c r="B161" s="85" t="s">
        <v>4</v>
      </c>
      <c r="C161" s="85" t="s">
        <v>5</v>
      </c>
      <c r="D161" s="85">
        <f t="shared" ref="D161:T161" si="144">D$3</f>
        <v>2008</v>
      </c>
      <c r="E161" s="85">
        <f t="shared" si="144"/>
        <v>2009</v>
      </c>
      <c r="F161" s="85">
        <f t="shared" si="144"/>
        <v>2010</v>
      </c>
      <c r="G161" s="85">
        <f t="shared" si="144"/>
        <v>2011</v>
      </c>
      <c r="H161" s="85">
        <f t="shared" si="144"/>
        <v>2012</v>
      </c>
      <c r="I161" s="85">
        <f t="shared" si="144"/>
        <v>2013</v>
      </c>
      <c r="J161" s="85">
        <f t="shared" si="144"/>
        <v>2014</v>
      </c>
      <c r="K161" s="85">
        <f t="shared" si="144"/>
        <v>2015</v>
      </c>
      <c r="L161" s="85">
        <f t="shared" si="144"/>
        <v>2016</v>
      </c>
      <c r="M161" s="85">
        <f t="shared" si="144"/>
        <v>2017</v>
      </c>
      <c r="N161" s="85">
        <f t="shared" si="144"/>
        <v>2018</v>
      </c>
      <c r="O161" s="85">
        <f t="shared" si="144"/>
        <v>2019</v>
      </c>
      <c r="P161" s="85">
        <f t="shared" si="144"/>
        <v>2020</v>
      </c>
      <c r="Q161" s="85">
        <f t="shared" si="144"/>
        <v>2021</v>
      </c>
      <c r="R161" s="85">
        <f t="shared" si="144"/>
        <v>2022</v>
      </c>
      <c r="S161" s="85">
        <f t="shared" si="144"/>
        <v>2023</v>
      </c>
      <c r="T161" s="85">
        <f t="shared" si="144"/>
        <v>2024</v>
      </c>
    </row>
    <row r="162" spans="1:20" ht="15.75" customHeight="1">
      <c r="A162" s="9">
        <v>-1</v>
      </c>
      <c r="B162" s="9">
        <f t="shared" ref="B162:T162" si="145">A162-1</f>
        <v>-2</v>
      </c>
      <c r="C162" s="9">
        <f t="shared" si="145"/>
        <v>-3</v>
      </c>
      <c r="D162" s="9">
        <f t="shared" si="145"/>
        <v>-4</v>
      </c>
      <c r="E162" s="9">
        <f t="shared" si="145"/>
        <v>-5</v>
      </c>
      <c r="F162" s="9">
        <f t="shared" si="145"/>
        <v>-6</v>
      </c>
      <c r="G162" s="9">
        <f t="shared" si="145"/>
        <v>-7</v>
      </c>
      <c r="H162" s="9">
        <f t="shared" si="145"/>
        <v>-8</v>
      </c>
      <c r="I162" s="9">
        <f t="shared" si="145"/>
        <v>-9</v>
      </c>
      <c r="J162" s="9">
        <f t="shared" si="145"/>
        <v>-10</v>
      </c>
      <c r="K162" s="9">
        <f t="shared" si="145"/>
        <v>-11</v>
      </c>
      <c r="L162" s="9">
        <f t="shared" si="145"/>
        <v>-12</v>
      </c>
      <c r="M162" s="9">
        <f t="shared" si="145"/>
        <v>-13</v>
      </c>
      <c r="N162" s="9">
        <f t="shared" si="145"/>
        <v>-14</v>
      </c>
      <c r="O162" s="9">
        <f t="shared" si="145"/>
        <v>-15</v>
      </c>
      <c r="P162" s="9">
        <f t="shared" si="145"/>
        <v>-16</v>
      </c>
      <c r="Q162" s="9">
        <f t="shared" si="145"/>
        <v>-17</v>
      </c>
      <c r="R162" s="9">
        <f t="shared" si="145"/>
        <v>-18</v>
      </c>
      <c r="S162" s="9">
        <f t="shared" si="145"/>
        <v>-19</v>
      </c>
      <c r="T162" s="9">
        <f t="shared" si="145"/>
        <v>-20</v>
      </c>
    </row>
    <row r="163" spans="1:20" ht="15.75" customHeight="1">
      <c r="A163" s="14">
        <v>1</v>
      </c>
      <c r="B163" s="21" t="s">
        <v>72</v>
      </c>
      <c r="C163" s="14" t="s">
        <v>22</v>
      </c>
      <c r="D163" s="22"/>
      <c r="E163" s="22"/>
      <c r="F163" s="22"/>
      <c r="G163" s="22"/>
      <c r="H163" s="22"/>
      <c r="I163" s="22"/>
      <c r="J163" s="22"/>
      <c r="K163" s="22"/>
      <c r="L163" s="40">
        <v>930625.49718623306</v>
      </c>
      <c r="M163" s="22"/>
      <c r="N163" s="22"/>
      <c r="O163" s="22"/>
      <c r="P163" s="22"/>
      <c r="Q163" s="22"/>
      <c r="R163" s="22"/>
      <c r="S163" s="22"/>
      <c r="T163" s="22"/>
    </row>
    <row r="164" spans="1:20" ht="15.75" customHeight="1">
      <c r="A164" s="14">
        <v>2</v>
      </c>
      <c r="B164" s="15" t="s">
        <v>26</v>
      </c>
      <c r="C164" s="14" t="s">
        <v>22</v>
      </c>
      <c r="D164" s="22"/>
      <c r="E164" s="22"/>
      <c r="F164" s="22"/>
      <c r="G164" s="22"/>
      <c r="H164" s="22"/>
      <c r="I164" s="22"/>
      <c r="J164" s="22"/>
      <c r="K164" s="22"/>
      <c r="L164" s="41">
        <v>592696.63993510895</v>
      </c>
      <c r="M164" s="22"/>
      <c r="N164" s="22"/>
      <c r="O164" s="22"/>
      <c r="P164" s="22"/>
      <c r="Q164" s="22"/>
      <c r="R164" s="22"/>
      <c r="S164" s="22"/>
      <c r="T164" s="22"/>
    </row>
    <row r="165" spans="1:20" ht="15.75" customHeight="1">
      <c r="A165" s="14">
        <v>3</v>
      </c>
      <c r="B165" s="21" t="s">
        <v>73</v>
      </c>
      <c r="C165" s="14" t="s">
        <v>22</v>
      </c>
      <c r="D165" s="22"/>
      <c r="E165" s="22"/>
      <c r="F165" s="22"/>
      <c r="G165" s="22"/>
      <c r="H165" s="22"/>
      <c r="I165" s="22"/>
      <c r="J165" s="22"/>
      <c r="K165" s="22"/>
      <c r="L165" s="41">
        <v>473565.10625508201</v>
      </c>
      <c r="M165" s="22"/>
      <c r="N165" s="22"/>
      <c r="O165" s="22"/>
      <c r="P165" s="22"/>
      <c r="Q165" s="22"/>
      <c r="R165" s="22"/>
      <c r="S165" s="22"/>
      <c r="T165" s="22"/>
    </row>
    <row r="166" spans="1:20" ht="15.75" customHeight="1">
      <c r="A166" s="14">
        <v>4</v>
      </c>
      <c r="B166" s="21" t="s">
        <v>35</v>
      </c>
      <c r="C166" s="14" t="s">
        <v>22</v>
      </c>
      <c r="D166" s="22"/>
      <c r="E166" s="22"/>
      <c r="F166" s="22"/>
      <c r="G166" s="22"/>
      <c r="H166" s="22"/>
      <c r="I166" s="22"/>
      <c r="J166" s="22"/>
      <c r="K166" s="22"/>
      <c r="L166" s="41">
        <v>175536.027381469</v>
      </c>
      <c r="M166" s="22"/>
      <c r="N166" s="22"/>
      <c r="O166" s="22"/>
      <c r="P166" s="22"/>
      <c r="Q166" s="22"/>
      <c r="R166" s="22"/>
      <c r="S166" s="22"/>
      <c r="T166" s="22"/>
    </row>
    <row r="167" spans="1:20" ht="15.75" customHeight="1">
      <c r="A167" s="14">
        <v>5</v>
      </c>
      <c r="B167" s="21" t="s">
        <v>74</v>
      </c>
      <c r="C167" s="14" t="s">
        <v>22</v>
      </c>
      <c r="D167" s="22"/>
      <c r="E167" s="22"/>
      <c r="F167" s="22"/>
      <c r="G167" s="22"/>
      <c r="H167" s="22"/>
      <c r="I167" s="22"/>
      <c r="J167" s="22"/>
      <c r="K167" s="22"/>
      <c r="L167" s="41">
        <v>6996.21740286981</v>
      </c>
      <c r="M167" s="22"/>
      <c r="N167" s="22"/>
      <c r="O167" s="22"/>
      <c r="P167" s="22"/>
      <c r="Q167" s="22"/>
      <c r="R167" s="22"/>
      <c r="S167" s="22"/>
      <c r="T167" s="22"/>
    </row>
    <row r="168" spans="1:20" ht="15.75" customHeight="1">
      <c r="A168" s="14">
        <v>6</v>
      </c>
      <c r="B168" s="21" t="s">
        <v>75</v>
      </c>
      <c r="C168" s="14" t="s">
        <v>22</v>
      </c>
      <c r="D168" s="22"/>
      <c r="E168" s="22"/>
      <c r="F168" s="22"/>
      <c r="G168" s="22"/>
      <c r="H168" s="22"/>
      <c r="I168" s="22"/>
      <c r="J168" s="22"/>
      <c r="K168" s="22"/>
      <c r="L168" s="41">
        <v>0</v>
      </c>
      <c r="M168" s="22"/>
      <c r="N168" s="22"/>
      <c r="O168" s="22"/>
      <c r="P168" s="22"/>
      <c r="Q168" s="22"/>
      <c r="R168" s="22"/>
      <c r="S168" s="22"/>
      <c r="T168" s="22"/>
    </row>
    <row r="169" spans="1:20" ht="15.75" customHeight="1">
      <c r="A169" s="31">
        <v>7</v>
      </c>
      <c r="B169" s="42" t="s">
        <v>29</v>
      </c>
      <c r="C169" s="31" t="s">
        <v>22</v>
      </c>
      <c r="D169" s="43"/>
      <c r="E169" s="43"/>
      <c r="F169" s="43"/>
      <c r="G169" s="43"/>
      <c r="H169" s="43"/>
      <c r="I169" s="43"/>
      <c r="J169" s="43"/>
      <c r="K169" s="43"/>
      <c r="L169" s="44">
        <f>SUM(L163:L168)</f>
        <v>2179419.4881607629</v>
      </c>
      <c r="M169" s="43"/>
      <c r="N169" s="43"/>
      <c r="O169" s="43"/>
      <c r="P169" s="43"/>
      <c r="Q169" s="43"/>
      <c r="R169" s="43"/>
      <c r="S169" s="43"/>
      <c r="T169" s="43"/>
    </row>
    <row r="170" spans="1:20" ht="15.75" customHeight="1">
      <c r="A170" s="17" t="s">
        <v>76</v>
      </c>
      <c r="B170" s="2"/>
      <c r="C170" s="2"/>
      <c r="D170" s="2"/>
      <c r="E170" s="2"/>
      <c r="F170" s="2"/>
      <c r="G170" s="2"/>
      <c r="H170" s="2"/>
      <c r="I170" s="2"/>
      <c r="J170" s="2"/>
      <c r="K170" s="2"/>
      <c r="L170" s="2"/>
      <c r="M170" s="2"/>
      <c r="N170" s="2"/>
      <c r="O170" s="2"/>
      <c r="P170" s="2"/>
      <c r="Q170" s="2"/>
      <c r="R170" s="2"/>
      <c r="S170" s="2"/>
      <c r="T170" s="2"/>
    </row>
    <row r="171" spans="1:20" ht="15.75" customHeight="1">
      <c r="A171" s="1"/>
      <c r="B171" s="2"/>
      <c r="C171" s="2"/>
      <c r="D171" s="2"/>
      <c r="E171" s="2"/>
      <c r="F171" s="2"/>
      <c r="G171" s="2"/>
      <c r="H171" s="2"/>
      <c r="I171" s="2"/>
      <c r="J171" s="2"/>
      <c r="K171" s="2"/>
      <c r="L171" s="2"/>
      <c r="M171" s="2"/>
      <c r="N171" s="2"/>
      <c r="O171" s="2"/>
      <c r="P171" s="2"/>
      <c r="Q171" s="2"/>
      <c r="R171" s="2"/>
      <c r="S171" s="2"/>
      <c r="T171" s="2"/>
    </row>
    <row r="172" spans="1:20" ht="15.75" customHeight="1">
      <c r="A172" s="1"/>
      <c r="B172" s="2"/>
      <c r="C172" s="2"/>
      <c r="D172" s="2"/>
      <c r="E172" s="2"/>
      <c r="F172" s="2"/>
      <c r="G172" s="2"/>
      <c r="H172" s="2"/>
      <c r="I172" s="2"/>
      <c r="J172" s="2"/>
      <c r="K172" s="2"/>
      <c r="L172" s="2"/>
      <c r="M172" s="2"/>
      <c r="N172" s="2"/>
      <c r="O172" s="2"/>
      <c r="P172" s="2"/>
      <c r="Q172" s="2"/>
      <c r="R172" s="2"/>
      <c r="S172" s="2"/>
      <c r="T172" s="2"/>
    </row>
    <row r="173" spans="1:20" ht="15.75" customHeight="1">
      <c r="A173" s="1"/>
      <c r="B173" s="2"/>
      <c r="C173" s="2"/>
      <c r="D173" s="2"/>
      <c r="E173" s="2"/>
      <c r="F173" s="2"/>
      <c r="G173" s="2"/>
      <c r="H173" s="2"/>
      <c r="I173" s="2"/>
      <c r="J173" s="2"/>
      <c r="K173" s="2"/>
      <c r="L173" s="2"/>
      <c r="M173" s="2"/>
      <c r="N173" s="2"/>
      <c r="O173" s="2"/>
      <c r="P173" s="2"/>
      <c r="Q173" s="2"/>
      <c r="R173" s="2"/>
      <c r="S173" s="2"/>
      <c r="T173" s="2"/>
    </row>
    <row r="174" spans="1:20" ht="15.75" customHeight="1">
      <c r="A174" s="1"/>
      <c r="B174" s="2"/>
      <c r="C174" s="2"/>
      <c r="D174" s="2"/>
      <c r="E174" s="2"/>
      <c r="F174" s="2"/>
      <c r="G174" s="2"/>
      <c r="H174" s="2"/>
      <c r="I174" s="2"/>
      <c r="J174" s="2"/>
      <c r="K174" s="2"/>
      <c r="L174" s="2"/>
      <c r="M174" s="2"/>
      <c r="N174" s="2"/>
      <c r="O174" s="2"/>
      <c r="P174" s="2"/>
      <c r="Q174" s="2"/>
      <c r="R174" s="2"/>
      <c r="S174" s="2"/>
      <c r="T174" s="2"/>
    </row>
    <row r="175" spans="1:20" ht="15.75" customHeight="1">
      <c r="A175" s="1"/>
      <c r="B175" s="2"/>
      <c r="C175" s="2"/>
      <c r="D175" s="2"/>
      <c r="E175" s="2"/>
      <c r="F175" s="2"/>
      <c r="G175" s="2"/>
      <c r="H175" s="2"/>
      <c r="I175" s="2"/>
      <c r="J175" s="2"/>
      <c r="K175" s="2"/>
      <c r="L175" s="2"/>
      <c r="M175" s="2"/>
      <c r="N175" s="2"/>
      <c r="O175" s="2"/>
      <c r="P175" s="2"/>
      <c r="Q175" s="2"/>
      <c r="R175" s="2"/>
      <c r="S175" s="2"/>
      <c r="T175" s="2"/>
    </row>
    <row r="176" spans="1:20" ht="15.75" customHeight="1">
      <c r="A176" s="1"/>
      <c r="B176" s="2"/>
      <c r="C176" s="2"/>
      <c r="D176" s="2"/>
      <c r="E176" s="2"/>
      <c r="F176" s="2"/>
      <c r="G176" s="2"/>
      <c r="H176" s="2"/>
      <c r="I176" s="2"/>
      <c r="J176" s="2"/>
      <c r="K176" s="2"/>
      <c r="L176" s="2"/>
      <c r="M176" s="2"/>
      <c r="N176" s="2"/>
      <c r="O176" s="2"/>
      <c r="P176" s="2"/>
      <c r="Q176" s="2"/>
      <c r="R176" s="2"/>
      <c r="S176" s="2"/>
      <c r="T176" s="2"/>
    </row>
    <row r="177" spans="1:20" ht="15.75" customHeight="1">
      <c r="A177" s="1"/>
      <c r="B177" s="2"/>
      <c r="C177" s="2"/>
      <c r="D177" s="2"/>
      <c r="E177" s="2"/>
      <c r="F177" s="2"/>
      <c r="G177" s="2"/>
      <c r="H177" s="2"/>
      <c r="I177" s="2"/>
      <c r="J177" s="2"/>
      <c r="K177" s="2"/>
      <c r="L177" s="2"/>
      <c r="M177" s="2"/>
      <c r="N177" s="2"/>
      <c r="O177" s="2"/>
      <c r="P177" s="2"/>
      <c r="Q177" s="2"/>
      <c r="R177" s="2"/>
      <c r="S177" s="2"/>
      <c r="T177" s="2"/>
    </row>
    <row r="178" spans="1:20" ht="15.75" customHeight="1">
      <c r="A178" s="1"/>
      <c r="B178" s="2"/>
      <c r="C178" s="2"/>
      <c r="D178" s="2"/>
      <c r="E178" s="2"/>
      <c r="F178" s="2"/>
      <c r="G178" s="2"/>
      <c r="H178" s="2"/>
      <c r="I178" s="2"/>
      <c r="J178" s="2"/>
      <c r="K178" s="2"/>
      <c r="L178" s="2"/>
      <c r="M178" s="2"/>
      <c r="N178" s="2"/>
      <c r="O178" s="2"/>
      <c r="P178" s="2"/>
      <c r="Q178" s="2"/>
      <c r="R178" s="2"/>
      <c r="S178" s="2"/>
      <c r="T178" s="2"/>
    </row>
    <row r="179" spans="1:20" ht="15.75" customHeight="1">
      <c r="A179" s="1"/>
      <c r="B179" s="2"/>
      <c r="C179" s="2"/>
      <c r="D179" s="2"/>
      <c r="E179" s="2"/>
      <c r="F179" s="2"/>
      <c r="G179" s="2"/>
      <c r="H179" s="2"/>
      <c r="I179" s="2"/>
      <c r="J179" s="2"/>
      <c r="K179" s="2"/>
      <c r="L179" s="2"/>
      <c r="M179" s="2"/>
      <c r="N179" s="2"/>
      <c r="O179" s="2"/>
      <c r="P179" s="2"/>
      <c r="Q179" s="2"/>
      <c r="R179" s="2"/>
      <c r="S179" s="2"/>
      <c r="T179" s="2"/>
    </row>
    <row r="180" spans="1:20" ht="15.75" customHeight="1">
      <c r="A180" s="1"/>
      <c r="B180" s="2"/>
      <c r="C180" s="2"/>
      <c r="D180" s="2"/>
      <c r="E180" s="2"/>
      <c r="F180" s="2"/>
      <c r="G180" s="2"/>
      <c r="H180" s="2"/>
      <c r="I180" s="2"/>
      <c r="J180" s="2"/>
      <c r="K180" s="2"/>
      <c r="L180" s="2"/>
      <c r="M180" s="2"/>
      <c r="N180" s="2"/>
      <c r="O180" s="2"/>
      <c r="P180" s="2"/>
      <c r="Q180" s="2"/>
      <c r="R180" s="2"/>
      <c r="S180" s="2"/>
      <c r="T180" s="2"/>
    </row>
    <row r="181" spans="1:20" ht="15.75" customHeight="1">
      <c r="A181" s="1"/>
      <c r="B181" s="2"/>
      <c r="C181" s="2"/>
      <c r="D181" s="2"/>
      <c r="E181" s="2"/>
      <c r="F181" s="2"/>
      <c r="G181" s="2"/>
      <c r="H181" s="2"/>
      <c r="I181" s="2"/>
      <c r="J181" s="2"/>
      <c r="K181" s="2"/>
      <c r="L181" s="2"/>
      <c r="M181" s="2"/>
      <c r="N181" s="2"/>
      <c r="O181" s="2"/>
      <c r="P181" s="2"/>
      <c r="Q181" s="2"/>
      <c r="R181" s="2"/>
      <c r="S181" s="2"/>
      <c r="T181" s="2"/>
    </row>
    <row r="182" spans="1:20" ht="15.75" customHeight="1">
      <c r="A182" s="1"/>
      <c r="B182" s="2"/>
      <c r="C182" s="2"/>
      <c r="D182" s="2"/>
      <c r="E182" s="2"/>
      <c r="F182" s="2"/>
      <c r="G182" s="2"/>
      <c r="H182" s="2"/>
      <c r="I182" s="2"/>
      <c r="J182" s="2"/>
      <c r="K182" s="2"/>
      <c r="L182" s="2"/>
      <c r="M182" s="2"/>
      <c r="N182" s="2"/>
      <c r="O182" s="2"/>
      <c r="P182" s="2"/>
      <c r="Q182" s="2"/>
      <c r="R182" s="2"/>
      <c r="S182" s="2"/>
      <c r="T182" s="2"/>
    </row>
    <row r="183" spans="1:20" ht="15.75" customHeight="1">
      <c r="A183" s="1"/>
      <c r="B183" s="2"/>
      <c r="C183" s="2"/>
      <c r="D183" s="2"/>
      <c r="E183" s="2"/>
      <c r="F183" s="2"/>
      <c r="G183" s="2"/>
      <c r="H183" s="2"/>
      <c r="I183" s="2"/>
      <c r="J183" s="2"/>
      <c r="K183" s="2"/>
      <c r="L183" s="2"/>
      <c r="M183" s="2"/>
      <c r="N183" s="2"/>
      <c r="O183" s="2"/>
      <c r="P183" s="2"/>
      <c r="Q183" s="2"/>
      <c r="R183" s="2"/>
      <c r="S183" s="2"/>
      <c r="T183" s="2"/>
    </row>
    <row r="184" spans="1:20" ht="15.75" customHeight="1">
      <c r="A184" s="1"/>
      <c r="B184" s="2"/>
      <c r="C184" s="2"/>
      <c r="D184" s="2"/>
      <c r="E184" s="2"/>
      <c r="F184" s="2"/>
      <c r="G184" s="2"/>
      <c r="H184" s="2"/>
      <c r="I184" s="2"/>
      <c r="J184" s="2"/>
      <c r="K184" s="2"/>
      <c r="L184" s="2"/>
      <c r="M184" s="2"/>
      <c r="N184" s="2"/>
      <c r="O184" s="2"/>
      <c r="P184" s="2"/>
      <c r="Q184" s="2"/>
      <c r="R184" s="2"/>
      <c r="S184" s="2"/>
      <c r="T184" s="2"/>
    </row>
    <row r="185" spans="1:20" ht="15.75" customHeight="1">
      <c r="A185" s="1"/>
      <c r="B185" s="2"/>
      <c r="C185" s="2"/>
      <c r="D185" s="2"/>
      <c r="E185" s="2"/>
      <c r="F185" s="2"/>
      <c r="G185" s="2"/>
      <c r="H185" s="2"/>
      <c r="I185" s="2"/>
      <c r="J185" s="2"/>
      <c r="K185" s="2"/>
      <c r="L185" s="2"/>
      <c r="M185" s="2"/>
      <c r="N185" s="2"/>
      <c r="O185" s="2"/>
      <c r="P185" s="2"/>
      <c r="Q185" s="2"/>
      <c r="R185" s="2"/>
      <c r="S185" s="2"/>
      <c r="T185" s="2"/>
    </row>
    <row r="186" spans="1:20" ht="15.75" customHeight="1">
      <c r="A186" s="1"/>
      <c r="B186" s="2"/>
      <c r="C186" s="2"/>
      <c r="D186" s="2"/>
      <c r="E186" s="2"/>
      <c r="F186" s="2"/>
      <c r="G186" s="2"/>
      <c r="H186" s="2"/>
      <c r="I186" s="2"/>
      <c r="J186" s="2"/>
      <c r="K186" s="2"/>
      <c r="L186" s="2"/>
      <c r="M186" s="2"/>
      <c r="N186" s="2"/>
      <c r="O186" s="2"/>
      <c r="P186" s="2"/>
      <c r="Q186" s="2"/>
      <c r="R186" s="2"/>
      <c r="S186" s="2"/>
      <c r="T186" s="2"/>
    </row>
    <row r="187" spans="1:20" ht="15.75" customHeight="1">
      <c r="A187" s="1"/>
      <c r="B187" s="2"/>
      <c r="C187" s="2"/>
      <c r="D187" s="2"/>
      <c r="E187" s="2"/>
      <c r="F187" s="2"/>
      <c r="G187" s="2"/>
      <c r="H187" s="2"/>
      <c r="I187" s="2"/>
      <c r="J187" s="2"/>
      <c r="K187" s="2"/>
      <c r="L187" s="2"/>
      <c r="M187" s="2"/>
      <c r="N187" s="2"/>
      <c r="O187" s="2"/>
      <c r="P187" s="2"/>
      <c r="Q187" s="2"/>
      <c r="R187" s="2"/>
      <c r="S187" s="2"/>
      <c r="T187" s="2"/>
    </row>
    <row r="188" spans="1:20" ht="15.75" customHeight="1">
      <c r="A188" s="1"/>
      <c r="B188" s="2"/>
      <c r="C188" s="2"/>
      <c r="D188" s="2"/>
      <c r="E188" s="2"/>
      <c r="F188" s="2"/>
      <c r="G188" s="2"/>
      <c r="H188" s="2"/>
      <c r="I188" s="2"/>
      <c r="J188" s="2"/>
      <c r="K188" s="2"/>
      <c r="L188" s="2"/>
      <c r="M188" s="2"/>
      <c r="N188" s="2"/>
      <c r="O188" s="2"/>
      <c r="P188" s="2"/>
      <c r="Q188" s="2"/>
      <c r="R188" s="2"/>
      <c r="S188" s="2"/>
      <c r="T188" s="2"/>
    </row>
    <row r="189" spans="1:20" ht="15.75" customHeight="1">
      <c r="A189" s="1"/>
      <c r="B189" s="2"/>
      <c r="C189" s="2"/>
      <c r="D189" s="2"/>
      <c r="E189" s="2"/>
      <c r="F189" s="2"/>
      <c r="G189" s="2"/>
      <c r="H189" s="2"/>
      <c r="I189" s="2"/>
      <c r="J189" s="2"/>
      <c r="K189" s="2"/>
      <c r="L189" s="2"/>
      <c r="M189" s="2"/>
      <c r="N189" s="2"/>
      <c r="O189" s="2"/>
      <c r="P189" s="2"/>
      <c r="Q189" s="2"/>
      <c r="R189" s="2"/>
      <c r="S189" s="2"/>
      <c r="T189" s="2"/>
    </row>
    <row r="190" spans="1:20" ht="15.75" customHeight="1">
      <c r="A190" s="1"/>
      <c r="B190" s="2"/>
      <c r="C190" s="2"/>
      <c r="D190" s="2"/>
      <c r="E190" s="2"/>
      <c r="F190" s="2"/>
      <c r="G190" s="2"/>
      <c r="H190" s="2"/>
      <c r="I190" s="2"/>
      <c r="J190" s="2"/>
      <c r="K190" s="2"/>
      <c r="L190" s="2"/>
      <c r="M190" s="2"/>
      <c r="N190" s="2"/>
      <c r="O190" s="2"/>
      <c r="P190" s="2"/>
      <c r="Q190" s="2"/>
      <c r="R190" s="2"/>
      <c r="S190" s="2"/>
      <c r="T190" s="2"/>
    </row>
    <row r="191" spans="1:20" ht="15.75" customHeight="1">
      <c r="A191" s="1"/>
      <c r="B191" s="2"/>
      <c r="C191" s="2"/>
      <c r="D191" s="2"/>
      <c r="E191" s="2"/>
      <c r="F191" s="2"/>
      <c r="G191" s="2"/>
      <c r="H191" s="2"/>
      <c r="I191" s="2"/>
      <c r="J191" s="2"/>
      <c r="K191" s="2"/>
      <c r="L191" s="2"/>
      <c r="M191" s="2"/>
      <c r="N191" s="2"/>
      <c r="O191" s="2"/>
      <c r="P191" s="2"/>
      <c r="Q191" s="2"/>
      <c r="R191" s="2"/>
      <c r="S191" s="2"/>
      <c r="T191" s="2"/>
    </row>
    <row r="192" spans="1:20" ht="15.75" customHeight="1">
      <c r="A192" s="1"/>
      <c r="B192" s="2"/>
      <c r="C192" s="2"/>
      <c r="D192" s="2"/>
      <c r="E192" s="2"/>
      <c r="F192" s="2"/>
      <c r="G192" s="2"/>
      <c r="H192" s="2"/>
      <c r="I192" s="2"/>
      <c r="J192" s="2"/>
      <c r="K192" s="2"/>
      <c r="L192" s="2"/>
      <c r="M192" s="2"/>
      <c r="N192" s="2"/>
      <c r="O192" s="2"/>
      <c r="P192" s="2"/>
      <c r="Q192" s="2"/>
      <c r="R192" s="2"/>
      <c r="S192" s="2"/>
      <c r="T192" s="2"/>
    </row>
    <row r="193" spans="1:20" ht="15.75" customHeight="1">
      <c r="A193" s="1"/>
      <c r="B193" s="2"/>
      <c r="C193" s="2"/>
      <c r="D193" s="2"/>
      <c r="E193" s="2"/>
      <c r="F193" s="2"/>
      <c r="G193" s="2"/>
      <c r="H193" s="2"/>
      <c r="I193" s="2"/>
      <c r="J193" s="2"/>
      <c r="K193" s="2"/>
      <c r="L193" s="2"/>
      <c r="M193" s="2"/>
      <c r="N193" s="2"/>
      <c r="O193" s="2"/>
      <c r="P193" s="2"/>
      <c r="Q193" s="2"/>
      <c r="R193" s="2"/>
      <c r="S193" s="2"/>
      <c r="T193" s="2"/>
    </row>
    <row r="194" spans="1:20" ht="15.75" customHeight="1">
      <c r="A194" s="1"/>
      <c r="B194" s="2"/>
      <c r="C194" s="2"/>
      <c r="D194" s="2"/>
      <c r="E194" s="2"/>
      <c r="F194" s="2"/>
      <c r="G194" s="2"/>
      <c r="H194" s="2"/>
      <c r="I194" s="2"/>
      <c r="J194" s="2"/>
      <c r="K194" s="2"/>
      <c r="L194" s="2"/>
      <c r="M194" s="2"/>
      <c r="N194" s="2"/>
      <c r="O194" s="2"/>
      <c r="P194" s="2"/>
      <c r="Q194" s="2"/>
      <c r="R194" s="2"/>
      <c r="S194" s="2"/>
      <c r="T194" s="2"/>
    </row>
    <row r="195" spans="1:20" ht="15.75" customHeight="1">
      <c r="A195" s="1"/>
      <c r="B195" s="2"/>
      <c r="C195" s="2"/>
      <c r="D195" s="2"/>
      <c r="E195" s="2"/>
      <c r="F195" s="2"/>
      <c r="G195" s="2"/>
      <c r="H195" s="2"/>
      <c r="I195" s="2"/>
      <c r="J195" s="2"/>
      <c r="K195" s="2"/>
      <c r="L195" s="2"/>
      <c r="M195" s="2"/>
      <c r="N195" s="2"/>
      <c r="O195" s="2"/>
      <c r="P195" s="2"/>
      <c r="Q195" s="2"/>
      <c r="R195" s="2"/>
      <c r="S195" s="2"/>
      <c r="T195" s="2"/>
    </row>
    <row r="196" spans="1:20" ht="15.75" customHeight="1">
      <c r="A196" s="1"/>
      <c r="B196" s="2"/>
      <c r="C196" s="2"/>
      <c r="D196" s="2"/>
      <c r="E196" s="2"/>
      <c r="F196" s="2"/>
      <c r="G196" s="2"/>
      <c r="H196" s="2"/>
      <c r="I196" s="2"/>
      <c r="J196" s="2"/>
      <c r="K196" s="2"/>
      <c r="L196" s="2"/>
      <c r="M196" s="2"/>
      <c r="N196" s="2"/>
      <c r="O196" s="2"/>
      <c r="P196" s="2"/>
      <c r="Q196" s="2"/>
      <c r="R196" s="2"/>
      <c r="S196" s="2"/>
      <c r="T196" s="2"/>
    </row>
    <row r="197" spans="1:20" ht="15.75" customHeight="1">
      <c r="A197" s="1"/>
      <c r="B197" s="2"/>
      <c r="C197" s="2"/>
      <c r="D197" s="2"/>
      <c r="E197" s="2"/>
      <c r="F197" s="2"/>
      <c r="G197" s="2"/>
      <c r="H197" s="2"/>
      <c r="I197" s="2"/>
      <c r="J197" s="2"/>
      <c r="K197" s="2"/>
      <c r="L197" s="2"/>
      <c r="M197" s="2"/>
      <c r="N197" s="2"/>
      <c r="O197" s="2"/>
      <c r="P197" s="2"/>
      <c r="Q197" s="2"/>
      <c r="R197" s="2"/>
      <c r="S197" s="2"/>
      <c r="T197" s="2"/>
    </row>
    <row r="198" spans="1:20" ht="15.75" customHeight="1">
      <c r="A198" s="1"/>
      <c r="B198" s="2"/>
      <c r="C198" s="2"/>
      <c r="D198" s="2"/>
      <c r="E198" s="2"/>
      <c r="F198" s="2"/>
      <c r="G198" s="2"/>
      <c r="H198" s="2"/>
      <c r="I198" s="2"/>
      <c r="J198" s="2"/>
      <c r="K198" s="2"/>
      <c r="L198" s="2"/>
      <c r="M198" s="2"/>
      <c r="N198" s="2"/>
      <c r="O198" s="2"/>
      <c r="P198" s="2"/>
      <c r="Q198" s="2"/>
      <c r="R198" s="2"/>
      <c r="S198" s="2"/>
      <c r="T198" s="2"/>
    </row>
    <row r="199" spans="1:20" ht="15.75" customHeight="1">
      <c r="A199" s="1"/>
      <c r="B199" s="2"/>
      <c r="C199" s="2"/>
      <c r="D199" s="2"/>
      <c r="E199" s="2"/>
      <c r="F199" s="2"/>
      <c r="G199" s="2"/>
      <c r="H199" s="2"/>
      <c r="I199" s="2"/>
      <c r="J199" s="2"/>
      <c r="K199" s="2"/>
      <c r="L199" s="2"/>
      <c r="M199" s="2"/>
      <c r="N199" s="2"/>
      <c r="O199" s="2"/>
      <c r="P199" s="2"/>
      <c r="Q199" s="2"/>
      <c r="R199" s="2"/>
      <c r="S199" s="2"/>
      <c r="T199" s="2"/>
    </row>
    <row r="200" spans="1:20" ht="15.75" customHeight="1">
      <c r="A200" s="1"/>
      <c r="B200" s="2"/>
      <c r="C200" s="2"/>
      <c r="D200" s="2"/>
      <c r="E200" s="2"/>
      <c r="F200" s="2"/>
      <c r="G200" s="2"/>
      <c r="H200" s="2"/>
      <c r="I200" s="2"/>
      <c r="J200" s="2"/>
      <c r="K200" s="2"/>
      <c r="L200" s="2"/>
      <c r="M200" s="2"/>
      <c r="N200" s="2"/>
      <c r="O200" s="2"/>
      <c r="P200" s="2"/>
      <c r="Q200" s="2"/>
      <c r="R200" s="2"/>
      <c r="S200" s="2"/>
      <c r="T200" s="2"/>
    </row>
    <row r="201" spans="1:20" ht="15.75" customHeight="1">
      <c r="A201" s="1"/>
      <c r="B201" s="2"/>
      <c r="C201" s="2"/>
      <c r="D201" s="2"/>
      <c r="E201" s="2"/>
      <c r="F201" s="2"/>
      <c r="G201" s="2"/>
      <c r="H201" s="2"/>
      <c r="I201" s="2"/>
      <c r="J201" s="2"/>
      <c r="K201" s="2"/>
      <c r="L201" s="2"/>
      <c r="M201" s="2"/>
      <c r="N201" s="2"/>
      <c r="O201" s="2"/>
      <c r="P201" s="2"/>
      <c r="Q201" s="2"/>
      <c r="R201" s="2"/>
      <c r="S201" s="2"/>
      <c r="T201" s="2"/>
    </row>
    <row r="202" spans="1:20" ht="15.75" customHeight="1">
      <c r="A202" s="1"/>
      <c r="B202" s="2"/>
      <c r="C202" s="2"/>
      <c r="D202" s="2"/>
      <c r="E202" s="2"/>
      <c r="F202" s="2"/>
      <c r="G202" s="2"/>
      <c r="H202" s="2"/>
      <c r="I202" s="2"/>
      <c r="J202" s="2"/>
      <c r="K202" s="2"/>
      <c r="L202" s="2"/>
      <c r="M202" s="2"/>
      <c r="N202" s="2"/>
      <c r="O202" s="2"/>
      <c r="P202" s="2"/>
      <c r="Q202" s="2"/>
      <c r="R202" s="2"/>
      <c r="S202" s="2"/>
      <c r="T202" s="2"/>
    </row>
    <row r="203" spans="1:20" ht="15.75" customHeight="1">
      <c r="A203" s="1"/>
      <c r="B203" s="2"/>
      <c r="C203" s="2"/>
      <c r="D203" s="2"/>
      <c r="E203" s="2"/>
      <c r="F203" s="2"/>
      <c r="G203" s="2"/>
      <c r="H203" s="2"/>
      <c r="I203" s="2"/>
      <c r="J203" s="2"/>
      <c r="K203" s="2"/>
      <c r="L203" s="2"/>
      <c r="M203" s="2"/>
      <c r="N203" s="2"/>
      <c r="O203" s="2"/>
      <c r="P203" s="2"/>
      <c r="Q203" s="2"/>
      <c r="R203" s="2"/>
      <c r="S203" s="2"/>
      <c r="T203" s="2"/>
    </row>
    <row r="204" spans="1:20" ht="15.75" customHeight="1">
      <c r="A204" s="1"/>
      <c r="B204" s="2"/>
      <c r="C204" s="2"/>
      <c r="D204" s="2"/>
      <c r="E204" s="2"/>
      <c r="F204" s="2"/>
      <c r="G204" s="2"/>
      <c r="H204" s="2"/>
      <c r="I204" s="2"/>
      <c r="J204" s="2"/>
      <c r="K204" s="2"/>
      <c r="L204" s="2"/>
      <c r="M204" s="2"/>
      <c r="N204" s="2"/>
      <c r="O204" s="2"/>
      <c r="P204" s="2"/>
      <c r="Q204" s="2"/>
      <c r="R204" s="2"/>
      <c r="S204" s="2"/>
      <c r="T204" s="2"/>
    </row>
    <row r="205" spans="1:20" ht="15.75" customHeight="1">
      <c r="A205" s="1"/>
      <c r="B205" s="2"/>
      <c r="C205" s="2"/>
      <c r="D205" s="2"/>
      <c r="E205" s="2"/>
      <c r="F205" s="2"/>
      <c r="G205" s="2"/>
      <c r="H205" s="2"/>
      <c r="I205" s="2"/>
      <c r="J205" s="2"/>
      <c r="K205" s="2"/>
      <c r="L205" s="2"/>
      <c r="M205" s="2"/>
      <c r="N205" s="2"/>
      <c r="O205" s="2"/>
      <c r="P205" s="2"/>
      <c r="Q205" s="2"/>
      <c r="R205" s="2"/>
      <c r="S205" s="2"/>
      <c r="T205" s="2"/>
    </row>
    <row r="206" spans="1:20" ht="15.75" customHeight="1">
      <c r="A206" s="1"/>
      <c r="B206" s="2"/>
      <c r="C206" s="2"/>
      <c r="D206" s="2"/>
      <c r="E206" s="2"/>
      <c r="F206" s="2"/>
      <c r="G206" s="2"/>
      <c r="H206" s="2"/>
      <c r="I206" s="2"/>
      <c r="J206" s="2"/>
      <c r="K206" s="2"/>
      <c r="L206" s="2"/>
      <c r="M206" s="2"/>
      <c r="N206" s="2"/>
      <c r="O206" s="2"/>
      <c r="P206" s="2"/>
      <c r="Q206" s="2"/>
      <c r="R206" s="2"/>
      <c r="S206" s="2"/>
      <c r="T206" s="2"/>
    </row>
    <row r="207" spans="1:20" ht="15.75" customHeight="1">
      <c r="A207" s="1"/>
      <c r="B207" s="2"/>
      <c r="C207" s="2"/>
      <c r="D207" s="2"/>
      <c r="E207" s="2"/>
      <c r="F207" s="2"/>
      <c r="G207" s="2"/>
      <c r="H207" s="2"/>
      <c r="I207" s="2"/>
      <c r="J207" s="2"/>
      <c r="K207" s="2"/>
      <c r="L207" s="2"/>
      <c r="M207" s="2"/>
      <c r="N207" s="2"/>
      <c r="O207" s="2"/>
      <c r="P207" s="2"/>
      <c r="Q207" s="2"/>
      <c r="R207" s="2"/>
      <c r="S207" s="2"/>
      <c r="T207" s="2"/>
    </row>
    <row r="208" spans="1:20" ht="15.75" customHeight="1">
      <c r="A208" s="1"/>
      <c r="B208" s="2"/>
      <c r="C208" s="2"/>
      <c r="D208" s="2"/>
      <c r="E208" s="2"/>
      <c r="F208" s="2"/>
      <c r="G208" s="2"/>
      <c r="H208" s="2"/>
      <c r="I208" s="2"/>
      <c r="J208" s="2"/>
      <c r="K208" s="2"/>
      <c r="L208" s="2"/>
      <c r="M208" s="2"/>
      <c r="N208" s="2"/>
      <c r="O208" s="2"/>
      <c r="P208" s="2"/>
      <c r="Q208" s="2"/>
      <c r="R208" s="2"/>
      <c r="S208" s="2"/>
      <c r="T208" s="2"/>
    </row>
    <row r="209" spans="1:20" ht="15.75" customHeight="1">
      <c r="A209" s="1"/>
      <c r="B209" s="2"/>
      <c r="C209" s="2"/>
      <c r="D209" s="2"/>
      <c r="E209" s="2"/>
      <c r="F209" s="2"/>
      <c r="G209" s="2"/>
      <c r="H209" s="2"/>
      <c r="I209" s="2"/>
      <c r="J209" s="2"/>
      <c r="K209" s="2"/>
      <c r="L209" s="2"/>
      <c r="M209" s="2"/>
      <c r="N209" s="2"/>
      <c r="O209" s="2"/>
      <c r="P209" s="2"/>
      <c r="Q209" s="2"/>
      <c r="R209" s="2"/>
      <c r="S209" s="2"/>
      <c r="T209" s="2"/>
    </row>
    <row r="210" spans="1:20" ht="15.75" customHeight="1">
      <c r="A210" s="1"/>
      <c r="B210" s="2"/>
      <c r="C210" s="2"/>
      <c r="D210" s="2"/>
      <c r="E210" s="2"/>
      <c r="F210" s="2"/>
      <c r="G210" s="2"/>
      <c r="H210" s="2"/>
      <c r="I210" s="2"/>
      <c r="J210" s="2"/>
      <c r="K210" s="2"/>
      <c r="L210" s="2"/>
      <c r="M210" s="2"/>
      <c r="N210" s="2"/>
      <c r="O210" s="2"/>
      <c r="P210" s="2"/>
      <c r="Q210" s="2"/>
      <c r="R210" s="2"/>
      <c r="S210" s="2"/>
      <c r="T210" s="2"/>
    </row>
    <row r="211" spans="1:20" ht="15.75" customHeight="1">
      <c r="A211" s="1"/>
      <c r="B211" s="2"/>
      <c r="C211" s="2"/>
      <c r="D211" s="2"/>
      <c r="E211" s="2"/>
      <c r="F211" s="2"/>
      <c r="G211" s="2"/>
      <c r="H211" s="2"/>
      <c r="I211" s="2"/>
      <c r="J211" s="2"/>
      <c r="K211" s="2"/>
      <c r="L211" s="2"/>
      <c r="M211" s="2"/>
      <c r="N211" s="2"/>
      <c r="O211" s="2"/>
      <c r="P211" s="2"/>
      <c r="Q211" s="2"/>
      <c r="R211" s="2"/>
      <c r="S211" s="2"/>
      <c r="T211" s="2"/>
    </row>
    <row r="212" spans="1:20" ht="15.75" customHeight="1">
      <c r="A212" s="1"/>
      <c r="B212" s="2"/>
      <c r="C212" s="2"/>
      <c r="D212" s="2"/>
      <c r="E212" s="2"/>
      <c r="F212" s="2"/>
      <c r="G212" s="2"/>
      <c r="H212" s="2"/>
      <c r="I212" s="2"/>
      <c r="J212" s="2"/>
      <c r="K212" s="2"/>
      <c r="L212" s="2"/>
      <c r="M212" s="2"/>
      <c r="N212" s="2"/>
      <c r="O212" s="2"/>
      <c r="P212" s="2"/>
      <c r="Q212" s="2"/>
      <c r="R212" s="2"/>
      <c r="S212" s="2"/>
      <c r="T212" s="2"/>
    </row>
    <row r="213" spans="1:20" ht="15.75" customHeight="1">
      <c r="A213" s="1"/>
      <c r="B213" s="2"/>
      <c r="C213" s="2"/>
      <c r="D213" s="2"/>
      <c r="E213" s="2"/>
      <c r="F213" s="2"/>
      <c r="G213" s="2"/>
      <c r="H213" s="2"/>
      <c r="I213" s="2"/>
      <c r="J213" s="2"/>
      <c r="K213" s="2"/>
      <c r="L213" s="2"/>
      <c r="M213" s="2"/>
      <c r="N213" s="2"/>
      <c r="O213" s="2"/>
      <c r="P213" s="2"/>
      <c r="Q213" s="2"/>
      <c r="R213" s="2"/>
      <c r="S213" s="2"/>
      <c r="T213" s="2"/>
    </row>
    <row r="214" spans="1:20" ht="15.75" customHeight="1">
      <c r="A214" s="1"/>
      <c r="B214" s="2"/>
      <c r="C214" s="2"/>
      <c r="D214" s="2"/>
      <c r="E214" s="2"/>
      <c r="F214" s="2"/>
      <c r="G214" s="2"/>
      <c r="H214" s="2"/>
      <c r="I214" s="2"/>
      <c r="J214" s="2"/>
      <c r="K214" s="2"/>
      <c r="L214" s="2"/>
      <c r="M214" s="2"/>
      <c r="N214" s="2"/>
      <c r="O214" s="2"/>
      <c r="P214" s="2"/>
      <c r="Q214" s="2"/>
      <c r="R214" s="2"/>
      <c r="S214" s="2"/>
      <c r="T214" s="2"/>
    </row>
    <row r="215" spans="1:20" ht="15.75" customHeight="1">
      <c r="A215" s="1"/>
      <c r="B215" s="2"/>
      <c r="C215" s="2"/>
      <c r="D215" s="2"/>
      <c r="E215" s="2"/>
      <c r="F215" s="2"/>
      <c r="G215" s="2"/>
      <c r="H215" s="2"/>
      <c r="I215" s="2"/>
      <c r="J215" s="2"/>
      <c r="K215" s="2"/>
      <c r="L215" s="2"/>
      <c r="M215" s="2"/>
      <c r="N215" s="2"/>
      <c r="O215" s="2"/>
      <c r="P215" s="2"/>
      <c r="Q215" s="2"/>
      <c r="R215" s="2"/>
      <c r="S215" s="2"/>
      <c r="T215" s="2"/>
    </row>
    <row r="216" spans="1:20" ht="15.75" customHeight="1">
      <c r="A216" s="1"/>
      <c r="B216" s="2"/>
      <c r="C216" s="2"/>
      <c r="D216" s="2"/>
      <c r="E216" s="2"/>
      <c r="F216" s="2"/>
      <c r="G216" s="2"/>
      <c r="H216" s="2"/>
      <c r="I216" s="2"/>
      <c r="J216" s="2"/>
      <c r="K216" s="2"/>
      <c r="L216" s="2"/>
      <c r="M216" s="2"/>
      <c r="N216" s="2"/>
      <c r="O216" s="2"/>
      <c r="P216" s="2"/>
      <c r="Q216" s="2"/>
      <c r="R216" s="2"/>
      <c r="S216" s="2"/>
      <c r="T216" s="2"/>
    </row>
    <row r="217" spans="1:20" ht="15.75" customHeight="1">
      <c r="A217" s="1"/>
      <c r="B217" s="2"/>
      <c r="C217" s="2"/>
      <c r="D217" s="2"/>
      <c r="E217" s="2"/>
      <c r="F217" s="2"/>
      <c r="G217" s="2"/>
      <c r="H217" s="2"/>
      <c r="I217" s="2"/>
      <c r="J217" s="2"/>
      <c r="K217" s="2"/>
      <c r="L217" s="2"/>
      <c r="M217" s="2"/>
      <c r="N217" s="2"/>
      <c r="O217" s="2"/>
      <c r="P217" s="2"/>
      <c r="Q217" s="2"/>
      <c r="R217" s="2"/>
      <c r="S217" s="2"/>
      <c r="T217" s="2"/>
    </row>
    <row r="218" spans="1:20" ht="15.75" customHeight="1">
      <c r="A218" s="1"/>
      <c r="B218" s="2"/>
      <c r="C218" s="2"/>
      <c r="D218" s="2"/>
      <c r="E218" s="2"/>
      <c r="F218" s="2"/>
      <c r="G218" s="2"/>
      <c r="H218" s="2"/>
      <c r="I218" s="2"/>
      <c r="J218" s="2"/>
      <c r="K218" s="2"/>
      <c r="L218" s="2"/>
      <c r="M218" s="2"/>
      <c r="N218" s="2"/>
      <c r="O218" s="2"/>
      <c r="P218" s="2"/>
      <c r="Q218" s="2"/>
      <c r="R218" s="2"/>
      <c r="S218" s="2"/>
      <c r="T218" s="2"/>
    </row>
    <row r="219" spans="1:20" ht="15.75" customHeight="1">
      <c r="A219" s="1"/>
      <c r="B219" s="2"/>
      <c r="C219" s="2"/>
      <c r="D219" s="2"/>
      <c r="E219" s="2"/>
      <c r="F219" s="2"/>
      <c r="G219" s="2"/>
      <c r="H219" s="2"/>
      <c r="I219" s="2"/>
      <c r="J219" s="2"/>
      <c r="K219" s="2"/>
      <c r="L219" s="2"/>
      <c r="M219" s="2"/>
      <c r="N219" s="2"/>
      <c r="O219" s="2"/>
      <c r="P219" s="2"/>
      <c r="Q219" s="2"/>
      <c r="R219" s="2"/>
      <c r="S219" s="2"/>
      <c r="T219" s="2"/>
    </row>
    <row r="220" spans="1:20" ht="15.75" customHeight="1">
      <c r="A220" s="1"/>
      <c r="B220" s="2"/>
      <c r="C220" s="2"/>
      <c r="D220" s="2"/>
      <c r="E220" s="2"/>
      <c r="F220" s="2"/>
      <c r="G220" s="2"/>
      <c r="H220" s="2"/>
      <c r="I220" s="2"/>
      <c r="J220" s="2"/>
      <c r="K220" s="2"/>
      <c r="L220" s="2"/>
      <c r="M220" s="2"/>
      <c r="N220" s="2"/>
      <c r="O220" s="2"/>
      <c r="P220" s="2"/>
      <c r="Q220" s="2"/>
      <c r="R220" s="2"/>
      <c r="S220" s="2"/>
      <c r="T220" s="2"/>
    </row>
    <row r="221" spans="1:20" ht="15.75" customHeight="1">
      <c r="A221" s="1"/>
      <c r="B221" s="2"/>
      <c r="C221" s="2"/>
      <c r="D221" s="2"/>
      <c r="E221" s="2"/>
      <c r="F221" s="2"/>
      <c r="G221" s="2"/>
      <c r="H221" s="2"/>
      <c r="I221" s="2"/>
      <c r="J221" s="2"/>
      <c r="K221" s="2"/>
      <c r="L221" s="2"/>
      <c r="M221" s="2"/>
      <c r="N221" s="2"/>
      <c r="O221" s="2"/>
      <c r="P221" s="2"/>
      <c r="Q221" s="2"/>
      <c r="R221" s="2"/>
      <c r="S221" s="2"/>
      <c r="T221" s="2"/>
    </row>
    <row r="222" spans="1:20" ht="15.75" customHeight="1">
      <c r="A222" s="1"/>
      <c r="B222" s="2"/>
      <c r="C222" s="2"/>
      <c r="D222" s="2"/>
      <c r="E222" s="2"/>
      <c r="F222" s="2"/>
      <c r="G222" s="2"/>
      <c r="H222" s="2"/>
      <c r="I222" s="2"/>
      <c r="J222" s="2"/>
      <c r="K222" s="2"/>
      <c r="L222" s="2"/>
      <c r="M222" s="2"/>
      <c r="N222" s="2"/>
      <c r="O222" s="2"/>
      <c r="P222" s="2"/>
      <c r="Q222" s="2"/>
      <c r="R222" s="2"/>
      <c r="S222" s="2"/>
      <c r="T222" s="2"/>
    </row>
    <row r="223" spans="1:20" ht="15.75" customHeight="1">
      <c r="A223" s="1"/>
      <c r="B223" s="2"/>
      <c r="C223" s="2"/>
      <c r="D223" s="2"/>
      <c r="E223" s="2"/>
      <c r="F223" s="2"/>
      <c r="G223" s="2"/>
      <c r="H223" s="2"/>
      <c r="I223" s="2"/>
      <c r="J223" s="2"/>
      <c r="K223" s="2"/>
      <c r="L223" s="2"/>
      <c r="M223" s="2"/>
      <c r="N223" s="2"/>
      <c r="O223" s="2"/>
      <c r="P223" s="2"/>
      <c r="Q223" s="2"/>
      <c r="R223" s="2"/>
      <c r="S223" s="2"/>
      <c r="T223" s="2"/>
    </row>
    <row r="224" spans="1:20" ht="15.75" customHeight="1">
      <c r="A224" s="1"/>
      <c r="B224" s="2"/>
      <c r="C224" s="2"/>
      <c r="D224" s="2"/>
      <c r="E224" s="2"/>
      <c r="F224" s="2"/>
      <c r="G224" s="2"/>
      <c r="H224" s="2"/>
      <c r="I224" s="2"/>
      <c r="J224" s="2"/>
      <c r="K224" s="2"/>
      <c r="L224" s="2"/>
      <c r="M224" s="2"/>
      <c r="N224" s="2"/>
      <c r="O224" s="2"/>
      <c r="P224" s="2"/>
      <c r="Q224" s="2"/>
      <c r="R224" s="2"/>
      <c r="S224" s="2"/>
      <c r="T224" s="2"/>
    </row>
    <row r="225" spans="1:20" ht="15.75" customHeight="1">
      <c r="A225" s="1"/>
      <c r="B225" s="2"/>
      <c r="C225" s="2"/>
      <c r="D225" s="2"/>
      <c r="E225" s="2"/>
      <c r="F225" s="2"/>
      <c r="G225" s="2"/>
      <c r="H225" s="2"/>
      <c r="I225" s="2"/>
      <c r="J225" s="2"/>
      <c r="K225" s="2"/>
      <c r="L225" s="2"/>
      <c r="M225" s="2"/>
      <c r="N225" s="2"/>
      <c r="O225" s="2"/>
      <c r="P225" s="2"/>
      <c r="Q225" s="2"/>
      <c r="R225" s="2"/>
      <c r="S225" s="2"/>
      <c r="T225" s="2"/>
    </row>
    <row r="226" spans="1:20" ht="15.75" customHeight="1">
      <c r="A226" s="1"/>
      <c r="B226" s="2"/>
      <c r="C226" s="2"/>
      <c r="D226" s="2"/>
      <c r="E226" s="2"/>
      <c r="F226" s="2"/>
      <c r="G226" s="2"/>
      <c r="H226" s="2"/>
      <c r="I226" s="2"/>
      <c r="J226" s="2"/>
      <c r="K226" s="2"/>
      <c r="L226" s="2"/>
      <c r="M226" s="2"/>
      <c r="N226" s="2"/>
      <c r="O226" s="2"/>
      <c r="P226" s="2"/>
      <c r="Q226" s="2"/>
      <c r="R226" s="2"/>
      <c r="S226" s="2"/>
      <c r="T226" s="2"/>
    </row>
    <row r="227" spans="1:20" ht="15.75" customHeight="1">
      <c r="A227" s="1"/>
      <c r="B227" s="2"/>
      <c r="C227" s="2"/>
      <c r="D227" s="2"/>
      <c r="E227" s="2"/>
      <c r="F227" s="2"/>
      <c r="G227" s="2"/>
      <c r="H227" s="2"/>
      <c r="I227" s="2"/>
      <c r="J227" s="2"/>
      <c r="K227" s="2"/>
      <c r="L227" s="2"/>
      <c r="M227" s="2"/>
      <c r="N227" s="2"/>
      <c r="O227" s="2"/>
      <c r="P227" s="2"/>
      <c r="Q227" s="2"/>
      <c r="R227" s="2"/>
      <c r="S227" s="2"/>
      <c r="T227" s="2"/>
    </row>
    <row r="228" spans="1:20" ht="15.75" customHeight="1">
      <c r="A228" s="1"/>
      <c r="B228" s="2"/>
      <c r="C228" s="2"/>
      <c r="D228" s="2"/>
      <c r="E228" s="2"/>
      <c r="F228" s="2"/>
      <c r="G228" s="2"/>
      <c r="H228" s="2"/>
      <c r="I228" s="2"/>
      <c r="J228" s="2"/>
      <c r="K228" s="2"/>
      <c r="L228" s="2"/>
      <c r="M228" s="2"/>
      <c r="N228" s="2"/>
      <c r="O228" s="2"/>
      <c r="P228" s="2"/>
      <c r="Q228" s="2"/>
      <c r="R228" s="2"/>
      <c r="S228" s="2"/>
      <c r="T228" s="2"/>
    </row>
    <row r="229" spans="1:20" ht="15.75" customHeight="1">
      <c r="A229" s="1"/>
      <c r="B229" s="2"/>
      <c r="C229" s="2"/>
      <c r="D229" s="2"/>
      <c r="E229" s="2"/>
      <c r="F229" s="2"/>
      <c r="G229" s="2"/>
      <c r="H229" s="2"/>
      <c r="I229" s="2"/>
      <c r="J229" s="2"/>
      <c r="K229" s="2"/>
      <c r="L229" s="2"/>
      <c r="M229" s="2"/>
      <c r="N229" s="2"/>
      <c r="O229" s="2"/>
      <c r="P229" s="2"/>
      <c r="Q229" s="2"/>
      <c r="R229" s="2"/>
      <c r="S229" s="2"/>
      <c r="T229" s="2"/>
    </row>
    <row r="230" spans="1:20" ht="15.75" customHeight="1">
      <c r="A230" s="1"/>
      <c r="B230" s="2"/>
      <c r="C230" s="2"/>
      <c r="D230" s="2"/>
      <c r="E230" s="2"/>
      <c r="F230" s="2"/>
      <c r="G230" s="2"/>
      <c r="H230" s="2"/>
      <c r="I230" s="2"/>
      <c r="J230" s="2"/>
      <c r="K230" s="2"/>
      <c r="L230" s="2"/>
      <c r="M230" s="2"/>
      <c r="N230" s="2"/>
      <c r="O230" s="2"/>
      <c r="P230" s="2"/>
      <c r="Q230" s="2"/>
      <c r="R230" s="2"/>
      <c r="S230" s="2"/>
      <c r="T230" s="2"/>
    </row>
    <row r="231" spans="1:20" ht="15.75" customHeight="1">
      <c r="A231" s="1"/>
      <c r="B231" s="2"/>
      <c r="C231" s="2"/>
      <c r="D231" s="2"/>
      <c r="E231" s="2"/>
      <c r="F231" s="2"/>
      <c r="G231" s="2"/>
      <c r="H231" s="2"/>
      <c r="I231" s="2"/>
      <c r="J231" s="2"/>
      <c r="K231" s="2"/>
      <c r="L231" s="2"/>
      <c r="M231" s="2"/>
      <c r="N231" s="2"/>
      <c r="O231" s="2"/>
      <c r="P231" s="2"/>
      <c r="Q231" s="2"/>
      <c r="R231" s="2"/>
      <c r="S231" s="2"/>
      <c r="T231" s="2"/>
    </row>
    <row r="232" spans="1:20" ht="15.75" customHeight="1">
      <c r="A232" s="1"/>
      <c r="B232" s="2"/>
      <c r="C232" s="2"/>
      <c r="D232" s="2"/>
      <c r="E232" s="2"/>
      <c r="F232" s="2"/>
      <c r="G232" s="2"/>
      <c r="H232" s="2"/>
      <c r="I232" s="2"/>
      <c r="J232" s="2"/>
      <c r="K232" s="2"/>
      <c r="L232" s="2"/>
      <c r="M232" s="2"/>
      <c r="N232" s="2"/>
      <c r="O232" s="2"/>
      <c r="P232" s="2"/>
      <c r="Q232" s="2"/>
      <c r="R232" s="2"/>
      <c r="S232" s="2"/>
      <c r="T232" s="2"/>
    </row>
    <row r="233" spans="1:20" ht="15.75" customHeight="1">
      <c r="A233" s="1"/>
      <c r="B233" s="2"/>
      <c r="C233" s="2"/>
      <c r="D233" s="2"/>
      <c r="E233" s="2"/>
      <c r="F233" s="2"/>
      <c r="G233" s="2"/>
      <c r="H233" s="2"/>
      <c r="I233" s="2"/>
      <c r="J233" s="2"/>
      <c r="K233" s="2"/>
      <c r="L233" s="2"/>
      <c r="M233" s="2"/>
      <c r="N233" s="2"/>
      <c r="O233" s="2"/>
      <c r="P233" s="2"/>
      <c r="Q233" s="2"/>
      <c r="R233" s="2"/>
      <c r="S233" s="2"/>
      <c r="T233" s="2"/>
    </row>
    <row r="234" spans="1:20" ht="15.75" customHeight="1">
      <c r="A234" s="1"/>
      <c r="B234" s="2"/>
      <c r="C234" s="2"/>
      <c r="D234" s="2"/>
      <c r="E234" s="2"/>
      <c r="F234" s="2"/>
      <c r="G234" s="2"/>
      <c r="H234" s="2"/>
      <c r="I234" s="2"/>
      <c r="J234" s="2"/>
      <c r="K234" s="2"/>
      <c r="L234" s="2"/>
      <c r="M234" s="2"/>
      <c r="N234" s="2"/>
      <c r="O234" s="2"/>
      <c r="P234" s="2"/>
      <c r="Q234" s="2"/>
      <c r="R234" s="2"/>
      <c r="S234" s="2"/>
      <c r="T234" s="2"/>
    </row>
    <row r="235" spans="1:20" ht="15.75" customHeight="1">
      <c r="A235" s="1"/>
      <c r="B235" s="2"/>
      <c r="C235" s="2"/>
      <c r="D235" s="2"/>
      <c r="E235" s="2"/>
      <c r="F235" s="2"/>
      <c r="G235" s="2"/>
      <c r="H235" s="2"/>
      <c r="I235" s="2"/>
      <c r="J235" s="2"/>
      <c r="K235" s="2"/>
      <c r="L235" s="2"/>
      <c r="M235" s="2"/>
      <c r="N235" s="2"/>
      <c r="O235" s="2"/>
      <c r="P235" s="2"/>
      <c r="Q235" s="2"/>
      <c r="R235" s="2"/>
      <c r="S235" s="2"/>
      <c r="T235" s="2"/>
    </row>
    <row r="236" spans="1:20" ht="15.75" customHeight="1">
      <c r="A236" s="1"/>
      <c r="B236" s="2"/>
      <c r="C236" s="2"/>
      <c r="D236" s="2"/>
      <c r="E236" s="2"/>
      <c r="F236" s="2"/>
      <c r="G236" s="2"/>
      <c r="H236" s="2"/>
      <c r="I236" s="2"/>
      <c r="J236" s="2"/>
      <c r="K236" s="2"/>
      <c r="L236" s="2"/>
      <c r="M236" s="2"/>
      <c r="N236" s="2"/>
      <c r="O236" s="2"/>
      <c r="P236" s="2"/>
      <c r="Q236" s="2"/>
      <c r="R236" s="2"/>
      <c r="S236" s="2"/>
      <c r="T236" s="2"/>
    </row>
    <row r="237" spans="1:20" ht="15.75" customHeight="1">
      <c r="A237" s="1"/>
      <c r="B237" s="2"/>
      <c r="C237" s="2"/>
      <c r="D237" s="2"/>
      <c r="E237" s="2"/>
      <c r="F237" s="2"/>
      <c r="G237" s="2"/>
      <c r="H237" s="2"/>
      <c r="I237" s="2"/>
      <c r="J237" s="2"/>
      <c r="K237" s="2"/>
      <c r="L237" s="2"/>
      <c r="M237" s="2"/>
      <c r="N237" s="2"/>
      <c r="O237" s="2"/>
      <c r="P237" s="2"/>
      <c r="Q237" s="2"/>
      <c r="R237" s="2"/>
      <c r="S237" s="2"/>
      <c r="T237" s="2"/>
    </row>
    <row r="238" spans="1:20" ht="15.75" customHeight="1">
      <c r="A238" s="1"/>
      <c r="B238" s="2"/>
      <c r="C238" s="2"/>
      <c r="D238" s="2"/>
      <c r="E238" s="2"/>
      <c r="F238" s="2"/>
      <c r="G238" s="2"/>
      <c r="H238" s="2"/>
      <c r="I238" s="2"/>
      <c r="J238" s="2"/>
      <c r="K238" s="2"/>
      <c r="L238" s="2"/>
      <c r="M238" s="2"/>
      <c r="N238" s="2"/>
      <c r="O238" s="2"/>
      <c r="P238" s="2"/>
      <c r="Q238" s="2"/>
      <c r="R238" s="2"/>
      <c r="S238" s="2"/>
      <c r="T238" s="2"/>
    </row>
    <row r="239" spans="1:20" ht="15.75" customHeight="1">
      <c r="A239" s="1"/>
      <c r="B239" s="2"/>
      <c r="C239" s="2"/>
      <c r="D239" s="2"/>
      <c r="E239" s="2"/>
      <c r="F239" s="2"/>
      <c r="G239" s="2"/>
      <c r="H239" s="2"/>
      <c r="I239" s="2"/>
      <c r="J239" s="2"/>
      <c r="K239" s="2"/>
      <c r="L239" s="2"/>
      <c r="M239" s="2"/>
      <c r="N239" s="2"/>
      <c r="O239" s="2"/>
      <c r="P239" s="2"/>
      <c r="Q239" s="2"/>
      <c r="R239" s="2"/>
      <c r="S239" s="2"/>
      <c r="T239" s="2"/>
    </row>
    <row r="240" spans="1:20" ht="15.75" customHeight="1">
      <c r="A240" s="1"/>
      <c r="B240" s="2"/>
      <c r="C240" s="2"/>
      <c r="D240" s="2"/>
      <c r="E240" s="2"/>
      <c r="F240" s="2"/>
      <c r="G240" s="2"/>
      <c r="H240" s="2"/>
      <c r="I240" s="2"/>
      <c r="J240" s="2"/>
      <c r="K240" s="2"/>
      <c r="L240" s="2"/>
      <c r="M240" s="2"/>
      <c r="N240" s="2"/>
      <c r="O240" s="2"/>
      <c r="P240" s="2"/>
      <c r="Q240" s="2"/>
      <c r="R240" s="2"/>
      <c r="S240" s="2"/>
      <c r="T240" s="2"/>
    </row>
    <row r="241" spans="1:20" ht="15.75" customHeight="1">
      <c r="A241" s="1"/>
      <c r="B241" s="2"/>
      <c r="C241" s="2"/>
      <c r="D241" s="2"/>
      <c r="E241" s="2"/>
      <c r="F241" s="2"/>
      <c r="G241" s="2"/>
      <c r="H241" s="2"/>
      <c r="I241" s="2"/>
      <c r="J241" s="2"/>
      <c r="K241" s="2"/>
      <c r="L241" s="2"/>
      <c r="M241" s="2"/>
      <c r="N241" s="2"/>
      <c r="O241" s="2"/>
      <c r="P241" s="2"/>
      <c r="Q241" s="2"/>
      <c r="R241" s="2"/>
      <c r="S241" s="2"/>
      <c r="T241" s="2"/>
    </row>
    <row r="242" spans="1:20" ht="15.75" customHeight="1">
      <c r="A242" s="1"/>
      <c r="B242" s="2"/>
      <c r="C242" s="2"/>
      <c r="D242" s="2"/>
      <c r="E242" s="2"/>
      <c r="F242" s="2"/>
      <c r="G242" s="2"/>
      <c r="H242" s="2"/>
      <c r="I242" s="2"/>
      <c r="J242" s="2"/>
      <c r="K242" s="2"/>
      <c r="L242" s="2"/>
      <c r="M242" s="2"/>
      <c r="N242" s="2"/>
      <c r="O242" s="2"/>
      <c r="P242" s="2"/>
      <c r="Q242" s="2"/>
      <c r="R242" s="2"/>
      <c r="S242" s="2"/>
      <c r="T242" s="2"/>
    </row>
    <row r="243" spans="1:20" ht="15.75" customHeight="1">
      <c r="A243" s="1"/>
      <c r="B243" s="2"/>
      <c r="C243" s="2"/>
      <c r="D243" s="2"/>
      <c r="E243" s="2"/>
      <c r="F243" s="2"/>
      <c r="G243" s="2"/>
      <c r="H243" s="2"/>
      <c r="I243" s="2"/>
      <c r="J243" s="2"/>
      <c r="K243" s="2"/>
      <c r="L243" s="2"/>
      <c r="M243" s="2"/>
      <c r="N243" s="2"/>
      <c r="O243" s="2"/>
      <c r="P243" s="2"/>
      <c r="Q243" s="2"/>
      <c r="R243" s="2"/>
      <c r="S243" s="2"/>
      <c r="T243" s="2"/>
    </row>
    <row r="244" spans="1:20" ht="15.75" customHeight="1">
      <c r="A244" s="1"/>
      <c r="B244" s="2"/>
      <c r="C244" s="2"/>
      <c r="D244" s="2"/>
      <c r="E244" s="2"/>
      <c r="F244" s="2"/>
      <c r="G244" s="2"/>
      <c r="H244" s="2"/>
      <c r="I244" s="2"/>
      <c r="J244" s="2"/>
      <c r="K244" s="2"/>
      <c r="L244" s="2"/>
      <c r="M244" s="2"/>
      <c r="N244" s="2"/>
      <c r="O244" s="2"/>
      <c r="P244" s="2"/>
      <c r="Q244" s="2"/>
      <c r="R244" s="2"/>
      <c r="S244" s="2"/>
      <c r="T244" s="2"/>
    </row>
    <row r="245" spans="1:20" ht="15.75" customHeight="1">
      <c r="A245" s="1"/>
      <c r="B245" s="2"/>
      <c r="C245" s="2"/>
      <c r="D245" s="2"/>
      <c r="E245" s="2"/>
      <c r="F245" s="2"/>
      <c r="G245" s="2"/>
      <c r="H245" s="2"/>
      <c r="I245" s="2"/>
      <c r="J245" s="2"/>
      <c r="K245" s="2"/>
      <c r="L245" s="2"/>
      <c r="M245" s="2"/>
      <c r="N245" s="2"/>
      <c r="O245" s="2"/>
      <c r="P245" s="2"/>
      <c r="Q245" s="2"/>
      <c r="R245" s="2"/>
      <c r="S245" s="2"/>
      <c r="T245" s="2"/>
    </row>
    <row r="246" spans="1:20" ht="15.75" customHeight="1">
      <c r="A246" s="1"/>
      <c r="B246" s="2"/>
      <c r="C246" s="2"/>
      <c r="D246" s="2"/>
      <c r="E246" s="2"/>
      <c r="F246" s="2"/>
      <c r="G246" s="2"/>
      <c r="H246" s="2"/>
      <c r="I246" s="2"/>
      <c r="J246" s="2"/>
      <c r="K246" s="2"/>
      <c r="L246" s="2"/>
      <c r="M246" s="2"/>
      <c r="N246" s="2"/>
      <c r="O246" s="2"/>
      <c r="P246" s="2"/>
      <c r="Q246" s="2"/>
      <c r="R246" s="2"/>
      <c r="S246" s="2"/>
      <c r="T246" s="2"/>
    </row>
    <row r="247" spans="1:20" ht="15.75" customHeight="1">
      <c r="A247" s="1"/>
      <c r="B247" s="2"/>
      <c r="C247" s="2"/>
      <c r="D247" s="2"/>
      <c r="E247" s="2"/>
      <c r="F247" s="2"/>
      <c r="G247" s="2"/>
      <c r="H247" s="2"/>
      <c r="I247" s="2"/>
      <c r="J247" s="2"/>
      <c r="K247" s="2"/>
      <c r="L247" s="2"/>
      <c r="M247" s="2"/>
      <c r="N247" s="2"/>
      <c r="O247" s="2"/>
      <c r="P247" s="2"/>
      <c r="Q247" s="2"/>
      <c r="R247" s="2"/>
      <c r="S247" s="2"/>
      <c r="T247" s="2"/>
    </row>
    <row r="248" spans="1:20" ht="15.75" customHeight="1">
      <c r="A248" s="1"/>
      <c r="B248" s="2"/>
      <c r="C248" s="2"/>
      <c r="D248" s="2"/>
      <c r="E248" s="2"/>
      <c r="F248" s="2"/>
      <c r="G248" s="2"/>
      <c r="H248" s="2"/>
      <c r="I248" s="2"/>
      <c r="J248" s="2"/>
      <c r="K248" s="2"/>
      <c r="L248" s="2"/>
      <c r="M248" s="2"/>
      <c r="N248" s="2"/>
      <c r="O248" s="2"/>
      <c r="P248" s="2"/>
      <c r="Q248" s="2"/>
      <c r="R248" s="2"/>
      <c r="S248" s="2"/>
      <c r="T248" s="2"/>
    </row>
    <row r="249" spans="1:20" ht="15.75" customHeight="1">
      <c r="A249" s="1"/>
      <c r="B249" s="2"/>
      <c r="C249" s="2"/>
      <c r="D249" s="2"/>
      <c r="E249" s="2"/>
      <c r="F249" s="2"/>
      <c r="G249" s="2"/>
      <c r="H249" s="2"/>
      <c r="I249" s="2"/>
      <c r="J249" s="2"/>
      <c r="K249" s="2"/>
      <c r="L249" s="2"/>
      <c r="M249" s="2"/>
      <c r="N249" s="2"/>
      <c r="O249" s="2"/>
      <c r="P249" s="2"/>
      <c r="Q249" s="2"/>
      <c r="R249" s="2"/>
      <c r="S249" s="2"/>
      <c r="T249" s="2"/>
    </row>
    <row r="250" spans="1:20" ht="15.75" customHeight="1">
      <c r="A250" s="1"/>
      <c r="B250" s="2"/>
      <c r="C250" s="2"/>
      <c r="D250" s="2"/>
      <c r="E250" s="2"/>
      <c r="F250" s="2"/>
      <c r="G250" s="2"/>
      <c r="H250" s="2"/>
      <c r="I250" s="2"/>
      <c r="J250" s="2"/>
      <c r="K250" s="2"/>
      <c r="L250" s="2"/>
      <c r="M250" s="2"/>
      <c r="N250" s="2"/>
      <c r="O250" s="2"/>
      <c r="P250" s="2"/>
      <c r="Q250" s="2"/>
      <c r="R250" s="2"/>
      <c r="S250" s="2"/>
      <c r="T250" s="2"/>
    </row>
    <row r="251" spans="1:20" ht="15.75" customHeight="1">
      <c r="A251" s="1"/>
      <c r="B251" s="2"/>
      <c r="C251" s="2"/>
      <c r="D251" s="2"/>
      <c r="E251" s="2"/>
      <c r="F251" s="2"/>
      <c r="G251" s="2"/>
      <c r="H251" s="2"/>
      <c r="I251" s="2"/>
      <c r="J251" s="2"/>
      <c r="K251" s="2"/>
      <c r="L251" s="2"/>
      <c r="M251" s="2"/>
      <c r="N251" s="2"/>
      <c r="O251" s="2"/>
      <c r="P251" s="2"/>
      <c r="Q251" s="2"/>
      <c r="R251" s="2"/>
      <c r="S251" s="2"/>
      <c r="T251" s="2"/>
    </row>
    <row r="252" spans="1:20" ht="15.75" customHeight="1">
      <c r="A252" s="1"/>
      <c r="B252" s="2"/>
      <c r="C252" s="2"/>
      <c r="D252" s="2"/>
      <c r="E252" s="2"/>
      <c r="F252" s="2"/>
      <c r="G252" s="2"/>
      <c r="H252" s="2"/>
      <c r="I252" s="2"/>
      <c r="J252" s="2"/>
      <c r="K252" s="2"/>
      <c r="L252" s="2"/>
      <c r="M252" s="2"/>
      <c r="N252" s="2"/>
      <c r="O252" s="2"/>
      <c r="P252" s="2"/>
      <c r="Q252" s="2"/>
      <c r="R252" s="2"/>
      <c r="S252" s="2"/>
      <c r="T252" s="2"/>
    </row>
    <row r="253" spans="1:20" ht="15.75" customHeight="1">
      <c r="A253" s="1"/>
      <c r="B253" s="2"/>
      <c r="C253" s="2"/>
      <c r="D253" s="2"/>
      <c r="E253" s="2"/>
      <c r="F253" s="2"/>
      <c r="G253" s="2"/>
      <c r="H253" s="2"/>
      <c r="I253" s="2"/>
      <c r="J253" s="2"/>
      <c r="K253" s="2"/>
      <c r="L253" s="2"/>
      <c r="M253" s="2"/>
      <c r="N253" s="2"/>
      <c r="O253" s="2"/>
      <c r="P253" s="2"/>
      <c r="Q253" s="2"/>
      <c r="R253" s="2"/>
      <c r="S253" s="2"/>
      <c r="T253" s="2"/>
    </row>
    <row r="254" spans="1:20" ht="15.75" customHeight="1">
      <c r="A254" s="1"/>
      <c r="B254" s="2"/>
      <c r="C254" s="2"/>
      <c r="D254" s="2"/>
      <c r="E254" s="2"/>
      <c r="F254" s="2"/>
      <c r="G254" s="2"/>
      <c r="H254" s="2"/>
      <c r="I254" s="2"/>
      <c r="J254" s="2"/>
      <c r="K254" s="2"/>
      <c r="L254" s="2"/>
      <c r="M254" s="2"/>
      <c r="N254" s="2"/>
      <c r="O254" s="2"/>
      <c r="P254" s="2"/>
      <c r="Q254" s="2"/>
      <c r="R254" s="2"/>
      <c r="S254" s="2"/>
      <c r="T254" s="2"/>
    </row>
    <row r="255" spans="1:20" ht="15.75" customHeight="1">
      <c r="A255" s="1"/>
      <c r="B255" s="2"/>
      <c r="C255" s="2"/>
      <c r="D255" s="2"/>
      <c r="E255" s="2"/>
      <c r="F255" s="2"/>
      <c r="G255" s="2"/>
      <c r="H255" s="2"/>
      <c r="I255" s="2"/>
      <c r="J255" s="2"/>
      <c r="K255" s="2"/>
      <c r="L255" s="2"/>
      <c r="M255" s="2"/>
      <c r="N255" s="2"/>
      <c r="O255" s="2"/>
      <c r="P255" s="2"/>
      <c r="Q255" s="2"/>
      <c r="R255" s="2"/>
      <c r="S255" s="2"/>
      <c r="T255" s="2"/>
    </row>
    <row r="256" spans="1:20" ht="15.75" customHeight="1">
      <c r="A256" s="1"/>
      <c r="B256" s="2"/>
      <c r="C256" s="2"/>
      <c r="D256" s="2"/>
      <c r="E256" s="2"/>
      <c r="F256" s="2"/>
      <c r="G256" s="2"/>
      <c r="H256" s="2"/>
      <c r="I256" s="2"/>
      <c r="J256" s="2"/>
      <c r="K256" s="2"/>
      <c r="L256" s="2"/>
      <c r="M256" s="2"/>
      <c r="N256" s="2"/>
      <c r="O256" s="2"/>
      <c r="P256" s="2"/>
      <c r="Q256" s="2"/>
      <c r="R256" s="2"/>
      <c r="S256" s="2"/>
      <c r="T256" s="2"/>
    </row>
    <row r="257" spans="1:20" ht="15.75" customHeight="1">
      <c r="A257" s="1"/>
      <c r="B257" s="2"/>
      <c r="C257" s="2"/>
      <c r="D257" s="2"/>
      <c r="E257" s="2"/>
      <c r="F257" s="2"/>
      <c r="G257" s="2"/>
      <c r="H257" s="2"/>
      <c r="I257" s="2"/>
      <c r="J257" s="2"/>
      <c r="K257" s="2"/>
      <c r="L257" s="2"/>
      <c r="M257" s="2"/>
      <c r="N257" s="2"/>
      <c r="O257" s="2"/>
      <c r="P257" s="2"/>
      <c r="Q257" s="2"/>
      <c r="R257" s="2"/>
      <c r="S257" s="2"/>
      <c r="T257" s="2"/>
    </row>
    <row r="258" spans="1:20" ht="15.75" customHeight="1">
      <c r="A258" s="1"/>
      <c r="B258" s="2"/>
      <c r="C258" s="2"/>
      <c r="D258" s="2"/>
      <c r="E258" s="2"/>
      <c r="F258" s="2"/>
      <c r="G258" s="2"/>
      <c r="H258" s="2"/>
      <c r="I258" s="2"/>
      <c r="J258" s="2"/>
      <c r="K258" s="2"/>
      <c r="L258" s="2"/>
      <c r="M258" s="2"/>
      <c r="N258" s="2"/>
      <c r="O258" s="2"/>
      <c r="P258" s="2"/>
      <c r="Q258" s="2"/>
      <c r="R258" s="2"/>
      <c r="S258" s="2"/>
      <c r="T258" s="2"/>
    </row>
    <row r="259" spans="1:20" ht="15.75" customHeight="1">
      <c r="A259" s="1"/>
      <c r="B259" s="2"/>
      <c r="C259" s="2"/>
      <c r="D259" s="2"/>
      <c r="E259" s="2"/>
      <c r="F259" s="2"/>
      <c r="G259" s="2"/>
      <c r="H259" s="2"/>
      <c r="I259" s="2"/>
      <c r="J259" s="2"/>
      <c r="K259" s="2"/>
      <c r="L259" s="2"/>
      <c r="M259" s="2"/>
      <c r="N259" s="2"/>
      <c r="O259" s="2"/>
      <c r="P259" s="2"/>
      <c r="Q259" s="2"/>
      <c r="R259" s="2"/>
      <c r="S259" s="2"/>
      <c r="T259" s="2"/>
    </row>
    <row r="260" spans="1:20" ht="15.75" customHeight="1">
      <c r="A260" s="1"/>
      <c r="B260" s="2"/>
      <c r="C260" s="2"/>
      <c r="D260" s="2"/>
      <c r="E260" s="2"/>
      <c r="F260" s="2"/>
      <c r="G260" s="2"/>
      <c r="H260" s="2"/>
      <c r="I260" s="2"/>
      <c r="J260" s="2"/>
      <c r="K260" s="2"/>
      <c r="L260" s="2"/>
      <c r="M260" s="2"/>
      <c r="N260" s="2"/>
      <c r="O260" s="2"/>
      <c r="P260" s="2"/>
      <c r="Q260" s="2"/>
      <c r="R260" s="2"/>
      <c r="S260" s="2"/>
      <c r="T260" s="2"/>
    </row>
    <row r="261" spans="1:20" ht="15.75" customHeight="1">
      <c r="A261" s="1"/>
      <c r="B261" s="2"/>
      <c r="C261" s="2"/>
      <c r="D261" s="2"/>
      <c r="E261" s="2"/>
      <c r="F261" s="2"/>
      <c r="G261" s="2"/>
      <c r="H261" s="2"/>
      <c r="I261" s="2"/>
      <c r="J261" s="2"/>
      <c r="K261" s="2"/>
      <c r="L261" s="2"/>
      <c r="M261" s="2"/>
      <c r="N261" s="2"/>
      <c r="O261" s="2"/>
      <c r="P261" s="2"/>
      <c r="Q261" s="2"/>
      <c r="R261" s="2"/>
      <c r="S261" s="2"/>
      <c r="T261" s="2"/>
    </row>
    <row r="262" spans="1:20" ht="15.75" customHeight="1">
      <c r="A262" s="1"/>
      <c r="B262" s="2"/>
      <c r="C262" s="2"/>
      <c r="D262" s="2"/>
      <c r="E262" s="2"/>
      <c r="F262" s="2"/>
      <c r="G262" s="2"/>
      <c r="H262" s="2"/>
      <c r="I262" s="2"/>
      <c r="J262" s="2"/>
      <c r="K262" s="2"/>
      <c r="L262" s="2"/>
      <c r="M262" s="2"/>
      <c r="N262" s="2"/>
      <c r="O262" s="2"/>
      <c r="P262" s="2"/>
      <c r="Q262" s="2"/>
      <c r="R262" s="2"/>
      <c r="S262" s="2"/>
      <c r="T262" s="2"/>
    </row>
    <row r="263" spans="1:20" ht="15.75" customHeight="1">
      <c r="A263" s="1"/>
      <c r="B263" s="2"/>
      <c r="C263" s="2"/>
      <c r="D263" s="2"/>
      <c r="E263" s="2"/>
      <c r="F263" s="2"/>
      <c r="G263" s="2"/>
      <c r="H263" s="2"/>
      <c r="I263" s="2"/>
      <c r="J263" s="2"/>
      <c r="K263" s="2"/>
      <c r="L263" s="2"/>
      <c r="M263" s="2"/>
      <c r="N263" s="2"/>
      <c r="O263" s="2"/>
      <c r="P263" s="2"/>
      <c r="Q263" s="2"/>
      <c r="R263" s="2"/>
      <c r="S263" s="2"/>
      <c r="T263" s="2"/>
    </row>
    <row r="264" spans="1:20" ht="15.75" customHeight="1">
      <c r="A264" s="1"/>
      <c r="B264" s="2"/>
      <c r="C264" s="2"/>
      <c r="D264" s="2"/>
      <c r="E264" s="2"/>
      <c r="F264" s="2"/>
      <c r="G264" s="2"/>
      <c r="H264" s="2"/>
      <c r="I264" s="2"/>
      <c r="J264" s="2"/>
      <c r="K264" s="2"/>
      <c r="L264" s="2"/>
      <c r="M264" s="2"/>
      <c r="N264" s="2"/>
      <c r="O264" s="2"/>
      <c r="P264" s="2"/>
      <c r="Q264" s="2"/>
      <c r="R264" s="2"/>
      <c r="S264" s="2"/>
      <c r="T264" s="2"/>
    </row>
    <row r="265" spans="1:20" ht="15.75" customHeight="1">
      <c r="A265" s="1"/>
      <c r="B265" s="2"/>
      <c r="C265" s="2"/>
      <c r="D265" s="2"/>
      <c r="E265" s="2"/>
      <c r="F265" s="2"/>
      <c r="G265" s="2"/>
      <c r="H265" s="2"/>
      <c r="I265" s="2"/>
      <c r="J265" s="2"/>
      <c r="K265" s="2"/>
      <c r="L265" s="2"/>
      <c r="M265" s="2"/>
      <c r="N265" s="2"/>
      <c r="O265" s="2"/>
      <c r="P265" s="2"/>
      <c r="Q265" s="2"/>
      <c r="R265" s="2"/>
      <c r="S265" s="2"/>
      <c r="T265" s="2"/>
    </row>
    <row r="266" spans="1:20" ht="15.75" customHeight="1">
      <c r="A266" s="1"/>
      <c r="B266" s="2"/>
      <c r="C266" s="2"/>
      <c r="D266" s="2"/>
      <c r="E266" s="2"/>
      <c r="F266" s="2"/>
      <c r="G266" s="2"/>
      <c r="H266" s="2"/>
      <c r="I266" s="2"/>
      <c r="J266" s="2"/>
      <c r="K266" s="2"/>
      <c r="L266" s="2"/>
      <c r="M266" s="2"/>
      <c r="N266" s="2"/>
      <c r="O266" s="2"/>
      <c r="P266" s="2"/>
      <c r="Q266" s="2"/>
      <c r="R266" s="2"/>
      <c r="S266" s="2"/>
      <c r="T266" s="2"/>
    </row>
    <row r="267" spans="1:20" ht="15.75" customHeight="1">
      <c r="A267" s="1"/>
      <c r="B267" s="2"/>
      <c r="C267" s="2"/>
      <c r="D267" s="2"/>
      <c r="E267" s="2"/>
      <c r="F267" s="2"/>
      <c r="G267" s="2"/>
      <c r="H267" s="2"/>
      <c r="I267" s="2"/>
      <c r="J267" s="2"/>
      <c r="K267" s="2"/>
      <c r="L267" s="2"/>
      <c r="M267" s="2"/>
      <c r="N267" s="2"/>
      <c r="O267" s="2"/>
      <c r="P267" s="2"/>
      <c r="Q267" s="2"/>
      <c r="R267" s="2"/>
      <c r="S267" s="2"/>
      <c r="T267" s="2"/>
    </row>
    <row r="268" spans="1:20" ht="15.75" customHeight="1">
      <c r="A268" s="1"/>
      <c r="B268" s="2"/>
      <c r="C268" s="2"/>
      <c r="D268" s="2"/>
      <c r="E268" s="2"/>
      <c r="F268" s="2"/>
      <c r="G268" s="2"/>
      <c r="H268" s="2"/>
      <c r="I268" s="2"/>
      <c r="J268" s="2"/>
      <c r="K268" s="2"/>
      <c r="L268" s="2"/>
      <c r="M268" s="2"/>
      <c r="N268" s="2"/>
      <c r="O268" s="2"/>
      <c r="P268" s="2"/>
      <c r="Q268" s="2"/>
      <c r="R268" s="2"/>
      <c r="S268" s="2"/>
      <c r="T268" s="2"/>
    </row>
    <row r="269" spans="1:20" ht="15.75" customHeight="1">
      <c r="A269" s="1"/>
      <c r="B269" s="2"/>
      <c r="C269" s="2"/>
      <c r="D269" s="2"/>
      <c r="E269" s="2"/>
      <c r="F269" s="2"/>
      <c r="G269" s="2"/>
      <c r="H269" s="2"/>
      <c r="I269" s="2"/>
      <c r="J269" s="2"/>
      <c r="K269" s="2"/>
      <c r="L269" s="2"/>
      <c r="M269" s="2"/>
      <c r="N269" s="2"/>
      <c r="O269" s="2"/>
      <c r="P269" s="2"/>
      <c r="Q269" s="2"/>
      <c r="R269" s="2"/>
      <c r="S269" s="2"/>
      <c r="T269" s="2"/>
    </row>
    <row r="270" spans="1:20" ht="15.75" customHeight="1">
      <c r="A270" s="1"/>
      <c r="B270" s="2"/>
      <c r="C270" s="2"/>
      <c r="D270" s="2"/>
      <c r="E270" s="2"/>
      <c r="F270" s="2"/>
      <c r="G270" s="2"/>
      <c r="H270" s="2"/>
      <c r="I270" s="2"/>
      <c r="J270" s="2"/>
      <c r="K270" s="2"/>
      <c r="L270" s="2"/>
      <c r="M270" s="2"/>
      <c r="N270" s="2"/>
      <c r="O270" s="2"/>
      <c r="P270" s="2"/>
      <c r="Q270" s="2"/>
      <c r="R270" s="2"/>
      <c r="S270" s="2"/>
      <c r="T270" s="2"/>
    </row>
    <row r="271" spans="1:20" ht="15.75" customHeight="1">
      <c r="A271" s="1"/>
      <c r="B271" s="2"/>
      <c r="C271" s="2"/>
      <c r="D271" s="2"/>
      <c r="E271" s="2"/>
      <c r="F271" s="2"/>
      <c r="G271" s="2"/>
      <c r="H271" s="2"/>
      <c r="I271" s="2"/>
      <c r="J271" s="2"/>
      <c r="K271" s="2"/>
      <c r="L271" s="2"/>
      <c r="M271" s="2"/>
      <c r="N271" s="2"/>
      <c r="O271" s="2"/>
      <c r="P271" s="2"/>
      <c r="Q271" s="2"/>
      <c r="R271" s="2"/>
      <c r="S271" s="2"/>
      <c r="T271" s="2"/>
    </row>
    <row r="272" spans="1:20" ht="15.75" customHeight="1">
      <c r="A272" s="1"/>
      <c r="B272" s="2"/>
      <c r="C272" s="2"/>
      <c r="D272" s="2"/>
      <c r="E272" s="2"/>
      <c r="F272" s="2"/>
      <c r="G272" s="2"/>
      <c r="H272" s="2"/>
      <c r="I272" s="2"/>
      <c r="J272" s="2"/>
      <c r="K272" s="2"/>
      <c r="L272" s="2"/>
      <c r="M272" s="2"/>
      <c r="N272" s="2"/>
      <c r="O272" s="2"/>
      <c r="P272" s="2"/>
      <c r="Q272" s="2"/>
      <c r="R272" s="2"/>
      <c r="S272" s="2"/>
      <c r="T272" s="2"/>
    </row>
    <row r="273" spans="1:20" ht="15.75" customHeight="1">
      <c r="A273" s="1"/>
      <c r="B273" s="2"/>
      <c r="C273" s="2"/>
      <c r="D273" s="2"/>
      <c r="E273" s="2"/>
      <c r="F273" s="2"/>
      <c r="G273" s="2"/>
      <c r="H273" s="2"/>
      <c r="I273" s="2"/>
      <c r="J273" s="2"/>
      <c r="K273" s="2"/>
      <c r="L273" s="2"/>
      <c r="M273" s="2"/>
      <c r="N273" s="2"/>
      <c r="O273" s="2"/>
      <c r="P273" s="2"/>
      <c r="Q273" s="2"/>
      <c r="R273" s="2"/>
      <c r="S273" s="2"/>
      <c r="T273" s="2"/>
    </row>
    <row r="274" spans="1:20" ht="15.75" customHeight="1">
      <c r="A274" s="1"/>
      <c r="B274" s="2"/>
      <c r="C274" s="2"/>
      <c r="D274" s="2"/>
      <c r="E274" s="2"/>
      <c r="F274" s="2"/>
      <c r="G274" s="2"/>
      <c r="H274" s="2"/>
      <c r="I274" s="2"/>
      <c r="J274" s="2"/>
      <c r="K274" s="2"/>
      <c r="L274" s="2"/>
      <c r="M274" s="2"/>
      <c r="N274" s="2"/>
      <c r="O274" s="2"/>
      <c r="P274" s="2"/>
      <c r="Q274" s="2"/>
      <c r="R274" s="2"/>
      <c r="S274" s="2"/>
      <c r="T274" s="2"/>
    </row>
    <row r="275" spans="1:20" ht="15.75" customHeight="1">
      <c r="A275" s="1"/>
      <c r="B275" s="2"/>
      <c r="C275" s="2"/>
      <c r="D275" s="2"/>
      <c r="E275" s="2"/>
      <c r="F275" s="2"/>
      <c r="G275" s="2"/>
      <c r="H275" s="2"/>
      <c r="I275" s="2"/>
      <c r="J275" s="2"/>
      <c r="K275" s="2"/>
      <c r="L275" s="2"/>
      <c r="M275" s="2"/>
      <c r="N275" s="2"/>
      <c r="O275" s="2"/>
      <c r="P275" s="2"/>
      <c r="Q275" s="2"/>
      <c r="R275" s="2"/>
      <c r="S275" s="2"/>
      <c r="T275" s="2"/>
    </row>
    <row r="276" spans="1:20" ht="15.75" customHeight="1">
      <c r="A276" s="1"/>
      <c r="B276" s="2"/>
      <c r="C276" s="2"/>
      <c r="D276" s="2"/>
      <c r="E276" s="2"/>
      <c r="F276" s="2"/>
      <c r="G276" s="2"/>
      <c r="H276" s="2"/>
      <c r="I276" s="2"/>
      <c r="J276" s="2"/>
      <c r="K276" s="2"/>
      <c r="L276" s="2"/>
      <c r="M276" s="2"/>
      <c r="N276" s="2"/>
      <c r="O276" s="2"/>
      <c r="P276" s="2"/>
      <c r="Q276" s="2"/>
      <c r="R276" s="2"/>
      <c r="S276" s="2"/>
      <c r="T276" s="2"/>
    </row>
    <row r="277" spans="1:20" ht="15.75" customHeight="1">
      <c r="A277" s="1"/>
      <c r="B277" s="2"/>
      <c r="C277" s="2"/>
      <c r="D277" s="2"/>
      <c r="E277" s="2"/>
      <c r="F277" s="2"/>
      <c r="G277" s="2"/>
      <c r="H277" s="2"/>
      <c r="I277" s="2"/>
      <c r="J277" s="2"/>
      <c r="K277" s="2"/>
      <c r="L277" s="2"/>
      <c r="M277" s="2"/>
      <c r="N277" s="2"/>
      <c r="O277" s="2"/>
      <c r="P277" s="2"/>
      <c r="Q277" s="2"/>
      <c r="R277" s="2"/>
      <c r="S277" s="2"/>
      <c r="T277" s="2"/>
    </row>
    <row r="278" spans="1:20" ht="15.75" customHeight="1">
      <c r="A278" s="1"/>
      <c r="B278" s="2"/>
      <c r="C278" s="2"/>
      <c r="D278" s="2"/>
      <c r="E278" s="2"/>
      <c r="F278" s="2"/>
      <c r="G278" s="2"/>
      <c r="H278" s="2"/>
      <c r="I278" s="2"/>
      <c r="J278" s="2"/>
      <c r="K278" s="2"/>
      <c r="L278" s="2"/>
      <c r="M278" s="2"/>
      <c r="N278" s="2"/>
      <c r="O278" s="2"/>
      <c r="P278" s="2"/>
      <c r="Q278" s="2"/>
      <c r="R278" s="2"/>
      <c r="S278" s="2"/>
      <c r="T278" s="2"/>
    </row>
    <row r="279" spans="1:20" ht="15.75" customHeight="1">
      <c r="A279" s="1"/>
      <c r="B279" s="2"/>
      <c r="C279" s="2"/>
      <c r="D279" s="2"/>
      <c r="E279" s="2"/>
      <c r="F279" s="2"/>
      <c r="G279" s="2"/>
      <c r="H279" s="2"/>
      <c r="I279" s="2"/>
      <c r="J279" s="2"/>
      <c r="K279" s="2"/>
      <c r="L279" s="2"/>
      <c r="M279" s="2"/>
      <c r="N279" s="2"/>
      <c r="O279" s="2"/>
      <c r="P279" s="2"/>
      <c r="Q279" s="2"/>
      <c r="R279" s="2"/>
      <c r="S279" s="2"/>
      <c r="T279" s="2"/>
    </row>
    <row r="280" spans="1:20" ht="15.75" customHeight="1">
      <c r="A280" s="1"/>
      <c r="B280" s="2"/>
      <c r="C280" s="2"/>
      <c r="D280" s="2"/>
      <c r="E280" s="2"/>
      <c r="F280" s="2"/>
      <c r="G280" s="2"/>
      <c r="H280" s="2"/>
      <c r="I280" s="2"/>
      <c r="J280" s="2"/>
      <c r="K280" s="2"/>
      <c r="L280" s="2"/>
      <c r="M280" s="2"/>
      <c r="N280" s="2"/>
      <c r="O280" s="2"/>
      <c r="P280" s="2"/>
      <c r="Q280" s="2"/>
      <c r="R280" s="2"/>
      <c r="S280" s="2"/>
      <c r="T280" s="2"/>
    </row>
    <row r="281" spans="1:20" ht="15.75" customHeight="1">
      <c r="A281" s="1"/>
      <c r="B281" s="2"/>
      <c r="C281" s="2"/>
      <c r="D281" s="2"/>
      <c r="E281" s="2"/>
      <c r="F281" s="2"/>
      <c r="G281" s="2"/>
      <c r="H281" s="2"/>
      <c r="I281" s="2"/>
      <c r="J281" s="2"/>
      <c r="K281" s="2"/>
      <c r="L281" s="2"/>
      <c r="M281" s="2"/>
      <c r="N281" s="2"/>
      <c r="O281" s="2"/>
      <c r="P281" s="2"/>
      <c r="Q281" s="2"/>
      <c r="R281" s="2"/>
      <c r="S281" s="2"/>
      <c r="T281" s="2"/>
    </row>
    <row r="282" spans="1:20" ht="15.75" customHeight="1">
      <c r="A282" s="1"/>
      <c r="B282" s="2"/>
      <c r="C282" s="2"/>
      <c r="D282" s="2"/>
      <c r="E282" s="2"/>
      <c r="F282" s="2"/>
      <c r="G282" s="2"/>
      <c r="H282" s="2"/>
      <c r="I282" s="2"/>
      <c r="J282" s="2"/>
      <c r="K282" s="2"/>
      <c r="L282" s="2"/>
      <c r="M282" s="2"/>
      <c r="N282" s="2"/>
      <c r="O282" s="2"/>
      <c r="P282" s="2"/>
      <c r="Q282" s="2"/>
      <c r="R282" s="2"/>
      <c r="S282" s="2"/>
      <c r="T282" s="2"/>
    </row>
    <row r="283" spans="1:20" ht="15.75" customHeight="1">
      <c r="A283" s="1"/>
      <c r="B283" s="2"/>
      <c r="C283" s="2"/>
      <c r="D283" s="2"/>
      <c r="E283" s="2"/>
      <c r="F283" s="2"/>
      <c r="G283" s="2"/>
      <c r="H283" s="2"/>
      <c r="I283" s="2"/>
      <c r="J283" s="2"/>
      <c r="K283" s="2"/>
      <c r="L283" s="2"/>
      <c r="M283" s="2"/>
      <c r="N283" s="2"/>
      <c r="O283" s="2"/>
      <c r="P283" s="2"/>
      <c r="Q283" s="2"/>
      <c r="R283" s="2"/>
      <c r="S283" s="2"/>
      <c r="T283" s="2"/>
    </row>
    <row r="284" spans="1:20" ht="15.75" customHeight="1">
      <c r="A284" s="1"/>
      <c r="B284" s="2"/>
      <c r="C284" s="2"/>
      <c r="D284" s="2"/>
      <c r="E284" s="2"/>
      <c r="F284" s="2"/>
      <c r="G284" s="2"/>
      <c r="H284" s="2"/>
      <c r="I284" s="2"/>
      <c r="J284" s="2"/>
      <c r="K284" s="2"/>
      <c r="L284" s="2"/>
      <c r="M284" s="2"/>
      <c r="N284" s="2"/>
      <c r="O284" s="2"/>
      <c r="P284" s="2"/>
      <c r="Q284" s="2"/>
      <c r="R284" s="2"/>
      <c r="S284" s="2"/>
      <c r="T284" s="2"/>
    </row>
    <row r="285" spans="1:20" ht="15.75" customHeight="1">
      <c r="A285" s="1"/>
      <c r="B285" s="2"/>
      <c r="C285" s="2"/>
      <c r="D285" s="2"/>
      <c r="E285" s="2"/>
      <c r="F285" s="2"/>
      <c r="G285" s="2"/>
      <c r="H285" s="2"/>
      <c r="I285" s="2"/>
      <c r="J285" s="2"/>
      <c r="K285" s="2"/>
      <c r="L285" s="2"/>
      <c r="M285" s="2"/>
      <c r="N285" s="2"/>
      <c r="O285" s="2"/>
      <c r="P285" s="2"/>
      <c r="Q285" s="2"/>
      <c r="R285" s="2"/>
      <c r="S285" s="2"/>
      <c r="T285" s="2"/>
    </row>
    <row r="286" spans="1:20" ht="15.75" customHeight="1">
      <c r="A286" s="1"/>
      <c r="B286" s="2"/>
      <c r="C286" s="2"/>
      <c r="D286" s="2"/>
      <c r="E286" s="2"/>
      <c r="F286" s="2"/>
      <c r="G286" s="2"/>
      <c r="H286" s="2"/>
      <c r="I286" s="2"/>
      <c r="J286" s="2"/>
      <c r="K286" s="2"/>
      <c r="L286" s="2"/>
      <c r="M286" s="2"/>
      <c r="N286" s="2"/>
      <c r="O286" s="2"/>
      <c r="P286" s="2"/>
      <c r="Q286" s="2"/>
      <c r="R286" s="2"/>
      <c r="S286" s="2"/>
      <c r="T286" s="2"/>
    </row>
    <row r="287" spans="1:20" ht="15.75" customHeight="1">
      <c r="A287" s="1"/>
      <c r="B287" s="2"/>
      <c r="C287" s="2"/>
      <c r="D287" s="2"/>
      <c r="E287" s="2"/>
      <c r="F287" s="2"/>
      <c r="G287" s="2"/>
      <c r="H287" s="2"/>
      <c r="I287" s="2"/>
      <c r="J287" s="2"/>
      <c r="K287" s="2"/>
      <c r="L287" s="2"/>
      <c r="M287" s="2"/>
      <c r="N287" s="2"/>
      <c r="O287" s="2"/>
      <c r="P287" s="2"/>
      <c r="Q287" s="2"/>
      <c r="R287" s="2"/>
      <c r="S287" s="2"/>
      <c r="T287" s="2"/>
    </row>
    <row r="288" spans="1:20" ht="15.75" customHeight="1">
      <c r="A288" s="1"/>
      <c r="B288" s="2"/>
      <c r="C288" s="2"/>
      <c r="D288" s="2"/>
      <c r="E288" s="2"/>
      <c r="F288" s="2"/>
      <c r="G288" s="2"/>
      <c r="H288" s="2"/>
      <c r="I288" s="2"/>
      <c r="J288" s="2"/>
      <c r="K288" s="2"/>
      <c r="L288" s="2"/>
      <c r="M288" s="2"/>
      <c r="N288" s="2"/>
      <c r="O288" s="2"/>
      <c r="P288" s="2"/>
      <c r="Q288" s="2"/>
      <c r="R288" s="2"/>
      <c r="S288" s="2"/>
      <c r="T288" s="2"/>
    </row>
    <row r="289" spans="1:20" ht="15.75" customHeight="1">
      <c r="A289" s="1"/>
      <c r="B289" s="2"/>
      <c r="C289" s="2"/>
      <c r="D289" s="2"/>
      <c r="E289" s="2"/>
      <c r="F289" s="2"/>
      <c r="G289" s="2"/>
      <c r="H289" s="2"/>
      <c r="I289" s="2"/>
      <c r="J289" s="2"/>
      <c r="K289" s="2"/>
      <c r="L289" s="2"/>
      <c r="M289" s="2"/>
      <c r="N289" s="2"/>
      <c r="O289" s="2"/>
      <c r="P289" s="2"/>
      <c r="Q289" s="2"/>
      <c r="R289" s="2"/>
      <c r="S289" s="2"/>
      <c r="T289" s="2"/>
    </row>
    <row r="290" spans="1:20" ht="15.75" customHeight="1">
      <c r="A290" s="1"/>
      <c r="B290" s="2"/>
      <c r="C290" s="2"/>
      <c r="D290" s="2"/>
      <c r="E290" s="2"/>
      <c r="F290" s="2"/>
      <c r="G290" s="2"/>
      <c r="H290" s="2"/>
      <c r="I290" s="2"/>
      <c r="J290" s="2"/>
      <c r="K290" s="2"/>
      <c r="L290" s="2"/>
      <c r="M290" s="2"/>
      <c r="N290" s="2"/>
      <c r="O290" s="2"/>
      <c r="P290" s="2"/>
      <c r="Q290" s="2"/>
      <c r="R290" s="2"/>
      <c r="S290" s="2"/>
      <c r="T290" s="2"/>
    </row>
    <row r="291" spans="1:20" ht="15.75" customHeight="1">
      <c r="A291" s="1"/>
      <c r="B291" s="2"/>
      <c r="C291" s="2"/>
      <c r="D291" s="2"/>
      <c r="E291" s="2"/>
      <c r="F291" s="2"/>
      <c r="G291" s="2"/>
      <c r="H291" s="2"/>
      <c r="I291" s="2"/>
      <c r="J291" s="2"/>
      <c r="K291" s="2"/>
      <c r="L291" s="2"/>
      <c r="M291" s="2"/>
      <c r="N291" s="2"/>
      <c r="O291" s="2"/>
      <c r="P291" s="2"/>
      <c r="Q291" s="2"/>
      <c r="R291" s="2"/>
      <c r="S291" s="2"/>
      <c r="T291" s="2"/>
    </row>
    <row r="292" spans="1:20" ht="15.75" customHeight="1">
      <c r="A292" s="1"/>
      <c r="B292" s="2"/>
      <c r="C292" s="2"/>
      <c r="D292" s="2"/>
      <c r="E292" s="2"/>
      <c r="F292" s="2"/>
      <c r="G292" s="2"/>
      <c r="H292" s="2"/>
      <c r="I292" s="2"/>
      <c r="J292" s="2"/>
      <c r="K292" s="2"/>
      <c r="L292" s="2"/>
      <c r="M292" s="2"/>
      <c r="N292" s="2"/>
      <c r="O292" s="2"/>
      <c r="P292" s="2"/>
      <c r="Q292" s="2"/>
      <c r="R292" s="2"/>
      <c r="S292" s="2"/>
      <c r="T292" s="2"/>
    </row>
    <row r="293" spans="1:20" ht="15.75" customHeight="1">
      <c r="A293" s="1"/>
      <c r="B293" s="2"/>
      <c r="C293" s="2"/>
      <c r="D293" s="2"/>
      <c r="E293" s="2"/>
      <c r="F293" s="2"/>
      <c r="G293" s="2"/>
      <c r="H293" s="2"/>
      <c r="I293" s="2"/>
      <c r="J293" s="2"/>
      <c r="K293" s="2"/>
      <c r="L293" s="2"/>
      <c r="M293" s="2"/>
      <c r="N293" s="2"/>
      <c r="O293" s="2"/>
      <c r="P293" s="2"/>
      <c r="Q293" s="2"/>
      <c r="R293" s="2"/>
      <c r="S293" s="2"/>
      <c r="T293" s="2"/>
    </row>
    <row r="294" spans="1:20" ht="15.75" customHeight="1">
      <c r="A294" s="1"/>
      <c r="B294" s="2"/>
      <c r="C294" s="2"/>
      <c r="D294" s="2"/>
      <c r="E294" s="2"/>
      <c r="F294" s="2"/>
      <c r="G294" s="2"/>
      <c r="H294" s="2"/>
      <c r="I294" s="2"/>
      <c r="J294" s="2"/>
      <c r="K294" s="2"/>
      <c r="L294" s="2"/>
      <c r="M294" s="2"/>
      <c r="N294" s="2"/>
      <c r="O294" s="2"/>
      <c r="P294" s="2"/>
      <c r="Q294" s="2"/>
      <c r="R294" s="2"/>
      <c r="S294" s="2"/>
      <c r="T294" s="2"/>
    </row>
    <row r="295" spans="1:20" ht="15.75" customHeight="1">
      <c r="A295" s="1"/>
      <c r="B295" s="2"/>
      <c r="C295" s="2"/>
      <c r="D295" s="2"/>
      <c r="E295" s="2"/>
      <c r="F295" s="2"/>
      <c r="G295" s="2"/>
      <c r="H295" s="2"/>
      <c r="I295" s="2"/>
      <c r="J295" s="2"/>
      <c r="K295" s="2"/>
      <c r="L295" s="2"/>
      <c r="M295" s="2"/>
      <c r="N295" s="2"/>
      <c r="O295" s="2"/>
      <c r="P295" s="2"/>
      <c r="Q295" s="2"/>
      <c r="R295" s="2"/>
      <c r="S295" s="2"/>
      <c r="T295" s="2"/>
    </row>
    <row r="296" spans="1:20" ht="15.75" customHeight="1">
      <c r="A296" s="1"/>
      <c r="B296" s="2"/>
      <c r="C296" s="2"/>
      <c r="D296" s="2"/>
      <c r="E296" s="2"/>
      <c r="F296" s="2"/>
      <c r="G296" s="2"/>
      <c r="H296" s="2"/>
      <c r="I296" s="2"/>
      <c r="J296" s="2"/>
      <c r="K296" s="2"/>
      <c r="L296" s="2"/>
      <c r="M296" s="2"/>
      <c r="N296" s="2"/>
      <c r="O296" s="2"/>
      <c r="P296" s="2"/>
      <c r="Q296" s="2"/>
      <c r="R296" s="2"/>
      <c r="S296" s="2"/>
      <c r="T296" s="2"/>
    </row>
    <row r="297" spans="1:20" ht="15.75" customHeight="1">
      <c r="A297" s="1"/>
      <c r="B297" s="2"/>
      <c r="C297" s="2"/>
      <c r="D297" s="2"/>
      <c r="E297" s="2"/>
      <c r="F297" s="2"/>
      <c r="G297" s="2"/>
      <c r="H297" s="2"/>
      <c r="I297" s="2"/>
      <c r="J297" s="2"/>
      <c r="K297" s="2"/>
      <c r="L297" s="2"/>
      <c r="M297" s="2"/>
      <c r="N297" s="2"/>
      <c r="O297" s="2"/>
      <c r="P297" s="2"/>
      <c r="Q297" s="2"/>
      <c r="R297" s="2"/>
      <c r="S297" s="2"/>
      <c r="T297" s="2"/>
    </row>
    <row r="298" spans="1:20" ht="15.75" customHeight="1">
      <c r="A298" s="1"/>
      <c r="B298" s="2"/>
      <c r="C298" s="2"/>
      <c r="D298" s="2"/>
      <c r="E298" s="2"/>
      <c r="F298" s="2"/>
      <c r="G298" s="2"/>
      <c r="H298" s="2"/>
      <c r="I298" s="2"/>
      <c r="J298" s="2"/>
      <c r="K298" s="2"/>
      <c r="L298" s="2"/>
      <c r="M298" s="2"/>
      <c r="N298" s="2"/>
      <c r="O298" s="2"/>
      <c r="P298" s="2"/>
      <c r="Q298" s="2"/>
      <c r="R298" s="2"/>
      <c r="S298" s="2"/>
      <c r="T298" s="2"/>
    </row>
    <row r="299" spans="1:20" ht="15.75" customHeight="1">
      <c r="A299" s="1"/>
      <c r="B299" s="2"/>
      <c r="C299" s="2"/>
      <c r="D299" s="2"/>
      <c r="E299" s="2"/>
      <c r="F299" s="2"/>
      <c r="G299" s="2"/>
      <c r="H299" s="2"/>
      <c r="I299" s="2"/>
      <c r="J299" s="2"/>
      <c r="K299" s="2"/>
      <c r="L299" s="2"/>
      <c r="M299" s="2"/>
      <c r="N299" s="2"/>
      <c r="O299" s="2"/>
      <c r="P299" s="2"/>
      <c r="Q299" s="2"/>
      <c r="R299" s="2"/>
      <c r="S299" s="2"/>
      <c r="T299" s="2"/>
    </row>
    <row r="300" spans="1:20" ht="15.75" customHeight="1">
      <c r="A300" s="1"/>
      <c r="B300" s="2"/>
      <c r="C300" s="2"/>
      <c r="D300" s="2"/>
      <c r="E300" s="2"/>
      <c r="F300" s="2"/>
      <c r="G300" s="2"/>
      <c r="H300" s="2"/>
      <c r="I300" s="2"/>
      <c r="J300" s="2"/>
      <c r="K300" s="2"/>
      <c r="L300" s="2"/>
      <c r="M300" s="2"/>
      <c r="N300" s="2"/>
      <c r="O300" s="2"/>
      <c r="P300" s="2"/>
      <c r="Q300" s="2"/>
      <c r="R300" s="2"/>
      <c r="S300" s="2"/>
      <c r="T300" s="2"/>
    </row>
    <row r="301" spans="1:20" ht="15.75" customHeight="1">
      <c r="A301" s="1"/>
      <c r="B301" s="2"/>
      <c r="C301" s="2"/>
      <c r="D301" s="2"/>
      <c r="E301" s="2"/>
      <c r="F301" s="2"/>
      <c r="G301" s="2"/>
      <c r="H301" s="2"/>
      <c r="I301" s="2"/>
      <c r="J301" s="2"/>
      <c r="K301" s="2"/>
      <c r="L301" s="2"/>
      <c r="M301" s="2"/>
      <c r="N301" s="2"/>
      <c r="O301" s="2"/>
      <c r="P301" s="2"/>
      <c r="Q301" s="2"/>
      <c r="R301" s="2"/>
      <c r="S301" s="2"/>
      <c r="T301" s="2"/>
    </row>
    <row r="302" spans="1:20" ht="15.75" customHeight="1">
      <c r="A302" s="1"/>
      <c r="B302" s="2"/>
      <c r="C302" s="2"/>
      <c r="D302" s="2"/>
      <c r="E302" s="2"/>
      <c r="F302" s="2"/>
      <c r="G302" s="2"/>
      <c r="H302" s="2"/>
      <c r="I302" s="2"/>
      <c r="J302" s="2"/>
      <c r="K302" s="2"/>
      <c r="L302" s="2"/>
      <c r="M302" s="2"/>
      <c r="N302" s="2"/>
      <c r="O302" s="2"/>
      <c r="P302" s="2"/>
      <c r="Q302" s="2"/>
      <c r="R302" s="2"/>
      <c r="S302" s="2"/>
      <c r="T302" s="2"/>
    </row>
    <row r="303" spans="1:20" ht="15.75" customHeight="1">
      <c r="A303" s="1"/>
      <c r="B303" s="2"/>
      <c r="C303" s="2"/>
      <c r="D303" s="2"/>
      <c r="E303" s="2"/>
      <c r="F303" s="2"/>
      <c r="G303" s="2"/>
      <c r="H303" s="2"/>
      <c r="I303" s="2"/>
      <c r="J303" s="2"/>
      <c r="K303" s="2"/>
      <c r="L303" s="2"/>
      <c r="M303" s="2"/>
      <c r="N303" s="2"/>
      <c r="O303" s="2"/>
      <c r="P303" s="2"/>
      <c r="Q303" s="2"/>
      <c r="R303" s="2"/>
      <c r="S303" s="2"/>
      <c r="T303" s="2"/>
    </row>
    <row r="304" spans="1:20" ht="15.75" customHeight="1">
      <c r="A304" s="1"/>
      <c r="B304" s="2"/>
      <c r="C304" s="2"/>
      <c r="D304" s="2"/>
      <c r="E304" s="2"/>
      <c r="F304" s="2"/>
      <c r="G304" s="2"/>
      <c r="H304" s="2"/>
      <c r="I304" s="2"/>
      <c r="J304" s="2"/>
      <c r="K304" s="2"/>
      <c r="L304" s="2"/>
      <c r="M304" s="2"/>
      <c r="N304" s="2"/>
      <c r="O304" s="2"/>
      <c r="P304" s="2"/>
      <c r="Q304" s="2"/>
      <c r="R304" s="2"/>
      <c r="S304" s="2"/>
      <c r="T304" s="2"/>
    </row>
    <row r="305" spans="1:20" ht="15.75" customHeight="1">
      <c r="A305" s="1"/>
      <c r="B305" s="2"/>
      <c r="C305" s="2"/>
      <c r="D305" s="2"/>
      <c r="E305" s="2"/>
      <c r="F305" s="2"/>
      <c r="G305" s="2"/>
      <c r="H305" s="2"/>
      <c r="I305" s="2"/>
      <c r="J305" s="2"/>
      <c r="K305" s="2"/>
      <c r="L305" s="2"/>
      <c r="M305" s="2"/>
      <c r="N305" s="2"/>
      <c r="O305" s="2"/>
      <c r="P305" s="2"/>
      <c r="Q305" s="2"/>
      <c r="R305" s="2"/>
      <c r="S305" s="2"/>
      <c r="T305" s="2"/>
    </row>
    <row r="306" spans="1:20" ht="15.75" customHeight="1">
      <c r="A306" s="1"/>
      <c r="B306" s="2"/>
      <c r="C306" s="2"/>
      <c r="D306" s="2"/>
      <c r="E306" s="2"/>
      <c r="F306" s="2"/>
      <c r="G306" s="2"/>
      <c r="H306" s="2"/>
      <c r="I306" s="2"/>
      <c r="J306" s="2"/>
      <c r="K306" s="2"/>
      <c r="L306" s="2"/>
      <c r="M306" s="2"/>
      <c r="N306" s="2"/>
      <c r="O306" s="2"/>
      <c r="P306" s="2"/>
      <c r="Q306" s="2"/>
      <c r="R306" s="2"/>
      <c r="S306" s="2"/>
      <c r="T306" s="2"/>
    </row>
    <row r="307" spans="1:20" ht="15.75" customHeight="1">
      <c r="A307" s="1"/>
      <c r="B307" s="2"/>
      <c r="C307" s="2"/>
      <c r="D307" s="2"/>
      <c r="E307" s="2"/>
      <c r="F307" s="2"/>
      <c r="G307" s="2"/>
      <c r="H307" s="2"/>
      <c r="I307" s="2"/>
      <c r="J307" s="2"/>
      <c r="K307" s="2"/>
      <c r="L307" s="2"/>
      <c r="M307" s="2"/>
      <c r="N307" s="2"/>
      <c r="O307" s="2"/>
      <c r="P307" s="2"/>
      <c r="Q307" s="2"/>
      <c r="R307" s="2"/>
      <c r="S307" s="2"/>
      <c r="T307" s="2"/>
    </row>
    <row r="308" spans="1:20" ht="15.75" customHeight="1">
      <c r="A308" s="1"/>
      <c r="B308" s="2"/>
      <c r="C308" s="2"/>
      <c r="D308" s="2"/>
      <c r="E308" s="2"/>
      <c r="F308" s="2"/>
      <c r="G308" s="2"/>
      <c r="H308" s="2"/>
      <c r="I308" s="2"/>
      <c r="J308" s="2"/>
      <c r="K308" s="2"/>
      <c r="L308" s="2"/>
      <c r="M308" s="2"/>
      <c r="N308" s="2"/>
      <c r="O308" s="2"/>
      <c r="P308" s="2"/>
      <c r="Q308" s="2"/>
      <c r="R308" s="2"/>
      <c r="S308" s="2"/>
      <c r="T308" s="2"/>
    </row>
    <row r="309" spans="1:20" ht="15.75" customHeight="1">
      <c r="A309" s="1"/>
      <c r="B309" s="2"/>
      <c r="C309" s="2"/>
      <c r="D309" s="2"/>
      <c r="E309" s="2"/>
      <c r="F309" s="2"/>
      <c r="G309" s="2"/>
      <c r="H309" s="2"/>
      <c r="I309" s="2"/>
      <c r="J309" s="2"/>
      <c r="K309" s="2"/>
      <c r="L309" s="2"/>
      <c r="M309" s="2"/>
      <c r="N309" s="2"/>
      <c r="O309" s="2"/>
      <c r="P309" s="2"/>
      <c r="Q309" s="2"/>
      <c r="R309" s="2"/>
      <c r="S309" s="2"/>
      <c r="T309" s="2"/>
    </row>
    <row r="310" spans="1:20" ht="15.75" customHeight="1">
      <c r="A310" s="1"/>
      <c r="B310" s="2"/>
      <c r="C310" s="2"/>
      <c r="D310" s="2"/>
      <c r="E310" s="2"/>
      <c r="F310" s="2"/>
      <c r="G310" s="2"/>
      <c r="H310" s="2"/>
      <c r="I310" s="2"/>
      <c r="J310" s="2"/>
      <c r="K310" s="2"/>
      <c r="L310" s="2"/>
      <c r="M310" s="2"/>
      <c r="N310" s="2"/>
      <c r="O310" s="2"/>
      <c r="P310" s="2"/>
      <c r="Q310" s="2"/>
      <c r="R310" s="2"/>
      <c r="S310" s="2"/>
      <c r="T310" s="2"/>
    </row>
    <row r="311" spans="1:20" ht="15.75" customHeight="1">
      <c r="A311" s="1"/>
      <c r="B311" s="2"/>
      <c r="C311" s="2"/>
      <c r="D311" s="2"/>
      <c r="E311" s="2"/>
      <c r="F311" s="2"/>
      <c r="G311" s="2"/>
      <c r="H311" s="2"/>
      <c r="I311" s="2"/>
      <c r="J311" s="2"/>
      <c r="K311" s="2"/>
      <c r="L311" s="2"/>
      <c r="M311" s="2"/>
      <c r="N311" s="2"/>
      <c r="O311" s="2"/>
      <c r="P311" s="2"/>
      <c r="Q311" s="2"/>
      <c r="R311" s="2"/>
      <c r="S311" s="2"/>
      <c r="T311" s="2"/>
    </row>
    <row r="312" spans="1:20" ht="15.75" customHeight="1">
      <c r="A312" s="1"/>
      <c r="B312" s="2"/>
      <c r="C312" s="2"/>
      <c r="D312" s="2"/>
      <c r="E312" s="2"/>
      <c r="F312" s="2"/>
      <c r="G312" s="2"/>
      <c r="H312" s="2"/>
      <c r="I312" s="2"/>
      <c r="J312" s="2"/>
      <c r="K312" s="2"/>
      <c r="L312" s="2"/>
      <c r="M312" s="2"/>
      <c r="N312" s="2"/>
      <c r="O312" s="2"/>
      <c r="P312" s="2"/>
      <c r="Q312" s="2"/>
      <c r="R312" s="2"/>
      <c r="S312" s="2"/>
      <c r="T312" s="2"/>
    </row>
    <row r="313" spans="1:20" ht="15.75" customHeight="1">
      <c r="A313" s="1"/>
      <c r="B313" s="2"/>
      <c r="C313" s="2"/>
      <c r="D313" s="2"/>
      <c r="E313" s="2"/>
      <c r="F313" s="2"/>
      <c r="G313" s="2"/>
      <c r="H313" s="2"/>
      <c r="I313" s="2"/>
      <c r="J313" s="2"/>
      <c r="K313" s="2"/>
      <c r="L313" s="2"/>
      <c r="M313" s="2"/>
      <c r="N313" s="2"/>
      <c r="O313" s="2"/>
      <c r="P313" s="2"/>
      <c r="Q313" s="2"/>
      <c r="R313" s="2"/>
      <c r="S313" s="2"/>
      <c r="T313" s="2"/>
    </row>
    <row r="314" spans="1:20" ht="15.75" customHeight="1">
      <c r="A314" s="1"/>
      <c r="B314" s="2"/>
      <c r="C314" s="2"/>
      <c r="D314" s="2"/>
      <c r="E314" s="2"/>
      <c r="F314" s="2"/>
      <c r="G314" s="2"/>
      <c r="H314" s="2"/>
      <c r="I314" s="2"/>
      <c r="J314" s="2"/>
      <c r="K314" s="2"/>
      <c r="L314" s="2"/>
      <c r="M314" s="2"/>
      <c r="N314" s="2"/>
      <c r="O314" s="2"/>
      <c r="P314" s="2"/>
      <c r="Q314" s="2"/>
      <c r="R314" s="2"/>
      <c r="S314" s="2"/>
      <c r="T314" s="2"/>
    </row>
    <row r="315" spans="1:20" ht="15.75" customHeight="1">
      <c r="A315" s="1"/>
      <c r="B315" s="2"/>
      <c r="C315" s="2"/>
      <c r="D315" s="2"/>
      <c r="E315" s="2"/>
      <c r="F315" s="2"/>
      <c r="G315" s="2"/>
      <c r="H315" s="2"/>
      <c r="I315" s="2"/>
      <c r="J315" s="2"/>
      <c r="K315" s="2"/>
      <c r="L315" s="2"/>
      <c r="M315" s="2"/>
      <c r="N315" s="2"/>
      <c r="O315" s="2"/>
      <c r="P315" s="2"/>
      <c r="Q315" s="2"/>
      <c r="R315" s="2"/>
      <c r="S315" s="2"/>
      <c r="T315" s="2"/>
    </row>
    <row r="316" spans="1:20" ht="15.75" customHeight="1">
      <c r="A316" s="1"/>
      <c r="B316" s="2"/>
      <c r="C316" s="2"/>
      <c r="D316" s="2"/>
      <c r="E316" s="2"/>
      <c r="F316" s="2"/>
      <c r="G316" s="2"/>
      <c r="H316" s="2"/>
      <c r="I316" s="2"/>
      <c r="J316" s="2"/>
      <c r="K316" s="2"/>
      <c r="L316" s="2"/>
      <c r="M316" s="2"/>
      <c r="N316" s="2"/>
      <c r="O316" s="2"/>
      <c r="P316" s="2"/>
      <c r="Q316" s="2"/>
      <c r="R316" s="2"/>
      <c r="S316" s="2"/>
      <c r="T316" s="2"/>
    </row>
    <row r="317" spans="1:20" ht="15.75" customHeight="1">
      <c r="A317" s="1"/>
      <c r="B317" s="2"/>
      <c r="C317" s="2"/>
      <c r="D317" s="2"/>
      <c r="E317" s="2"/>
      <c r="F317" s="2"/>
      <c r="G317" s="2"/>
      <c r="H317" s="2"/>
      <c r="I317" s="2"/>
      <c r="J317" s="2"/>
      <c r="K317" s="2"/>
      <c r="L317" s="2"/>
      <c r="M317" s="2"/>
      <c r="N317" s="2"/>
      <c r="O317" s="2"/>
      <c r="P317" s="2"/>
      <c r="Q317" s="2"/>
      <c r="R317" s="2"/>
      <c r="S317" s="2"/>
      <c r="T317" s="2"/>
    </row>
    <row r="318" spans="1:20" ht="15.75" customHeight="1">
      <c r="A318" s="1"/>
      <c r="B318" s="2"/>
      <c r="C318" s="2"/>
      <c r="D318" s="2"/>
      <c r="E318" s="2"/>
      <c r="F318" s="2"/>
      <c r="G318" s="2"/>
      <c r="H318" s="2"/>
      <c r="I318" s="2"/>
      <c r="J318" s="2"/>
      <c r="K318" s="2"/>
      <c r="L318" s="2"/>
      <c r="M318" s="2"/>
      <c r="N318" s="2"/>
      <c r="O318" s="2"/>
      <c r="P318" s="2"/>
      <c r="Q318" s="2"/>
      <c r="R318" s="2"/>
      <c r="S318" s="2"/>
      <c r="T318" s="2"/>
    </row>
    <row r="319" spans="1:20" ht="15.75" customHeight="1">
      <c r="A319" s="1"/>
      <c r="B319" s="2"/>
      <c r="C319" s="2"/>
      <c r="D319" s="2"/>
      <c r="E319" s="2"/>
      <c r="F319" s="2"/>
      <c r="G319" s="2"/>
      <c r="H319" s="2"/>
      <c r="I319" s="2"/>
      <c r="J319" s="2"/>
      <c r="K319" s="2"/>
      <c r="L319" s="2"/>
      <c r="M319" s="2"/>
      <c r="N319" s="2"/>
      <c r="O319" s="2"/>
      <c r="P319" s="2"/>
      <c r="Q319" s="2"/>
      <c r="R319" s="2"/>
      <c r="S319" s="2"/>
      <c r="T319" s="2"/>
    </row>
    <row r="320" spans="1:20" ht="15.75" customHeight="1">
      <c r="A320" s="1"/>
      <c r="B320" s="2"/>
      <c r="C320" s="2"/>
      <c r="D320" s="2"/>
      <c r="E320" s="2"/>
      <c r="F320" s="2"/>
      <c r="G320" s="2"/>
      <c r="H320" s="2"/>
      <c r="I320" s="2"/>
      <c r="J320" s="2"/>
      <c r="K320" s="2"/>
      <c r="L320" s="2"/>
      <c r="M320" s="2"/>
      <c r="N320" s="2"/>
      <c r="O320" s="2"/>
      <c r="P320" s="2"/>
      <c r="Q320" s="2"/>
      <c r="R320" s="2"/>
      <c r="S320" s="2"/>
      <c r="T320" s="2"/>
    </row>
    <row r="321" spans="1:20" ht="15.75" customHeight="1">
      <c r="A321" s="1"/>
      <c r="B321" s="2"/>
      <c r="C321" s="2"/>
      <c r="D321" s="2"/>
      <c r="E321" s="2"/>
      <c r="F321" s="2"/>
      <c r="G321" s="2"/>
      <c r="H321" s="2"/>
      <c r="I321" s="2"/>
      <c r="J321" s="2"/>
      <c r="K321" s="2"/>
      <c r="L321" s="2"/>
      <c r="M321" s="2"/>
      <c r="N321" s="2"/>
      <c r="O321" s="2"/>
      <c r="P321" s="2"/>
      <c r="Q321" s="2"/>
      <c r="R321" s="2"/>
      <c r="S321" s="2"/>
      <c r="T321" s="2"/>
    </row>
    <row r="322" spans="1:20" ht="15.75" customHeight="1">
      <c r="A322" s="1"/>
      <c r="B322" s="2"/>
      <c r="C322" s="2"/>
      <c r="D322" s="2"/>
      <c r="E322" s="2"/>
      <c r="F322" s="2"/>
      <c r="G322" s="2"/>
      <c r="H322" s="2"/>
      <c r="I322" s="2"/>
      <c r="J322" s="2"/>
      <c r="K322" s="2"/>
      <c r="L322" s="2"/>
      <c r="M322" s="2"/>
      <c r="N322" s="2"/>
      <c r="O322" s="2"/>
      <c r="P322" s="2"/>
      <c r="Q322" s="2"/>
      <c r="R322" s="2"/>
      <c r="S322" s="2"/>
      <c r="T322" s="2"/>
    </row>
    <row r="323" spans="1:20" ht="15.75" customHeight="1">
      <c r="A323" s="1"/>
      <c r="B323" s="2"/>
      <c r="C323" s="2"/>
      <c r="D323" s="2"/>
      <c r="E323" s="2"/>
      <c r="F323" s="2"/>
      <c r="G323" s="2"/>
      <c r="H323" s="2"/>
      <c r="I323" s="2"/>
      <c r="J323" s="2"/>
      <c r="K323" s="2"/>
      <c r="L323" s="2"/>
      <c r="M323" s="2"/>
      <c r="N323" s="2"/>
      <c r="O323" s="2"/>
      <c r="P323" s="2"/>
      <c r="Q323" s="2"/>
      <c r="R323" s="2"/>
      <c r="S323" s="2"/>
      <c r="T323" s="2"/>
    </row>
    <row r="324" spans="1:20" ht="15.75" customHeight="1">
      <c r="A324" s="1"/>
      <c r="B324" s="2"/>
      <c r="C324" s="2"/>
      <c r="D324" s="2"/>
      <c r="E324" s="2"/>
      <c r="F324" s="2"/>
      <c r="G324" s="2"/>
      <c r="H324" s="2"/>
      <c r="I324" s="2"/>
      <c r="J324" s="2"/>
      <c r="K324" s="2"/>
      <c r="L324" s="2"/>
      <c r="M324" s="2"/>
      <c r="N324" s="2"/>
      <c r="O324" s="2"/>
      <c r="P324" s="2"/>
      <c r="Q324" s="2"/>
      <c r="R324" s="2"/>
      <c r="S324" s="2"/>
      <c r="T324" s="2"/>
    </row>
    <row r="325" spans="1:20" ht="15.75" customHeight="1">
      <c r="A325" s="1"/>
      <c r="B325" s="2"/>
      <c r="C325" s="2"/>
      <c r="D325" s="2"/>
      <c r="E325" s="2"/>
      <c r="F325" s="2"/>
      <c r="G325" s="2"/>
      <c r="H325" s="2"/>
      <c r="I325" s="2"/>
      <c r="J325" s="2"/>
      <c r="K325" s="2"/>
      <c r="L325" s="2"/>
      <c r="M325" s="2"/>
      <c r="N325" s="2"/>
      <c r="O325" s="2"/>
      <c r="P325" s="2"/>
      <c r="Q325" s="2"/>
      <c r="R325" s="2"/>
      <c r="S325" s="2"/>
      <c r="T325" s="2"/>
    </row>
    <row r="326" spans="1:20" ht="15.75" customHeight="1">
      <c r="A326" s="1"/>
      <c r="B326" s="2"/>
      <c r="C326" s="2"/>
      <c r="D326" s="2"/>
      <c r="E326" s="2"/>
      <c r="F326" s="2"/>
      <c r="G326" s="2"/>
      <c r="H326" s="2"/>
      <c r="I326" s="2"/>
      <c r="J326" s="2"/>
      <c r="K326" s="2"/>
      <c r="L326" s="2"/>
      <c r="M326" s="2"/>
      <c r="N326" s="2"/>
      <c r="O326" s="2"/>
      <c r="P326" s="2"/>
      <c r="Q326" s="2"/>
      <c r="R326" s="2"/>
      <c r="S326" s="2"/>
      <c r="T326" s="2"/>
    </row>
    <row r="327" spans="1:20" ht="15.75" customHeight="1">
      <c r="A327" s="1"/>
      <c r="B327" s="2"/>
      <c r="C327" s="2"/>
      <c r="D327" s="2"/>
      <c r="E327" s="2"/>
      <c r="F327" s="2"/>
      <c r="G327" s="2"/>
      <c r="H327" s="2"/>
      <c r="I327" s="2"/>
      <c r="J327" s="2"/>
      <c r="K327" s="2"/>
      <c r="L327" s="2"/>
      <c r="M327" s="2"/>
      <c r="N327" s="2"/>
      <c r="O327" s="2"/>
      <c r="P327" s="2"/>
      <c r="Q327" s="2"/>
      <c r="R327" s="2"/>
      <c r="S327" s="2"/>
      <c r="T327" s="2"/>
    </row>
    <row r="328" spans="1:20" ht="15.75" customHeight="1">
      <c r="A328" s="1"/>
      <c r="B328" s="2"/>
      <c r="C328" s="2"/>
      <c r="D328" s="2"/>
      <c r="E328" s="2"/>
      <c r="F328" s="2"/>
      <c r="G328" s="2"/>
      <c r="H328" s="2"/>
      <c r="I328" s="2"/>
      <c r="J328" s="2"/>
      <c r="K328" s="2"/>
      <c r="L328" s="2"/>
      <c r="M328" s="2"/>
      <c r="N328" s="2"/>
      <c r="O328" s="2"/>
      <c r="P328" s="2"/>
      <c r="Q328" s="2"/>
      <c r="R328" s="2"/>
      <c r="S328" s="2"/>
      <c r="T328" s="2"/>
    </row>
    <row r="329" spans="1:20" ht="15.75" customHeight="1">
      <c r="A329" s="1"/>
      <c r="B329" s="2"/>
      <c r="C329" s="2"/>
      <c r="D329" s="2"/>
      <c r="E329" s="2"/>
      <c r="F329" s="2"/>
      <c r="G329" s="2"/>
      <c r="H329" s="2"/>
      <c r="I329" s="2"/>
      <c r="J329" s="2"/>
      <c r="K329" s="2"/>
      <c r="L329" s="2"/>
      <c r="M329" s="2"/>
      <c r="N329" s="2"/>
      <c r="O329" s="2"/>
      <c r="P329" s="2"/>
      <c r="Q329" s="2"/>
      <c r="R329" s="2"/>
      <c r="S329" s="2"/>
      <c r="T329" s="2"/>
    </row>
    <row r="330" spans="1:20" ht="15.75" customHeight="1">
      <c r="A330" s="1"/>
      <c r="B330" s="2"/>
      <c r="C330" s="2"/>
      <c r="D330" s="2"/>
      <c r="E330" s="2"/>
      <c r="F330" s="2"/>
      <c r="G330" s="2"/>
      <c r="H330" s="2"/>
      <c r="I330" s="2"/>
      <c r="J330" s="2"/>
      <c r="K330" s="2"/>
      <c r="L330" s="2"/>
      <c r="M330" s="2"/>
      <c r="N330" s="2"/>
      <c r="O330" s="2"/>
      <c r="P330" s="2"/>
      <c r="Q330" s="2"/>
      <c r="R330" s="2"/>
      <c r="S330" s="2"/>
      <c r="T330" s="2"/>
    </row>
    <row r="331" spans="1:20" ht="15.75" customHeight="1">
      <c r="A331" s="1"/>
      <c r="B331" s="2"/>
      <c r="C331" s="2"/>
      <c r="D331" s="2"/>
      <c r="E331" s="2"/>
      <c r="F331" s="2"/>
      <c r="G331" s="2"/>
      <c r="H331" s="2"/>
      <c r="I331" s="2"/>
      <c r="J331" s="2"/>
      <c r="K331" s="2"/>
      <c r="L331" s="2"/>
      <c r="M331" s="2"/>
      <c r="N331" s="2"/>
      <c r="O331" s="2"/>
      <c r="P331" s="2"/>
      <c r="Q331" s="2"/>
      <c r="R331" s="2"/>
      <c r="S331" s="2"/>
      <c r="T331" s="2"/>
    </row>
    <row r="332" spans="1:20" ht="15.75" customHeight="1">
      <c r="A332" s="1"/>
      <c r="B332" s="2"/>
      <c r="C332" s="2"/>
      <c r="D332" s="2"/>
      <c r="E332" s="2"/>
      <c r="F332" s="2"/>
      <c r="G332" s="2"/>
      <c r="H332" s="2"/>
      <c r="I332" s="2"/>
      <c r="J332" s="2"/>
      <c r="K332" s="2"/>
      <c r="L332" s="2"/>
      <c r="M332" s="2"/>
      <c r="N332" s="2"/>
      <c r="O332" s="2"/>
      <c r="P332" s="2"/>
      <c r="Q332" s="2"/>
      <c r="R332" s="2"/>
      <c r="S332" s="2"/>
      <c r="T332" s="2"/>
    </row>
    <row r="333" spans="1:20" ht="15.75" customHeight="1">
      <c r="A333" s="1"/>
      <c r="B333" s="2"/>
      <c r="C333" s="2"/>
      <c r="D333" s="2"/>
      <c r="E333" s="2"/>
      <c r="F333" s="2"/>
      <c r="G333" s="2"/>
      <c r="H333" s="2"/>
      <c r="I333" s="2"/>
      <c r="J333" s="2"/>
      <c r="K333" s="2"/>
      <c r="L333" s="2"/>
      <c r="M333" s="2"/>
      <c r="N333" s="2"/>
      <c r="O333" s="2"/>
      <c r="P333" s="2"/>
      <c r="Q333" s="2"/>
      <c r="R333" s="2"/>
      <c r="S333" s="2"/>
      <c r="T333" s="2"/>
    </row>
    <row r="334" spans="1:20" ht="15.75" customHeight="1">
      <c r="A334" s="1"/>
      <c r="B334" s="2"/>
      <c r="C334" s="2"/>
      <c r="D334" s="2"/>
      <c r="E334" s="2"/>
      <c r="F334" s="2"/>
      <c r="G334" s="2"/>
      <c r="H334" s="2"/>
      <c r="I334" s="2"/>
      <c r="J334" s="2"/>
      <c r="K334" s="2"/>
      <c r="L334" s="2"/>
      <c r="M334" s="2"/>
      <c r="N334" s="2"/>
      <c r="O334" s="2"/>
      <c r="P334" s="2"/>
      <c r="Q334" s="2"/>
      <c r="R334" s="2"/>
      <c r="S334" s="2"/>
      <c r="T334" s="2"/>
    </row>
    <row r="335" spans="1:20" ht="15.75" customHeight="1">
      <c r="A335" s="1"/>
      <c r="B335" s="2"/>
      <c r="C335" s="2"/>
      <c r="D335" s="2"/>
      <c r="E335" s="2"/>
      <c r="F335" s="2"/>
      <c r="G335" s="2"/>
      <c r="H335" s="2"/>
      <c r="I335" s="2"/>
      <c r="J335" s="2"/>
      <c r="K335" s="2"/>
      <c r="L335" s="2"/>
      <c r="M335" s="2"/>
      <c r="N335" s="2"/>
      <c r="O335" s="2"/>
      <c r="P335" s="2"/>
      <c r="Q335" s="2"/>
      <c r="R335" s="2"/>
      <c r="S335" s="2"/>
      <c r="T335" s="2"/>
    </row>
    <row r="336" spans="1:20" ht="15.75" customHeight="1">
      <c r="A336" s="1"/>
      <c r="B336" s="2"/>
      <c r="C336" s="2"/>
      <c r="D336" s="2"/>
      <c r="E336" s="2"/>
      <c r="F336" s="2"/>
      <c r="G336" s="2"/>
      <c r="H336" s="2"/>
      <c r="I336" s="2"/>
      <c r="J336" s="2"/>
      <c r="K336" s="2"/>
      <c r="L336" s="2"/>
      <c r="M336" s="2"/>
      <c r="N336" s="2"/>
      <c r="O336" s="2"/>
      <c r="P336" s="2"/>
      <c r="Q336" s="2"/>
      <c r="R336" s="2"/>
      <c r="S336" s="2"/>
      <c r="T336" s="2"/>
    </row>
    <row r="337" spans="1:20" ht="15.75" customHeight="1">
      <c r="A337" s="1"/>
      <c r="B337" s="2"/>
      <c r="C337" s="2"/>
      <c r="D337" s="2"/>
      <c r="E337" s="2"/>
      <c r="F337" s="2"/>
      <c r="G337" s="2"/>
      <c r="H337" s="2"/>
      <c r="I337" s="2"/>
      <c r="J337" s="2"/>
      <c r="K337" s="2"/>
      <c r="L337" s="2"/>
      <c r="M337" s="2"/>
      <c r="N337" s="2"/>
      <c r="O337" s="2"/>
      <c r="P337" s="2"/>
      <c r="Q337" s="2"/>
      <c r="R337" s="2"/>
      <c r="S337" s="2"/>
      <c r="T337" s="2"/>
    </row>
    <row r="338" spans="1:20" ht="15.75" customHeight="1">
      <c r="A338" s="1"/>
      <c r="B338" s="2"/>
      <c r="C338" s="2"/>
      <c r="D338" s="2"/>
      <c r="E338" s="2"/>
      <c r="F338" s="2"/>
      <c r="G338" s="2"/>
      <c r="H338" s="2"/>
      <c r="I338" s="2"/>
      <c r="J338" s="2"/>
      <c r="K338" s="2"/>
      <c r="L338" s="2"/>
      <c r="M338" s="2"/>
      <c r="N338" s="2"/>
      <c r="O338" s="2"/>
      <c r="P338" s="2"/>
      <c r="Q338" s="2"/>
      <c r="R338" s="2"/>
      <c r="S338" s="2"/>
      <c r="T338" s="2"/>
    </row>
    <row r="339" spans="1:20" ht="15.75" customHeight="1">
      <c r="A339" s="1"/>
      <c r="B339" s="2"/>
      <c r="C339" s="2"/>
      <c r="D339" s="2"/>
      <c r="E339" s="2"/>
      <c r="F339" s="2"/>
      <c r="G339" s="2"/>
      <c r="H339" s="2"/>
      <c r="I339" s="2"/>
      <c r="J339" s="2"/>
      <c r="K339" s="2"/>
      <c r="L339" s="2"/>
      <c r="M339" s="2"/>
      <c r="N339" s="2"/>
      <c r="O339" s="2"/>
      <c r="P339" s="2"/>
      <c r="Q339" s="2"/>
      <c r="R339" s="2"/>
      <c r="S339" s="2"/>
      <c r="T339" s="2"/>
    </row>
    <row r="340" spans="1:20" ht="15.75" customHeight="1">
      <c r="A340" s="1"/>
      <c r="B340" s="2"/>
      <c r="C340" s="2"/>
      <c r="D340" s="2"/>
      <c r="E340" s="2"/>
      <c r="F340" s="2"/>
      <c r="G340" s="2"/>
      <c r="H340" s="2"/>
      <c r="I340" s="2"/>
      <c r="J340" s="2"/>
      <c r="K340" s="2"/>
      <c r="L340" s="2"/>
      <c r="M340" s="2"/>
      <c r="N340" s="2"/>
      <c r="O340" s="2"/>
      <c r="P340" s="2"/>
      <c r="Q340" s="2"/>
      <c r="R340" s="2"/>
      <c r="S340" s="2"/>
      <c r="T340" s="2"/>
    </row>
    <row r="341" spans="1:20" ht="15.75" customHeight="1">
      <c r="A341" s="1"/>
      <c r="B341" s="2"/>
      <c r="C341" s="2"/>
      <c r="D341" s="2"/>
      <c r="E341" s="2"/>
      <c r="F341" s="2"/>
      <c r="G341" s="2"/>
      <c r="H341" s="2"/>
      <c r="I341" s="2"/>
      <c r="J341" s="2"/>
      <c r="K341" s="2"/>
      <c r="L341" s="2"/>
      <c r="M341" s="2"/>
      <c r="N341" s="2"/>
      <c r="O341" s="2"/>
      <c r="P341" s="2"/>
      <c r="Q341" s="2"/>
      <c r="R341" s="2"/>
      <c r="S341" s="2"/>
      <c r="T341" s="2"/>
    </row>
    <row r="342" spans="1:20" ht="15.75" customHeight="1">
      <c r="A342" s="1"/>
      <c r="B342" s="2"/>
      <c r="C342" s="2"/>
      <c r="D342" s="2"/>
      <c r="E342" s="2"/>
      <c r="F342" s="2"/>
      <c r="G342" s="2"/>
      <c r="H342" s="2"/>
      <c r="I342" s="2"/>
      <c r="J342" s="2"/>
      <c r="K342" s="2"/>
      <c r="L342" s="2"/>
      <c r="M342" s="2"/>
      <c r="N342" s="2"/>
      <c r="O342" s="2"/>
      <c r="P342" s="2"/>
      <c r="Q342" s="2"/>
      <c r="R342" s="2"/>
      <c r="S342" s="2"/>
      <c r="T342" s="2"/>
    </row>
    <row r="343" spans="1:20" ht="15.75" customHeight="1">
      <c r="A343" s="1"/>
      <c r="B343" s="2"/>
      <c r="C343" s="2"/>
      <c r="D343" s="2"/>
      <c r="E343" s="2"/>
      <c r="F343" s="2"/>
      <c r="G343" s="2"/>
      <c r="H343" s="2"/>
      <c r="I343" s="2"/>
      <c r="J343" s="2"/>
      <c r="K343" s="2"/>
      <c r="L343" s="2"/>
      <c r="M343" s="2"/>
      <c r="N343" s="2"/>
      <c r="O343" s="2"/>
      <c r="P343" s="2"/>
      <c r="Q343" s="2"/>
      <c r="R343" s="2"/>
      <c r="S343" s="2"/>
      <c r="T343" s="2"/>
    </row>
    <row r="344" spans="1:20" ht="15.75" customHeight="1">
      <c r="A344" s="1"/>
      <c r="B344" s="2"/>
      <c r="C344" s="2"/>
      <c r="D344" s="2"/>
      <c r="E344" s="2"/>
      <c r="F344" s="2"/>
      <c r="G344" s="2"/>
      <c r="H344" s="2"/>
      <c r="I344" s="2"/>
      <c r="J344" s="2"/>
      <c r="K344" s="2"/>
      <c r="L344" s="2"/>
      <c r="M344" s="2"/>
      <c r="N344" s="2"/>
      <c r="O344" s="2"/>
      <c r="P344" s="2"/>
      <c r="Q344" s="2"/>
      <c r="R344" s="2"/>
      <c r="S344" s="2"/>
      <c r="T344" s="2"/>
    </row>
    <row r="345" spans="1:20" ht="15.75" customHeight="1">
      <c r="A345" s="1"/>
      <c r="B345" s="2"/>
      <c r="C345" s="2"/>
      <c r="D345" s="2"/>
      <c r="E345" s="2"/>
      <c r="F345" s="2"/>
      <c r="G345" s="2"/>
      <c r="H345" s="2"/>
      <c r="I345" s="2"/>
      <c r="J345" s="2"/>
      <c r="K345" s="2"/>
      <c r="L345" s="2"/>
      <c r="M345" s="2"/>
      <c r="N345" s="2"/>
      <c r="O345" s="2"/>
      <c r="P345" s="2"/>
      <c r="Q345" s="2"/>
      <c r="R345" s="2"/>
      <c r="S345" s="2"/>
      <c r="T345" s="2"/>
    </row>
    <row r="346" spans="1:20" ht="15.75" customHeight="1">
      <c r="A346" s="1"/>
      <c r="B346" s="2"/>
      <c r="C346" s="2"/>
      <c r="D346" s="2"/>
      <c r="E346" s="2"/>
      <c r="F346" s="2"/>
      <c r="G346" s="2"/>
      <c r="H346" s="2"/>
      <c r="I346" s="2"/>
      <c r="J346" s="2"/>
      <c r="K346" s="2"/>
      <c r="L346" s="2"/>
      <c r="M346" s="2"/>
      <c r="N346" s="2"/>
      <c r="O346" s="2"/>
      <c r="P346" s="2"/>
      <c r="Q346" s="2"/>
      <c r="R346" s="2"/>
      <c r="S346" s="2"/>
      <c r="T346" s="2"/>
    </row>
    <row r="347" spans="1:20" ht="15.75" customHeight="1">
      <c r="A347" s="1"/>
      <c r="B347" s="2"/>
      <c r="C347" s="2"/>
      <c r="D347" s="2"/>
      <c r="E347" s="2"/>
      <c r="F347" s="2"/>
      <c r="G347" s="2"/>
      <c r="H347" s="2"/>
      <c r="I347" s="2"/>
      <c r="J347" s="2"/>
      <c r="K347" s="2"/>
      <c r="L347" s="2"/>
      <c r="M347" s="2"/>
      <c r="N347" s="2"/>
      <c r="O347" s="2"/>
      <c r="P347" s="2"/>
      <c r="Q347" s="2"/>
      <c r="R347" s="2"/>
      <c r="S347" s="2"/>
      <c r="T347" s="2"/>
    </row>
    <row r="348" spans="1:20" ht="15.75" customHeight="1">
      <c r="A348" s="1"/>
      <c r="B348" s="2"/>
      <c r="C348" s="2"/>
      <c r="D348" s="2"/>
      <c r="E348" s="2"/>
      <c r="F348" s="2"/>
      <c r="G348" s="2"/>
      <c r="H348" s="2"/>
      <c r="I348" s="2"/>
      <c r="J348" s="2"/>
      <c r="K348" s="2"/>
      <c r="L348" s="2"/>
      <c r="M348" s="2"/>
      <c r="N348" s="2"/>
      <c r="O348" s="2"/>
      <c r="P348" s="2"/>
      <c r="Q348" s="2"/>
      <c r="R348" s="2"/>
      <c r="S348" s="2"/>
      <c r="T348" s="2"/>
    </row>
    <row r="349" spans="1:20" ht="15.75" customHeight="1">
      <c r="A349" s="1"/>
      <c r="B349" s="2"/>
      <c r="C349" s="2"/>
      <c r="D349" s="2"/>
      <c r="E349" s="2"/>
      <c r="F349" s="2"/>
      <c r="G349" s="2"/>
      <c r="H349" s="2"/>
      <c r="I349" s="2"/>
      <c r="J349" s="2"/>
      <c r="K349" s="2"/>
      <c r="L349" s="2"/>
      <c r="M349" s="2"/>
      <c r="N349" s="2"/>
      <c r="O349" s="2"/>
      <c r="P349" s="2"/>
      <c r="Q349" s="2"/>
      <c r="R349" s="2"/>
      <c r="S349" s="2"/>
      <c r="T349" s="2"/>
    </row>
    <row r="350" spans="1:20" ht="15.75" customHeight="1">
      <c r="A350" s="1"/>
      <c r="B350" s="2"/>
      <c r="C350" s="2"/>
      <c r="D350" s="2"/>
      <c r="E350" s="2"/>
      <c r="F350" s="2"/>
      <c r="G350" s="2"/>
      <c r="H350" s="2"/>
      <c r="I350" s="2"/>
      <c r="J350" s="2"/>
      <c r="K350" s="2"/>
      <c r="L350" s="2"/>
      <c r="M350" s="2"/>
      <c r="N350" s="2"/>
      <c r="O350" s="2"/>
      <c r="P350" s="2"/>
      <c r="Q350" s="2"/>
      <c r="R350" s="2"/>
      <c r="S350" s="2"/>
      <c r="T350" s="2"/>
    </row>
    <row r="351" spans="1:20" ht="15.75" customHeight="1">
      <c r="A351" s="1"/>
      <c r="B351" s="2"/>
      <c r="C351" s="2"/>
      <c r="D351" s="2"/>
      <c r="E351" s="2"/>
      <c r="F351" s="2"/>
      <c r="G351" s="2"/>
      <c r="H351" s="2"/>
      <c r="I351" s="2"/>
      <c r="J351" s="2"/>
      <c r="K351" s="2"/>
      <c r="L351" s="2"/>
      <c r="M351" s="2"/>
      <c r="N351" s="2"/>
      <c r="O351" s="2"/>
      <c r="P351" s="2"/>
      <c r="Q351" s="2"/>
      <c r="R351" s="2"/>
      <c r="S351" s="2"/>
      <c r="T351" s="2"/>
    </row>
    <row r="352" spans="1:20" ht="15.75" customHeight="1">
      <c r="A352" s="1"/>
      <c r="B352" s="2"/>
      <c r="C352" s="2"/>
      <c r="D352" s="2"/>
      <c r="E352" s="2"/>
      <c r="F352" s="2"/>
      <c r="G352" s="2"/>
      <c r="H352" s="2"/>
      <c r="I352" s="2"/>
      <c r="J352" s="2"/>
      <c r="K352" s="2"/>
      <c r="L352" s="2"/>
      <c r="M352" s="2"/>
      <c r="N352" s="2"/>
      <c r="O352" s="2"/>
      <c r="P352" s="2"/>
      <c r="Q352" s="2"/>
      <c r="R352" s="2"/>
      <c r="S352" s="2"/>
      <c r="T352" s="2"/>
    </row>
    <row r="353" spans="1:20" ht="15.75" customHeight="1">
      <c r="A353" s="1"/>
      <c r="B353" s="2"/>
      <c r="C353" s="2"/>
      <c r="D353" s="2"/>
      <c r="E353" s="2"/>
      <c r="F353" s="2"/>
      <c r="G353" s="2"/>
      <c r="H353" s="2"/>
      <c r="I353" s="2"/>
      <c r="J353" s="2"/>
      <c r="K353" s="2"/>
      <c r="L353" s="2"/>
      <c r="M353" s="2"/>
      <c r="N353" s="2"/>
      <c r="O353" s="2"/>
      <c r="P353" s="2"/>
      <c r="Q353" s="2"/>
      <c r="R353" s="2"/>
      <c r="S353" s="2"/>
      <c r="T353" s="2"/>
    </row>
    <row r="354" spans="1:20" ht="15.75" customHeight="1">
      <c r="A354" s="1"/>
      <c r="B354" s="2"/>
      <c r="C354" s="2"/>
      <c r="D354" s="2"/>
      <c r="E354" s="2"/>
      <c r="F354" s="2"/>
      <c r="G354" s="2"/>
      <c r="H354" s="2"/>
      <c r="I354" s="2"/>
      <c r="J354" s="2"/>
      <c r="K354" s="2"/>
      <c r="L354" s="2"/>
      <c r="M354" s="2"/>
      <c r="N354" s="2"/>
      <c r="O354" s="2"/>
      <c r="P354" s="2"/>
      <c r="Q354" s="2"/>
      <c r="R354" s="2"/>
      <c r="S354" s="2"/>
      <c r="T354" s="2"/>
    </row>
    <row r="355" spans="1:20" ht="15.75" customHeight="1">
      <c r="A355" s="1"/>
      <c r="B355" s="2"/>
      <c r="C355" s="2"/>
      <c r="D355" s="2"/>
      <c r="E355" s="2"/>
      <c r="F355" s="2"/>
      <c r="G355" s="2"/>
      <c r="H355" s="2"/>
      <c r="I355" s="2"/>
      <c r="J355" s="2"/>
      <c r="K355" s="2"/>
      <c r="L355" s="2"/>
      <c r="M355" s="2"/>
      <c r="N355" s="2"/>
      <c r="O355" s="2"/>
      <c r="P355" s="2"/>
      <c r="Q355" s="2"/>
      <c r="R355" s="2"/>
      <c r="S355" s="2"/>
      <c r="T355" s="2"/>
    </row>
    <row r="356" spans="1:20" ht="15.75" customHeight="1">
      <c r="A356" s="1"/>
      <c r="B356" s="2"/>
      <c r="C356" s="2"/>
      <c r="D356" s="2"/>
      <c r="E356" s="2"/>
      <c r="F356" s="2"/>
      <c r="G356" s="2"/>
      <c r="H356" s="2"/>
      <c r="I356" s="2"/>
      <c r="J356" s="2"/>
      <c r="K356" s="2"/>
      <c r="L356" s="2"/>
      <c r="M356" s="2"/>
      <c r="N356" s="2"/>
      <c r="O356" s="2"/>
      <c r="P356" s="2"/>
      <c r="Q356" s="2"/>
      <c r="R356" s="2"/>
      <c r="S356" s="2"/>
      <c r="T356" s="2"/>
    </row>
    <row r="357" spans="1:20" ht="15.75" customHeight="1">
      <c r="A357" s="1"/>
      <c r="B357" s="2"/>
      <c r="C357" s="2"/>
      <c r="D357" s="2"/>
      <c r="E357" s="2"/>
      <c r="F357" s="2"/>
      <c r="G357" s="2"/>
      <c r="H357" s="2"/>
      <c r="I357" s="2"/>
      <c r="J357" s="2"/>
      <c r="K357" s="2"/>
      <c r="L357" s="2"/>
      <c r="M357" s="2"/>
      <c r="N357" s="2"/>
      <c r="O357" s="2"/>
      <c r="P357" s="2"/>
      <c r="Q357" s="2"/>
      <c r="R357" s="2"/>
      <c r="S357" s="2"/>
      <c r="T357" s="2"/>
    </row>
    <row r="358" spans="1:20" ht="15.75" customHeight="1">
      <c r="A358" s="1"/>
      <c r="B358" s="2"/>
      <c r="C358" s="2"/>
      <c r="D358" s="2"/>
      <c r="E358" s="2"/>
      <c r="F358" s="2"/>
      <c r="G358" s="2"/>
      <c r="H358" s="2"/>
      <c r="I358" s="2"/>
      <c r="J358" s="2"/>
      <c r="K358" s="2"/>
      <c r="L358" s="2"/>
      <c r="M358" s="2"/>
      <c r="N358" s="2"/>
      <c r="O358" s="2"/>
      <c r="P358" s="2"/>
      <c r="Q358" s="2"/>
      <c r="R358" s="2"/>
      <c r="S358" s="2"/>
      <c r="T358" s="2"/>
    </row>
    <row r="359" spans="1:20" ht="15.75" customHeight="1">
      <c r="A359" s="1"/>
      <c r="B359" s="2"/>
      <c r="C359" s="2"/>
      <c r="D359" s="2"/>
      <c r="E359" s="2"/>
      <c r="F359" s="2"/>
      <c r="G359" s="2"/>
      <c r="H359" s="2"/>
      <c r="I359" s="2"/>
      <c r="J359" s="2"/>
      <c r="K359" s="2"/>
      <c r="L359" s="2"/>
      <c r="M359" s="2"/>
      <c r="N359" s="2"/>
      <c r="O359" s="2"/>
      <c r="P359" s="2"/>
      <c r="Q359" s="2"/>
      <c r="R359" s="2"/>
      <c r="S359" s="2"/>
      <c r="T359" s="2"/>
    </row>
    <row r="360" spans="1:20" ht="15.75" customHeight="1">
      <c r="A360" s="1"/>
      <c r="B360" s="2"/>
      <c r="C360" s="2"/>
      <c r="D360" s="2"/>
      <c r="E360" s="2"/>
      <c r="F360" s="2"/>
      <c r="G360" s="2"/>
      <c r="H360" s="2"/>
      <c r="I360" s="2"/>
      <c r="J360" s="2"/>
      <c r="K360" s="2"/>
      <c r="L360" s="2"/>
      <c r="M360" s="2"/>
      <c r="N360" s="2"/>
      <c r="O360" s="2"/>
      <c r="P360" s="2"/>
      <c r="Q360" s="2"/>
      <c r="R360" s="2"/>
      <c r="S360" s="2"/>
      <c r="T360" s="2"/>
    </row>
    <row r="361" spans="1:20" ht="15.75" customHeight="1">
      <c r="A361" s="1"/>
      <c r="B361" s="2"/>
      <c r="C361" s="2"/>
      <c r="D361" s="2"/>
      <c r="E361" s="2"/>
      <c r="F361" s="2"/>
      <c r="G361" s="2"/>
      <c r="H361" s="2"/>
      <c r="I361" s="2"/>
      <c r="J361" s="2"/>
      <c r="K361" s="2"/>
      <c r="L361" s="2"/>
      <c r="M361" s="2"/>
      <c r="N361" s="2"/>
      <c r="O361" s="2"/>
      <c r="P361" s="2"/>
      <c r="Q361" s="2"/>
      <c r="R361" s="2"/>
      <c r="S361" s="2"/>
      <c r="T361" s="2"/>
    </row>
    <row r="362" spans="1:20" ht="15.75" customHeight="1">
      <c r="A362" s="1"/>
      <c r="B362" s="2"/>
      <c r="C362" s="2"/>
      <c r="D362" s="2"/>
      <c r="E362" s="2"/>
      <c r="F362" s="2"/>
      <c r="G362" s="2"/>
      <c r="H362" s="2"/>
      <c r="I362" s="2"/>
      <c r="J362" s="2"/>
      <c r="K362" s="2"/>
      <c r="L362" s="2"/>
      <c r="M362" s="2"/>
      <c r="N362" s="2"/>
      <c r="O362" s="2"/>
      <c r="P362" s="2"/>
      <c r="Q362" s="2"/>
      <c r="R362" s="2"/>
      <c r="S362" s="2"/>
      <c r="T362" s="2"/>
    </row>
    <row r="363" spans="1:20" ht="15.75" customHeight="1">
      <c r="A363" s="1"/>
      <c r="B363" s="2"/>
      <c r="C363" s="2"/>
      <c r="D363" s="2"/>
      <c r="E363" s="2"/>
      <c r="F363" s="2"/>
      <c r="G363" s="2"/>
      <c r="H363" s="2"/>
      <c r="I363" s="2"/>
      <c r="J363" s="2"/>
      <c r="K363" s="2"/>
      <c r="L363" s="2"/>
      <c r="M363" s="2"/>
      <c r="N363" s="2"/>
      <c r="O363" s="2"/>
      <c r="P363" s="2"/>
      <c r="Q363" s="2"/>
      <c r="R363" s="2"/>
      <c r="S363" s="2"/>
      <c r="T363" s="2"/>
    </row>
    <row r="364" spans="1:20" ht="15.75" customHeight="1">
      <c r="A364" s="1"/>
      <c r="B364" s="2"/>
      <c r="C364" s="2"/>
      <c r="D364" s="2"/>
      <c r="E364" s="2"/>
      <c r="F364" s="2"/>
      <c r="G364" s="2"/>
      <c r="H364" s="2"/>
      <c r="I364" s="2"/>
      <c r="J364" s="2"/>
      <c r="K364" s="2"/>
      <c r="L364" s="2"/>
      <c r="M364" s="2"/>
      <c r="N364" s="2"/>
      <c r="O364" s="2"/>
      <c r="P364" s="2"/>
      <c r="Q364" s="2"/>
      <c r="R364" s="2"/>
      <c r="S364" s="2"/>
      <c r="T364" s="2"/>
    </row>
    <row r="365" spans="1:20" ht="15.75" customHeight="1">
      <c r="A365" s="1"/>
      <c r="B365" s="2"/>
      <c r="C365" s="2"/>
      <c r="D365" s="2"/>
      <c r="E365" s="2"/>
      <c r="F365" s="2"/>
      <c r="G365" s="2"/>
      <c r="H365" s="2"/>
      <c r="I365" s="2"/>
      <c r="J365" s="2"/>
      <c r="K365" s="2"/>
      <c r="L365" s="2"/>
      <c r="M365" s="2"/>
      <c r="N365" s="2"/>
      <c r="O365" s="2"/>
      <c r="P365" s="2"/>
      <c r="Q365" s="2"/>
      <c r="R365" s="2"/>
      <c r="S365" s="2"/>
      <c r="T365" s="2"/>
    </row>
    <row r="366" spans="1:20" ht="15.75" customHeight="1">
      <c r="A366" s="1"/>
      <c r="B366" s="2"/>
      <c r="C366" s="2"/>
      <c r="D366" s="2"/>
      <c r="E366" s="2"/>
      <c r="F366" s="2"/>
      <c r="G366" s="2"/>
      <c r="H366" s="2"/>
      <c r="I366" s="2"/>
      <c r="J366" s="2"/>
      <c r="K366" s="2"/>
      <c r="L366" s="2"/>
      <c r="M366" s="2"/>
      <c r="N366" s="2"/>
      <c r="O366" s="2"/>
      <c r="P366" s="2"/>
      <c r="Q366" s="2"/>
      <c r="R366" s="2"/>
      <c r="S366" s="2"/>
      <c r="T366" s="2"/>
    </row>
    <row r="367" spans="1:20" ht="15.75" customHeight="1">
      <c r="A367" s="1"/>
      <c r="B367" s="2"/>
      <c r="C367" s="2"/>
      <c r="D367" s="2"/>
      <c r="E367" s="2"/>
      <c r="F367" s="2"/>
      <c r="G367" s="2"/>
      <c r="H367" s="2"/>
      <c r="I367" s="2"/>
      <c r="J367" s="2"/>
      <c r="K367" s="2"/>
      <c r="L367" s="2"/>
      <c r="M367" s="2"/>
      <c r="N367" s="2"/>
      <c r="O367" s="2"/>
      <c r="P367" s="2"/>
      <c r="Q367" s="2"/>
      <c r="R367" s="2"/>
      <c r="S367" s="2"/>
      <c r="T367" s="2"/>
    </row>
    <row r="368" spans="1:20" ht="15.75" customHeight="1">
      <c r="A368" s="1"/>
      <c r="B368" s="2"/>
      <c r="C368" s="2"/>
      <c r="D368" s="2"/>
      <c r="E368" s="2"/>
      <c r="F368" s="2"/>
      <c r="G368" s="2"/>
      <c r="H368" s="2"/>
      <c r="I368" s="2"/>
      <c r="J368" s="2"/>
      <c r="K368" s="2"/>
      <c r="L368" s="2"/>
      <c r="M368" s="2"/>
      <c r="N368" s="2"/>
      <c r="O368" s="2"/>
      <c r="P368" s="2"/>
      <c r="Q368" s="2"/>
      <c r="R368" s="2"/>
      <c r="S368" s="2"/>
      <c r="T368" s="2"/>
    </row>
    <row r="369" spans="1:20" ht="15.75" customHeight="1">
      <c r="A369" s="1"/>
      <c r="B369" s="2"/>
      <c r="C369" s="2"/>
      <c r="D369" s="2"/>
      <c r="E369" s="2"/>
      <c r="F369" s="2"/>
      <c r="G369" s="2"/>
      <c r="H369" s="2"/>
      <c r="I369" s="2"/>
      <c r="J369" s="2"/>
      <c r="K369" s="2"/>
      <c r="L369" s="2"/>
      <c r="M369" s="2"/>
      <c r="N369" s="2"/>
      <c r="O369" s="2"/>
      <c r="P369" s="2"/>
      <c r="Q369" s="2"/>
      <c r="R369" s="2"/>
      <c r="S369" s="2"/>
      <c r="T369" s="2"/>
    </row>
    <row r="370" spans="1:20" ht="15.75" customHeight="1">
      <c r="A370" s="1"/>
      <c r="B370" s="2"/>
      <c r="C370" s="2"/>
      <c r="D370" s="2"/>
      <c r="E370" s="2"/>
      <c r="F370" s="2"/>
      <c r="G370" s="2"/>
      <c r="H370" s="2"/>
      <c r="I370" s="2"/>
      <c r="J370" s="2"/>
      <c r="K370" s="2"/>
      <c r="L370" s="2"/>
      <c r="M370" s="2"/>
      <c r="N370" s="2"/>
      <c r="O370" s="2"/>
      <c r="P370" s="2"/>
      <c r="Q370" s="2"/>
      <c r="R370" s="2"/>
      <c r="S370" s="2"/>
      <c r="T370" s="2"/>
    </row>
    <row r="371" spans="1:20" ht="15.75" customHeight="1">
      <c r="A371" s="1"/>
      <c r="B371" s="2"/>
      <c r="C371" s="2"/>
      <c r="D371" s="2"/>
      <c r="E371" s="2"/>
      <c r="F371" s="2"/>
      <c r="G371" s="2"/>
      <c r="H371" s="2"/>
      <c r="I371" s="2"/>
      <c r="J371" s="2"/>
      <c r="K371" s="2"/>
      <c r="L371" s="2"/>
      <c r="M371" s="2"/>
      <c r="N371" s="2"/>
      <c r="O371" s="2"/>
      <c r="P371" s="2"/>
      <c r="Q371" s="2"/>
      <c r="R371" s="2"/>
      <c r="S371" s="2"/>
      <c r="T371" s="2"/>
    </row>
    <row r="372" spans="1:20" ht="15.75" customHeight="1">
      <c r="A372" s="1"/>
      <c r="B372" s="2"/>
      <c r="C372" s="2"/>
      <c r="D372" s="2"/>
      <c r="E372" s="2"/>
      <c r="F372" s="2"/>
      <c r="G372" s="2"/>
      <c r="H372" s="2"/>
      <c r="I372" s="2"/>
      <c r="J372" s="2"/>
      <c r="K372" s="2"/>
      <c r="L372" s="2"/>
      <c r="M372" s="2"/>
      <c r="N372" s="2"/>
      <c r="O372" s="2"/>
      <c r="P372" s="2"/>
      <c r="Q372" s="2"/>
      <c r="R372" s="2"/>
      <c r="S372" s="2"/>
      <c r="T372" s="2"/>
    </row>
    <row r="373" spans="1:20" ht="15.75" customHeight="1">
      <c r="A373" s="1"/>
      <c r="B373" s="2"/>
      <c r="C373" s="2"/>
      <c r="D373" s="2"/>
      <c r="E373" s="2"/>
      <c r="F373" s="2"/>
      <c r="G373" s="2"/>
      <c r="H373" s="2"/>
      <c r="I373" s="2"/>
      <c r="J373" s="2"/>
      <c r="K373" s="2"/>
      <c r="L373" s="2"/>
      <c r="M373" s="2"/>
      <c r="N373" s="2"/>
      <c r="O373" s="2"/>
      <c r="P373" s="2"/>
      <c r="Q373" s="2"/>
      <c r="R373" s="2"/>
      <c r="S373" s="2"/>
      <c r="T373" s="2"/>
    </row>
    <row r="374" spans="1:20" ht="15.75" customHeight="1">
      <c r="A374" s="1"/>
      <c r="B374" s="2"/>
      <c r="C374" s="2"/>
      <c r="D374" s="2"/>
      <c r="E374" s="2"/>
      <c r="F374" s="2"/>
      <c r="G374" s="2"/>
      <c r="H374" s="2"/>
      <c r="I374" s="2"/>
      <c r="J374" s="2"/>
      <c r="K374" s="2"/>
      <c r="L374" s="2"/>
      <c r="M374" s="2"/>
      <c r="N374" s="2"/>
      <c r="O374" s="2"/>
      <c r="P374" s="2"/>
      <c r="Q374" s="2"/>
      <c r="R374" s="2"/>
      <c r="S374" s="2"/>
      <c r="T374" s="2"/>
    </row>
    <row r="375" spans="1:20" ht="15.75" customHeight="1">
      <c r="A375" s="1"/>
      <c r="B375" s="2"/>
      <c r="C375" s="2"/>
      <c r="D375" s="2"/>
      <c r="E375" s="2"/>
      <c r="F375" s="2"/>
      <c r="G375" s="2"/>
      <c r="H375" s="2"/>
      <c r="I375" s="2"/>
      <c r="J375" s="2"/>
      <c r="K375" s="2"/>
      <c r="L375" s="2"/>
      <c r="M375" s="2"/>
      <c r="N375" s="2"/>
      <c r="O375" s="2"/>
      <c r="P375" s="2"/>
      <c r="Q375" s="2"/>
      <c r="R375" s="2"/>
      <c r="S375" s="2"/>
      <c r="T375" s="2"/>
    </row>
    <row r="376" spans="1:20" ht="15.75" customHeight="1">
      <c r="A376" s="1"/>
      <c r="B376" s="2"/>
      <c r="C376" s="2"/>
      <c r="D376" s="2"/>
      <c r="E376" s="2"/>
      <c r="F376" s="2"/>
      <c r="G376" s="2"/>
      <c r="H376" s="2"/>
      <c r="I376" s="2"/>
      <c r="J376" s="2"/>
      <c r="K376" s="2"/>
      <c r="L376" s="2"/>
      <c r="M376" s="2"/>
      <c r="N376" s="2"/>
      <c r="O376" s="2"/>
      <c r="P376" s="2"/>
      <c r="Q376" s="2"/>
      <c r="R376" s="2"/>
      <c r="S376" s="2"/>
      <c r="T376" s="2"/>
    </row>
    <row r="377" spans="1:20" ht="15.75" customHeight="1">
      <c r="A377" s="1"/>
      <c r="B377" s="2"/>
      <c r="C377" s="2"/>
      <c r="D377" s="2"/>
      <c r="E377" s="2"/>
      <c r="F377" s="2"/>
      <c r="G377" s="2"/>
      <c r="H377" s="2"/>
      <c r="I377" s="2"/>
      <c r="J377" s="2"/>
      <c r="K377" s="2"/>
      <c r="L377" s="2"/>
      <c r="M377" s="2"/>
      <c r="N377" s="2"/>
      <c r="O377" s="2"/>
      <c r="P377" s="2"/>
      <c r="Q377" s="2"/>
      <c r="R377" s="2"/>
      <c r="S377" s="2"/>
      <c r="T377" s="2"/>
    </row>
    <row r="378" spans="1:20" ht="15.75" customHeight="1">
      <c r="A378" s="1"/>
      <c r="B378" s="2"/>
      <c r="C378" s="2"/>
      <c r="D378" s="2"/>
      <c r="E378" s="2"/>
      <c r="F378" s="2"/>
      <c r="G378" s="2"/>
      <c r="H378" s="2"/>
      <c r="I378" s="2"/>
      <c r="J378" s="2"/>
      <c r="K378" s="2"/>
      <c r="L378" s="2"/>
      <c r="M378" s="2"/>
      <c r="N378" s="2"/>
      <c r="O378" s="2"/>
      <c r="P378" s="2"/>
      <c r="Q378" s="2"/>
      <c r="R378" s="2"/>
      <c r="S378" s="2"/>
      <c r="T378" s="2"/>
    </row>
    <row r="379" spans="1:20" ht="15.75" customHeight="1">
      <c r="A379" s="1"/>
      <c r="B379" s="2"/>
      <c r="C379" s="2"/>
      <c r="D379" s="2"/>
      <c r="E379" s="2"/>
      <c r="F379" s="2"/>
      <c r="G379" s="2"/>
      <c r="H379" s="2"/>
      <c r="I379" s="2"/>
      <c r="J379" s="2"/>
      <c r="K379" s="2"/>
      <c r="L379" s="2"/>
      <c r="M379" s="2"/>
      <c r="N379" s="2"/>
      <c r="O379" s="2"/>
      <c r="P379" s="2"/>
      <c r="Q379" s="2"/>
      <c r="R379" s="2"/>
      <c r="S379" s="2"/>
      <c r="T379" s="2"/>
    </row>
    <row r="380" spans="1:20" ht="15.75" customHeight="1">
      <c r="A380" s="1"/>
      <c r="B380" s="2"/>
      <c r="C380" s="2"/>
      <c r="D380" s="2"/>
      <c r="E380" s="2"/>
      <c r="F380" s="2"/>
      <c r="G380" s="2"/>
      <c r="H380" s="2"/>
      <c r="I380" s="2"/>
      <c r="J380" s="2"/>
      <c r="K380" s="2"/>
      <c r="L380" s="2"/>
      <c r="M380" s="2"/>
      <c r="N380" s="2"/>
      <c r="O380" s="2"/>
      <c r="P380" s="2"/>
      <c r="Q380" s="2"/>
      <c r="R380" s="2"/>
      <c r="S380" s="2"/>
      <c r="T380" s="2"/>
    </row>
    <row r="381" spans="1:20" ht="15.75" customHeight="1">
      <c r="A381" s="1"/>
      <c r="B381" s="2"/>
      <c r="C381" s="2"/>
      <c r="D381" s="2"/>
      <c r="E381" s="2"/>
      <c r="F381" s="2"/>
      <c r="G381" s="2"/>
      <c r="H381" s="2"/>
      <c r="I381" s="2"/>
      <c r="J381" s="2"/>
      <c r="K381" s="2"/>
      <c r="L381" s="2"/>
      <c r="M381" s="2"/>
      <c r="N381" s="2"/>
      <c r="O381" s="2"/>
      <c r="P381" s="2"/>
      <c r="Q381" s="2"/>
      <c r="R381" s="2"/>
      <c r="S381" s="2"/>
      <c r="T381" s="2"/>
    </row>
    <row r="382" spans="1:20" ht="15.75" customHeight="1">
      <c r="A382" s="1"/>
      <c r="B382" s="2"/>
      <c r="C382" s="2"/>
      <c r="D382" s="2"/>
      <c r="E382" s="2"/>
      <c r="F382" s="2"/>
      <c r="G382" s="2"/>
      <c r="H382" s="2"/>
      <c r="I382" s="2"/>
      <c r="J382" s="2"/>
      <c r="K382" s="2"/>
      <c r="L382" s="2"/>
      <c r="M382" s="2"/>
      <c r="N382" s="2"/>
      <c r="O382" s="2"/>
      <c r="P382" s="2"/>
      <c r="Q382" s="2"/>
      <c r="R382" s="2"/>
      <c r="S382" s="2"/>
      <c r="T382" s="2"/>
    </row>
    <row r="383" spans="1:20" ht="15.75" customHeight="1">
      <c r="A383" s="1"/>
      <c r="B383" s="2"/>
      <c r="C383" s="2"/>
      <c r="D383" s="2"/>
      <c r="E383" s="2"/>
      <c r="F383" s="2"/>
      <c r="G383" s="2"/>
      <c r="H383" s="2"/>
      <c r="I383" s="2"/>
      <c r="J383" s="2"/>
      <c r="K383" s="2"/>
      <c r="L383" s="2"/>
      <c r="M383" s="2"/>
      <c r="N383" s="2"/>
      <c r="O383" s="2"/>
      <c r="P383" s="2"/>
      <c r="Q383" s="2"/>
      <c r="R383" s="2"/>
      <c r="S383" s="2"/>
      <c r="T383" s="2"/>
    </row>
    <row r="384" spans="1:20" ht="15.75" customHeight="1">
      <c r="A384" s="1"/>
      <c r="B384" s="2"/>
      <c r="C384" s="2"/>
      <c r="D384" s="2"/>
      <c r="E384" s="2"/>
      <c r="F384" s="2"/>
      <c r="G384" s="2"/>
      <c r="H384" s="2"/>
      <c r="I384" s="2"/>
      <c r="J384" s="2"/>
      <c r="K384" s="2"/>
      <c r="L384" s="2"/>
      <c r="M384" s="2"/>
      <c r="N384" s="2"/>
      <c r="O384" s="2"/>
      <c r="P384" s="2"/>
      <c r="Q384" s="2"/>
      <c r="R384" s="2"/>
      <c r="S384" s="2"/>
      <c r="T384" s="2"/>
    </row>
    <row r="385" spans="1:20" ht="15.75" customHeight="1">
      <c r="A385" s="1"/>
      <c r="B385" s="2"/>
      <c r="C385" s="2"/>
      <c r="D385" s="2"/>
      <c r="E385" s="2"/>
      <c r="F385" s="2"/>
      <c r="G385" s="2"/>
      <c r="H385" s="2"/>
      <c r="I385" s="2"/>
      <c r="J385" s="2"/>
      <c r="K385" s="2"/>
      <c r="L385" s="2"/>
      <c r="M385" s="2"/>
      <c r="N385" s="2"/>
      <c r="O385" s="2"/>
      <c r="P385" s="2"/>
      <c r="Q385" s="2"/>
      <c r="R385" s="2"/>
      <c r="S385" s="2"/>
      <c r="T385" s="2"/>
    </row>
    <row r="386" spans="1:20" ht="15.75" customHeight="1">
      <c r="A386" s="1"/>
      <c r="B386" s="2"/>
      <c r="C386" s="2"/>
      <c r="D386" s="2"/>
      <c r="E386" s="2"/>
      <c r="F386" s="2"/>
      <c r="G386" s="2"/>
      <c r="H386" s="2"/>
      <c r="I386" s="2"/>
      <c r="J386" s="2"/>
      <c r="K386" s="2"/>
      <c r="L386" s="2"/>
      <c r="M386" s="2"/>
      <c r="N386" s="2"/>
      <c r="O386" s="2"/>
      <c r="P386" s="2"/>
      <c r="Q386" s="2"/>
      <c r="R386" s="2"/>
      <c r="S386" s="2"/>
      <c r="T386" s="2"/>
    </row>
    <row r="387" spans="1:20" ht="15.75" customHeight="1">
      <c r="A387" s="1"/>
      <c r="B387" s="2"/>
      <c r="C387" s="2"/>
      <c r="D387" s="2"/>
      <c r="E387" s="2"/>
      <c r="F387" s="2"/>
      <c r="G387" s="2"/>
      <c r="H387" s="2"/>
      <c r="I387" s="2"/>
      <c r="J387" s="2"/>
      <c r="K387" s="2"/>
      <c r="L387" s="2"/>
      <c r="M387" s="2"/>
      <c r="N387" s="2"/>
      <c r="O387" s="2"/>
      <c r="P387" s="2"/>
      <c r="Q387" s="2"/>
      <c r="R387" s="2"/>
      <c r="S387" s="2"/>
      <c r="T387" s="2"/>
    </row>
    <row r="388" spans="1:20" ht="15.75" customHeight="1">
      <c r="A388" s="1"/>
      <c r="B388" s="2"/>
      <c r="C388" s="2"/>
      <c r="D388" s="2"/>
      <c r="E388" s="2"/>
      <c r="F388" s="2"/>
      <c r="G388" s="2"/>
      <c r="H388" s="2"/>
      <c r="I388" s="2"/>
      <c r="J388" s="2"/>
      <c r="K388" s="2"/>
      <c r="L388" s="2"/>
      <c r="M388" s="2"/>
      <c r="N388" s="2"/>
      <c r="O388" s="2"/>
      <c r="P388" s="2"/>
      <c r="Q388" s="2"/>
      <c r="R388" s="2"/>
      <c r="S388" s="2"/>
      <c r="T388" s="2"/>
    </row>
    <row r="389" spans="1:20" ht="15.75" customHeight="1">
      <c r="A389" s="1"/>
      <c r="B389" s="2"/>
      <c r="C389" s="2"/>
      <c r="D389" s="2"/>
      <c r="E389" s="2"/>
      <c r="F389" s="2"/>
      <c r="G389" s="2"/>
      <c r="H389" s="2"/>
      <c r="I389" s="2"/>
      <c r="J389" s="2"/>
      <c r="K389" s="2"/>
      <c r="L389" s="2"/>
      <c r="M389" s="2"/>
      <c r="N389" s="2"/>
      <c r="O389" s="2"/>
      <c r="P389" s="2"/>
      <c r="Q389" s="2"/>
      <c r="R389" s="2"/>
      <c r="S389" s="2"/>
      <c r="T389" s="2"/>
    </row>
    <row r="390" spans="1:20" ht="15.75" customHeight="1">
      <c r="A390" s="1"/>
      <c r="B390" s="2"/>
      <c r="C390" s="2"/>
      <c r="D390" s="2"/>
      <c r="E390" s="2"/>
      <c r="F390" s="2"/>
      <c r="G390" s="2"/>
      <c r="H390" s="2"/>
      <c r="I390" s="2"/>
      <c r="J390" s="2"/>
      <c r="K390" s="2"/>
      <c r="L390" s="2"/>
      <c r="M390" s="2"/>
      <c r="N390" s="2"/>
      <c r="O390" s="2"/>
      <c r="P390" s="2"/>
      <c r="Q390" s="2"/>
      <c r="R390" s="2"/>
      <c r="S390" s="2"/>
      <c r="T390" s="2"/>
    </row>
    <row r="391" spans="1:20" ht="15.75" customHeight="1">
      <c r="A391" s="1"/>
      <c r="B391" s="2"/>
      <c r="C391" s="2"/>
      <c r="D391" s="2"/>
      <c r="E391" s="2"/>
      <c r="F391" s="2"/>
      <c r="G391" s="2"/>
      <c r="H391" s="2"/>
      <c r="I391" s="2"/>
      <c r="J391" s="2"/>
      <c r="K391" s="2"/>
      <c r="L391" s="2"/>
      <c r="M391" s="2"/>
      <c r="N391" s="2"/>
      <c r="O391" s="2"/>
      <c r="P391" s="2"/>
      <c r="Q391" s="2"/>
      <c r="R391" s="2"/>
      <c r="S391" s="2"/>
      <c r="T391" s="2"/>
    </row>
    <row r="392" spans="1:20" ht="15.75" customHeight="1">
      <c r="A392" s="1"/>
      <c r="B392" s="2"/>
      <c r="C392" s="2"/>
      <c r="D392" s="2"/>
      <c r="E392" s="2"/>
      <c r="F392" s="2"/>
      <c r="G392" s="2"/>
      <c r="H392" s="2"/>
      <c r="I392" s="2"/>
      <c r="J392" s="2"/>
      <c r="K392" s="2"/>
      <c r="L392" s="2"/>
      <c r="M392" s="2"/>
      <c r="N392" s="2"/>
      <c r="O392" s="2"/>
      <c r="P392" s="2"/>
      <c r="Q392" s="2"/>
      <c r="R392" s="2"/>
      <c r="S392" s="2"/>
      <c r="T392" s="2"/>
    </row>
    <row r="393" spans="1:20" ht="15.75" customHeight="1">
      <c r="A393" s="1"/>
      <c r="B393" s="2"/>
      <c r="C393" s="2"/>
      <c r="D393" s="2"/>
      <c r="E393" s="2"/>
      <c r="F393" s="2"/>
      <c r="G393" s="2"/>
      <c r="H393" s="2"/>
      <c r="I393" s="2"/>
      <c r="J393" s="2"/>
      <c r="K393" s="2"/>
      <c r="L393" s="2"/>
      <c r="M393" s="2"/>
      <c r="N393" s="2"/>
      <c r="O393" s="2"/>
      <c r="P393" s="2"/>
      <c r="Q393" s="2"/>
      <c r="R393" s="2"/>
      <c r="S393" s="2"/>
      <c r="T393" s="2"/>
    </row>
    <row r="394" spans="1:20" ht="15.75" customHeight="1">
      <c r="A394" s="1"/>
      <c r="B394" s="2"/>
      <c r="C394" s="2"/>
      <c r="D394" s="2"/>
      <c r="E394" s="2"/>
      <c r="F394" s="2"/>
      <c r="G394" s="2"/>
      <c r="H394" s="2"/>
      <c r="I394" s="2"/>
      <c r="J394" s="2"/>
      <c r="K394" s="2"/>
      <c r="L394" s="2"/>
      <c r="M394" s="2"/>
      <c r="N394" s="2"/>
      <c r="O394" s="2"/>
      <c r="P394" s="2"/>
      <c r="Q394" s="2"/>
      <c r="R394" s="2"/>
      <c r="S394" s="2"/>
      <c r="T394" s="2"/>
    </row>
    <row r="395" spans="1:20" ht="15.75" customHeight="1">
      <c r="A395" s="1"/>
      <c r="B395" s="2"/>
      <c r="C395" s="2"/>
      <c r="D395" s="2"/>
      <c r="E395" s="2"/>
      <c r="F395" s="2"/>
      <c r="G395" s="2"/>
      <c r="H395" s="2"/>
      <c r="I395" s="2"/>
      <c r="J395" s="2"/>
      <c r="K395" s="2"/>
      <c r="L395" s="2"/>
      <c r="M395" s="2"/>
      <c r="N395" s="2"/>
      <c r="O395" s="2"/>
      <c r="P395" s="2"/>
      <c r="Q395" s="2"/>
      <c r="R395" s="2"/>
      <c r="S395" s="2"/>
      <c r="T395" s="2"/>
    </row>
    <row r="396" spans="1:20" ht="15.75" customHeight="1">
      <c r="A396" s="1"/>
      <c r="B396" s="2"/>
      <c r="C396" s="2"/>
      <c r="D396" s="2"/>
      <c r="E396" s="2"/>
      <c r="F396" s="2"/>
      <c r="G396" s="2"/>
      <c r="H396" s="2"/>
      <c r="I396" s="2"/>
      <c r="J396" s="2"/>
      <c r="K396" s="2"/>
      <c r="L396" s="2"/>
      <c r="M396" s="2"/>
      <c r="N396" s="2"/>
      <c r="O396" s="2"/>
      <c r="P396" s="2"/>
      <c r="Q396" s="2"/>
      <c r="R396" s="2"/>
      <c r="S396" s="2"/>
      <c r="T396" s="2"/>
    </row>
    <row r="397" spans="1:20" ht="15.75" customHeight="1">
      <c r="A397" s="1"/>
      <c r="B397" s="2"/>
      <c r="C397" s="2"/>
      <c r="D397" s="2"/>
      <c r="E397" s="2"/>
      <c r="F397" s="2"/>
      <c r="G397" s="2"/>
      <c r="H397" s="2"/>
      <c r="I397" s="2"/>
      <c r="J397" s="2"/>
      <c r="K397" s="2"/>
      <c r="L397" s="2"/>
      <c r="M397" s="2"/>
      <c r="N397" s="2"/>
      <c r="O397" s="2"/>
      <c r="P397" s="2"/>
      <c r="Q397" s="2"/>
      <c r="R397" s="2"/>
      <c r="S397" s="2"/>
      <c r="T397" s="2"/>
    </row>
    <row r="398" spans="1:20" ht="15.75" customHeight="1">
      <c r="A398" s="1"/>
      <c r="B398" s="2"/>
      <c r="C398" s="2"/>
      <c r="D398" s="2"/>
      <c r="E398" s="2"/>
      <c r="F398" s="2"/>
      <c r="G398" s="2"/>
      <c r="H398" s="2"/>
      <c r="I398" s="2"/>
      <c r="J398" s="2"/>
      <c r="K398" s="2"/>
      <c r="L398" s="2"/>
      <c r="M398" s="2"/>
      <c r="N398" s="2"/>
      <c r="O398" s="2"/>
      <c r="P398" s="2"/>
      <c r="Q398" s="2"/>
      <c r="R398" s="2"/>
      <c r="S398" s="2"/>
      <c r="T398" s="2"/>
    </row>
    <row r="399" spans="1:20" ht="15.75" customHeight="1">
      <c r="A399" s="1"/>
      <c r="B399" s="2"/>
      <c r="C399" s="2"/>
      <c r="D399" s="2"/>
      <c r="E399" s="2"/>
      <c r="F399" s="2"/>
      <c r="G399" s="2"/>
      <c r="H399" s="2"/>
      <c r="I399" s="2"/>
      <c r="J399" s="2"/>
      <c r="K399" s="2"/>
      <c r="L399" s="2"/>
      <c r="M399" s="2"/>
      <c r="N399" s="2"/>
      <c r="O399" s="2"/>
      <c r="P399" s="2"/>
      <c r="Q399" s="2"/>
      <c r="R399" s="2"/>
      <c r="S399" s="2"/>
      <c r="T399" s="2"/>
    </row>
    <row r="400" spans="1:20" ht="15.75" customHeight="1">
      <c r="A400" s="1"/>
      <c r="B400" s="2"/>
      <c r="C400" s="2"/>
      <c r="D400" s="2"/>
      <c r="E400" s="2"/>
      <c r="F400" s="2"/>
      <c r="G400" s="2"/>
      <c r="H400" s="2"/>
      <c r="I400" s="2"/>
      <c r="J400" s="2"/>
      <c r="K400" s="2"/>
      <c r="L400" s="2"/>
      <c r="M400" s="2"/>
      <c r="N400" s="2"/>
      <c r="O400" s="2"/>
      <c r="P400" s="2"/>
      <c r="Q400" s="2"/>
      <c r="R400" s="2"/>
      <c r="S400" s="2"/>
      <c r="T400" s="2"/>
    </row>
    <row r="401" spans="1:20" ht="15.75" customHeight="1">
      <c r="A401" s="1"/>
      <c r="B401" s="2"/>
      <c r="C401" s="2"/>
      <c r="D401" s="2"/>
      <c r="E401" s="2"/>
      <c r="F401" s="2"/>
      <c r="G401" s="2"/>
      <c r="H401" s="2"/>
      <c r="I401" s="2"/>
      <c r="J401" s="2"/>
      <c r="K401" s="2"/>
      <c r="L401" s="2"/>
      <c r="M401" s="2"/>
      <c r="N401" s="2"/>
      <c r="O401" s="2"/>
      <c r="P401" s="2"/>
      <c r="Q401" s="2"/>
      <c r="R401" s="2"/>
      <c r="S401" s="2"/>
      <c r="T401" s="2"/>
    </row>
    <row r="402" spans="1:20" ht="15.75" customHeight="1">
      <c r="A402" s="1"/>
      <c r="B402" s="2"/>
      <c r="C402" s="2"/>
      <c r="D402" s="2"/>
      <c r="E402" s="2"/>
      <c r="F402" s="2"/>
      <c r="G402" s="2"/>
      <c r="H402" s="2"/>
      <c r="I402" s="2"/>
      <c r="J402" s="2"/>
      <c r="K402" s="2"/>
      <c r="L402" s="2"/>
      <c r="M402" s="2"/>
      <c r="N402" s="2"/>
      <c r="O402" s="2"/>
      <c r="P402" s="2"/>
      <c r="Q402" s="2"/>
      <c r="R402" s="2"/>
      <c r="S402" s="2"/>
      <c r="T402" s="2"/>
    </row>
    <row r="403" spans="1:20" ht="15.75" customHeight="1">
      <c r="A403" s="1"/>
      <c r="B403" s="2"/>
      <c r="C403" s="2"/>
      <c r="D403" s="2"/>
      <c r="E403" s="2"/>
      <c r="F403" s="2"/>
      <c r="G403" s="2"/>
      <c r="H403" s="2"/>
      <c r="I403" s="2"/>
      <c r="J403" s="2"/>
      <c r="K403" s="2"/>
      <c r="L403" s="2"/>
      <c r="M403" s="2"/>
      <c r="N403" s="2"/>
      <c r="O403" s="2"/>
      <c r="P403" s="2"/>
      <c r="Q403" s="2"/>
      <c r="R403" s="2"/>
      <c r="S403" s="2"/>
      <c r="T403" s="2"/>
    </row>
    <row r="404" spans="1:20" ht="15.75" customHeight="1">
      <c r="A404" s="1"/>
      <c r="B404" s="2"/>
      <c r="C404" s="2"/>
      <c r="D404" s="2"/>
      <c r="E404" s="2"/>
      <c r="F404" s="2"/>
      <c r="G404" s="2"/>
      <c r="H404" s="2"/>
      <c r="I404" s="2"/>
      <c r="J404" s="2"/>
      <c r="K404" s="2"/>
      <c r="L404" s="2"/>
      <c r="M404" s="2"/>
      <c r="N404" s="2"/>
      <c r="O404" s="2"/>
      <c r="P404" s="2"/>
      <c r="Q404" s="2"/>
      <c r="R404" s="2"/>
      <c r="S404" s="2"/>
      <c r="T404" s="2"/>
    </row>
    <row r="405" spans="1:20" ht="15.75" customHeight="1">
      <c r="A405" s="1"/>
      <c r="B405" s="2"/>
      <c r="C405" s="2"/>
      <c r="D405" s="2"/>
      <c r="E405" s="2"/>
      <c r="F405" s="2"/>
      <c r="G405" s="2"/>
      <c r="H405" s="2"/>
      <c r="I405" s="2"/>
      <c r="J405" s="2"/>
      <c r="K405" s="2"/>
      <c r="L405" s="2"/>
      <c r="M405" s="2"/>
      <c r="N405" s="2"/>
      <c r="O405" s="2"/>
      <c r="P405" s="2"/>
      <c r="Q405" s="2"/>
      <c r="R405" s="2"/>
      <c r="S405" s="2"/>
      <c r="T405" s="2"/>
    </row>
    <row r="406" spans="1:20" ht="15.75" customHeight="1">
      <c r="A406" s="1"/>
      <c r="B406" s="2"/>
      <c r="C406" s="2"/>
      <c r="D406" s="2"/>
      <c r="E406" s="2"/>
      <c r="F406" s="2"/>
      <c r="G406" s="2"/>
      <c r="H406" s="2"/>
      <c r="I406" s="2"/>
      <c r="J406" s="2"/>
      <c r="K406" s="2"/>
      <c r="L406" s="2"/>
      <c r="M406" s="2"/>
      <c r="N406" s="2"/>
      <c r="O406" s="2"/>
      <c r="P406" s="2"/>
      <c r="Q406" s="2"/>
      <c r="R406" s="2"/>
      <c r="S406" s="2"/>
      <c r="T406" s="2"/>
    </row>
    <row r="407" spans="1:20" ht="15.75" customHeight="1">
      <c r="A407" s="1"/>
      <c r="B407" s="2"/>
      <c r="C407" s="2"/>
      <c r="D407" s="2"/>
      <c r="E407" s="2"/>
      <c r="F407" s="2"/>
      <c r="G407" s="2"/>
      <c r="H407" s="2"/>
      <c r="I407" s="2"/>
      <c r="J407" s="2"/>
      <c r="K407" s="2"/>
      <c r="L407" s="2"/>
      <c r="M407" s="2"/>
      <c r="N407" s="2"/>
      <c r="O407" s="2"/>
      <c r="P407" s="2"/>
      <c r="Q407" s="2"/>
      <c r="R407" s="2"/>
      <c r="S407" s="2"/>
      <c r="T407" s="2"/>
    </row>
    <row r="408" spans="1:20" ht="15.75" customHeight="1">
      <c r="A408" s="1"/>
      <c r="B408" s="2"/>
      <c r="C408" s="2"/>
      <c r="D408" s="2"/>
      <c r="E408" s="2"/>
      <c r="F408" s="2"/>
      <c r="G408" s="2"/>
      <c r="H408" s="2"/>
      <c r="I408" s="2"/>
      <c r="J408" s="2"/>
      <c r="K408" s="2"/>
      <c r="L408" s="2"/>
      <c r="M408" s="2"/>
      <c r="N408" s="2"/>
      <c r="O408" s="2"/>
      <c r="P408" s="2"/>
      <c r="Q408" s="2"/>
      <c r="R408" s="2"/>
      <c r="S408" s="2"/>
      <c r="T408" s="2"/>
    </row>
    <row r="409" spans="1:20" ht="15.75" customHeight="1">
      <c r="A409" s="1"/>
      <c r="B409" s="2"/>
      <c r="C409" s="2"/>
      <c r="D409" s="2"/>
      <c r="E409" s="2"/>
      <c r="F409" s="2"/>
      <c r="G409" s="2"/>
      <c r="H409" s="2"/>
      <c r="I409" s="2"/>
      <c r="J409" s="2"/>
      <c r="K409" s="2"/>
      <c r="L409" s="2"/>
      <c r="M409" s="2"/>
      <c r="N409" s="2"/>
      <c r="O409" s="2"/>
      <c r="P409" s="2"/>
      <c r="Q409" s="2"/>
      <c r="R409" s="2"/>
      <c r="S409" s="2"/>
      <c r="T409" s="2"/>
    </row>
    <row r="410" spans="1:20" ht="15.75" customHeight="1">
      <c r="A410" s="1"/>
      <c r="B410" s="2"/>
      <c r="C410" s="2"/>
      <c r="D410" s="2"/>
      <c r="E410" s="2"/>
      <c r="F410" s="2"/>
      <c r="G410" s="2"/>
      <c r="H410" s="2"/>
      <c r="I410" s="2"/>
      <c r="J410" s="2"/>
      <c r="K410" s="2"/>
      <c r="L410" s="2"/>
      <c r="M410" s="2"/>
      <c r="N410" s="2"/>
      <c r="O410" s="2"/>
      <c r="P410" s="2"/>
      <c r="Q410" s="2"/>
      <c r="R410" s="2"/>
      <c r="S410" s="2"/>
      <c r="T410" s="2"/>
    </row>
    <row r="411" spans="1:20" ht="15.75" customHeight="1">
      <c r="A411" s="1"/>
      <c r="B411" s="2"/>
      <c r="C411" s="2"/>
      <c r="D411" s="2"/>
      <c r="E411" s="2"/>
      <c r="F411" s="2"/>
      <c r="G411" s="2"/>
      <c r="H411" s="2"/>
      <c r="I411" s="2"/>
      <c r="J411" s="2"/>
      <c r="K411" s="2"/>
      <c r="L411" s="2"/>
      <c r="M411" s="2"/>
      <c r="N411" s="2"/>
      <c r="O411" s="2"/>
      <c r="P411" s="2"/>
      <c r="Q411" s="2"/>
      <c r="R411" s="2"/>
      <c r="S411" s="2"/>
      <c r="T411" s="2"/>
    </row>
    <row r="412" spans="1:20" ht="15.75" customHeight="1">
      <c r="A412" s="1"/>
      <c r="B412" s="2"/>
      <c r="C412" s="2"/>
      <c r="D412" s="2"/>
      <c r="E412" s="2"/>
      <c r="F412" s="2"/>
      <c r="G412" s="2"/>
      <c r="H412" s="2"/>
      <c r="I412" s="2"/>
      <c r="J412" s="2"/>
      <c r="K412" s="2"/>
      <c r="L412" s="2"/>
      <c r="M412" s="2"/>
      <c r="N412" s="2"/>
      <c r="O412" s="2"/>
      <c r="P412" s="2"/>
      <c r="Q412" s="2"/>
      <c r="R412" s="2"/>
      <c r="S412" s="2"/>
      <c r="T412" s="2"/>
    </row>
    <row r="413" spans="1:20" ht="15.75" customHeight="1">
      <c r="A413" s="1"/>
      <c r="B413" s="2"/>
      <c r="C413" s="2"/>
      <c r="D413" s="2"/>
      <c r="E413" s="2"/>
      <c r="F413" s="2"/>
      <c r="G413" s="2"/>
      <c r="H413" s="2"/>
      <c r="I413" s="2"/>
      <c r="J413" s="2"/>
      <c r="K413" s="2"/>
      <c r="L413" s="2"/>
      <c r="M413" s="2"/>
      <c r="N413" s="2"/>
      <c r="O413" s="2"/>
      <c r="P413" s="2"/>
      <c r="Q413" s="2"/>
      <c r="R413" s="2"/>
      <c r="S413" s="2"/>
      <c r="T413" s="2"/>
    </row>
    <row r="414" spans="1:20" ht="15.75" customHeight="1">
      <c r="A414" s="1"/>
      <c r="B414" s="2"/>
      <c r="C414" s="2"/>
      <c r="D414" s="2"/>
      <c r="E414" s="2"/>
      <c r="F414" s="2"/>
      <c r="G414" s="2"/>
      <c r="H414" s="2"/>
      <c r="I414" s="2"/>
      <c r="J414" s="2"/>
      <c r="K414" s="2"/>
      <c r="L414" s="2"/>
      <c r="M414" s="2"/>
      <c r="N414" s="2"/>
      <c r="O414" s="2"/>
      <c r="P414" s="2"/>
      <c r="Q414" s="2"/>
      <c r="R414" s="2"/>
      <c r="S414" s="2"/>
      <c r="T414" s="2"/>
    </row>
    <row r="415" spans="1:20" ht="15.75" customHeight="1">
      <c r="A415" s="1"/>
      <c r="B415" s="2"/>
      <c r="C415" s="2"/>
      <c r="D415" s="2"/>
      <c r="E415" s="2"/>
      <c r="F415" s="2"/>
      <c r="G415" s="2"/>
      <c r="H415" s="2"/>
      <c r="I415" s="2"/>
      <c r="J415" s="2"/>
      <c r="K415" s="2"/>
      <c r="L415" s="2"/>
      <c r="M415" s="2"/>
      <c r="N415" s="2"/>
      <c r="O415" s="2"/>
      <c r="P415" s="2"/>
      <c r="Q415" s="2"/>
      <c r="R415" s="2"/>
      <c r="S415" s="2"/>
      <c r="T415" s="2"/>
    </row>
    <row r="416" spans="1:20" ht="15.75" customHeight="1">
      <c r="A416" s="1"/>
      <c r="B416" s="2"/>
      <c r="C416" s="2"/>
      <c r="D416" s="2"/>
      <c r="E416" s="2"/>
      <c r="F416" s="2"/>
      <c r="G416" s="2"/>
      <c r="H416" s="2"/>
      <c r="I416" s="2"/>
      <c r="J416" s="2"/>
      <c r="K416" s="2"/>
      <c r="L416" s="2"/>
      <c r="M416" s="2"/>
      <c r="N416" s="2"/>
      <c r="O416" s="2"/>
      <c r="P416" s="2"/>
      <c r="Q416" s="2"/>
      <c r="R416" s="2"/>
      <c r="S416" s="2"/>
      <c r="T416" s="2"/>
    </row>
    <row r="417" spans="1:20" ht="15.75" customHeight="1">
      <c r="A417" s="1"/>
      <c r="B417" s="2"/>
      <c r="C417" s="2"/>
      <c r="D417" s="2"/>
      <c r="E417" s="2"/>
      <c r="F417" s="2"/>
      <c r="G417" s="2"/>
      <c r="H417" s="2"/>
      <c r="I417" s="2"/>
      <c r="J417" s="2"/>
      <c r="K417" s="2"/>
      <c r="L417" s="2"/>
      <c r="M417" s="2"/>
      <c r="N417" s="2"/>
      <c r="O417" s="2"/>
      <c r="P417" s="2"/>
      <c r="Q417" s="2"/>
      <c r="R417" s="2"/>
      <c r="S417" s="2"/>
      <c r="T417" s="2"/>
    </row>
    <row r="418" spans="1:20" ht="15.75" customHeight="1">
      <c r="A418" s="1"/>
      <c r="B418" s="2"/>
      <c r="C418" s="2"/>
      <c r="D418" s="2"/>
      <c r="E418" s="2"/>
      <c r="F418" s="2"/>
      <c r="G418" s="2"/>
      <c r="H418" s="2"/>
      <c r="I418" s="2"/>
      <c r="J418" s="2"/>
      <c r="K418" s="2"/>
      <c r="L418" s="2"/>
      <c r="M418" s="2"/>
      <c r="N418" s="2"/>
      <c r="O418" s="2"/>
      <c r="P418" s="2"/>
      <c r="Q418" s="2"/>
      <c r="R418" s="2"/>
      <c r="S418" s="2"/>
      <c r="T418" s="2"/>
    </row>
    <row r="419" spans="1:20" ht="15.75" customHeight="1">
      <c r="A419" s="1"/>
      <c r="B419" s="2"/>
      <c r="C419" s="2"/>
      <c r="D419" s="2"/>
      <c r="E419" s="2"/>
      <c r="F419" s="2"/>
      <c r="G419" s="2"/>
      <c r="H419" s="2"/>
      <c r="I419" s="2"/>
      <c r="J419" s="2"/>
      <c r="K419" s="2"/>
      <c r="L419" s="2"/>
      <c r="M419" s="2"/>
      <c r="N419" s="2"/>
      <c r="O419" s="2"/>
      <c r="P419" s="2"/>
      <c r="Q419" s="2"/>
      <c r="R419" s="2"/>
      <c r="S419" s="2"/>
      <c r="T419" s="2"/>
    </row>
    <row r="420" spans="1:20" ht="15.75" customHeight="1">
      <c r="A420" s="1"/>
      <c r="B420" s="2"/>
      <c r="C420" s="2"/>
      <c r="D420" s="2"/>
      <c r="E420" s="2"/>
      <c r="F420" s="2"/>
      <c r="G420" s="2"/>
      <c r="H420" s="2"/>
      <c r="I420" s="2"/>
      <c r="J420" s="2"/>
      <c r="K420" s="2"/>
      <c r="L420" s="2"/>
      <c r="M420" s="2"/>
      <c r="N420" s="2"/>
      <c r="O420" s="2"/>
      <c r="P420" s="2"/>
      <c r="Q420" s="2"/>
      <c r="R420" s="2"/>
      <c r="S420" s="2"/>
      <c r="T420" s="2"/>
    </row>
    <row r="421" spans="1:20" ht="15.75" customHeight="1">
      <c r="A421" s="1"/>
      <c r="B421" s="2"/>
      <c r="C421" s="2"/>
      <c r="D421" s="2"/>
      <c r="E421" s="2"/>
      <c r="F421" s="2"/>
      <c r="G421" s="2"/>
      <c r="H421" s="2"/>
      <c r="I421" s="2"/>
      <c r="J421" s="2"/>
      <c r="K421" s="2"/>
      <c r="L421" s="2"/>
      <c r="M421" s="2"/>
      <c r="N421" s="2"/>
      <c r="O421" s="2"/>
      <c r="P421" s="2"/>
      <c r="Q421" s="2"/>
      <c r="R421" s="2"/>
      <c r="S421" s="2"/>
      <c r="T421" s="2"/>
    </row>
    <row r="422" spans="1:20" ht="15.75" customHeight="1">
      <c r="A422" s="1"/>
      <c r="B422" s="2"/>
      <c r="C422" s="2"/>
      <c r="D422" s="2"/>
      <c r="E422" s="2"/>
      <c r="F422" s="2"/>
      <c r="G422" s="2"/>
      <c r="H422" s="2"/>
      <c r="I422" s="2"/>
      <c r="J422" s="2"/>
      <c r="K422" s="2"/>
      <c r="L422" s="2"/>
      <c r="M422" s="2"/>
      <c r="N422" s="2"/>
      <c r="O422" s="2"/>
      <c r="P422" s="2"/>
      <c r="Q422" s="2"/>
      <c r="R422" s="2"/>
      <c r="S422" s="2"/>
      <c r="T422" s="2"/>
    </row>
    <row r="423" spans="1:20" ht="15.75" customHeight="1">
      <c r="A423" s="1"/>
      <c r="B423" s="2"/>
      <c r="C423" s="2"/>
      <c r="D423" s="2"/>
      <c r="E423" s="2"/>
      <c r="F423" s="2"/>
      <c r="G423" s="2"/>
      <c r="H423" s="2"/>
      <c r="I423" s="2"/>
      <c r="J423" s="2"/>
      <c r="K423" s="2"/>
      <c r="L423" s="2"/>
      <c r="M423" s="2"/>
      <c r="N423" s="2"/>
      <c r="O423" s="2"/>
      <c r="P423" s="2"/>
      <c r="Q423" s="2"/>
      <c r="R423" s="2"/>
      <c r="S423" s="2"/>
      <c r="T423" s="2"/>
    </row>
    <row r="424" spans="1:20" ht="15.75" customHeight="1">
      <c r="A424" s="1"/>
      <c r="B424" s="2"/>
      <c r="C424" s="2"/>
      <c r="D424" s="2"/>
      <c r="E424" s="2"/>
      <c r="F424" s="2"/>
      <c r="G424" s="2"/>
      <c r="H424" s="2"/>
      <c r="I424" s="2"/>
      <c r="J424" s="2"/>
      <c r="K424" s="2"/>
      <c r="L424" s="2"/>
      <c r="M424" s="2"/>
      <c r="N424" s="2"/>
      <c r="O424" s="2"/>
      <c r="P424" s="2"/>
      <c r="Q424" s="2"/>
      <c r="R424" s="2"/>
      <c r="S424" s="2"/>
      <c r="T424" s="2"/>
    </row>
    <row r="425" spans="1:20" ht="15.75" customHeight="1">
      <c r="A425" s="1"/>
      <c r="B425" s="2"/>
      <c r="C425" s="2"/>
      <c r="D425" s="2"/>
      <c r="E425" s="2"/>
      <c r="F425" s="2"/>
      <c r="G425" s="2"/>
      <c r="H425" s="2"/>
      <c r="I425" s="2"/>
      <c r="J425" s="2"/>
      <c r="K425" s="2"/>
      <c r="L425" s="2"/>
      <c r="M425" s="2"/>
      <c r="N425" s="2"/>
      <c r="O425" s="2"/>
      <c r="P425" s="2"/>
      <c r="Q425" s="2"/>
      <c r="R425" s="2"/>
      <c r="S425" s="2"/>
      <c r="T425" s="2"/>
    </row>
    <row r="426" spans="1:20" ht="15.75" customHeight="1">
      <c r="A426" s="1"/>
      <c r="B426" s="2"/>
      <c r="C426" s="2"/>
      <c r="D426" s="2"/>
      <c r="E426" s="2"/>
      <c r="F426" s="2"/>
      <c r="G426" s="2"/>
      <c r="H426" s="2"/>
      <c r="I426" s="2"/>
      <c r="J426" s="2"/>
      <c r="K426" s="2"/>
      <c r="L426" s="2"/>
      <c r="M426" s="2"/>
      <c r="N426" s="2"/>
      <c r="O426" s="2"/>
      <c r="P426" s="2"/>
      <c r="Q426" s="2"/>
      <c r="R426" s="2"/>
      <c r="S426" s="2"/>
      <c r="T426" s="2"/>
    </row>
    <row r="427" spans="1:20" ht="15.75" customHeight="1">
      <c r="A427" s="1"/>
      <c r="B427" s="2"/>
      <c r="C427" s="2"/>
      <c r="D427" s="2"/>
      <c r="E427" s="2"/>
      <c r="F427" s="2"/>
      <c r="G427" s="2"/>
      <c r="H427" s="2"/>
      <c r="I427" s="2"/>
      <c r="J427" s="2"/>
      <c r="K427" s="2"/>
      <c r="L427" s="2"/>
      <c r="M427" s="2"/>
      <c r="N427" s="2"/>
      <c r="O427" s="2"/>
      <c r="P427" s="2"/>
      <c r="Q427" s="2"/>
      <c r="R427" s="2"/>
      <c r="S427" s="2"/>
      <c r="T427" s="2"/>
    </row>
    <row r="428" spans="1:20" ht="15.75" customHeight="1">
      <c r="A428" s="1"/>
      <c r="B428" s="2"/>
      <c r="C428" s="2"/>
      <c r="D428" s="2"/>
      <c r="E428" s="2"/>
      <c r="F428" s="2"/>
      <c r="G428" s="2"/>
      <c r="H428" s="2"/>
      <c r="I428" s="2"/>
      <c r="J428" s="2"/>
      <c r="K428" s="2"/>
      <c r="L428" s="2"/>
      <c r="M428" s="2"/>
      <c r="N428" s="2"/>
      <c r="O428" s="2"/>
      <c r="P428" s="2"/>
      <c r="Q428" s="2"/>
      <c r="R428" s="2"/>
      <c r="S428" s="2"/>
      <c r="T428" s="2"/>
    </row>
    <row r="429" spans="1:20" ht="15.75" customHeight="1">
      <c r="A429" s="1"/>
      <c r="B429" s="2"/>
      <c r="C429" s="2"/>
      <c r="D429" s="2"/>
      <c r="E429" s="2"/>
      <c r="F429" s="2"/>
      <c r="G429" s="2"/>
      <c r="H429" s="2"/>
      <c r="I429" s="2"/>
      <c r="J429" s="2"/>
      <c r="K429" s="2"/>
      <c r="L429" s="2"/>
      <c r="M429" s="2"/>
      <c r="N429" s="2"/>
      <c r="O429" s="2"/>
      <c r="P429" s="2"/>
      <c r="Q429" s="2"/>
      <c r="R429" s="2"/>
      <c r="S429" s="2"/>
      <c r="T429" s="2"/>
    </row>
    <row r="430" spans="1:20" ht="15.75" customHeight="1">
      <c r="A430" s="1"/>
      <c r="B430" s="2"/>
      <c r="C430" s="2"/>
      <c r="D430" s="2"/>
      <c r="E430" s="2"/>
      <c r="F430" s="2"/>
      <c r="G430" s="2"/>
      <c r="H430" s="2"/>
      <c r="I430" s="2"/>
      <c r="J430" s="2"/>
      <c r="K430" s="2"/>
      <c r="L430" s="2"/>
      <c r="M430" s="2"/>
      <c r="N430" s="2"/>
      <c r="O430" s="2"/>
      <c r="P430" s="2"/>
      <c r="Q430" s="2"/>
      <c r="R430" s="2"/>
      <c r="S430" s="2"/>
      <c r="T430" s="2"/>
    </row>
    <row r="431" spans="1:20" ht="15.75" customHeight="1">
      <c r="A431" s="1"/>
      <c r="B431" s="2"/>
      <c r="C431" s="2"/>
      <c r="D431" s="2"/>
      <c r="E431" s="2"/>
      <c r="F431" s="2"/>
      <c r="G431" s="2"/>
      <c r="H431" s="2"/>
      <c r="I431" s="2"/>
      <c r="J431" s="2"/>
      <c r="K431" s="2"/>
      <c r="L431" s="2"/>
      <c r="M431" s="2"/>
      <c r="N431" s="2"/>
      <c r="O431" s="2"/>
      <c r="P431" s="2"/>
      <c r="Q431" s="2"/>
      <c r="R431" s="2"/>
      <c r="S431" s="2"/>
      <c r="T431" s="2"/>
    </row>
    <row r="432" spans="1:20" ht="15.75" customHeight="1">
      <c r="A432" s="1"/>
      <c r="B432" s="2"/>
      <c r="C432" s="2"/>
      <c r="D432" s="2"/>
      <c r="E432" s="2"/>
      <c r="F432" s="2"/>
      <c r="G432" s="2"/>
      <c r="H432" s="2"/>
      <c r="I432" s="2"/>
      <c r="J432" s="2"/>
      <c r="K432" s="2"/>
      <c r="L432" s="2"/>
      <c r="M432" s="2"/>
      <c r="N432" s="2"/>
      <c r="O432" s="2"/>
      <c r="P432" s="2"/>
      <c r="Q432" s="2"/>
      <c r="R432" s="2"/>
      <c r="S432" s="2"/>
      <c r="T432" s="2"/>
    </row>
    <row r="433" spans="1:20" ht="15.75" customHeight="1">
      <c r="A433" s="1"/>
      <c r="B433" s="2"/>
      <c r="C433" s="2"/>
      <c r="D433" s="2"/>
      <c r="E433" s="2"/>
      <c r="F433" s="2"/>
      <c r="G433" s="2"/>
      <c r="H433" s="2"/>
      <c r="I433" s="2"/>
      <c r="J433" s="2"/>
      <c r="K433" s="2"/>
      <c r="L433" s="2"/>
      <c r="M433" s="2"/>
      <c r="N433" s="2"/>
      <c r="O433" s="2"/>
      <c r="P433" s="2"/>
      <c r="Q433" s="2"/>
      <c r="R433" s="2"/>
      <c r="S433" s="2"/>
      <c r="T433" s="2"/>
    </row>
    <row r="434" spans="1:20" ht="15.75" customHeight="1">
      <c r="A434" s="1"/>
      <c r="B434" s="2"/>
      <c r="C434" s="2"/>
      <c r="D434" s="2"/>
      <c r="E434" s="2"/>
      <c r="F434" s="2"/>
      <c r="G434" s="2"/>
      <c r="H434" s="2"/>
      <c r="I434" s="2"/>
      <c r="J434" s="2"/>
      <c r="K434" s="2"/>
      <c r="L434" s="2"/>
      <c r="M434" s="2"/>
      <c r="N434" s="2"/>
      <c r="O434" s="2"/>
      <c r="P434" s="2"/>
      <c r="Q434" s="2"/>
      <c r="R434" s="2"/>
      <c r="S434" s="2"/>
      <c r="T434" s="2"/>
    </row>
    <row r="435" spans="1:20" ht="15.75" customHeight="1">
      <c r="A435" s="1"/>
      <c r="B435" s="2"/>
      <c r="C435" s="2"/>
      <c r="D435" s="2"/>
      <c r="E435" s="2"/>
      <c r="F435" s="2"/>
      <c r="G435" s="2"/>
      <c r="H435" s="2"/>
      <c r="I435" s="2"/>
      <c r="J435" s="2"/>
      <c r="K435" s="2"/>
      <c r="L435" s="2"/>
      <c r="M435" s="2"/>
      <c r="N435" s="2"/>
      <c r="O435" s="2"/>
      <c r="P435" s="2"/>
      <c r="Q435" s="2"/>
      <c r="R435" s="2"/>
      <c r="S435" s="2"/>
      <c r="T435" s="2"/>
    </row>
    <row r="436" spans="1:20" ht="15.75" customHeight="1">
      <c r="A436" s="1"/>
      <c r="B436" s="2"/>
      <c r="C436" s="2"/>
      <c r="D436" s="2"/>
      <c r="E436" s="2"/>
      <c r="F436" s="2"/>
      <c r="G436" s="2"/>
      <c r="H436" s="2"/>
      <c r="I436" s="2"/>
      <c r="J436" s="2"/>
      <c r="K436" s="2"/>
      <c r="L436" s="2"/>
      <c r="M436" s="2"/>
      <c r="N436" s="2"/>
      <c r="O436" s="2"/>
      <c r="P436" s="2"/>
      <c r="Q436" s="2"/>
      <c r="R436" s="2"/>
      <c r="S436" s="2"/>
      <c r="T436" s="2"/>
    </row>
    <row r="437" spans="1:20" ht="15.75" customHeight="1">
      <c r="A437" s="1"/>
      <c r="B437" s="2"/>
      <c r="C437" s="2"/>
      <c r="D437" s="2"/>
      <c r="E437" s="2"/>
      <c r="F437" s="2"/>
      <c r="G437" s="2"/>
      <c r="H437" s="2"/>
      <c r="I437" s="2"/>
      <c r="J437" s="2"/>
      <c r="K437" s="2"/>
      <c r="L437" s="2"/>
      <c r="M437" s="2"/>
      <c r="N437" s="2"/>
      <c r="O437" s="2"/>
      <c r="P437" s="2"/>
      <c r="Q437" s="2"/>
      <c r="R437" s="2"/>
      <c r="S437" s="2"/>
      <c r="T437" s="2"/>
    </row>
    <row r="438" spans="1:20" ht="15.75" customHeight="1">
      <c r="A438" s="1"/>
      <c r="B438" s="2"/>
      <c r="C438" s="2"/>
      <c r="D438" s="2"/>
      <c r="E438" s="2"/>
      <c r="F438" s="2"/>
      <c r="G438" s="2"/>
      <c r="H438" s="2"/>
      <c r="I438" s="2"/>
      <c r="J438" s="2"/>
      <c r="K438" s="2"/>
      <c r="L438" s="2"/>
      <c r="M438" s="2"/>
      <c r="N438" s="2"/>
      <c r="O438" s="2"/>
      <c r="P438" s="2"/>
      <c r="Q438" s="2"/>
      <c r="R438" s="2"/>
      <c r="S438" s="2"/>
      <c r="T438" s="2"/>
    </row>
    <row r="439" spans="1:20" ht="15.75" customHeight="1">
      <c r="A439" s="1"/>
      <c r="B439" s="2"/>
      <c r="C439" s="2"/>
      <c r="D439" s="2"/>
      <c r="E439" s="2"/>
      <c r="F439" s="2"/>
      <c r="G439" s="2"/>
      <c r="H439" s="2"/>
      <c r="I439" s="2"/>
      <c r="J439" s="2"/>
      <c r="K439" s="2"/>
      <c r="L439" s="2"/>
      <c r="M439" s="2"/>
      <c r="N439" s="2"/>
      <c r="O439" s="2"/>
      <c r="P439" s="2"/>
      <c r="Q439" s="2"/>
      <c r="R439" s="2"/>
      <c r="S439" s="2"/>
      <c r="T439" s="2"/>
    </row>
    <row r="440" spans="1:20" ht="15.75" customHeight="1">
      <c r="A440" s="1"/>
      <c r="B440" s="2"/>
      <c r="C440" s="2"/>
      <c r="D440" s="2"/>
      <c r="E440" s="2"/>
      <c r="F440" s="2"/>
      <c r="G440" s="2"/>
      <c r="H440" s="2"/>
      <c r="I440" s="2"/>
      <c r="J440" s="2"/>
      <c r="K440" s="2"/>
      <c r="L440" s="2"/>
      <c r="M440" s="2"/>
      <c r="N440" s="2"/>
      <c r="O440" s="2"/>
      <c r="P440" s="2"/>
      <c r="Q440" s="2"/>
      <c r="R440" s="2"/>
      <c r="S440" s="2"/>
      <c r="T440" s="2"/>
    </row>
    <row r="441" spans="1:20" ht="15.75" customHeight="1">
      <c r="A441" s="1"/>
      <c r="B441" s="2"/>
      <c r="C441" s="2"/>
      <c r="D441" s="2"/>
      <c r="E441" s="2"/>
      <c r="F441" s="2"/>
      <c r="G441" s="2"/>
      <c r="H441" s="2"/>
      <c r="I441" s="2"/>
      <c r="J441" s="2"/>
      <c r="K441" s="2"/>
      <c r="L441" s="2"/>
      <c r="M441" s="2"/>
      <c r="N441" s="2"/>
      <c r="O441" s="2"/>
      <c r="P441" s="2"/>
      <c r="Q441" s="2"/>
      <c r="R441" s="2"/>
      <c r="S441" s="2"/>
      <c r="T441" s="2"/>
    </row>
    <row r="442" spans="1:20" ht="15.75" customHeight="1">
      <c r="A442" s="1"/>
      <c r="B442" s="2"/>
      <c r="C442" s="2"/>
      <c r="D442" s="2"/>
      <c r="E442" s="2"/>
      <c r="F442" s="2"/>
      <c r="G442" s="2"/>
      <c r="H442" s="2"/>
      <c r="I442" s="2"/>
      <c r="J442" s="2"/>
      <c r="K442" s="2"/>
      <c r="L442" s="2"/>
      <c r="M442" s="2"/>
      <c r="N442" s="2"/>
      <c r="O442" s="2"/>
      <c r="P442" s="2"/>
      <c r="Q442" s="2"/>
      <c r="R442" s="2"/>
      <c r="S442" s="2"/>
      <c r="T442" s="2"/>
    </row>
    <row r="443" spans="1:20" ht="15.75" customHeight="1">
      <c r="A443" s="1"/>
      <c r="B443" s="2"/>
      <c r="C443" s="2"/>
      <c r="D443" s="2"/>
      <c r="E443" s="2"/>
      <c r="F443" s="2"/>
      <c r="G443" s="2"/>
      <c r="H443" s="2"/>
      <c r="I443" s="2"/>
      <c r="J443" s="2"/>
      <c r="K443" s="2"/>
      <c r="L443" s="2"/>
      <c r="M443" s="2"/>
      <c r="N443" s="2"/>
      <c r="O443" s="2"/>
      <c r="P443" s="2"/>
      <c r="Q443" s="2"/>
      <c r="R443" s="2"/>
      <c r="S443" s="2"/>
      <c r="T443" s="2"/>
    </row>
    <row r="444" spans="1:20" ht="15.75" customHeight="1">
      <c r="A444" s="1"/>
      <c r="B444" s="2"/>
      <c r="C444" s="2"/>
      <c r="D444" s="2"/>
      <c r="E444" s="2"/>
      <c r="F444" s="2"/>
      <c r="G444" s="2"/>
      <c r="H444" s="2"/>
      <c r="I444" s="2"/>
      <c r="J444" s="2"/>
      <c r="K444" s="2"/>
      <c r="L444" s="2"/>
      <c r="M444" s="2"/>
      <c r="N444" s="2"/>
      <c r="O444" s="2"/>
      <c r="P444" s="2"/>
      <c r="Q444" s="2"/>
      <c r="R444" s="2"/>
      <c r="S444" s="2"/>
      <c r="T444" s="2"/>
    </row>
    <row r="445" spans="1:20" ht="15.75" customHeight="1">
      <c r="A445" s="1"/>
      <c r="B445" s="2"/>
      <c r="C445" s="2"/>
      <c r="D445" s="2"/>
      <c r="E445" s="2"/>
      <c r="F445" s="2"/>
      <c r="G445" s="2"/>
      <c r="H445" s="2"/>
      <c r="I445" s="2"/>
      <c r="J445" s="2"/>
      <c r="K445" s="2"/>
      <c r="L445" s="2"/>
      <c r="M445" s="2"/>
      <c r="N445" s="2"/>
      <c r="O445" s="2"/>
      <c r="P445" s="2"/>
      <c r="Q445" s="2"/>
      <c r="R445" s="2"/>
      <c r="S445" s="2"/>
      <c r="T445" s="2"/>
    </row>
    <row r="446" spans="1:20" ht="15.75" customHeight="1">
      <c r="A446" s="1"/>
      <c r="B446" s="2"/>
      <c r="C446" s="2"/>
      <c r="D446" s="2"/>
      <c r="E446" s="2"/>
      <c r="F446" s="2"/>
      <c r="G446" s="2"/>
      <c r="H446" s="2"/>
      <c r="I446" s="2"/>
      <c r="J446" s="2"/>
      <c r="K446" s="2"/>
      <c r="L446" s="2"/>
      <c r="M446" s="2"/>
      <c r="N446" s="2"/>
      <c r="O446" s="2"/>
      <c r="P446" s="2"/>
      <c r="Q446" s="2"/>
      <c r="R446" s="2"/>
      <c r="S446" s="2"/>
      <c r="T446" s="2"/>
    </row>
    <row r="447" spans="1:20" ht="15.75" customHeight="1">
      <c r="A447" s="1"/>
      <c r="B447" s="2"/>
      <c r="C447" s="2"/>
      <c r="D447" s="2"/>
      <c r="E447" s="2"/>
      <c r="F447" s="2"/>
      <c r="G447" s="2"/>
      <c r="H447" s="2"/>
      <c r="I447" s="2"/>
      <c r="J447" s="2"/>
      <c r="K447" s="2"/>
      <c r="L447" s="2"/>
      <c r="M447" s="2"/>
      <c r="N447" s="2"/>
      <c r="O447" s="2"/>
      <c r="P447" s="2"/>
      <c r="Q447" s="2"/>
      <c r="R447" s="2"/>
      <c r="S447" s="2"/>
      <c r="T447" s="2"/>
    </row>
    <row r="448" spans="1:20" ht="15.75" customHeight="1">
      <c r="A448" s="1"/>
      <c r="B448" s="2"/>
      <c r="C448" s="2"/>
      <c r="D448" s="2"/>
      <c r="E448" s="2"/>
      <c r="F448" s="2"/>
      <c r="G448" s="2"/>
      <c r="H448" s="2"/>
      <c r="I448" s="2"/>
      <c r="J448" s="2"/>
      <c r="K448" s="2"/>
      <c r="L448" s="2"/>
      <c r="M448" s="2"/>
      <c r="N448" s="2"/>
      <c r="O448" s="2"/>
      <c r="P448" s="2"/>
      <c r="Q448" s="2"/>
      <c r="R448" s="2"/>
      <c r="S448" s="2"/>
      <c r="T448" s="2"/>
    </row>
    <row r="449" spans="1:20" ht="15.75" customHeight="1">
      <c r="A449" s="1"/>
      <c r="B449" s="2"/>
      <c r="C449" s="2"/>
      <c r="D449" s="2"/>
      <c r="E449" s="2"/>
      <c r="F449" s="2"/>
      <c r="G449" s="2"/>
      <c r="H449" s="2"/>
      <c r="I449" s="2"/>
      <c r="J449" s="2"/>
      <c r="K449" s="2"/>
      <c r="L449" s="2"/>
      <c r="M449" s="2"/>
      <c r="N449" s="2"/>
      <c r="O449" s="2"/>
      <c r="P449" s="2"/>
      <c r="Q449" s="2"/>
      <c r="R449" s="2"/>
      <c r="S449" s="2"/>
      <c r="T449" s="2"/>
    </row>
    <row r="450" spans="1:20" ht="15.75" customHeight="1">
      <c r="A450" s="1"/>
      <c r="B450" s="2"/>
      <c r="C450" s="2"/>
      <c r="D450" s="2"/>
      <c r="E450" s="2"/>
      <c r="F450" s="2"/>
      <c r="G450" s="2"/>
      <c r="H450" s="2"/>
      <c r="I450" s="2"/>
      <c r="J450" s="2"/>
      <c r="K450" s="2"/>
      <c r="L450" s="2"/>
      <c r="M450" s="2"/>
      <c r="N450" s="2"/>
      <c r="O450" s="2"/>
      <c r="P450" s="2"/>
      <c r="Q450" s="2"/>
      <c r="R450" s="2"/>
      <c r="S450" s="2"/>
      <c r="T450" s="2"/>
    </row>
    <row r="451" spans="1:20" ht="15.75" customHeight="1">
      <c r="A451" s="1"/>
      <c r="B451" s="2"/>
      <c r="C451" s="2"/>
      <c r="D451" s="2"/>
      <c r="E451" s="2"/>
      <c r="F451" s="2"/>
      <c r="G451" s="2"/>
      <c r="H451" s="2"/>
      <c r="I451" s="2"/>
      <c r="J451" s="2"/>
      <c r="K451" s="2"/>
      <c r="L451" s="2"/>
      <c r="M451" s="2"/>
      <c r="N451" s="2"/>
      <c r="O451" s="2"/>
      <c r="P451" s="2"/>
      <c r="Q451" s="2"/>
      <c r="R451" s="2"/>
      <c r="S451" s="2"/>
      <c r="T451" s="2"/>
    </row>
    <row r="452" spans="1:20" ht="15.75" customHeight="1">
      <c r="A452" s="1"/>
      <c r="B452" s="2"/>
      <c r="C452" s="2"/>
      <c r="D452" s="2"/>
      <c r="E452" s="2"/>
      <c r="F452" s="2"/>
      <c r="G452" s="2"/>
      <c r="H452" s="2"/>
      <c r="I452" s="2"/>
      <c r="J452" s="2"/>
      <c r="K452" s="2"/>
      <c r="L452" s="2"/>
      <c r="M452" s="2"/>
      <c r="N452" s="2"/>
      <c r="O452" s="2"/>
      <c r="P452" s="2"/>
      <c r="Q452" s="2"/>
      <c r="R452" s="2"/>
      <c r="S452" s="2"/>
      <c r="T452" s="2"/>
    </row>
    <row r="453" spans="1:20" ht="15.75" customHeight="1">
      <c r="A453" s="1"/>
      <c r="B453" s="2"/>
      <c r="C453" s="2"/>
      <c r="D453" s="2"/>
      <c r="E453" s="2"/>
      <c r="F453" s="2"/>
      <c r="G453" s="2"/>
      <c r="H453" s="2"/>
      <c r="I453" s="2"/>
      <c r="J453" s="2"/>
      <c r="K453" s="2"/>
      <c r="L453" s="2"/>
      <c r="M453" s="2"/>
      <c r="N453" s="2"/>
      <c r="O453" s="2"/>
      <c r="P453" s="2"/>
      <c r="Q453" s="2"/>
      <c r="R453" s="2"/>
      <c r="S453" s="2"/>
      <c r="T453" s="2"/>
    </row>
    <row r="454" spans="1:20" ht="15.75" customHeight="1">
      <c r="A454" s="1"/>
      <c r="B454" s="2"/>
      <c r="C454" s="2"/>
      <c r="D454" s="2"/>
      <c r="E454" s="2"/>
      <c r="F454" s="2"/>
      <c r="G454" s="2"/>
      <c r="H454" s="2"/>
      <c r="I454" s="2"/>
      <c r="J454" s="2"/>
      <c r="K454" s="2"/>
      <c r="L454" s="2"/>
      <c r="M454" s="2"/>
      <c r="N454" s="2"/>
      <c r="O454" s="2"/>
      <c r="P454" s="2"/>
      <c r="Q454" s="2"/>
      <c r="R454" s="2"/>
      <c r="S454" s="2"/>
      <c r="T454" s="2"/>
    </row>
    <row r="455" spans="1:20" ht="15.75" customHeight="1">
      <c r="A455" s="1"/>
      <c r="B455" s="2"/>
      <c r="C455" s="2"/>
      <c r="D455" s="2"/>
      <c r="E455" s="2"/>
      <c r="F455" s="2"/>
      <c r="G455" s="2"/>
      <c r="H455" s="2"/>
      <c r="I455" s="2"/>
      <c r="J455" s="2"/>
      <c r="K455" s="2"/>
      <c r="L455" s="2"/>
      <c r="M455" s="2"/>
      <c r="N455" s="2"/>
      <c r="O455" s="2"/>
      <c r="P455" s="2"/>
      <c r="Q455" s="2"/>
      <c r="R455" s="2"/>
      <c r="S455" s="2"/>
      <c r="T455" s="2"/>
    </row>
    <row r="456" spans="1:20" ht="15.75" customHeight="1">
      <c r="A456" s="1"/>
      <c r="B456" s="2"/>
      <c r="C456" s="2"/>
      <c r="D456" s="2"/>
      <c r="E456" s="2"/>
      <c r="F456" s="2"/>
      <c r="G456" s="2"/>
      <c r="H456" s="2"/>
      <c r="I456" s="2"/>
      <c r="J456" s="2"/>
      <c r="K456" s="2"/>
      <c r="L456" s="2"/>
      <c r="M456" s="2"/>
      <c r="N456" s="2"/>
      <c r="O456" s="2"/>
      <c r="P456" s="2"/>
      <c r="Q456" s="2"/>
      <c r="R456" s="2"/>
      <c r="S456" s="2"/>
      <c r="T456" s="2"/>
    </row>
    <row r="457" spans="1:20" ht="15.75" customHeight="1">
      <c r="A457" s="1"/>
      <c r="B457" s="2"/>
      <c r="C457" s="2"/>
      <c r="D457" s="2"/>
      <c r="E457" s="2"/>
      <c r="F457" s="2"/>
      <c r="G457" s="2"/>
      <c r="H457" s="2"/>
      <c r="I457" s="2"/>
      <c r="J457" s="2"/>
      <c r="K457" s="2"/>
      <c r="L457" s="2"/>
      <c r="M457" s="2"/>
      <c r="N457" s="2"/>
      <c r="O457" s="2"/>
      <c r="P457" s="2"/>
      <c r="Q457" s="2"/>
      <c r="R457" s="2"/>
      <c r="S457" s="2"/>
      <c r="T457" s="2"/>
    </row>
    <row r="458" spans="1:20" ht="15.75" customHeight="1">
      <c r="A458" s="1"/>
      <c r="B458" s="2"/>
      <c r="C458" s="2"/>
      <c r="D458" s="2"/>
      <c r="E458" s="2"/>
      <c r="F458" s="2"/>
      <c r="G458" s="2"/>
      <c r="H458" s="2"/>
      <c r="I458" s="2"/>
      <c r="J458" s="2"/>
      <c r="K458" s="2"/>
      <c r="L458" s="2"/>
      <c r="M458" s="2"/>
      <c r="N458" s="2"/>
      <c r="O458" s="2"/>
      <c r="P458" s="2"/>
      <c r="Q458" s="2"/>
      <c r="R458" s="2"/>
      <c r="S458" s="2"/>
      <c r="T458" s="2"/>
    </row>
    <row r="459" spans="1:20" ht="15.75" customHeight="1">
      <c r="A459" s="1"/>
      <c r="B459" s="2"/>
      <c r="C459" s="2"/>
      <c r="D459" s="2"/>
      <c r="E459" s="2"/>
      <c r="F459" s="2"/>
      <c r="G459" s="2"/>
      <c r="H459" s="2"/>
      <c r="I459" s="2"/>
      <c r="J459" s="2"/>
      <c r="K459" s="2"/>
      <c r="L459" s="2"/>
      <c r="M459" s="2"/>
      <c r="N459" s="2"/>
      <c r="O459" s="2"/>
      <c r="P459" s="2"/>
      <c r="Q459" s="2"/>
      <c r="R459" s="2"/>
      <c r="S459" s="2"/>
      <c r="T459" s="2"/>
    </row>
    <row r="460" spans="1:20" ht="15.75" customHeight="1">
      <c r="A460" s="1"/>
      <c r="B460" s="2"/>
      <c r="C460" s="2"/>
      <c r="D460" s="2"/>
      <c r="E460" s="2"/>
      <c r="F460" s="2"/>
      <c r="G460" s="2"/>
      <c r="H460" s="2"/>
      <c r="I460" s="2"/>
      <c r="J460" s="2"/>
      <c r="K460" s="2"/>
      <c r="L460" s="2"/>
      <c r="M460" s="2"/>
      <c r="N460" s="2"/>
      <c r="O460" s="2"/>
      <c r="P460" s="2"/>
      <c r="Q460" s="2"/>
      <c r="R460" s="2"/>
      <c r="S460" s="2"/>
      <c r="T460" s="2"/>
    </row>
    <row r="461" spans="1:20" ht="15.75" customHeight="1">
      <c r="A461" s="1"/>
      <c r="B461" s="2"/>
      <c r="C461" s="2"/>
      <c r="D461" s="2"/>
      <c r="E461" s="2"/>
      <c r="F461" s="2"/>
      <c r="G461" s="2"/>
      <c r="H461" s="2"/>
      <c r="I461" s="2"/>
      <c r="J461" s="2"/>
      <c r="K461" s="2"/>
      <c r="L461" s="2"/>
      <c r="M461" s="2"/>
      <c r="N461" s="2"/>
      <c r="O461" s="2"/>
      <c r="P461" s="2"/>
      <c r="Q461" s="2"/>
      <c r="R461" s="2"/>
      <c r="S461" s="2"/>
      <c r="T461" s="2"/>
    </row>
    <row r="462" spans="1:20" ht="15.75" customHeight="1">
      <c r="A462" s="1"/>
      <c r="B462" s="2"/>
      <c r="C462" s="2"/>
      <c r="D462" s="2"/>
      <c r="E462" s="2"/>
      <c r="F462" s="2"/>
      <c r="G462" s="2"/>
      <c r="H462" s="2"/>
      <c r="I462" s="2"/>
      <c r="J462" s="2"/>
      <c r="K462" s="2"/>
      <c r="L462" s="2"/>
      <c r="M462" s="2"/>
      <c r="N462" s="2"/>
      <c r="O462" s="2"/>
      <c r="P462" s="2"/>
      <c r="Q462" s="2"/>
      <c r="R462" s="2"/>
      <c r="S462" s="2"/>
      <c r="T462" s="2"/>
    </row>
    <row r="463" spans="1:20" ht="15.75" customHeight="1">
      <c r="A463" s="1"/>
      <c r="B463" s="2"/>
      <c r="C463" s="2"/>
      <c r="D463" s="2"/>
      <c r="E463" s="2"/>
      <c r="F463" s="2"/>
      <c r="G463" s="2"/>
      <c r="H463" s="2"/>
      <c r="I463" s="2"/>
      <c r="J463" s="2"/>
      <c r="K463" s="2"/>
      <c r="L463" s="2"/>
      <c r="M463" s="2"/>
      <c r="N463" s="2"/>
      <c r="O463" s="2"/>
      <c r="P463" s="2"/>
      <c r="Q463" s="2"/>
      <c r="R463" s="2"/>
      <c r="S463" s="2"/>
      <c r="T463" s="2"/>
    </row>
    <row r="464" spans="1:20" ht="15.75" customHeight="1">
      <c r="A464" s="1"/>
      <c r="B464" s="2"/>
      <c r="C464" s="2"/>
      <c r="D464" s="2"/>
      <c r="E464" s="2"/>
      <c r="F464" s="2"/>
      <c r="G464" s="2"/>
      <c r="H464" s="2"/>
      <c r="I464" s="2"/>
      <c r="J464" s="2"/>
      <c r="K464" s="2"/>
      <c r="L464" s="2"/>
      <c r="M464" s="2"/>
      <c r="N464" s="2"/>
      <c r="O464" s="2"/>
      <c r="P464" s="2"/>
      <c r="Q464" s="2"/>
      <c r="R464" s="2"/>
      <c r="S464" s="2"/>
      <c r="T464" s="2"/>
    </row>
    <row r="465" spans="1:20" ht="15.75" customHeight="1">
      <c r="A465" s="1"/>
      <c r="B465" s="2"/>
      <c r="C465" s="2"/>
      <c r="D465" s="2"/>
      <c r="E465" s="2"/>
      <c r="F465" s="2"/>
      <c r="G465" s="2"/>
      <c r="H465" s="2"/>
      <c r="I465" s="2"/>
      <c r="J465" s="2"/>
      <c r="K465" s="2"/>
      <c r="L465" s="2"/>
      <c r="M465" s="2"/>
      <c r="N465" s="2"/>
      <c r="O465" s="2"/>
      <c r="P465" s="2"/>
      <c r="Q465" s="2"/>
      <c r="R465" s="2"/>
      <c r="S465" s="2"/>
      <c r="T465" s="2"/>
    </row>
    <row r="466" spans="1:20" ht="15.75" customHeight="1">
      <c r="A466" s="1"/>
      <c r="B466" s="2"/>
      <c r="C466" s="2"/>
      <c r="D466" s="2"/>
      <c r="E466" s="2"/>
      <c r="F466" s="2"/>
      <c r="G466" s="2"/>
      <c r="H466" s="2"/>
      <c r="I466" s="2"/>
      <c r="J466" s="2"/>
      <c r="K466" s="2"/>
      <c r="L466" s="2"/>
      <c r="M466" s="2"/>
      <c r="N466" s="2"/>
      <c r="O466" s="2"/>
      <c r="P466" s="2"/>
      <c r="Q466" s="2"/>
      <c r="R466" s="2"/>
      <c r="S466" s="2"/>
      <c r="T466" s="2"/>
    </row>
    <row r="467" spans="1:20" ht="15.75" customHeight="1">
      <c r="A467" s="1"/>
      <c r="B467" s="2"/>
      <c r="C467" s="2"/>
      <c r="D467" s="2"/>
      <c r="E467" s="2"/>
      <c r="F467" s="2"/>
      <c r="G467" s="2"/>
      <c r="H467" s="2"/>
      <c r="I467" s="2"/>
      <c r="J467" s="2"/>
      <c r="K467" s="2"/>
      <c r="L467" s="2"/>
      <c r="M467" s="2"/>
      <c r="N467" s="2"/>
      <c r="O467" s="2"/>
      <c r="P467" s="2"/>
      <c r="Q467" s="2"/>
      <c r="R467" s="2"/>
      <c r="S467" s="2"/>
      <c r="T467" s="2"/>
    </row>
    <row r="468" spans="1:20" ht="15.75" customHeight="1">
      <c r="A468" s="1"/>
      <c r="B468" s="2"/>
      <c r="C468" s="2"/>
      <c r="D468" s="2"/>
      <c r="E468" s="2"/>
      <c r="F468" s="2"/>
      <c r="G468" s="2"/>
      <c r="H468" s="2"/>
      <c r="I468" s="2"/>
      <c r="J468" s="2"/>
      <c r="K468" s="2"/>
      <c r="L468" s="2"/>
      <c r="M468" s="2"/>
      <c r="N468" s="2"/>
      <c r="O468" s="2"/>
      <c r="P468" s="2"/>
      <c r="Q468" s="2"/>
      <c r="R468" s="2"/>
      <c r="S468" s="2"/>
      <c r="T468" s="2"/>
    </row>
    <row r="469" spans="1:20" ht="15.75" customHeight="1">
      <c r="A469" s="1"/>
      <c r="B469" s="2"/>
      <c r="C469" s="2"/>
      <c r="D469" s="2"/>
      <c r="E469" s="2"/>
      <c r="F469" s="2"/>
      <c r="G469" s="2"/>
      <c r="H469" s="2"/>
      <c r="I469" s="2"/>
      <c r="J469" s="2"/>
      <c r="K469" s="2"/>
      <c r="L469" s="2"/>
      <c r="M469" s="2"/>
      <c r="N469" s="2"/>
      <c r="O469" s="2"/>
      <c r="P469" s="2"/>
      <c r="Q469" s="2"/>
      <c r="R469" s="2"/>
      <c r="S469" s="2"/>
      <c r="T469" s="2"/>
    </row>
    <row r="470" spans="1:20" ht="15.75" customHeight="1">
      <c r="A470" s="1"/>
      <c r="B470" s="2"/>
      <c r="C470" s="2"/>
      <c r="D470" s="2"/>
      <c r="E470" s="2"/>
      <c r="F470" s="2"/>
      <c r="G470" s="2"/>
      <c r="H470" s="2"/>
      <c r="I470" s="2"/>
      <c r="J470" s="2"/>
      <c r="K470" s="2"/>
      <c r="L470" s="2"/>
      <c r="M470" s="2"/>
      <c r="N470" s="2"/>
      <c r="O470" s="2"/>
      <c r="P470" s="2"/>
      <c r="Q470" s="2"/>
      <c r="R470" s="2"/>
      <c r="S470" s="2"/>
      <c r="T470" s="2"/>
    </row>
    <row r="471" spans="1:20" ht="15.75" customHeight="1">
      <c r="A471" s="1"/>
      <c r="B471" s="2"/>
      <c r="C471" s="2"/>
      <c r="D471" s="2"/>
      <c r="E471" s="2"/>
      <c r="F471" s="2"/>
      <c r="G471" s="2"/>
      <c r="H471" s="2"/>
      <c r="I471" s="2"/>
      <c r="J471" s="2"/>
      <c r="K471" s="2"/>
      <c r="L471" s="2"/>
      <c r="M471" s="2"/>
      <c r="N471" s="2"/>
      <c r="O471" s="2"/>
      <c r="P471" s="2"/>
      <c r="Q471" s="2"/>
      <c r="R471" s="2"/>
      <c r="S471" s="2"/>
      <c r="T471" s="2"/>
    </row>
    <row r="472" spans="1:20" ht="15.75" customHeight="1">
      <c r="A472" s="1"/>
      <c r="B472" s="2"/>
      <c r="C472" s="2"/>
      <c r="D472" s="2"/>
      <c r="E472" s="2"/>
      <c r="F472" s="2"/>
      <c r="G472" s="2"/>
      <c r="H472" s="2"/>
      <c r="I472" s="2"/>
      <c r="J472" s="2"/>
      <c r="K472" s="2"/>
      <c r="L472" s="2"/>
      <c r="M472" s="2"/>
      <c r="N472" s="2"/>
      <c r="O472" s="2"/>
      <c r="P472" s="2"/>
      <c r="Q472" s="2"/>
      <c r="R472" s="2"/>
      <c r="S472" s="2"/>
      <c r="T472" s="2"/>
    </row>
    <row r="473" spans="1:20" ht="15.75" customHeight="1">
      <c r="A473" s="1"/>
      <c r="B473" s="2"/>
      <c r="C473" s="2"/>
      <c r="D473" s="2"/>
      <c r="E473" s="2"/>
      <c r="F473" s="2"/>
      <c r="G473" s="2"/>
      <c r="H473" s="2"/>
      <c r="I473" s="2"/>
      <c r="J473" s="2"/>
      <c r="K473" s="2"/>
      <c r="L473" s="2"/>
      <c r="M473" s="2"/>
      <c r="N473" s="2"/>
      <c r="O473" s="2"/>
      <c r="P473" s="2"/>
      <c r="Q473" s="2"/>
      <c r="R473" s="2"/>
      <c r="S473" s="2"/>
      <c r="T473" s="2"/>
    </row>
    <row r="474" spans="1:20" ht="15.75" customHeight="1">
      <c r="A474" s="1"/>
      <c r="B474" s="2"/>
      <c r="C474" s="2"/>
      <c r="D474" s="2"/>
      <c r="E474" s="2"/>
      <c r="F474" s="2"/>
      <c r="G474" s="2"/>
      <c r="H474" s="2"/>
      <c r="I474" s="2"/>
      <c r="J474" s="2"/>
      <c r="K474" s="2"/>
      <c r="L474" s="2"/>
      <c r="M474" s="2"/>
      <c r="N474" s="2"/>
      <c r="O474" s="2"/>
      <c r="P474" s="2"/>
      <c r="Q474" s="2"/>
      <c r="R474" s="2"/>
      <c r="S474" s="2"/>
      <c r="T474" s="2"/>
    </row>
    <row r="475" spans="1:20" ht="15.75" customHeight="1">
      <c r="A475" s="1"/>
      <c r="B475" s="2"/>
      <c r="C475" s="2"/>
      <c r="D475" s="2"/>
      <c r="E475" s="2"/>
      <c r="F475" s="2"/>
      <c r="G475" s="2"/>
      <c r="H475" s="2"/>
      <c r="I475" s="2"/>
      <c r="J475" s="2"/>
      <c r="K475" s="2"/>
      <c r="L475" s="2"/>
      <c r="M475" s="2"/>
      <c r="N475" s="2"/>
      <c r="O475" s="2"/>
      <c r="P475" s="2"/>
      <c r="Q475" s="2"/>
      <c r="R475" s="2"/>
      <c r="S475" s="2"/>
      <c r="T475" s="2"/>
    </row>
    <row r="476" spans="1:20" ht="15.75" customHeight="1">
      <c r="A476" s="1"/>
      <c r="B476" s="2"/>
      <c r="C476" s="2"/>
      <c r="D476" s="2"/>
      <c r="E476" s="2"/>
      <c r="F476" s="2"/>
      <c r="G476" s="2"/>
      <c r="H476" s="2"/>
      <c r="I476" s="2"/>
      <c r="J476" s="2"/>
      <c r="K476" s="2"/>
      <c r="L476" s="2"/>
      <c r="M476" s="2"/>
      <c r="N476" s="2"/>
      <c r="O476" s="2"/>
      <c r="P476" s="2"/>
      <c r="Q476" s="2"/>
      <c r="R476" s="2"/>
      <c r="S476" s="2"/>
      <c r="T476" s="2"/>
    </row>
    <row r="477" spans="1:20" ht="15.75" customHeight="1">
      <c r="A477" s="1"/>
      <c r="B477" s="2"/>
      <c r="C477" s="2"/>
      <c r="D477" s="2"/>
      <c r="E477" s="2"/>
      <c r="F477" s="2"/>
      <c r="G477" s="2"/>
      <c r="H477" s="2"/>
      <c r="I477" s="2"/>
      <c r="J477" s="2"/>
      <c r="K477" s="2"/>
      <c r="L477" s="2"/>
      <c r="M477" s="2"/>
      <c r="N477" s="2"/>
      <c r="O477" s="2"/>
      <c r="P477" s="2"/>
      <c r="Q477" s="2"/>
      <c r="R477" s="2"/>
      <c r="S477" s="2"/>
      <c r="T477" s="2"/>
    </row>
    <row r="478" spans="1:20" ht="15.75" customHeight="1">
      <c r="A478" s="1"/>
      <c r="B478" s="2"/>
      <c r="C478" s="2"/>
      <c r="D478" s="2"/>
      <c r="E478" s="2"/>
      <c r="F478" s="2"/>
      <c r="G478" s="2"/>
      <c r="H478" s="2"/>
      <c r="I478" s="2"/>
      <c r="J478" s="2"/>
      <c r="K478" s="2"/>
      <c r="L478" s="2"/>
      <c r="M478" s="2"/>
      <c r="N478" s="2"/>
      <c r="O478" s="2"/>
      <c r="P478" s="2"/>
      <c r="Q478" s="2"/>
      <c r="R478" s="2"/>
      <c r="S478" s="2"/>
      <c r="T478" s="2"/>
    </row>
    <row r="479" spans="1:20" ht="15.75" customHeight="1">
      <c r="A479" s="1"/>
      <c r="B479" s="2"/>
      <c r="C479" s="2"/>
      <c r="D479" s="2"/>
      <c r="E479" s="2"/>
      <c r="F479" s="2"/>
      <c r="G479" s="2"/>
      <c r="H479" s="2"/>
      <c r="I479" s="2"/>
      <c r="J479" s="2"/>
      <c r="K479" s="2"/>
      <c r="L479" s="2"/>
      <c r="M479" s="2"/>
      <c r="N479" s="2"/>
      <c r="O479" s="2"/>
      <c r="P479" s="2"/>
      <c r="Q479" s="2"/>
      <c r="R479" s="2"/>
      <c r="S479" s="2"/>
      <c r="T479" s="2"/>
    </row>
    <row r="480" spans="1:20" ht="15.75" customHeight="1">
      <c r="A480" s="1"/>
      <c r="B480" s="2"/>
      <c r="C480" s="2"/>
      <c r="D480" s="2"/>
      <c r="E480" s="2"/>
      <c r="F480" s="2"/>
      <c r="G480" s="2"/>
      <c r="H480" s="2"/>
      <c r="I480" s="2"/>
      <c r="J480" s="2"/>
      <c r="K480" s="2"/>
      <c r="L480" s="2"/>
      <c r="M480" s="2"/>
      <c r="N480" s="2"/>
      <c r="O480" s="2"/>
      <c r="P480" s="2"/>
      <c r="Q480" s="2"/>
      <c r="R480" s="2"/>
      <c r="S480" s="2"/>
      <c r="T480" s="2"/>
    </row>
    <row r="481" spans="1:20" ht="15.75" customHeight="1">
      <c r="A481" s="1"/>
      <c r="B481" s="2"/>
      <c r="C481" s="2"/>
      <c r="D481" s="2"/>
      <c r="E481" s="2"/>
      <c r="F481" s="2"/>
      <c r="G481" s="2"/>
      <c r="H481" s="2"/>
      <c r="I481" s="2"/>
      <c r="J481" s="2"/>
      <c r="K481" s="2"/>
      <c r="L481" s="2"/>
      <c r="M481" s="2"/>
      <c r="N481" s="2"/>
      <c r="O481" s="2"/>
      <c r="P481" s="2"/>
      <c r="Q481" s="2"/>
      <c r="R481" s="2"/>
      <c r="S481" s="2"/>
      <c r="T481" s="2"/>
    </row>
    <row r="482" spans="1:20" ht="15.75" customHeight="1">
      <c r="A482" s="1"/>
      <c r="B482" s="2"/>
      <c r="C482" s="2"/>
      <c r="D482" s="2"/>
      <c r="E482" s="2"/>
      <c r="F482" s="2"/>
      <c r="G482" s="2"/>
      <c r="H482" s="2"/>
      <c r="I482" s="2"/>
      <c r="J482" s="2"/>
      <c r="K482" s="2"/>
      <c r="L482" s="2"/>
      <c r="M482" s="2"/>
      <c r="N482" s="2"/>
      <c r="O482" s="2"/>
      <c r="P482" s="2"/>
      <c r="Q482" s="2"/>
      <c r="R482" s="2"/>
      <c r="S482" s="2"/>
      <c r="T482" s="2"/>
    </row>
    <row r="483" spans="1:20" ht="15.75" customHeight="1">
      <c r="A483" s="1"/>
      <c r="B483" s="2"/>
      <c r="C483" s="2"/>
      <c r="D483" s="2"/>
      <c r="E483" s="2"/>
      <c r="F483" s="2"/>
      <c r="G483" s="2"/>
      <c r="H483" s="2"/>
      <c r="I483" s="2"/>
      <c r="J483" s="2"/>
      <c r="K483" s="2"/>
      <c r="L483" s="2"/>
      <c r="M483" s="2"/>
      <c r="N483" s="2"/>
      <c r="O483" s="2"/>
      <c r="P483" s="2"/>
      <c r="Q483" s="2"/>
      <c r="R483" s="2"/>
      <c r="S483" s="2"/>
      <c r="T483" s="2"/>
    </row>
    <row r="484" spans="1:20" ht="15.75" customHeight="1">
      <c r="A484" s="1"/>
      <c r="B484" s="2"/>
      <c r="C484" s="2"/>
      <c r="D484" s="2"/>
      <c r="E484" s="2"/>
      <c r="F484" s="2"/>
      <c r="G484" s="2"/>
      <c r="H484" s="2"/>
      <c r="I484" s="2"/>
      <c r="J484" s="2"/>
      <c r="K484" s="2"/>
      <c r="L484" s="2"/>
      <c r="M484" s="2"/>
      <c r="N484" s="2"/>
      <c r="O484" s="2"/>
      <c r="P484" s="2"/>
      <c r="Q484" s="2"/>
      <c r="R484" s="2"/>
      <c r="S484" s="2"/>
      <c r="T484" s="2"/>
    </row>
    <row r="485" spans="1:20" ht="15.75" customHeight="1">
      <c r="A485" s="1"/>
      <c r="B485" s="2"/>
      <c r="C485" s="2"/>
      <c r="D485" s="2"/>
      <c r="E485" s="2"/>
      <c r="F485" s="2"/>
      <c r="G485" s="2"/>
      <c r="H485" s="2"/>
      <c r="I485" s="2"/>
      <c r="J485" s="2"/>
      <c r="K485" s="2"/>
      <c r="L485" s="2"/>
      <c r="M485" s="2"/>
      <c r="N485" s="2"/>
      <c r="O485" s="2"/>
      <c r="P485" s="2"/>
      <c r="Q485" s="2"/>
      <c r="R485" s="2"/>
      <c r="S485" s="2"/>
      <c r="T485" s="2"/>
    </row>
    <row r="486" spans="1:20" ht="15.75" customHeight="1">
      <c r="A486" s="1"/>
      <c r="B486" s="2"/>
      <c r="C486" s="2"/>
      <c r="D486" s="2"/>
      <c r="E486" s="2"/>
      <c r="F486" s="2"/>
      <c r="G486" s="2"/>
      <c r="H486" s="2"/>
      <c r="I486" s="2"/>
      <c r="J486" s="2"/>
      <c r="K486" s="2"/>
      <c r="L486" s="2"/>
      <c r="M486" s="2"/>
      <c r="N486" s="2"/>
      <c r="O486" s="2"/>
      <c r="P486" s="2"/>
      <c r="Q486" s="2"/>
      <c r="R486" s="2"/>
      <c r="S486" s="2"/>
      <c r="T486" s="2"/>
    </row>
    <row r="487" spans="1:20" ht="15.75" customHeight="1">
      <c r="A487" s="1"/>
      <c r="B487" s="2"/>
      <c r="C487" s="2"/>
      <c r="D487" s="2"/>
      <c r="E487" s="2"/>
      <c r="F487" s="2"/>
      <c r="G487" s="2"/>
      <c r="H487" s="2"/>
      <c r="I487" s="2"/>
      <c r="J487" s="2"/>
      <c r="K487" s="2"/>
      <c r="L487" s="2"/>
      <c r="M487" s="2"/>
      <c r="N487" s="2"/>
      <c r="O487" s="2"/>
      <c r="P487" s="2"/>
      <c r="Q487" s="2"/>
      <c r="R487" s="2"/>
      <c r="S487" s="2"/>
      <c r="T487" s="2"/>
    </row>
    <row r="488" spans="1:20" ht="15.75" customHeight="1">
      <c r="A488" s="1"/>
      <c r="B488" s="2"/>
      <c r="C488" s="2"/>
      <c r="D488" s="2"/>
      <c r="E488" s="2"/>
      <c r="F488" s="2"/>
      <c r="G488" s="2"/>
      <c r="H488" s="2"/>
      <c r="I488" s="2"/>
      <c r="J488" s="2"/>
      <c r="K488" s="2"/>
      <c r="L488" s="2"/>
      <c r="M488" s="2"/>
      <c r="N488" s="2"/>
      <c r="O488" s="2"/>
      <c r="P488" s="2"/>
      <c r="Q488" s="2"/>
      <c r="R488" s="2"/>
      <c r="S488" s="2"/>
      <c r="T488" s="2"/>
    </row>
    <row r="489" spans="1:20" ht="15.75" customHeight="1">
      <c r="A489" s="1"/>
      <c r="B489" s="2"/>
      <c r="C489" s="2"/>
      <c r="D489" s="2"/>
      <c r="E489" s="2"/>
      <c r="F489" s="2"/>
      <c r="G489" s="2"/>
      <c r="H489" s="2"/>
      <c r="I489" s="2"/>
      <c r="J489" s="2"/>
      <c r="K489" s="2"/>
      <c r="L489" s="2"/>
      <c r="M489" s="2"/>
      <c r="N489" s="2"/>
      <c r="O489" s="2"/>
      <c r="P489" s="2"/>
      <c r="Q489" s="2"/>
      <c r="R489" s="2"/>
      <c r="S489" s="2"/>
      <c r="T489" s="2"/>
    </row>
    <row r="490" spans="1:20" ht="15.75" customHeight="1">
      <c r="A490" s="1"/>
      <c r="B490" s="2"/>
      <c r="C490" s="2"/>
      <c r="D490" s="2"/>
      <c r="E490" s="2"/>
      <c r="F490" s="2"/>
      <c r="G490" s="2"/>
      <c r="H490" s="2"/>
      <c r="I490" s="2"/>
      <c r="J490" s="2"/>
      <c r="K490" s="2"/>
      <c r="L490" s="2"/>
      <c r="M490" s="2"/>
      <c r="N490" s="2"/>
      <c r="O490" s="2"/>
      <c r="P490" s="2"/>
      <c r="Q490" s="2"/>
      <c r="R490" s="2"/>
      <c r="S490" s="2"/>
      <c r="T490" s="2"/>
    </row>
    <row r="491" spans="1:20" ht="15.75" customHeight="1">
      <c r="A491" s="1"/>
      <c r="B491" s="2"/>
      <c r="C491" s="2"/>
      <c r="D491" s="2"/>
      <c r="E491" s="2"/>
      <c r="F491" s="2"/>
      <c r="G491" s="2"/>
      <c r="H491" s="2"/>
      <c r="I491" s="2"/>
      <c r="J491" s="2"/>
      <c r="K491" s="2"/>
      <c r="L491" s="2"/>
      <c r="M491" s="2"/>
      <c r="N491" s="2"/>
      <c r="O491" s="2"/>
      <c r="P491" s="2"/>
      <c r="Q491" s="2"/>
      <c r="R491" s="2"/>
      <c r="S491" s="2"/>
      <c r="T491" s="2"/>
    </row>
    <row r="492" spans="1:20" ht="15.75" customHeight="1">
      <c r="A492" s="1"/>
      <c r="B492" s="2"/>
      <c r="C492" s="2"/>
      <c r="D492" s="2"/>
      <c r="E492" s="2"/>
      <c r="F492" s="2"/>
      <c r="G492" s="2"/>
      <c r="H492" s="2"/>
      <c r="I492" s="2"/>
      <c r="J492" s="2"/>
      <c r="K492" s="2"/>
      <c r="L492" s="2"/>
      <c r="M492" s="2"/>
      <c r="N492" s="2"/>
      <c r="O492" s="2"/>
      <c r="P492" s="2"/>
      <c r="Q492" s="2"/>
      <c r="R492" s="2"/>
      <c r="S492" s="2"/>
      <c r="T492" s="2"/>
    </row>
    <row r="493" spans="1:20" ht="15.75" customHeight="1">
      <c r="A493" s="1"/>
      <c r="B493" s="2"/>
      <c r="C493" s="2"/>
      <c r="D493" s="2"/>
      <c r="E493" s="2"/>
      <c r="F493" s="2"/>
      <c r="G493" s="2"/>
      <c r="H493" s="2"/>
      <c r="I493" s="2"/>
      <c r="J493" s="2"/>
      <c r="K493" s="2"/>
      <c r="L493" s="2"/>
      <c r="M493" s="2"/>
      <c r="N493" s="2"/>
      <c r="O493" s="2"/>
      <c r="P493" s="2"/>
      <c r="Q493" s="2"/>
      <c r="R493" s="2"/>
      <c r="S493" s="2"/>
      <c r="T493" s="2"/>
    </row>
    <row r="494" spans="1:20" ht="15.75" customHeight="1">
      <c r="A494" s="1"/>
      <c r="B494" s="2"/>
      <c r="C494" s="2"/>
      <c r="D494" s="2"/>
      <c r="E494" s="2"/>
      <c r="F494" s="2"/>
      <c r="G494" s="2"/>
      <c r="H494" s="2"/>
      <c r="I494" s="2"/>
      <c r="J494" s="2"/>
      <c r="K494" s="2"/>
      <c r="L494" s="2"/>
      <c r="M494" s="2"/>
      <c r="N494" s="2"/>
      <c r="O494" s="2"/>
      <c r="P494" s="2"/>
      <c r="Q494" s="2"/>
      <c r="R494" s="2"/>
      <c r="S494" s="2"/>
      <c r="T494" s="2"/>
    </row>
    <row r="495" spans="1:20" ht="15.75" customHeight="1">
      <c r="A495" s="1"/>
      <c r="B495" s="2"/>
      <c r="C495" s="2"/>
      <c r="D495" s="2"/>
      <c r="E495" s="2"/>
      <c r="F495" s="2"/>
      <c r="G495" s="2"/>
      <c r="H495" s="2"/>
      <c r="I495" s="2"/>
      <c r="J495" s="2"/>
      <c r="K495" s="2"/>
      <c r="L495" s="2"/>
      <c r="M495" s="2"/>
      <c r="N495" s="2"/>
      <c r="O495" s="2"/>
      <c r="P495" s="2"/>
      <c r="Q495" s="2"/>
      <c r="R495" s="2"/>
      <c r="S495" s="2"/>
      <c r="T495" s="2"/>
    </row>
    <row r="496" spans="1:20" ht="15.75" customHeight="1">
      <c r="A496" s="1"/>
      <c r="B496" s="2"/>
      <c r="C496" s="2"/>
      <c r="D496" s="2"/>
      <c r="E496" s="2"/>
      <c r="F496" s="2"/>
      <c r="G496" s="2"/>
      <c r="H496" s="2"/>
      <c r="I496" s="2"/>
      <c r="J496" s="2"/>
      <c r="K496" s="2"/>
      <c r="L496" s="2"/>
      <c r="M496" s="2"/>
      <c r="N496" s="2"/>
      <c r="O496" s="2"/>
      <c r="P496" s="2"/>
      <c r="Q496" s="2"/>
      <c r="R496" s="2"/>
      <c r="S496" s="2"/>
      <c r="T496" s="2"/>
    </row>
    <row r="497" spans="1:20" ht="15.75" customHeight="1">
      <c r="A497" s="1"/>
      <c r="B497" s="2"/>
      <c r="C497" s="2"/>
      <c r="D497" s="2"/>
      <c r="E497" s="2"/>
      <c r="F497" s="2"/>
      <c r="G497" s="2"/>
      <c r="H497" s="2"/>
      <c r="I497" s="2"/>
      <c r="J497" s="2"/>
      <c r="K497" s="2"/>
      <c r="L497" s="2"/>
      <c r="M497" s="2"/>
      <c r="N497" s="2"/>
      <c r="O497" s="2"/>
      <c r="P497" s="2"/>
      <c r="Q497" s="2"/>
      <c r="R497" s="2"/>
      <c r="S497" s="2"/>
      <c r="T497" s="2"/>
    </row>
    <row r="498" spans="1:20" ht="15.75" customHeight="1">
      <c r="A498" s="1"/>
      <c r="B498" s="2"/>
      <c r="C498" s="2"/>
      <c r="D498" s="2"/>
      <c r="E498" s="2"/>
      <c r="F498" s="2"/>
      <c r="G498" s="2"/>
      <c r="H498" s="2"/>
      <c r="I498" s="2"/>
      <c r="J498" s="2"/>
      <c r="K498" s="2"/>
      <c r="L498" s="2"/>
      <c r="M498" s="2"/>
      <c r="N498" s="2"/>
      <c r="O498" s="2"/>
      <c r="P498" s="2"/>
      <c r="Q498" s="2"/>
      <c r="R498" s="2"/>
      <c r="S498" s="2"/>
      <c r="T498" s="2"/>
    </row>
    <row r="499" spans="1:20" ht="15.75" customHeight="1">
      <c r="A499" s="1"/>
      <c r="B499" s="2"/>
      <c r="C499" s="2"/>
      <c r="D499" s="2"/>
      <c r="E499" s="2"/>
      <c r="F499" s="2"/>
      <c r="G499" s="2"/>
      <c r="H499" s="2"/>
      <c r="I499" s="2"/>
      <c r="J499" s="2"/>
      <c r="K499" s="2"/>
      <c r="L499" s="2"/>
      <c r="M499" s="2"/>
      <c r="N499" s="2"/>
      <c r="O499" s="2"/>
      <c r="P499" s="2"/>
      <c r="Q499" s="2"/>
      <c r="R499" s="2"/>
      <c r="S499" s="2"/>
      <c r="T499" s="2"/>
    </row>
    <row r="500" spans="1:20" ht="15.75" customHeight="1">
      <c r="A500" s="1"/>
      <c r="B500" s="2"/>
      <c r="C500" s="2"/>
      <c r="D500" s="2"/>
      <c r="E500" s="2"/>
      <c r="F500" s="2"/>
      <c r="G500" s="2"/>
      <c r="H500" s="2"/>
      <c r="I500" s="2"/>
      <c r="J500" s="2"/>
      <c r="K500" s="2"/>
      <c r="L500" s="2"/>
      <c r="M500" s="2"/>
      <c r="N500" s="2"/>
      <c r="O500" s="2"/>
      <c r="P500" s="2"/>
      <c r="Q500" s="2"/>
      <c r="R500" s="2"/>
      <c r="S500" s="2"/>
      <c r="T500" s="2"/>
    </row>
    <row r="501" spans="1:20" ht="15.75" customHeight="1">
      <c r="A501" s="1"/>
      <c r="B501" s="2"/>
      <c r="C501" s="2"/>
      <c r="D501" s="2"/>
      <c r="E501" s="2"/>
      <c r="F501" s="2"/>
      <c r="G501" s="2"/>
      <c r="H501" s="2"/>
      <c r="I501" s="2"/>
      <c r="J501" s="2"/>
      <c r="K501" s="2"/>
      <c r="L501" s="2"/>
      <c r="M501" s="2"/>
      <c r="N501" s="2"/>
      <c r="O501" s="2"/>
      <c r="P501" s="2"/>
      <c r="Q501" s="2"/>
      <c r="R501" s="2"/>
      <c r="S501" s="2"/>
      <c r="T501" s="2"/>
    </row>
    <row r="502" spans="1:20" ht="15.75" customHeight="1">
      <c r="A502" s="1"/>
      <c r="B502" s="2"/>
      <c r="C502" s="2"/>
      <c r="D502" s="2"/>
      <c r="E502" s="2"/>
      <c r="F502" s="2"/>
      <c r="G502" s="2"/>
      <c r="H502" s="2"/>
      <c r="I502" s="2"/>
      <c r="J502" s="2"/>
      <c r="K502" s="2"/>
      <c r="L502" s="2"/>
      <c r="M502" s="2"/>
      <c r="N502" s="2"/>
      <c r="O502" s="2"/>
      <c r="P502" s="2"/>
      <c r="Q502" s="2"/>
      <c r="R502" s="2"/>
      <c r="S502" s="2"/>
      <c r="T502" s="2"/>
    </row>
    <row r="503" spans="1:20" ht="15.75" customHeight="1">
      <c r="A503" s="1"/>
      <c r="B503" s="2"/>
      <c r="C503" s="2"/>
      <c r="D503" s="2"/>
      <c r="E503" s="2"/>
      <c r="F503" s="2"/>
      <c r="G503" s="2"/>
      <c r="H503" s="2"/>
      <c r="I503" s="2"/>
      <c r="J503" s="2"/>
      <c r="K503" s="2"/>
      <c r="L503" s="2"/>
      <c r="M503" s="2"/>
      <c r="N503" s="2"/>
      <c r="O503" s="2"/>
      <c r="P503" s="2"/>
      <c r="Q503" s="2"/>
      <c r="R503" s="2"/>
      <c r="S503" s="2"/>
      <c r="T503" s="2"/>
    </row>
    <row r="504" spans="1:20" ht="15.75" customHeight="1">
      <c r="A504" s="1"/>
      <c r="B504" s="2"/>
      <c r="C504" s="2"/>
      <c r="D504" s="2"/>
      <c r="E504" s="2"/>
      <c r="F504" s="2"/>
      <c r="G504" s="2"/>
      <c r="H504" s="2"/>
      <c r="I504" s="2"/>
      <c r="J504" s="2"/>
      <c r="K504" s="2"/>
      <c r="L504" s="2"/>
      <c r="M504" s="2"/>
      <c r="N504" s="2"/>
      <c r="O504" s="2"/>
      <c r="P504" s="2"/>
      <c r="Q504" s="2"/>
      <c r="R504" s="2"/>
      <c r="S504" s="2"/>
      <c r="T504" s="2"/>
    </row>
    <row r="505" spans="1:20" ht="15.75" customHeight="1">
      <c r="A505" s="1"/>
      <c r="B505" s="2"/>
      <c r="C505" s="2"/>
      <c r="D505" s="2"/>
      <c r="E505" s="2"/>
      <c r="F505" s="2"/>
      <c r="G505" s="2"/>
      <c r="H505" s="2"/>
      <c r="I505" s="2"/>
      <c r="J505" s="2"/>
      <c r="K505" s="2"/>
      <c r="L505" s="2"/>
      <c r="M505" s="2"/>
      <c r="N505" s="2"/>
      <c r="O505" s="2"/>
      <c r="P505" s="2"/>
      <c r="Q505" s="2"/>
      <c r="R505" s="2"/>
      <c r="S505" s="2"/>
      <c r="T505" s="2"/>
    </row>
    <row r="506" spans="1:20" ht="15.75" customHeight="1">
      <c r="A506" s="1"/>
      <c r="B506" s="2"/>
      <c r="C506" s="2"/>
      <c r="D506" s="2"/>
      <c r="E506" s="2"/>
      <c r="F506" s="2"/>
      <c r="G506" s="2"/>
      <c r="H506" s="2"/>
      <c r="I506" s="2"/>
      <c r="J506" s="2"/>
      <c r="K506" s="2"/>
      <c r="L506" s="2"/>
      <c r="M506" s="2"/>
      <c r="N506" s="2"/>
      <c r="O506" s="2"/>
      <c r="P506" s="2"/>
      <c r="Q506" s="2"/>
      <c r="R506" s="2"/>
      <c r="S506" s="2"/>
      <c r="T506" s="2"/>
    </row>
    <row r="507" spans="1:20" ht="15.75" customHeight="1">
      <c r="A507" s="1"/>
      <c r="B507" s="2"/>
      <c r="C507" s="2"/>
      <c r="D507" s="2"/>
      <c r="E507" s="2"/>
      <c r="F507" s="2"/>
      <c r="G507" s="2"/>
      <c r="H507" s="2"/>
      <c r="I507" s="2"/>
      <c r="J507" s="2"/>
      <c r="K507" s="2"/>
      <c r="L507" s="2"/>
      <c r="M507" s="2"/>
      <c r="N507" s="2"/>
      <c r="O507" s="2"/>
      <c r="P507" s="2"/>
      <c r="Q507" s="2"/>
      <c r="R507" s="2"/>
      <c r="S507" s="2"/>
      <c r="T507" s="2"/>
    </row>
    <row r="508" spans="1:20" ht="15.75" customHeight="1">
      <c r="A508" s="1"/>
      <c r="B508" s="2"/>
      <c r="C508" s="2"/>
      <c r="D508" s="2"/>
      <c r="E508" s="2"/>
      <c r="F508" s="2"/>
      <c r="G508" s="2"/>
      <c r="H508" s="2"/>
      <c r="I508" s="2"/>
      <c r="J508" s="2"/>
      <c r="K508" s="2"/>
      <c r="L508" s="2"/>
      <c r="M508" s="2"/>
      <c r="N508" s="2"/>
      <c r="O508" s="2"/>
      <c r="P508" s="2"/>
      <c r="Q508" s="2"/>
      <c r="R508" s="2"/>
      <c r="S508" s="2"/>
      <c r="T508" s="2"/>
    </row>
    <row r="509" spans="1:20" ht="15.75" customHeight="1">
      <c r="A509" s="1"/>
      <c r="B509" s="2"/>
      <c r="C509" s="2"/>
      <c r="D509" s="2"/>
      <c r="E509" s="2"/>
      <c r="F509" s="2"/>
      <c r="G509" s="2"/>
      <c r="H509" s="2"/>
      <c r="I509" s="2"/>
      <c r="J509" s="2"/>
      <c r="K509" s="2"/>
      <c r="L509" s="2"/>
      <c r="M509" s="2"/>
      <c r="N509" s="2"/>
      <c r="O509" s="2"/>
      <c r="P509" s="2"/>
      <c r="Q509" s="2"/>
      <c r="R509" s="2"/>
      <c r="S509" s="2"/>
      <c r="T509" s="2"/>
    </row>
    <row r="510" spans="1:20" ht="15.75" customHeight="1">
      <c r="A510" s="1"/>
      <c r="B510" s="2"/>
      <c r="C510" s="2"/>
      <c r="D510" s="2"/>
      <c r="E510" s="2"/>
      <c r="F510" s="2"/>
      <c r="G510" s="2"/>
      <c r="H510" s="2"/>
      <c r="I510" s="2"/>
      <c r="J510" s="2"/>
      <c r="K510" s="2"/>
      <c r="L510" s="2"/>
      <c r="M510" s="2"/>
      <c r="N510" s="2"/>
      <c r="O510" s="2"/>
      <c r="P510" s="2"/>
      <c r="Q510" s="2"/>
      <c r="R510" s="2"/>
      <c r="S510" s="2"/>
      <c r="T510" s="2"/>
    </row>
    <row r="511" spans="1:20" ht="15.75" customHeight="1">
      <c r="A511" s="1"/>
      <c r="B511" s="2"/>
      <c r="C511" s="2"/>
      <c r="D511" s="2"/>
      <c r="E511" s="2"/>
      <c r="F511" s="2"/>
      <c r="G511" s="2"/>
      <c r="H511" s="2"/>
      <c r="I511" s="2"/>
      <c r="J511" s="2"/>
      <c r="K511" s="2"/>
      <c r="L511" s="2"/>
      <c r="M511" s="2"/>
      <c r="N511" s="2"/>
      <c r="O511" s="2"/>
      <c r="P511" s="2"/>
      <c r="Q511" s="2"/>
      <c r="R511" s="2"/>
      <c r="S511" s="2"/>
      <c r="T511" s="2"/>
    </row>
    <row r="512" spans="1:20" ht="15.75" customHeight="1">
      <c r="A512" s="1"/>
      <c r="B512" s="2"/>
      <c r="C512" s="2"/>
      <c r="D512" s="2"/>
      <c r="E512" s="2"/>
      <c r="F512" s="2"/>
      <c r="G512" s="2"/>
      <c r="H512" s="2"/>
      <c r="I512" s="2"/>
      <c r="J512" s="2"/>
      <c r="K512" s="2"/>
      <c r="L512" s="2"/>
      <c r="M512" s="2"/>
      <c r="N512" s="2"/>
      <c r="O512" s="2"/>
      <c r="P512" s="2"/>
      <c r="Q512" s="2"/>
      <c r="R512" s="2"/>
      <c r="S512" s="2"/>
      <c r="T512" s="2"/>
    </row>
    <row r="513" spans="1:20" ht="15.75" customHeight="1">
      <c r="A513" s="1"/>
      <c r="B513" s="2"/>
      <c r="C513" s="2"/>
      <c r="D513" s="2"/>
      <c r="E513" s="2"/>
      <c r="F513" s="2"/>
      <c r="G513" s="2"/>
      <c r="H513" s="2"/>
      <c r="I513" s="2"/>
      <c r="J513" s="2"/>
      <c r="K513" s="2"/>
      <c r="L513" s="2"/>
      <c r="M513" s="2"/>
      <c r="N513" s="2"/>
      <c r="O513" s="2"/>
      <c r="P513" s="2"/>
      <c r="Q513" s="2"/>
      <c r="R513" s="2"/>
      <c r="S513" s="2"/>
      <c r="T513" s="2"/>
    </row>
    <row r="514" spans="1:20" ht="15.75" customHeight="1">
      <c r="A514" s="1"/>
      <c r="B514" s="2"/>
      <c r="C514" s="2"/>
      <c r="D514" s="2"/>
      <c r="E514" s="2"/>
      <c r="F514" s="2"/>
      <c r="G514" s="2"/>
      <c r="H514" s="2"/>
      <c r="I514" s="2"/>
      <c r="J514" s="2"/>
      <c r="K514" s="2"/>
      <c r="L514" s="2"/>
      <c r="M514" s="2"/>
      <c r="N514" s="2"/>
      <c r="O514" s="2"/>
      <c r="P514" s="2"/>
      <c r="Q514" s="2"/>
      <c r="R514" s="2"/>
      <c r="S514" s="2"/>
      <c r="T514" s="2"/>
    </row>
    <row r="515" spans="1:20" ht="15.75" customHeight="1">
      <c r="A515" s="1"/>
      <c r="B515" s="2"/>
      <c r="C515" s="2"/>
      <c r="D515" s="2"/>
      <c r="E515" s="2"/>
      <c r="F515" s="2"/>
      <c r="G515" s="2"/>
      <c r="H515" s="2"/>
      <c r="I515" s="2"/>
      <c r="J515" s="2"/>
      <c r="K515" s="2"/>
      <c r="L515" s="2"/>
      <c r="M515" s="2"/>
      <c r="N515" s="2"/>
      <c r="O515" s="2"/>
      <c r="P515" s="2"/>
      <c r="Q515" s="2"/>
      <c r="R515" s="2"/>
      <c r="S515" s="2"/>
      <c r="T515" s="2"/>
    </row>
    <row r="516" spans="1:20" ht="15.75" customHeight="1">
      <c r="A516" s="1"/>
      <c r="B516" s="2"/>
      <c r="C516" s="2"/>
      <c r="D516" s="2"/>
      <c r="E516" s="2"/>
      <c r="F516" s="2"/>
      <c r="G516" s="2"/>
      <c r="H516" s="2"/>
      <c r="I516" s="2"/>
      <c r="J516" s="2"/>
      <c r="K516" s="2"/>
      <c r="L516" s="2"/>
      <c r="M516" s="2"/>
      <c r="N516" s="2"/>
      <c r="O516" s="2"/>
      <c r="P516" s="2"/>
      <c r="Q516" s="2"/>
      <c r="R516" s="2"/>
      <c r="S516" s="2"/>
      <c r="T516" s="2"/>
    </row>
    <row r="517" spans="1:20" ht="15.75" customHeight="1">
      <c r="A517" s="1"/>
      <c r="B517" s="2"/>
      <c r="C517" s="2"/>
      <c r="D517" s="2"/>
      <c r="E517" s="2"/>
      <c r="F517" s="2"/>
      <c r="G517" s="2"/>
      <c r="H517" s="2"/>
      <c r="I517" s="2"/>
      <c r="J517" s="2"/>
      <c r="K517" s="2"/>
      <c r="L517" s="2"/>
      <c r="M517" s="2"/>
      <c r="N517" s="2"/>
      <c r="O517" s="2"/>
      <c r="P517" s="2"/>
      <c r="Q517" s="2"/>
      <c r="R517" s="2"/>
      <c r="S517" s="2"/>
      <c r="T517" s="2"/>
    </row>
    <row r="518" spans="1:20" ht="15.75" customHeight="1">
      <c r="A518" s="1"/>
      <c r="B518" s="2"/>
      <c r="C518" s="2"/>
      <c r="D518" s="2"/>
      <c r="E518" s="2"/>
      <c r="F518" s="2"/>
      <c r="G518" s="2"/>
      <c r="H518" s="2"/>
      <c r="I518" s="2"/>
      <c r="J518" s="2"/>
      <c r="K518" s="2"/>
      <c r="L518" s="2"/>
      <c r="M518" s="2"/>
      <c r="N518" s="2"/>
      <c r="O518" s="2"/>
      <c r="P518" s="2"/>
      <c r="Q518" s="2"/>
      <c r="R518" s="2"/>
      <c r="S518" s="2"/>
      <c r="T518" s="2"/>
    </row>
    <row r="519" spans="1:20" ht="15.75" customHeight="1">
      <c r="A519" s="1"/>
      <c r="B519" s="2"/>
      <c r="C519" s="2"/>
      <c r="D519" s="2"/>
      <c r="E519" s="2"/>
      <c r="F519" s="2"/>
      <c r="G519" s="2"/>
      <c r="H519" s="2"/>
      <c r="I519" s="2"/>
      <c r="J519" s="2"/>
      <c r="K519" s="2"/>
      <c r="L519" s="2"/>
      <c r="M519" s="2"/>
      <c r="N519" s="2"/>
      <c r="O519" s="2"/>
      <c r="P519" s="2"/>
      <c r="Q519" s="2"/>
      <c r="R519" s="2"/>
      <c r="S519" s="2"/>
      <c r="T519" s="2"/>
    </row>
    <row r="520" spans="1:20" ht="15.75" customHeight="1">
      <c r="A520" s="1"/>
      <c r="B520" s="2"/>
      <c r="C520" s="2"/>
      <c r="D520" s="2"/>
      <c r="E520" s="2"/>
      <c r="F520" s="2"/>
      <c r="G520" s="2"/>
      <c r="H520" s="2"/>
      <c r="I520" s="2"/>
      <c r="J520" s="2"/>
      <c r="K520" s="2"/>
      <c r="L520" s="2"/>
      <c r="M520" s="2"/>
      <c r="N520" s="2"/>
      <c r="O520" s="2"/>
      <c r="P520" s="2"/>
      <c r="Q520" s="2"/>
      <c r="R520" s="2"/>
      <c r="S520" s="2"/>
      <c r="T520" s="2"/>
    </row>
    <row r="521" spans="1:20" ht="15.75" customHeight="1">
      <c r="A521" s="1"/>
      <c r="B521" s="2"/>
      <c r="C521" s="2"/>
      <c r="D521" s="2"/>
      <c r="E521" s="2"/>
      <c r="F521" s="2"/>
      <c r="G521" s="2"/>
      <c r="H521" s="2"/>
      <c r="I521" s="2"/>
      <c r="J521" s="2"/>
      <c r="K521" s="2"/>
      <c r="L521" s="2"/>
      <c r="M521" s="2"/>
      <c r="N521" s="2"/>
      <c r="O521" s="2"/>
      <c r="P521" s="2"/>
      <c r="Q521" s="2"/>
      <c r="R521" s="2"/>
      <c r="S521" s="2"/>
      <c r="T521" s="2"/>
    </row>
    <row r="522" spans="1:20" ht="15.75" customHeight="1">
      <c r="A522" s="1"/>
      <c r="B522" s="2"/>
      <c r="C522" s="2"/>
      <c r="D522" s="2"/>
      <c r="E522" s="2"/>
      <c r="F522" s="2"/>
      <c r="G522" s="2"/>
      <c r="H522" s="2"/>
      <c r="I522" s="2"/>
      <c r="J522" s="2"/>
      <c r="K522" s="2"/>
      <c r="L522" s="2"/>
      <c r="M522" s="2"/>
      <c r="N522" s="2"/>
      <c r="O522" s="2"/>
      <c r="P522" s="2"/>
      <c r="Q522" s="2"/>
      <c r="R522" s="2"/>
      <c r="S522" s="2"/>
      <c r="T522" s="2"/>
    </row>
    <row r="523" spans="1:20" ht="15.75" customHeight="1">
      <c r="A523" s="1"/>
      <c r="B523" s="2"/>
      <c r="C523" s="2"/>
      <c r="D523" s="2"/>
      <c r="E523" s="2"/>
      <c r="F523" s="2"/>
      <c r="G523" s="2"/>
      <c r="H523" s="2"/>
      <c r="I523" s="2"/>
      <c r="J523" s="2"/>
      <c r="K523" s="2"/>
      <c r="L523" s="2"/>
      <c r="M523" s="2"/>
      <c r="N523" s="2"/>
      <c r="O523" s="2"/>
      <c r="P523" s="2"/>
      <c r="Q523" s="2"/>
      <c r="R523" s="2"/>
      <c r="S523" s="2"/>
      <c r="T523" s="2"/>
    </row>
    <row r="524" spans="1:20" ht="15.75" customHeight="1">
      <c r="A524" s="1"/>
      <c r="B524" s="2"/>
      <c r="C524" s="2"/>
      <c r="D524" s="2"/>
      <c r="E524" s="2"/>
      <c r="F524" s="2"/>
      <c r="G524" s="2"/>
      <c r="H524" s="2"/>
      <c r="I524" s="2"/>
      <c r="J524" s="2"/>
      <c r="K524" s="2"/>
      <c r="L524" s="2"/>
      <c r="M524" s="2"/>
      <c r="N524" s="2"/>
      <c r="O524" s="2"/>
      <c r="P524" s="2"/>
      <c r="Q524" s="2"/>
      <c r="R524" s="2"/>
      <c r="S524" s="2"/>
      <c r="T524" s="2"/>
    </row>
    <row r="525" spans="1:20" ht="15.75" customHeight="1">
      <c r="A525" s="1"/>
      <c r="B525" s="2"/>
      <c r="C525" s="2"/>
      <c r="D525" s="2"/>
      <c r="E525" s="2"/>
      <c r="F525" s="2"/>
      <c r="G525" s="2"/>
      <c r="H525" s="2"/>
      <c r="I525" s="2"/>
      <c r="J525" s="2"/>
      <c r="K525" s="2"/>
      <c r="L525" s="2"/>
      <c r="M525" s="2"/>
      <c r="N525" s="2"/>
      <c r="O525" s="2"/>
      <c r="P525" s="2"/>
      <c r="Q525" s="2"/>
      <c r="R525" s="2"/>
      <c r="S525" s="2"/>
      <c r="T525" s="2"/>
    </row>
    <row r="526" spans="1:20" ht="15.75" customHeight="1">
      <c r="A526" s="1"/>
      <c r="B526" s="2"/>
      <c r="C526" s="2"/>
      <c r="D526" s="2"/>
      <c r="E526" s="2"/>
      <c r="F526" s="2"/>
      <c r="G526" s="2"/>
      <c r="H526" s="2"/>
      <c r="I526" s="2"/>
      <c r="J526" s="2"/>
      <c r="K526" s="2"/>
      <c r="L526" s="2"/>
      <c r="M526" s="2"/>
      <c r="N526" s="2"/>
      <c r="O526" s="2"/>
      <c r="P526" s="2"/>
      <c r="Q526" s="2"/>
      <c r="R526" s="2"/>
      <c r="S526" s="2"/>
      <c r="T526" s="2"/>
    </row>
    <row r="527" spans="1:20" ht="15.75" customHeight="1">
      <c r="A527" s="1"/>
      <c r="B527" s="2"/>
      <c r="C527" s="2"/>
      <c r="D527" s="2"/>
      <c r="E527" s="2"/>
      <c r="F527" s="2"/>
      <c r="G527" s="2"/>
      <c r="H527" s="2"/>
      <c r="I527" s="2"/>
      <c r="J527" s="2"/>
      <c r="K527" s="2"/>
      <c r="L527" s="2"/>
      <c r="M527" s="2"/>
      <c r="N527" s="2"/>
      <c r="O527" s="2"/>
      <c r="P527" s="2"/>
      <c r="Q527" s="2"/>
      <c r="R527" s="2"/>
      <c r="S527" s="2"/>
      <c r="T527" s="2"/>
    </row>
    <row r="528" spans="1:20" ht="15.75" customHeight="1">
      <c r="A528" s="1"/>
      <c r="B528" s="2"/>
      <c r="C528" s="2"/>
      <c r="D528" s="2"/>
      <c r="E528" s="2"/>
      <c r="F528" s="2"/>
      <c r="G528" s="2"/>
      <c r="H528" s="2"/>
      <c r="I528" s="2"/>
      <c r="J528" s="2"/>
      <c r="K528" s="2"/>
      <c r="L528" s="2"/>
      <c r="M528" s="2"/>
      <c r="N528" s="2"/>
      <c r="O528" s="2"/>
      <c r="P528" s="2"/>
      <c r="Q528" s="2"/>
      <c r="R528" s="2"/>
      <c r="S528" s="2"/>
      <c r="T528" s="2"/>
    </row>
    <row r="529" spans="1:20" ht="15.75" customHeight="1">
      <c r="A529" s="1"/>
      <c r="B529" s="2"/>
      <c r="C529" s="2"/>
      <c r="D529" s="2"/>
      <c r="E529" s="2"/>
      <c r="F529" s="2"/>
      <c r="G529" s="2"/>
      <c r="H529" s="2"/>
      <c r="I529" s="2"/>
      <c r="J529" s="2"/>
      <c r="K529" s="2"/>
      <c r="L529" s="2"/>
      <c r="M529" s="2"/>
      <c r="N529" s="2"/>
      <c r="O529" s="2"/>
      <c r="P529" s="2"/>
      <c r="Q529" s="2"/>
      <c r="R529" s="2"/>
      <c r="S529" s="2"/>
      <c r="T529" s="2"/>
    </row>
    <row r="530" spans="1:20" ht="15.75" customHeight="1">
      <c r="A530" s="1"/>
      <c r="B530" s="2"/>
      <c r="C530" s="2"/>
      <c r="D530" s="2"/>
      <c r="E530" s="2"/>
      <c r="F530" s="2"/>
      <c r="G530" s="2"/>
      <c r="H530" s="2"/>
      <c r="I530" s="2"/>
      <c r="J530" s="2"/>
      <c r="K530" s="2"/>
      <c r="L530" s="2"/>
      <c r="M530" s="2"/>
      <c r="N530" s="2"/>
      <c r="O530" s="2"/>
      <c r="P530" s="2"/>
      <c r="Q530" s="2"/>
      <c r="R530" s="2"/>
      <c r="S530" s="2"/>
      <c r="T530" s="2"/>
    </row>
    <row r="531" spans="1:20" ht="15.75" customHeight="1">
      <c r="A531" s="1"/>
      <c r="B531" s="2"/>
      <c r="C531" s="2"/>
      <c r="D531" s="2"/>
      <c r="E531" s="2"/>
      <c r="F531" s="2"/>
      <c r="G531" s="2"/>
      <c r="H531" s="2"/>
      <c r="I531" s="2"/>
      <c r="J531" s="2"/>
      <c r="K531" s="2"/>
      <c r="L531" s="2"/>
      <c r="M531" s="2"/>
      <c r="N531" s="2"/>
      <c r="O531" s="2"/>
      <c r="P531" s="2"/>
      <c r="Q531" s="2"/>
      <c r="R531" s="2"/>
      <c r="S531" s="2"/>
      <c r="T531" s="2"/>
    </row>
    <row r="532" spans="1:20" ht="15.75" customHeight="1">
      <c r="A532" s="1"/>
      <c r="B532" s="2"/>
      <c r="C532" s="2"/>
      <c r="D532" s="2"/>
      <c r="E532" s="2"/>
      <c r="F532" s="2"/>
      <c r="G532" s="2"/>
      <c r="H532" s="2"/>
      <c r="I532" s="2"/>
      <c r="J532" s="2"/>
      <c r="K532" s="2"/>
      <c r="L532" s="2"/>
      <c r="M532" s="2"/>
      <c r="N532" s="2"/>
      <c r="O532" s="2"/>
      <c r="P532" s="2"/>
      <c r="Q532" s="2"/>
      <c r="R532" s="2"/>
      <c r="S532" s="2"/>
      <c r="T532" s="2"/>
    </row>
    <row r="533" spans="1:20" ht="15.75" customHeight="1">
      <c r="A533" s="1"/>
      <c r="B533" s="2"/>
      <c r="C533" s="2"/>
      <c r="D533" s="2"/>
      <c r="E533" s="2"/>
      <c r="F533" s="2"/>
      <c r="G533" s="2"/>
      <c r="H533" s="2"/>
      <c r="I533" s="2"/>
      <c r="J533" s="2"/>
      <c r="K533" s="2"/>
      <c r="L533" s="2"/>
      <c r="M533" s="2"/>
      <c r="N533" s="2"/>
      <c r="O533" s="2"/>
      <c r="P533" s="2"/>
      <c r="Q533" s="2"/>
      <c r="R533" s="2"/>
      <c r="S533" s="2"/>
      <c r="T533" s="2"/>
    </row>
    <row r="534" spans="1:20" ht="15.75" customHeight="1">
      <c r="A534" s="1"/>
      <c r="B534" s="2"/>
      <c r="C534" s="2"/>
      <c r="D534" s="2"/>
      <c r="E534" s="2"/>
      <c r="F534" s="2"/>
      <c r="G534" s="2"/>
      <c r="H534" s="2"/>
      <c r="I534" s="2"/>
      <c r="J534" s="2"/>
      <c r="K534" s="2"/>
      <c r="L534" s="2"/>
      <c r="M534" s="2"/>
      <c r="N534" s="2"/>
      <c r="O534" s="2"/>
      <c r="P534" s="2"/>
      <c r="Q534" s="2"/>
      <c r="R534" s="2"/>
      <c r="S534" s="2"/>
      <c r="T534" s="2"/>
    </row>
    <row r="535" spans="1:20" ht="15.75" customHeight="1">
      <c r="A535" s="1"/>
      <c r="B535" s="2"/>
      <c r="C535" s="2"/>
      <c r="D535" s="2"/>
      <c r="E535" s="2"/>
      <c r="F535" s="2"/>
      <c r="G535" s="2"/>
      <c r="H535" s="2"/>
      <c r="I535" s="2"/>
      <c r="J535" s="2"/>
      <c r="K535" s="2"/>
      <c r="L535" s="2"/>
      <c r="M535" s="2"/>
      <c r="N535" s="2"/>
      <c r="O535" s="2"/>
      <c r="P535" s="2"/>
      <c r="Q535" s="2"/>
      <c r="R535" s="2"/>
      <c r="S535" s="2"/>
      <c r="T535" s="2"/>
    </row>
    <row r="536" spans="1:20" ht="15.75" customHeight="1">
      <c r="A536" s="1"/>
      <c r="B536" s="2"/>
      <c r="C536" s="2"/>
      <c r="D536" s="2"/>
      <c r="E536" s="2"/>
      <c r="F536" s="2"/>
      <c r="G536" s="2"/>
      <c r="H536" s="2"/>
      <c r="I536" s="2"/>
      <c r="J536" s="2"/>
      <c r="K536" s="2"/>
      <c r="L536" s="2"/>
      <c r="M536" s="2"/>
      <c r="N536" s="2"/>
      <c r="O536" s="2"/>
      <c r="P536" s="2"/>
      <c r="Q536" s="2"/>
      <c r="R536" s="2"/>
      <c r="S536" s="2"/>
      <c r="T536" s="2"/>
    </row>
    <row r="537" spans="1:20" ht="15.75" customHeight="1">
      <c r="A537" s="1"/>
      <c r="B537" s="2"/>
      <c r="C537" s="2"/>
      <c r="D537" s="2"/>
      <c r="E537" s="2"/>
      <c r="F537" s="2"/>
      <c r="G537" s="2"/>
      <c r="H537" s="2"/>
      <c r="I537" s="2"/>
      <c r="J537" s="2"/>
      <c r="K537" s="2"/>
      <c r="L537" s="2"/>
      <c r="M537" s="2"/>
      <c r="N537" s="2"/>
      <c r="O537" s="2"/>
      <c r="P537" s="2"/>
      <c r="Q537" s="2"/>
      <c r="R537" s="2"/>
      <c r="S537" s="2"/>
      <c r="T537" s="2"/>
    </row>
    <row r="538" spans="1:20" ht="15.75" customHeight="1">
      <c r="A538" s="1"/>
      <c r="B538" s="2"/>
      <c r="C538" s="2"/>
      <c r="D538" s="2"/>
      <c r="E538" s="2"/>
      <c r="F538" s="2"/>
      <c r="G538" s="2"/>
      <c r="H538" s="2"/>
      <c r="I538" s="2"/>
      <c r="J538" s="2"/>
      <c r="K538" s="2"/>
      <c r="L538" s="2"/>
      <c r="M538" s="2"/>
      <c r="N538" s="2"/>
      <c r="O538" s="2"/>
      <c r="P538" s="2"/>
      <c r="Q538" s="2"/>
      <c r="R538" s="2"/>
      <c r="S538" s="2"/>
      <c r="T538" s="2"/>
    </row>
    <row r="539" spans="1:20" ht="15.75" customHeight="1">
      <c r="A539" s="1"/>
      <c r="B539" s="2"/>
      <c r="C539" s="2"/>
      <c r="D539" s="2"/>
      <c r="E539" s="2"/>
      <c r="F539" s="2"/>
      <c r="G539" s="2"/>
      <c r="H539" s="2"/>
      <c r="I539" s="2"/>
      <c r="J539" s="2"/>
      <c r="K539" s="2"/>
      <c r="L539" s="2"/>
      <c r="M539" s="2"/>
      <c r="N539" s="2"/>
      <c r="O539" s="2"/>
      <c r="P539" s="2"/>
      <c r="Q539" s="2"/>
      <c r="R539" s="2"/>
      <c r="S539" s="2"/>
      <c r="T539" s="2"/>
    </row>
    <row r="540" spans="1:20" ht="15.75" customHeight="1">
      <c r="A540" s="1"/>
      <c r="B540" s="2"/>
      <c r="C540" s="2"/>
      <c r="D540" s="2"/>
      <c r="E540" s="2"/>
      <c r="F540" s="2"/>
      <c r="G540" s="2"/>
      <c r="H540" s="2"/>
      <c r="I540" s="2"/>
      <c r="J540" s="2"/>
      <c r="K540" s="2"/>
      <c r="L540" s="2"/>
      <c r="M540" s="2"/>
      <c r="N540" s="2"/>
      <c r="O540" s="2"/>
      <c r="P540" s="2"/>
      <c r="Q540" s="2"/>
      <c r="R540" s="2"/>
      <c r="S540" s="2"/>
      <c r="T540" s="2"/>
    </row>
    <row r="541" spans="1:20" ht="15.75" customHeight="1">
      <c r="A541" s="1"/>
      <c r="B541" s="2"/>
      <c r="C541" s="2"/>
      <c r="D541" s="2"/>
      <c r="E541" s="2"/>
      <c r="F541" s="2"/>
      <c r="G541" s="2"/>
      <c r="H541" s="2"/>
      <c r="I541" s="2"/>
      <c r="J541" s="2"/>
      <c r="K541" s="2"/>
      <c r="L541" s="2"/>
      <c r="M541" s="2"/>
      <c r="N541" s="2"/>
      <c r="O541" s="2"/>
      <c r="P541" s="2"/>
      <c r="Q541" s="2"/>
      <c r="R541" s="2"/>
      <c r="S541" s="2"/>
      <c r="T541" s="2"/>
    </row>
    <row r="542" spans="1:20" ht="15.75" customHeight="1">
      <c r="A542" s="1"/>
      <c r="B542" s="2"/>
      <c r="C542" s="2"/>
      <c r="D542" s="2"/>
      <c r="E542" s="2"/>
      <c r="F542" s="2"/>
      <c r="G542" s="2"/>
      <c r="H542" s="2"/>
      <c r="I542" s="2"/>
      <c r="J542" s="2"/>
      <c r="K542" s="2"/>
      <c r="L542" s="2"/>
      <c r="M542" s="2"/>
      <c r="N542" s="2"/>
      <c r="O542" s="2"/>
      <c r="P542" s="2"/>
      <c r="Q542" s="2"/>
      <c r="R542" s="2"/>
      <c r="S542" s="2"/>
      <c r="T542" s="2"/>
    </row>
    <row r="543" spans="1:20" ht="15.75" customHeight="1">
      <c r="A543" s="1"/>
      <c r="B543" s="2"/>
      <c r="C543" s="2"/>
      <c r="D543" s="2"/>
      <c r="E543" s="2"/>
      <c r="F543" s="2"/>
      <c r="G543" s="2"/>
      <c r="H543" s="2"/>
      <c r="I543" s="2"/>
      <c r="J543" s="2"/>
      <c r="K543" s="2"/>
      <c r="L543" s="2"/>
      <c r="M543" s="2"/>
      <c r="N543" s="2"/>
      <c r="O543" s="2"/>
      <c r="P543" s="2"/>
      <c r="Q543" s="2"/>
      <c r="R543" s="2"/>
      <c r="S543" s="2"/>
      <c r="T543" s="2"/>
    </row>
    <row r="544" spans="1:20" ht="15.75" customHeight="1">
      <c r="A544" s="1"/>
      <c r="B544" s="2"/>
      <c r="C544" s="2"/>
      <c r="D544" s="2"/>
      <c r="E544" s="2"/>
      <c r="F544" s="2"/>
      <c r="G544" s="2"/>
      <c r="H544" s="2"/>
      <c r="I544" s="2"/>
      <c r="J544" s="2"/>
      <c r="K544" s="2"/>
      <c r="L544" s="2"/>
      <c r="M544" s="2"/>
      <c r="N544" s="2"/>
      <c r="O544" s="2"/>
      <c r="P544" s="2"/>
      <c r="Q544" s="2"/>
      <c r="R544" s="2"/>
      <c r="S544" s="2"/>
      <c r="T544" s="2"/>
    </row>
    <row r="545" spans="1:20" ht="15.75" customHeight="1">
      <c r="A545" s="1"/>
      <c r="B545" s="2"/>
      <c r="C545" s="2"/>
      <c r="D545" s="2"/>
      <c r="E545" s="2"/>
      <c r="F545" s="2"/>
      <c r="G545" s="2"/>
      <c r="H545" s="2"/>
      <c r="I545" s="2"/>
      <c r="J545" s="2"/>
      <c r="K545" s="2"/>
      <c r="L545" s="2"/>
      <c r="M545" s="2"/>
      <c r="N545" s="2"/>
      <c r="O545" s="2"/>
      <c r="P545" s="2"/>
      <c r="Q545" s="2"/>
      <c r="R545" s="2"/>
      <c r="S545" s="2"/>
      <c r="T545" s="2"/>
    </row>
    <row r="546" spans="1:20" ht="15.75" customHeight="1">
      <c r="A546" s="1"/>
      <c r="B546" s="2"/>
      <c r="C546" s="2"/>
      <c r="D546" s="2"/>
      <c r="E546" s="2"/>
      <c r="F546" s="2"/>
      <c r="G546" s="2"/>
      <c r="H546" s="2"/>
      <c r="I546" s="2"/>
      <c r="J546" s="2"/>
      <c r="K546" s="2"/>
      <c r="L546" s="2"/>
      <c r="M546" s="2"/>
      <c r="N546" s="2"/>
      <c r="O546" s="2"/>
      <c r="P546" s="2"/>
      <c r="Q546" s="2"/>
      <c r="R546" s="2"/>
      <c r="S546" s="2"/>
      <c r="T546" s="2"/>
    </row>
    <row r="547" spans="1:20" ht="15.75" customHeight="1">
      <c r="A547" s="1"/>
      <c r="B547" s="2"/>
      <c r="C547" s="2"/>
      <c r="D547" s="2"/>
      <c r="E547" s="2"/>
      <c r="F547" s="2"/>
      <c r="G547" s="2"/>
      <c r="H547" s="2"/>
      <c r="I547" s="2"/>
      <c r="J547" s="2"/>
      <c r="K547" s="2"/>
      <c r="L547" s="2"/>
      <c r="M547" s="2"/>
      <c r="N547" s="2"/>
      <c r="O547" s="2"/>
      <c r="P547" s="2"/>
      <c r="Q547" s="2"/>
      <c r="R547" s="2"/>
      <c r="S547" s="2"/>
      <c r="T547" s="2"/>
    </row>
    <row r="548" spans="1:20" ht="15.75" customHeight="1">
      <c r="A548" s="1"/>
      <c r="B548" s="2"/>
      <c r="C548" s="2"/>
      <c r="D548" s="2"/>
      <c r="E548" s="2"/>
      <c r="F548" s="2"/>
      <c r="G548" s="2"/>
      <c r="H548" s="2"/>
      <c r="I548" s="2"/>
      <c r="J548" s="2"/>
      <c r="K548" s="2"/>
      <c r="L548" s="2"/>
      <c r="M548" s="2"/>
      <c r="N548" s="2"/>
      <c r="O548" s="2"/>
      <c r="P548" s="2"/>
      <c r="Q548" s="2"/>
      <c r="R548" s="2"/>
      <c r="S548" s="2"/>
      <c r="T548" s="2"/>
    </row>
    <row r="549" spans="1:20" ht="15.75" customHeight="1">
      <c r="A549" s="1"/>
      <c r="B549" s="2"/>
      <c r="C549" s="2"/>
      <c r="D549" s="2"/>
      <c r="E549" s="2"/>
      <c r="F549" s="2"/>
      <c r="G549" s="2"/>
      <c r="H549" s="2"/>
      <c r="I549" s="2"/>
      <c r="J549" s="2"/>
      <c r="K549" s="2"/>
      <c r="L549" s="2"/>
      <c r="M549" s="2"/>
      <c r="N549" s="2"/>
      <c r="O549" s="2"/>
      <c r="P549" s="2"/>
      <c r="Q549" s="2"/>
      <c r="R549" s="2"/>
      <c r="S549" s="2"/>
      <c r="T549" s="2"/>
    </row>
    <row r="550" spans="1:20" ht="15.75" customHeight="1">
      <c r="A550" s="1"/>
      <c r="B550" s="2"/>
      <c r="C550" s="2"/>
      <c r="D550" s="2"/>
      <c r="E550" s="2"/>
      <c r="F550" s="2"/>
      <c r="G550" s="2"/>
      <c r="H550" s="2"/>
      <c r="I550" s="2"/>
      <c r="J550" s="2"/>
      <c r="K550" s="2"/>
      <c r="L550" s="2"/>
      <c r="M550" s="2"/>
      <c r="N550" s="2"/>
      <c r="O550" s="2"/>
      <c r="P550" s="2"/>
      <c r="Q550" s="2"/>
      <c r="R550" s="2"/>
      <c r="S550" s="2"/>
      <c r="T550" s="2"/>
    </row>
    <row r="551" spans="1:20" ht="15.75" customHeight="1">
      <c r="A551" s="1"/>
      <c r="B551" s="2"/>
      <c r="C551" s="2"/>
      <c r="D551" s="2"/>
      <c r="E551" s="2"/>
      <c r="F551" s="2"/>
      <c r="G551" s="2"/>
      <c r="H551" s="2"/>
      <c r="I551" s="2"/>
      <c r="J551" s="2"/>
      <c r="K551" s="2"/>
      <c r="L551" s="2"/>
      <c r="M551" s="2"/>
      <c r="N551" s="2"/>
      <c r="O551" s="2"/>
      <c r="P551" s="2"/>
      <c r="Q551" s="2"/>
      <c r="R551" s="2"/>
      <c r="S551" s="2"/>
      <c r="T551" s="2"/>
    </row>
    <row r="552" spans="1:20" ht="15.75" customHeight="1">
      <c r="A552" s="1"/>
      <c r="B552" s="2"/>
      <c r="C552" s="2"/>
      <c r="D552" s="2"/>
      <c r="E552" s="2"/>
      <c r="F552" s="2"/>
      <c r="G552" s="2"/>
      <c r="H552" s="2"/>
      <c r="I552" s="2"/>
      <c r="J552" s="2"/>
      <c r="K552" s="2"/>
      <c r="L552" s="2"/>
      <c r="M552" s="2"/>
      <c r="N552" s="2"/>
      <c r="O552" s="2"/>
      <c r="P552" s="2"/>
      <c r="Q552" s="2"/>
      <c r="R552" s="2"/>
      <c r="S552" s="2"/>
      <c r="T552" s="2"/>
    </row>
    <row r="553" spans="1:20" ht="15.75" customHeight="1">
      <c r="A553" s="1"/>
      <c r="B553" s="2"/>
      <c r="C553" s="2"/>
      <c r="D553" s="2"/>
      <c r="E553" s="2"/>
      <c r="F553" s="2"/>
      <c r="G553" s="2"/>
      <c r="H553" s="2"/>
      <c r="I553" s="2"/>
      <c r="J553" s="2"/>
      <c r="K553" s="2"/>
      <c r="L553" s="2"/>
      <c r="M553" s="2"/>
      <c r="N553" s="2"/>
      <c r="O553" s="2"/>
      <c r="P553" s="2"/>
      <c r="Q553" s="2"/>
      <c r="R553" s="2"/>
      <c r="S553" s="2"/>
      <c r="T553" s="2"/>
    </row>
    <row r="554" spans="1:20" ht="15.75" customHeight="1">
      <c r="A554" s="1"/>
      <c r="B554" s="2"/>
      <c r="C554" s="2"/>
      <c r="D554" s="2"/>
      <c r="E554" s="2"/>
      <c r="F554" s="2"/>
      <c r="G554" s="2"/>
      <c r="H554" s="2"/>
      <c r="I554" s="2"/>
      <c r="J554" s="2"/>
      <c r="K554" s="2"/>
      <c r="L554" s="2"/>
      <c r="M554" s="2"/>
      <c r="N554" s="2"/>
      <c r="O554" s="2"/>
      <c r="P554" s="2"/>
      <c r="Q554" s="2"/>
      <c r="R554" s="2"/>
      <c r="S554" s="2"/>
      <c r="T554" s="2"/>
    </row>
    <row r="555" spans="1:20" ht="15.75" customHeight="1">
      <c r="A555" s="1"/>
      <c r="B555" s="2"/>
      <c r="C555" s="2"/>
      <c r="D555" s="2"/>
      <c r="E555" s="2"/>
      <c r="F555" s="2"/>
      <c r="G555" s="2"/>
      <c r="H555" s="2"/>
      <c r="I555" s="2"/>
      <c r="J555" s="2"/>
      <c r="K555" s="2"/>
      <c r="L555" s="2"/>
      <c r="M555" s="2"/>
      <c r="N555" s="2"/>
      <c r="O555" s="2"/>
      <c r="P555" s="2"/>
      <c r="Q555" s="2"/>
      <c r="R555" s="2"/>
      <c r="S555" s="2"/>
      <c r="T555" s="2"/>
    </row>
    <row r="556" spans="1:20" ht="15.75" customHeight="1">
      <c r="A556" s="1"/>
      <c r="B556" s="2"/>
      <c r="C556" s="2"/>
      <c r="D556" s="2"/>
      <c r="E556" s="2"/>
      <c r="F556" s="2"/>
      <c r="G556" s="2"/>
      <c r="H556" s="2"/>
      <c r="I556" s="2"/>
      <c r="J556" s="2"/>
      <c r="K556" s="2"/>
      <c r="L556" s="2"/>
      <c r="M556" s="2"/>
      <c r="N556" s="2"/>
      <c r="O556" s="2"/>
      <c r="P556" s="2"/>
      <c r="Q556" s="2"/>
      <c r="R556" s="2"/>
      <c r="S556" s="2"/>
      <c r="T556" s="2"/>
    </row>
    <row r="557" spans="1:20" ht="15.75" customHeight="1">
      <c r="A557" s="1"/>
      <c r="B557" s="2"/>
      <c r="C557" s="2"/>
      <c r="D557" s="2"/>
      <c r="E557" s="2"/>
      <c r="F557" s="2"/>
      <c r="G557" s="2"/>
      <c r="H557" s="2"/>
      <c r="I557" s="2"/>
      <c r="J557" s="2"/>
      <c r="K557" s="2"/>
      <c r="L557" s="2"/>
      <c r="M557" s="2"/>
      <c r="N557" s="2"/>
      <c r="O557" s="2"/>
      <c r="P557" s="2"/>
      <c r="Q557" s="2"/>
      <c r="R557" s="2"/>
      <c r="S557" s="2"/>
      <c r="T557" s="2"/>
    </row>
    <row r="558" spans="1:20" ht="15.75" customHeight="1">
      <c r="A558" s="1"/>
      <c r="B558" s="2"/>
      <c r="C558" s="2"/>
      <c r="D558" s="2"/>
      <c r="E558" s="2"/>
      <c r="F558" s="2"/>
      <c r="G558" s="2"/>
      <c r="H558" s="2"/>
      <c r="I558" s="2"/>
      <c r="J558" s="2"/>
      <c r="K558" s="2"/>
      <c r="L558" s="2"/>
      <c r="M558" s="2"/>
      <c r="N558" s="2"/>
      <c r="O558" s="2"/>
      <c r="P558" s="2"/>
      <c r="Q558" s="2"/>
      <c r="R558" s="2"/>
      <c r="S558" s="2"/>
      <c r="T558" s="2"/>
    </row>
    <row r="559" spans="1:20" ht="15.75" customHeight="1">
      <c r="A559" s="1"/>
      <c r="B559" s="2"/>
      <c r="C559" s="2"/>
      <c r="D559" s="2"/>
      <c r="E559" s="2"/>
      <c r="F559" s="2"/>
      <c r="G559" s="2"/>
      <c r="H559" s="2"/>
      <c r="I559" s="2"/>
      <c r="J559" s="2"/>
      <c r="K559" s="2"/>
      <c r="L559" s="2"/>
      <c r="M559" s="2"/>
      <c r="N559" s="2"/>
      <c r="O559" s="2"/>
      <c r="P559" s="2"/>
      <c r="Q559" s="2"/>
      <c r="R559" s="2"/>
      <c r="S559" s="2"/>
      <c r="T559" s="2"/>
    </row>
    <row r="560" spans="1:20" ht="15.75" customHeight="1">
      <c r="A560" s="1"/>
      <c r="B560" s="2"/>
      <c r="C560" s="2"/>
      <c r="D560" s="2"/>
      <c r="E560" s="2"/>
      <c r="F560" s="2"/>
      <c r="G560" s="2"/>
      <c r="H560" s="2"/>
      <c r="I560" s="2"/>
      <c r="J560" s="2"/>
      <c r="K560" s="2"/>
      <c r="L560" s="2"/>
      <c r="M560" s="2"/>
      <c r="N560" s="2"/>
      <c r="O560" s="2"/>
      <c r="P560" s="2"/>
      <c r="Q560" s="2"/>
      <c r="R560" s="2"/>
      <c r="S560" s="2"/>
      <c r="T560" s="2"/>
    </row>
    <row r="561" spans="1:20" ht="15.75" customHeight="1">
      <c r="A561" s="1"/>
      <c r="B561" s="2"/>
      <c r="C561" s="2"/>
      <c r="D561" s="2"/>
      <c r="E561" s="2"/>
      <c r="F561" s="2"/>
      <c r="G561" s="2"/>
      <c r="H561" s="2"/>
      <c r="I561" s="2"/>
      <c r="J561" s="2"/>
      <c r="K561" s="2"/>
      <c r="L561" s="2"/>
      <c r="M561" s="2"/>
      <c r="N561" s="2"/>
      <c r="O561" s="2"/>
      <c r="P561" s="2"/>
      <c r="Q561" s="2"/>
      <c r="R561" s="2"/>
      <c r="S561" s="2"/>
      <c r="T561" s="2"/>
    </row>
    <row r="562" spans="1:20" ht="15.75" customHeight="1">
      <c r="A562" s="1"/>
      <c r="B562" s="2"/>
      <c r="C562" s="2"/>
      <c r="D562" s="2"/>
      <c r="E562" s="2"/>
      <c r="F562" s="2"/>
      <c r="G562" s="2"/>
      <c r="H562" s="2"/>
      <c r="I562" s="2"/>
      <c r="J562" s="2"/>
      <c r="K562" s="2"/>
      <c r="L562" s="2"/>
      <c r="M562" s="2"/>
      <c r="N562" s="2"/>
      <c r="O562" s="2"/>
      <c r="P562" s="2"/>
      <c r="Q562" s="2"/>
      <c r="R562" s="2"/>
      <c r="S562" s="2"/>
      <c r="T562" s="2"/>
    </row>
    <row r="563" spans="1:20" ht="15.75" customHeight="1">
      <c r="A563" s="1"/>
      <c r="B563" s="2"/>
      <c r="C563" s="2"/>
      <c r="D563" s="2"/>
      <c r="E563" s="2"/>
      <c r="F563" s="2"/>
      <c r="G563" s="2"/>
      <c r="H563" s="2"/>
      <c r="I563" s="2"/>
      <c r="J563" s="2"/>
      <c r="K563" s="2"/>
      <c r="L563" s="2"/>
      <c r="M563" s="2"/>
      <c r="N563" s="2"/>
      <c r="O563" s="2"/>
      <c r="P563" s="2"/>
      <c r="Q563" s="2"/>
      <c r="R563" s="2"/>
      <c r="S563" s="2"/>
      <c r="T563" s="2"/>
    </row>
    <row r="564" spans="1:20" ht="15.75" customHeight="1">
      <c r="A564" s="1"/>
      <c r="B564" s="2"/>
      <c r="C564" s="2"/>
      <c r="D564" s="2"/>
      <c r="E564" s="2"/>
      <c r="F564" s="2"/>
      <c r="G564" s="2"/>
      <c r="H564" s="2"/>
      <c r="I564" s="2"/>
      <c r="J564" s="2"/>
      <c r="K564" s="2"/>
      <c r="L564" s="2"/>
      <c r="M564" s="2"/>
      <c r="N564" s="2"/>
      <c r="O564" s="2"/>
      <c r="P564" s="2"/>
      <c r="Q564" s="2"/>
      <c r="R564" s="2"/>
      <c r="S564" s="2"/>
      <c r="T564" s="2"/>
    </row>
    <row r="565" spans="1:20" ht="15.75" customHeight="1">
      <c r="A565" s="1"/>
      <c r="B565" s="2"/>
      <c r="C565" s="2"/>
      <c r="D565" s="2"/>
      <c r="E565" s="2"/>
      <c r="F565" s="2"/>
      <c r="G565" s="2"/>
      <c r="H565" s="2"/>
      <c r="I565" s="2"/>
      <c r="J565" s="2"/>
      <c r="K565" s="2"/>
      <c r="L565" s="2"/>
      <c r="M565" s="2"/>
      <c r="N565" s="2"/>
      <c r="O565" s="2"/>
      <c r="P565" s="2"/>
      <c r="Q565" s="2"/>
      <c r="R565" s="2"/>
      <c r="S565" s="2"/>
      <c r="T565" s="2"/>
    </row>
    <row r="566" spans="1:20" ht="15.75" customHeight="1">
      <c r="A566" s="1"/>
      <c r="B566" s="2"/>
      <c r="C566" s="2"/>
      <c r="D566" s="2"/>
      <c r="E566" s="2"/>
      <c r="F566" s="2"/>
      <c r="G566" s="2"/>
      <c r="H566" s="2"/>
      <c r="I566" s="2"/>
      <c r="J566" s="2"/>
      <c r="K566" s="2"/>
      <c r="L566" s="2"/>
      <c r="M566" s="2"/>
      <c r="N566" s="2"/>
      <c r="O566" s="2"/>
      <c r="P566" s="2"/>
      <c r="Q566" s="2"/>
      <c r="R566" s="2"/>
      <c r="S566" s="2"/>
      <c r="T566" s="2"/>
    </row>
    <row r="567" spans="1:20" ht="15.75" customHeight="1">
      <c r="A567" s="1"/>
      <c r="B567" s="2"/>
      <c r="C567" s="2"/>
      <c r="D567" s="2"/>
      <c r="E567" s="2"/>
      <c r="F567" s="2"/>
      <c r="G567" s="2"/>
      <c r="H567" s="2"/>
      <c r="I567" s="2"/>
      <c r="J567" s="2"/>
      <c r="K567" s="2"/>
      <c r="L567" s="2"/>
      <c r="M567" s="2"/>
      <c r="N567" s="2"/>
      <c r="O567" s="2"/>
      <c r="P567" s="2"/>
      <c r="Q567" s="2"/>
      <c r="R567" s="2"/>
      <c r="S567" s="2"/>
      <c r="T567" s="2"/>
    </row>
    <row r="568" spans="1:20" ht="15.75" customHeight="1">
      <c r="A568" s="1"/>
      <c r="B568" s="2"/>
      <c r="C568" s="2"/>
      <c r="D568" s="2"/>
      <c r="E568" s="2"/>
      <c r="F568" s="2"/>
      <c r="G568" s="2"/>
      <c r="H568" s="2"/>
      <c r="I568" s="2"/>
      <c r="J568" s="2"/>
      <c r="K568" s="2"/>
      <c r="L568" s="2"/>
      <c r="M568" s="2"/>
      <c r="N568" s="2"/>
      <c r="O568" s="2"/>
      <c r="P568" s="2"/>
      <c r="Q568" s="2"/>
      <c r="R568" s="2"/>
      <c r="S568" s="2"/>
      <c r="T568" s="2"/>
    </row>
    <row r="569" spans="1:20" ht="15.75" customHeight="1">
      <c r="A569" s="1"/>
      <c r="B569" s="2"/>
      <c r="C569" s="2"/>
      <c r="D569" s="2"/>
      <c r="E569" s="2"/>
      <c r="F569" s="2"/>
      <c r="G569" s="2"/>
      <c r="H569" s="2"/>
      <c r="I569" s="2"/>
      <c r="J569" s="2"/>
      <c r="K569" s="2"/>
      <c r="L569" s="2"/>
      <c r="M569" s="2"/>
      <c r="N569" s="2"/>
      <c r="O569" s="2"/>
      <c r="P569" s="2"/>
      <c r="Q569" s="2"/>
      <c r="R569" s="2"/>
      <c r="S569" s="2"/>
      <c r="T569" s="2"/>
    </row>
    <row r="570" spans="1:20" ht="15.75" customHeight="1">
      <c r="A570" s="1"/>
      <c r="B570" s="2"/>
      <c r="C570" s="2"/>
      <c r="D570" s="2"/>
      <c r="E570" s="2"/>
      <c r="F570" s="2"/>
      <c r="G570" s="2"/>
      <c r="H570" s="2"/>
      <c r="I570" s="2"/>
      <c r="J570" s="2"/>
      <c r="K570" s="2"/>
      <c r="L570" s="2"/>
      <c r="M570" s="2"/>
      <c r="N570" s="2"/>
      <c r="O570" s="2"/>
      <c r="P570" s="2"/>
      <c r="Q570" s="2"/>
      <c r="R570" s="2"/>
      <c r="S570" s="2"/>
      <c r="T570" s="2"/>
    </row>
    <row r="571" spans="1:20" ht="15.75" customHeight="1">
      <c r="A571" s="1"/>
      <c r="B571" s="2"/>
      <c r="C571" s="2"/>
      <c r="D571" s="2"/>
      <c r="E571" s="2"/>
      <c r="F571" s="2"/>
      <c r="G571" s="2"/>
      <c r="H571" s="2"/>
      <c r="I571" s="2"/>
      <c r="J571" s="2"/>
      <c r="K571" s="2"/>
      <c r="L571" s="2"/>
      <c r="M571" s="2"/>
      <c r="N571" s="2"/>
      <c r="O571" s="2"/>
      <c r="P571" s="2"/>
      <c r="Q571" s="2"/>
      <c r="R571" s="2"/>
      <c r="S571" s="2"/>
      <c r="T571" s="2"/>
    </row>
    <row r="572" spans="1:20" ht="15.75" customHeight="1">
      <c r="A572" s="1"/>
      <c r="B572" s="2"/>
      <c r="C572" s="2"/>
      <c r="D572" s="2"/>
      <c r="E572" s="2"/>
      <c r="F572" s="2"/>
      <c r="G572" s="2"/>
      <c r="H572" s="2"/>
      <c r="I572" s="2"/>
      <c r="J572" s="2"/>
      <c r="K572" s="2"/>
      <c r="L572" s="2"/>
      <c r="M572" s="2"/>
      <c r="N572" s="2"/>
      <c r="O572" s="2"/>
      <c r="P572" s="2"/>
      <c r="Q572" s="2"/>
      <c r="R572" s="2"/>
      <c r="S572" s="2"/>
      <c r="T572" s="2"/>
    </row>
    <row r="573" spans="1:20" ht="15.75" customHeight="1">
      <c r="A573" s="1"/>
      <c r="B573" s="2"/>
      <c r="C573" s="2"/>
      <c r="D573" s="2"/>
      <c r="E573" s="2"/>
      <c r="F573" s="2"/>
      <c r="G573" s="2"/>
      <c r="H573" s="2"/>
      <c r="I573" s="2"/>
      <c r="J573" s="2"/>
      <c r="K573" s="2"/>
      <c r="L573" s="2"/>
      <c r="M573" s="2"/>
      <c r="N573" s="2"/>
      <c r="O573" s="2"/>
      <c r="P573" s="2"/>
      <c r="Q573" s="2"/>
      <c r="R573" s="2"/>
      <c r="S573" s="2"/>
      <c r="T573" s="2"/>
    </row>
    <row r="574" spans="1:20" ht="15.75" customHeight="1">
      <c r="A574" s="1"/>
      <c r="B574" s="2"/>
      <c r="C574" s="2"/>
      <c r="D574" s="2"/>
      <c r="E574" s="2"/>
      <c r="F574" s="2"/>
      <c r="G574" s="2"/>
      <c r="H574" s="2"/>
      <c r="I574" s="2"/>
      <c r="J574" s="2"/>
      <c r="K574" s="2"/>
      <c r="L574" s="2"/>
      <c r="M574" s="2"/>
      <c r="N574" s="2"/>
      <c r="O574" s="2"/>
      <c r="P574" s="2"/>
      <c r="Q574" s="2"/>
      <c r="R574" s="2"/>
      <c r="S574" s="2"/>
      <c r="T574" s="2"/>
    </row>
    <row r="575" spans="1:20" ht="15.75" customHeight="1">
      <c r="A575" s="1"/>
      <c r="B575" s="2"/>
      <c r="C575" s="2"/>
      <c r="D575" s="2"/>
      <c r="E575" s="2"/>
      <c r="F575" s="2"/>
      <c r="G575" s="2"/>
      <c r="H575" s="2"/>
      <c r="I575" s="2"/>
      <c r="J575" s="2"/>
      <c r="K575" s="2"/>
      <c r="L575" s="2"/>
      <c r="M575" s="2"/>
      <c r="N575" s="2"/>
      <c r="O575" s="2"/>
      <c r="P575" s="2"/>
      <c r="Q575" s="2"/>
      <c r="R575" s="2"/>
      <c r="S575" s="2"/>
      <c r="T575" s="2"/>
    </row>
    <row r="576" spans="1:20" ht="15.75" customHeight="1">
      <c r="A576" s="1"/>
      <c r="B576" s="2"/>
      <c r="C576" s="2"/>
      <c r="D576" s="2"/>
      <c r="E576" s="2"/>
      <c r="F576" s="2"/>
      <c r="G576" s="2"/>
      <c r="H576" s="2"/>
      <c r="I576" s="2"/>
      <c r="J576" s="2"/>
      <c r="K576" s="2"/>
      <c r="L576" s="2"/>
      <c r="M576" s="2"/>
      <c r="N576" s="2"/>
      <c r="O576" s="2"/>
      <c r="P576" s="2"/>
      <c r="Q576" s="2"/>
      <c r="R576" s="2"/>
      <c r="S576" s="2"/>
      <c r="T576" s="2"/>
    </row>
    <row r="577" spans="1:20" ht="15.75" customHeight="1">
      <c r="A577" s="1"/>
      <c r="B577" s="2"/>
      <c r="C577" s="2"/>
      <c r="D577" s="2"/>
      <c r="E577" s="2"/>
      <c r="F577" s="2"/>
      <c r="G577" s="2"/>
      <c r="H577" s="2"/>
      <c r="I577" s="2"/>
      <c r="J577" s="2"/>
      <c r="K577" s="2"/>
      <c r="L577" s="2"/>
      <c r="M577" s="2"/>
      <c r="N577" s="2"/>
      <c r="O577" s="2"/>
      <c r="P577" s="2"/>
      <c r="Q577" s="2"/>
      <c r="R577" s="2"/>
      <c r="S577" s="2"/>
      <c r="T577" s="2"/>
    </row>
    <row r="578" spans="1:20" ht="15.75" customHeight="1">
      <c r="A578" s="1"/>
      <c r="B578" s="2"/>
      <c r="C578" s="2"/>
      <c r="D578" s="2"/>
      <c r="E578" s="2"/>
      <c r="F578" s="2"/>
      <c r="G578" s="2"/>
      <c r="H578" s="2"/>
      <c r="I578" s="2"/>
      <c r="J578" s="2"/>
      <c r="K578" s="2"/>
      <c r="L578" s="2"/>
      <c r="M578" s="2"/>
      <c r="N578" s="2"/>
      <c r="O578" s="2"/>
      <c r="P578" s="2"/>
      <c r="Q578" s="2"/>
      <c r="R578" s="2"/>
      <c r="S578" s="2"/>
      <c r="T578" s="2"/>
    </row>
    <row r="579" spans="1:20" ht="15.75" customHeight="1">
      <c r="A579" s="1"/>
      <c r="B579" s="2"/>
      <c r="C579" s="2"/>
      <c r="D579" s="2"/>
      <c r="E579" s="2"/>
      <c r="F579" s="2"/>
      <c r="G579" s="2"/>
      <c r="H579" s="2"/>
      <c r="I579" s="2"/>
      <c r="J579" s="2"/>
      <c r="K579" s="2"/>
      <c r="L579" s="2"/>
      <c r="M579" s="2"/>
      <c r="N579" s="2"/>
      <c r="O579" s="2"/>
      <c r="P579" s="2"/>
      <c r="Q579" s="2"/>
      <c r="R579" s="2"/>
      <c r="S579" s="2"/>
      <c r="T579" s="2"/>
    </row>
    <row r="580" spans="1:20" ht="15.75" customHeight="1">
      <c r="A580" s="1"/>
      <c r="B580" s="2"/>
      <c r="C580" s="2"/>
      <c r="D580" s="2"/>
      <c r="E580" s="2"/>
      <c r="F580" s="2"/>
      <c r="G580" s="2"/>
      <c r="H580" s="2"/>
      <c r="I580" s="2"/>
      <c r="J580" s="2"/>
      <c r="K580" s="2"/>
      <c r="L580" s="2"/>
      <c r="M580" s="2"/>
      <c r="N580" s="2"/>
      <c r="O580" s="2"/>
      <c r="P580" s="2"/>
      <c r="Q580" s="2"/>
      <c r="R580" s="2"/>
      <c r="S580" s="2"/>
      <c r="T580" s="2"/>
    </row>
    <row r="581" spans="1:20" ht="15.75" customHeight="1">
      <c r="A581" s="1"/>
      <c r="B581" s="2"/>
      <c r="C581" s="2"/>
      <c r="D581" s="2"/>
      <c r="E581" s="2"/>
      <c r="F581" s="2"/>
      <c r="G581" s="2"/>
      <c r="H581" s="2"/>
      <c r="I581" s="2"/>
      <c r="J581" s="2"/>
      <c r="K581" s="2"/>
      <c r="L581" s="2"/>
      <c r="M581" s="2"/>
      <c r="N581" s="2"/>
      <c r="O581" s="2"/>
      <c r="P581" s="2"/>
      <c r="Q581" s="2"/>
      <c r="R581" s="2"/>
      <c r="S581" s="2"/>
      <c r="T581" s="2"/>
    </row>
    <row r="582" spans="1:20" ht="15.75" customHeight="1">
      <c r="A582" s="1"/>
      <c r="B582" s="2"/>
      <c r="C582" s="2"/>
      <c r="D582" s="2"/>
      <c r="E582" s="2"/>
      <c r="F582" s="2"/>
      <c r="G582" s="2"/>
      <c r="H582" s="2"/>
      <c r="I582" s="2"/>
      <c r="J582" s="2"/>
      <c r="K582" s="2"/>
      <c r="L582" s="2"/>
      <c r="M582" s="2"/>
      <c r="N582" s="2"/>
      <c r="O582" s="2"/>
      <c r="P582" s="2"/>
      <c r="Q582" s="2"/>
      <c r="R582" s="2"/>
      <c r="S582" s="2"/>
      <c r="T582" s="2"/>
    </row>
    <row r="583" spans="1:20" ht="15.75" customHeight="1">
      <c r="A583" s="1"/>
      <c r="B583" s="2"/>
      <c r="C583" s="2"/>
      <c r="D583" s="2"/>
      <c r="E583" s="2"/>
      <c r="F583" s="2"/>
      <c r="G583" s="2"/>
      <c r="H583" s="2"/>
      <c r="I583" s="2"/>
      <c r="J583" s="2"/>
      <c r="K583" s="2"/>
      <c r="L583" s="2"/>
      <c r="M583" s="2"/>
      <c r="N583" s="2"/>
      <c r="O583" s="2"/>
      <c r="P583" s="2"/>
      <c r="Q583" s="2"/>
      <c r="R583" s="2"/>
      <c r="S583" s="2"/>
      <c r="T583" s="2"/>
    </row>
    <row r="584" spans="1:20" ht="15.75" customHeight="1">
      <c r="A584" s="1"/>
      <c r="B584" s="2"/>
      <c r="C584" s="2"/>
      <c r="D584" s="2"/>
      <c r="E584" s="2"/>
      <c r="F584" s="2"/>
      <c r="G584" s="2"/>
      <c r="H584" s="2"/>
      <c r="I584" s="2"/>
      <c r="J584" s="2"/>
      <c r="K584" s="2"/>
      <c r="L584" s="2"/>
      <c r="M584" s="2"/>
      <c r="N584" s="2"/>
      <c r="O584" s="2"/>
      <c r="P584" s="2"/>
      <c r="Q584" s="2"/>
      <c r="R584" s="2"/>
      <c r="S584" s="2"/>
      <c r="T584" s="2"/>
    </row>
    <row r="585" spans="1:20" ht="15.75" customHeight="1">
      <c r="A585" s="1"/>
      <c r="B585" s="2"/>
      <c r="C585" s="2"/>
      <c r="D585" s="2"/>
      <c r="E585" s="2"/>
      <c r="F585" s="2"/>
      <c r="G585" s="2"/>
      <c r="H585" s="2"/>
      <c r="I585" s="2"/>
      <c r="J585" s="2"/>
      <c r="K585" s="2"/>
      <c r="L585" s="2"/>
      <c r="M585" s="2"/>
      <c r="N585" s="2"/>
      <c r="O585" s="2"/>
      <c r="P585" s="2"/>
      <c r="Q585" s="2"/>
      <c r="R585" s="2"/>
      <c r="S585" s="2"/>
      <c r="T585" s="2"/>
    </row>
    <row r="586" spans="1:20" ht="15.75" customHeight="1">
      <c r="A586" s="1"/>
      <c r="B586" s="2"/>
      <c r="C586" s="2"/>
      <c r="D586" s="2"/>
      <c r="E586" s="2"/>
      <c r="F586" s="2"/>
      <c r="G586" s="2"/>
      <c r="H586" s="2"/>
      <c r="I586" s="2"/>
      <c r="J586" s="2"/>
      <c r="K586" s="2"/>
      <c r="L586" s="2"/>
      <c r="M586" s="2"/>
      <c r="N586" s="2"/>
      <c r="O586" s="2"/>
      <c r="P586" s="2"/>
      <c r="Q586" s="2"/>
      <c r="R586" s="2"/>
      <c r="S586" s="2"/>
      <c r="T586" s="2"/>
    </row>
    <row r="587" spans="1:20" ht="15.75" customHeight="1">
      <c r="A587" s="1"/>
      <c r="B587" s="2"/>
      <c r="C587" s="2"/>
      <c r="D587" s="2"/>
      <c r="E587" s="2"/>
      <c r="F587" s="2"/>
      <c r="G587" s="2"/>
      <c r="H587" s="2"/>
      <c r="I587" s="2"/>
      <c r="J587" s="2"/>
      <c r="K587" s="2"/>
      <c r="L587" s="2"/>
      <c r="M587" s="2"/>
      <c r="N587" s="2"/>
      <c r="O587" s="2"/>
      <c r="P587" s="2"/>
      <c r="Q587" s="2"/>
      <c r="R587" s="2"/>
      <c r="S587" s="2"/>
      <c r="T587" s="2"/>
    </row>
    <row r="588" spans="1:20" ht="15.75" customHeight="1">
      <c r="A588" s="1"/>
      <c r="B588" s="2"/>
      <c r="C588" s="2"/>
      <c r="D588" s="2"/>
      <c r="E588" s="2"/>
      <c r="F588" s="2"/>
      <c r="G588" s="2"/>
      <c r="H588" s="2"/>
      <c r="I588" s="2"/>
      <c r="J588" s="2"/>
      <c r="K588" s="2"/>
      <c r="L588" s="2"/>
      <c r="M588" s="2"/>
      <c r="N588" s="2"/>
      <c r="O588" s="2"/>
      <c r="P588" s="2"/>
      <c r="Q588" s="2"/>
      <c r="R588" s="2"/>
      <c r="S588" s="2"/>
      <c r="T588" s="2"/>
    </row>
    <row r="589" spans="1:20" ht="15.75" customHeight="1">
      <c r="A589" s="1"/>
      <c r="B589" s="2"/>
      <c r="C589" s="2"/>
      <c r="D589" s="2"/>
      <c r="E589" s="2"/>
      <c r="F589" s="2"/>
      <c r="G589" s="2"/>
      <c r="H589" s="2"/>
      <c r="I589" s="2"/>
      <c r="J589" s="2"/>
      <c r="K589" s="2"/>
      <c r="L589" s="2"/>
      <c r="M589" s="2"/>
      <c r="N589" s="2"/>
      <c r="O589" s="2"/>
      <c r="P589" s="2"/>
      <c r="Q589" s="2"/>
      <c r="R589" s="2"/>
      <c r="S589" s="2"/>
      <c r="T589" s="2"/>
    </row>
    <row r="590" spans="1:20" ht="15.75" customHeight="1">
      <c r="A590" s="1"/>
      <c r="B590" s="2"/>
      <c r="C590" s="2"/>
      <c r="D590" s="2"/>
      <c r="E590" s="2"/>
      <c r="F590" s="2"/>
      <c r="G590" s="2"/>
      <c r="H590" s="2"/>
      <c r="I590" s="2"/>
      <c r="J590" s="2"/>
      <c r="K590" s="2"/>
      <c r="L590" s="2"/>
      <c r="M590" s="2"/>
      <c r="N590" s="2"/>
      <c r="O590" s="2"/>
      <c r="P590" s="2"/>
      <c r="Q590" s="2"/>
      <c r="R590" s="2"/>
      <c r="S590" s="2"/>
      <c r="T590" s="2"/>
    </row>
    <row r="591" spans="1:20" ht="15.75" customHeight="1">
      <c r="A591" s="1"/>
      <c r="B591" s="2"/>
      <c r="C591" s="2"/>
      <c r="D591" s="2"/>
      <c r="E591" s="2"/>
      <c r="F591" s="2"/>
      <c r="G591" s="2"/>
      <c r="H591" s="2"/>
      <c r="I591" s="2"/>
      <c r="J591" s="2"/>
      <c r="K591" s="2"/>
      <c r="L591" s="2"/>
      <c r="M591" s="2"/>
      <c r="N591" s="2"/>
      <c r="O591" s="2"/>
      <c r="P591" s="2"/>
      <c r="Q591" s="2"/>
      <c r="R591" s="2"/>
      <c r="S591" s="2"/>
      <c r="T591" s="2"/>
    </row>
    <row r="592" spans="1:20" ht="15.75" customHeight="1">
      <c r="A592" s="1"/>
      <c r="B592" s="2"/>
      <c r="C592" s="2"/>
      <c r="D592" s="2"/>
      <c r="E592" s="2"/>
      <c r="F592" s="2"/>
      <c r="G592" s="2"/>
      <c r="H592" s="2"/>
      <c r="I592" s="2"/>
      <c r="J592" s="2"/>
      <c r="K592" s="2"/>
      <c r="L592" s="2"/>
      <c r="M592" s="2"/>
      <c r="N592" s="2"/>
      <c r="O592" s="2"/>
      <c r="P592" s="2"/>
      <c r="Q592" s="2"/>
      <c r="R592" s="2"/>
      <c r="S592" s="2"/>
      <c r="T592" s="2"/>
    </row>
    <row r="593" spans="1:20" ht="15.75" customHeight="1">
      <c r="A593" s="1"/>
      <c r="B593" s="2"/>
      <c r="C593" s="2"/>
      <c r="D593" s="2"/>
      <c r="E593" s="2"/>
      <c r="F593" s="2"/>
      <c r="G593" s="2"/>
      <c r="H593" s="2"/>
      <c r="I593" s="2"/>
      <c r="J593" s="2"/>
      <c r="K593" s="2"/>
      <c r="L593" s="2"/>
      <c r="M593" s="2"/>
      <c r="N593" s="2"/>
      <c r="O593" s="2"/>
      <c r="P593" s="2"/>
      <c r="Q593" s="2"/>
      <c r="R593" s="2"/>
      <c r="S593" s="2"/>
      <c r="T593" s="2"/>
    </row>
    <row r="594" spans="1:20" ht="15.75" customHeight="1">
      <c r="A594" s="1"/>
      <c r="B594" s="2"/>
      <c r="C594" s="2"/>
      <c r="D594" s="2"/>
      <c r="E594" s="2"/>
      <c r="F594" s="2"/>
      <c r="G594" s="2"/>
      <c r="H594" s="2"/>
      <c r="I594" s="2"/>
      <c r="J594" s="2"/>
      <c r="K594" s="2"/>
      <c r="L594" s="2"/>
      <c r="M594" s="2"/>
      <c r="N594" s="2"/>
      <c r="O594" s="2"/>
      <c r="P594" s="2"/>
      <c r="Q594" s="2"/>
      <c r="R594" s="2"/>
      <c r="S594" s="2"/>
      <c r="T594" s="2"/>
    </row>
    <row r="595" spans="1:20" ht="15.75" customHeight="1">
      <c r="A595" s="1"/>
      <c r="B595" s="2"/>
      <c r="C595" s="2"/>
      <c r="D595" s="2"/>
      <c r="E595" s="2"/>
      <c r="F595" s="2"/>
      <c r="G595" s="2"/>
      <c r="H595" s="2"/>
      <c r="I595" s="2"/>
      <c r="J595" s="2"/>
      <c r="K595" s="2"/>
      <c r="L595" s="2"/>
      <c r="M595" s="2"/>
      <c r="N595" s="2"/>
      <c r="O595" s="2"/>
      <c r="P595" s="2"/>
      <c r="Q595" s="2"/>
      <c r="R595" s="2"/>
      <c r="S595" s="2"/>
      <c r="T595" s="2"/>
    </row>
    <row r="596" spans="1:20" ht="15.75" customHeight="1">
      <c r="A596" s="1"/>
      <c r="B596" s="2"/>
      <c r="C596" s="2"/>
      <c r="D596" s="2"/>
      <c r="E596" s="2"/>
      <c r="F596" s="2"/>
      <c r="G596" s="2"/>
      <c r="H596" s="2"/>
      <c r="I596" s="2"/>
      <c r="J596" s="2"/>
      <c r="K596" s="2"/>
      <c r="L596" s="2"/>
      <c r="M596" s="2"/>
      <c r="N596" s="2"/>
      <c r="O596" s="2"/>
      <c r="P596" s="2"/>
      <c r="Q596" s="2"/>
      <c r="R596" s="2"/>
      <c r="S596" s="2"/>
      <c r="T596" s="2"/>
    </row>
    <row r="597" spans="1:20" ht="15.75" customHeight="1">
      <c r="A597" s="1"/>
      <c r="B597" s="2"/>
      <c r="C597" s="2"/>
      <c r="D597" s="2"/>
      <c r="E597" s="2"/>
      <c r="F597" s="2"/>
      <c r="G597" s="2"/>
      <c r="H597" s="2"/>
      <c r="I597" s="2"/>
      <c r="J597" s="2"/>
      <c r="K597" s="2"/>
      <c r="L597" s="2"/>
      <c r="M597" s="2"/>
      <c r="N597" s="2"/>
      <c r="O597" s="2"/>
      <c r="P597" s="2"/>
      <c r="Q597" s="2"/>
      <c r="R597" s="2"/>
      <c r="S597" s="2"/>
      <c r="T597" s="2"/>
    </row>
    <row r="598" spans="1:20" ht="15.75" customHeight="1">
      <c r="A598" s="1"/>
      <c r="B598" s="2"/>
      <c r="C598" s="2"/>
      <c r="D598" s="2"/>
      <c r="E598" s="2"/>
      <c r="F598" s="2"/>
      <c r="G598" s="2"/>
      <c r="H598" s="2"/>
      <c r="I598" s="2"/>
      <c r="J598" s="2"/>
      <c r="K598" s="2"/>
      <c r="L598" s="2"/>
      <c r="M598" s="2"/>
      <c r="N598" s="2"/>
      <c r="O598" s="2"/>
      <c r="P598" s="2"/>
      <c r="Q598" s="2"/>
      <c r="R598" s="2"/>
      <c r="S598" s="2"/>
      <c r="T598" s="2"/>
    </row>
    <row r="599" spans="1:20" ht="15.75" customHeight="1">
      <c r="A599" s="1"/>
      <c r="B599" s="2"/>
      <c r="C599" s="2"/>
      <c r="D599" s="2"/>
      <c r="E599" s="2"/>
      <c r="F599" s="2"/>
      <c r="G599" s="2"/>
      <c r="H599" s="2"/>
      <c r="I599" s="2"/>
      <c r="J599" s="2"/>
      <c r="K599" s="2"/>
      <c r="L599" s="2"/>
      <c r="M599" s="2"/>
      <c r="N599" s="2"/>
      <c r="O599" s="2"/>
      <c r="P599" s="2"/>
      <c r="Q599" s="2"/>
      <c r="R599" s="2"/>
      <c r="S599" s="2"/>
      <c r="T599" s="2"/>
    </row>
    <row r="600" spans="1:20" ht="15.75" customHeight="1">
      <c r="A600" s="1"/>
      <c r="B600" s="2"/>
      <c r="C600" s="2"/>
      <c r="D600" s="2"/>
      <c r="E600" s="2"/>
      <c r="F600" s="2"/>
      <c r="G600" s="2"/>
      <c r="H600" s="2"/>
      <c r="I600" s="2"/>
      <c r="J600" s="2"/>
      <c r="K600" s="2"/>
      <c r="L600" s="2"/>
      <c r="M600" s="2"/>
      <c r="N600" s="2"/>
      <c r="O600" s="2"/>
      <c r="P600" s="2"/>
      <c r="Q600" s="2"/>
      <c r="R600" s="2"/>
      <c r="S600" s="2"/>
      <c r="T600" s="2"/>
    </row>
    <row r="601" spans="1:20" ht="15.75" customHeight="1">
      <c r="A601" s="1"/>
      <c r="B601" s="2"/>
      <c r="C601" s="2"/>
      <c r="D601" s="2"/>
      <c r="E601" s="2"/>
      <c r="F601" s="2"/>
      <c r="G601" s="2"/>
      <c r="H601" s="2"/>
      <c r="I601" s="2"/>
      <c r="J601" s="2"/>
      <c r="K601" s="2"/>
      <c r="L601" s="2"/>
      <c r="M601" s="2"/>
      <c r="N601" s="2"/>
      <c r="O601" s="2"/>
      <c r="P601" s="2"/>
      <c r="Q601" s="2"/>
      <c r="R601" s="2"/>
      <c r="S601" s="2"/>
      <c r="T601" s="2"/>
    </row>
    <row r="602" spans="1:20" ht="15.75" customHeight="1">
      <c r="A602" s="1"/>
      <c r="B602" s="2"/>
      <c r="C602" s="2"/>
      <c r="D602" s="2"/>
      <c r="E602" s="2"/>
      <c r="F602" s="2"/>
      <c r="G602" s="2"/>
      <c r="H602" s="2"/>
      <c r="I602" s="2"/>
      <c r="J602" s="2"/>
      <c r="K602" s="2"/>
      <c r="L602" s="2"/>
      <c r="M602" s="2"/>
      <c r="N602" s="2"/>
      <c r="O602" s="2"/>
      <c r="P602" s="2"/>
      <c r="Q602" s="2"/>
      <c r="R602" s="2"/>
      <c r="S602" s="2"/>
      <c r="T602" s="2"/>
    </row>
    <row r="603" spans="1:20" ht="15.75" customHeight="1">
      <c r="A603" s="1"/>
      <c r="B603" s="2"/>
      <c r="C603" s="2"/>
      <c r="D603" s="2"/>
      <c r="E603" s="2"/>
      <c r="F603" s="2"/>
      <c r="G603" s="2"/>
      <c r="H603" s="2"/>
      <c r="I603" s="2"/>
      <c r="J603" s="2"/>
      <c r="K603" s="2"/>
      <c r="L603" s="2"/>
      <c r="M603" s="2"/>
      <c r="N603" s="2"/>
      <c r="O603" s="2"/>
      <c r="P603" s="2"/>
      <c r="Q603" s="2"/>
      <c r="R603" s="2"/>
      <c r="S603" s="2"/>
      <c r="T603" s="2"/>
    </row>
    <row r="604" spans="1:20" ht="15.75" customHeight="1">
      <c r="A604" s="1"/>
      <c r="B604" s="2"/>
      <c r="C604" s="2"/>
      <c r="D604" s="2"/>
      <c r="E604" s="2"/>
      <c r="F604" s="2"/>
      <c r="G604" s="2"/>
      <c r="H604" s="2"/>
      <c r="I604" s="2"/>
      <c r="J604" s="2"/>
      <c r="K604" s="2"/>
      <c r="L604" s="2"/>
      <c r="M604" s="2"/>
      <c r="N604" s="2"/>
      <c r="O604" s="2"/>
      <c r="P604" s="2"/>
      <c r="Q604" s="2"/>
      <c r="R604" s="2"/>
      <c r="S604" s="2"/>
      <c r="T604" s="2"/>
    </row>
    <row r="605" spans="1:20" ht="15.75" customHeight="1">
      <c r="A605" s="1"/>
      <c r="B605" s="2"/>
      <c r="C605" s="2"/>
      <c r="D605" s="2"/>
      <c r="E605" s="2"/>
      <c r="F605" s="2"/>
      <c r="G605" s="2"/>
      <c r="H605" s="2"/>
      <c r="I605" s="2"/>
      <c r="J605" s="2"/>
      <c r="K605" s="2"/>
      <c r="L605" s="2"/>
      <c r="M605" s="2"/>
      <c r="N605" s="2"/>
      <c r="O605" s="2"/>
      <c r="P605" s="2"/>
      <c r="Q605" s="2"/>
      <c r="R605" s="2"/>
      <c r="S605" s="2"/>
      <c r="T605" s="2"/>
    </row>
    <row r="606" spans="1:20" ht="15.75" customHeight="1">
      <c r="A606" s="1"/>
      <c r="B606" s="2"/>
      <c r="C606" s="2"/>
      <c r="D606" s="2"/>
      <c r="E606" s="2"/>
      <c r="F606" s="2"/>
      <c r="G606" s="2"/>
      <c r="H606" s="2"/>
      <c r="I606" s="2"/>
      <c r="J606" s="2"/>
      <c r="K606" s="2"/>
      <c r="L606" s="2"/>
      <c r="M606" s="2"/>
      <c r="N606" s="2"/>
      <c r="O606" s="2"/>
      <c r="P606" s="2"/>
      <c r="Q606" s="2"/>
      <c r="R606" s="2"/>
      <c r="S606" s="2"/>
      <c r="T606" s="2"/>
    </row>
    <row r="607" spans="1:20" ht="15.75" customHeight="1">
      <c r="A607" s="1"/>
      <c r="B607" s="2"/>
      <c r="C607" s="2"/>
      <c r="D607" s="2"/>
      <c r="E607" s="2"/>
      <c r="F607" s="2"/>
      <c r="G607" s="2"/>
      <c r="H607" s="2"/>
      <c r="I607" s="2"/>
      <c r="J607" s="2"/>
      <c r="K607" s="2"/>
      <c r="L607" s="2"/>
      <c r="M607" s="2"/>
      <c r="N607" s="2"/>
      <c r="O607" s="2"/>
      <c r="P607" s="2"/>
      <c r="Q607" s="2"/>
      <c r="R607" s="2"/>
      <c r="S607" s="2"/>
      <c r="T607" s="2"/>
    </row>
    <row r="608" spans="1:20" ht="15.75" customHeight="1">
      <c r="A608" s="1"/>
      <c r="B608" s="2"/>
      <c r="C608" s="2"/>
      <c r="D608" s="2"/>
      <c r="E608" s="2"/>
      <c r="F608" s="2"/>
      <c r="G608" s="2"/>
      <c r="H608" s="2"/>
      <c r="I608" s="2"/>
      <c r="J608" s="2"/>
      <c r="K608" s="2"/>
      <c r="L608" s="2"/>
      <c r="M608" s="2"/>
      <c r="N608" s="2"/>
      <c r="O608" s="2"/>
      <c r="P608" s="2"/>
      <c r="Q608" s="2"/>
      <c r="R608" s="2"/>
      <c r="S608" s="2"/>
      <c r="T608" s="2"/>
    </row>
    <row r="609" spans="1:20" ht="15.75" customHeight="1">
      <c r="A609" s="1"/>
      <c r="B609" s="2"/>
      <c r="C609" s="2"/>
      <c r="D609" s="2"/>
      <c r="E609" s="2"/>
      <c r="F609" s="2"/>
      <c r="G609" s="2"/>
      <c r="H609" s="2"/>
      <c r="I609" s="2"/>
      <c r="J609" s="2"/>
      <c r="K609" s="2"/>
      <c r="L609" s="2"/>
      <c r="M609" s="2"/>
      <c r="N609" s="2"/>
      <c r="O609" s="2"/>
      <c r="P609" s="2"/>
      <c r="Q609" s="2"/>
      <c r="R609" s="2"/>
      <c r="S609" s="2"/>
      <c r="T609" s="2"/>
    </row>
    <row r="610" spans="1:20" ht="15.75" customHeight="1">
      <c r="A610" s="1"/>
      <c r="B610" s="2"/>
      <c r="C610" s="2"/>
      <c r="D610" s="2"/>
      <c r="E610" s="2"/>
      <c r="F610" s="2"/>
      <c r="G610" s="2"/>
      <c r="H610" s="2"/>
      <c r="I610" s="2"/>
      <c r="J610" s="2"/>
      <c r="K610" s="2"/>
      <c r="L610" s="2"/>
      <c r="M610" s="2"/>
      <c r="N610" s="2"/>
      <c r="O610" s="2"/>
      <c r="P610" s="2"/>
      <c r="Q610" s="2"/>
      <c r="R610" s="2"/>
      <c r="S610" s="2"/>
      <c r="T610" s="2"/>
    </row>
    <row r="611" spans="1:20" ht="15.75" customHeight="1">
      <c r="A611" s="1"/>
      <c r="B611" s="2"/>
      <c r="C611" s="2"/>
      <c r="D611" s="2"/>
      <c r="E611" s="2"/>
      <c r="F611" s="2"/>
      <c r="G611" s="2"/>
      <c r="H611" s="2"/>
      <c r="I611" s="2"/>
      <c r="J611" s="2"/>
      <c r="K611" s="2"/>
      <c r="L611" s="2"/>
      <c r="M611" s="2"/>
      <c r="N611" s="2"/>
      <c r="O611" s="2"/>
      <c r="P611" s="2"/>
      <c r="Q611" s="2"/>
      <c r="R611" s="2"/>
      <c r="S611" s="2"/>
      <c r="T611" s="2"/>
    </row>
    <row r="612" spans="1:20" ht="15.75" customHeight="1">
      <c r="A612" s="1"/>
      <c r="B612" s="2"/>
      <c r="C612" s="2"/>
      <c r="D612" s="2"/>
      <c r="E612" s="2"/>
      <c r="F612" s="2"/>
      <c r="G612" s="2"/>
      <c r="H612" s="2"/>
      <c r="I612" s="2"/>
      <c r="J612" s="2"/>
      <c r="K612" s="2"/>
      <c r="L612" s="2"/>
      <c r="M612" s="2"/>
      <c r="N612" s="2"/>
      <c r="O612" s="2"/>
      <c r="P612" s="2"/>
      <c r="Q612" s="2"/>
      <c r="R612" s="2"/>
      <c r="S612" s="2"/>
      <c r="T612" s="2"/>
    </row>
    <row r="613" spans="1:20" ht="15.75" customHeight="1">
      <c r="A613" s="1"/>
      <c r="B613" s="2"/>
      <c r="C613" s="2"/>
      <c r="D613" s="2"/>
      <c r="E613" s="2"/>
      <c r="F613" s="2"/>
      <c r="G613" s="2"/>
      <c r="H613" s="2"/>
      <c r="I613" s="2"/>
      <c r="J613" s="2"/>
      <c r="K613" s="2"/>
      <c r="L613" s="2"/>
      <c r="M613" s="2"/>
      <c r="N613" s="2"/>
      <c r="O613" s="2"/>
      <c r="P613" s="2"/>
      <c r="Q613" s="2"/>
      <c r="R613" s="2"/>
      <c r="S613" s="2"/>
      <c r="T613" s="2"/>
    </row>
    <row r="614" spans="1:20" ht="15.75" customHeight="1">
      <c r="A614" s="1"/>
      <c r="B614" s="2"/>
      <c r="C614" s="2"/>
      <c r="D614" s="2"/>
      <c r="E614" s="2"/>
      <c r="F614" s="2"/>
      <c r="G614" s="2"/>
      <c r="H614" s="2"/>
      <c r="I614" s="2"/>
      <c r="J614" s="2"/>
      <c r="K614" s="2"/>
      <c r="L614" s="2"/>
      <c r="M614" s="2"/>
      <c r="N614" s="2"/>
      <c r="O614" s="2"/>
      <c r="P614" s="2"/>
      <c r="Q614" s="2"/>
      <c r="R614" s="2"/>
      <c r="S614" s="2"/>
      <c r="T614" s="2"/>
    </row>
    <row r="615" spans="1:20" ht="15.75" customHeight="1">
      <c r="A615" s="1"/>
      <c r="B615" s="2"/>
      <c r="C615" s="2"/>
      <c r="D615" s="2"/>
      <c r="E615" s="2"/>
      <c r="F615" s="2"/>
      <c r="G615" s="2"/>
      <c r="H615" s="2"/>
      <c r="I615" s="2"/>
      <c r="J615" s="2"/>
      <c r="K615" s="2"/>
      <c r="L615" s="2"/>
      <c r="M615" s="2"/>
      <c r="N615" s="2"/>
      <c r="O615" s="2"/>
      <c r="P615" s="2"/>
      <c r="Q615" s="2"/>
      <c r="R615" s="2"/>
      <c r="S615" s="2"/>
      <c r="T615" s="2"/>
    </row>
    <row r="616" spans="1:20" ht="15.75" customHeight="1">
      <c r="A616" s="1"/>
      <c r="B616" s="2"/>
      <c r="C616" s="2"/>
      <c r="D616" s="2"/>
      <c r="E616" s="2"/>
      <c r="F616" s="2"/>
      <c r="G616" s="2"/>
      <c r="H616" s="2"/>
      <c r="I616" s="2"/>
      <c r="J616" s="2"/>
      <c r="K616" s="2"/>
      <c r="L616" s="2"/>
      <c r="M616" s="2"/>
      <c r="N616" s="2"/>
      <c r="O616" s="2"/>
      <c r="P616" s="2"/>
      <c r="Q616" s="2"/>
      <c r="R616" s="2"/>
      <c r="S616" s="2"/>
      <c r="T616" s="2"/>
    </row>
    <row r="617" spans="1:20" ht="15.75" customHeight="1">
      <c r="A617" s="1"/>
      <c r="B617" s="2"/>
      <c r="C617" s="2"/>
      <c r="D617" s="2"/>
      <c r="E617" s="2"/>
      <c r="F617" s="2"/>
      <c r="G617" s="2"/>
      <c r="H617" s="2"/>
      <c r="I617" s="2"/>
      <c r="J617" s="2"/>
      <c r="K617" s="2"/>
      <c r="L617" s="2"/>
      <c r="M617" s="2"/>
      <c r="N617" s="2"/>
      <c r="O617" s="2"/>
      <c r="P617" s="2"/>
      <c r="Q617" s="2"/>
      <c r="R617" s="2"/>
      <c r="S617" s="2"/>
      <c r="T617" s="2"/>
    </row>
    <row r="618" spans="1:20" ht="15.75" customHeight="1">
      <c r="A618" s="1"/>
      <c r="B618" s="2"/>
      <c r="C618" s="2"/>
      <c r="D618" s="2"/>
      <c r="E618" s="2"/>
      <c r="F618" s="2"/>
      <c r="G618" s="2"/>
      <c r="H618" s="2"/>
      <c r="I618" s="2"/>
      <c r="J618" s="2"/>
      <c r="K618" s="2"/>
      <c r="L618" s="2"/>
      <c r="M618" s="2"/>
      <c r="N618" s="2"/>
      <c r="O618" s="2"/>
      <c r="P618" s="2"/>
      <c r="Q618" s="2"/>
      <c r="R618" s="2"/>
      <c r="S618" s="2"/>
      <c r="T618" s="2"/>
    </row>
    <row r="619" spans="1:20" ht="15.75" customHeight="1">
      <c r="A619" s="1"/>
      <c r="B619" s="2"/>
      <c r="C619" s="2"/>
      <c r="D619" s="2"/>
      <c r="E619" s="2"/>
      <c r="F619" s="2"/>
      <c r="G619" s="2"/>
      <c r="H619" s="2"/>
      <c r="I619" s="2"/>
      <c r="J619" s="2"/>
      <c r="K619" s="2"/>
      <c r="L619" s="2"/>
      <c r="M619" s="2"/>
      <c r="N619" s="2"/>
      <c r="O619" s="2"/>
      <c r="P619" s="2"/>
      <c r="Q619" s="2"/>
      <c r="R619" s="2"/>
      <c r="S619" s="2"/>
      <c r="T619" s="2"/>
    </row>
    <row r="620" spans="1:20" ht="15.75" customHeight="1">
      <c r="A620" s="1"/>
      <c r="B620" s="2"/>
      <c r="C620" s="2"/>
      <c r="D620" s="2"/>
      <c r="E620" s="2"/>
      <c r="F620" s="2"/>
      <c r="G620" s="2"/>
      <c r="H620" s="2"/>
      <c r="I620" s="2"/>
      <c r="J620" s="2"/>
      <c r="K620" s="2"/>
      <c r="L620" s="2"/>
      <c r="M620" s="2"/>
      <c r="N620" s="2"/>
      <c r="O620" s="2"/>
      <c r="P620" s="2"/>
      <c r="Q620" s="2"/>
      <c r="R620" s="2"/>
      <c r="S620" s="2"/>
      <c r="T620" s="2"/>
    </row>
    <row r="621" spans="1:20" ht="15.75" customHeight="1">
      <c r="A621" s="1"/>
      <c r="B621" s="2"/>
      <c r="C621" s="2"/>
      <c r="D621" s="2"/>
      <c r="E621" s="2"/>
      <c r="F621" s="2"/>
      <c r="G621" s="2"/>
      <c r="H621" s="2"/>
      <c r="I621" s="2"/>
      <c r="J621" s="2"/>
      <c r="K621" s="2"/>
      <c r="L621" s="2"/>
      <c r="M621" s="2"/>
      <c r="N621" s="2"/>
      <c r="O621" s="2"/>
      <c r="P621" s="2"/>
      <c r="Q621" s="2"/>
      <c r="R621" s="2"/>
      <c r="S621" s="2"/>
      <c r="T621" s="2"/>
    </row>
    <row r="622" spans="1:20" ht="15.75" customHeight="1">
      <c r="A622" s="1"/>
      <c r="B622" s="2"/>
      <c r="C622" s="2"/>
      <c r="D622" s="2"/>
      <c r="E622" s="2"/>
      <c r="F622" s="2"/>
      <c r="G622" s="2"/>
      <c r="H622" s="2"/>
      <c r="I622" s="2"/>
      <c r="J622" s="2"/>
      <c r="K622" s="2"/>
      <c r="L622" s="2"/>
      <c r="M622" s="2"/>
      <c r="N622" s="2"/>
      <c r="O622" s="2"/>
      <c r="P622" s="2"/>
      <c r="Q622" s="2"/>
      <c r="R622" s="2"/>
      <c r="S622" s="2"/>
      <c r="T622" s="2"/>
    </row>
    <row r="623" spans="1:20" ht="15.75" customHeight="1">
      <c r="A623" s="1"/>
      <c r="B623" s="2"/>
      <c r="C623" s="2"/>
      <c r="D623" s="2"/>
      <c r="E623" s="2"/>
      <c r="F623" s="2"/>
      <c r="G623" s="2"/>
      <c r="H623" s="2"/>
      <c r="I623" s="2"/>
      <c r="J623" s="2"/>
      <c r="K623" s="2"/>
      <c r="L623" s="2"/>
      <c r="M623" s="2"/>
      <c r="N623" s="2"/>
      <c r="O623" s="2"/>
      <c r="P623" s="2"/>
      <c r="Q623" s="2"/>
      <c r="R623" s="2"/>
      <c r="S623" s="2"/>
      <c r="T623" s="2"/>
    </row>
    <row r="624" spans="1:20" ht="15.75" customHeight="1">
      <c r="A624" s="1"/>
      <c r="B624" s="2"/>
      <c r="C624" s="2"/>
      <c r="D624" s="2"/>
      <c r="E624" s="2"/>
      <c r="F624" s="2"/>
      <c r="G624" s="2"/>
      <c r="H624" s="2"/>
      <c r="I624" s="2"/>
      <c r="J624" s="2"/>
      <c r="K624" s="2"/>
      <c r="L624" s="2"/>
      <c r="M624" s="2"/>
      <c r="N624" s="2"/>
      <c r="O624" s="2"/>
      <c r="P624" s="2"/>
      <c r="Q624" s="2"/>
      <c r="R624" s="2"/>
      <c r="S624" s="2"/>
      <c r="T624" s="2"/>
    </row>
    <row r="625" spans="1:20" ht="15.75" customHeight="1">
      <c r="A625" s="1"/>
      <c r="B625" s="2"/>
      <c r="C625" s="2"/>
      <c r="D625" s="2"/>
      <c r="E625" s="2"/>
      <c r="F625" s="2"/>
      <c r="G625" s="2"/>
      <c r="H625" s="2"/>
      <c r="I625" s="2"/>
      <c r="J625" s="2"/>
      <c r="K625" s="2"/>
      <c r="L625" s="2"/>
      <c r="M625" s="2"/>
      <c r="N625" s="2"/>
      <c r="O625" s="2"/>
      <c r="P625" s="2"/>
      <c r="Q625" s="2"/>
      <c r="R625" s="2"/>
      <c r="S625" s="2"/>
      <c r="T625" s="2"/>
    </row>
    <row r="626" spans="1:20" ht="15.75" customHeight="1">
      <c r="A626" s="1"/>
      <c r="B626" s="2"/>
      <c r="C626" s="2"/>
      <c r="D626" s="2"/>
      <c r="E626" s="2"/>
      <c r="F626" s="2"/>
      <c r="G626" s="2"/>
      <c r="H626" s="2"/>
      <c r="I626" s="2"/>
      <c r="J626" s="2"/>
      <c r="K626" s="2"/>
      <c r="L626" s="2"/>
      <c r="M626" s="2"/>
      <c r="N626" s="2"/>
      <c r="O626" s="2"/>
      <c r="P626" s="2"/>
      <c r="Q626" s="2"/>
      <c r="R626" s="2"/>
      <c r="S626" s="2"/>
      <c r="T626" s="2"/>
    </row>
    <row r="627" spans="1:20" ht="15.75" customHeight="1">
      <c r="A627" s="1"/>
      <c r="B627" s="2"/>
      <c r="C627" s="2"/>
      <c r="D627" s="2"/>
      <c r="E627" s="2"/>
      <c r="F627" s="2"/>
      <c r="G627" s="2"/>
      <c r="H627" s="2"/>
      <c r="I627" s="2"/>
      <c r="J627" s="2"/>
      <c r="K627" s="2"/>
      <c r="L627" s="2"/>
      <c r="M627" s="2"/>
      <c r="N627" s="2"/>
      <c r="O627" s="2"/>
      <c r="P627" s="2"/>
      <c r="Q627" s="2"/>
      <c r="R627" s="2"/>
      <c r="S627" s="2"/>
      <c r="T627" s="2"/>
    </row>
    <row r="628" spans="1:20" ht="15.75" customHeight="1">
      <c r="A628" s="1"/>
      <c r="B628" s="2"/>
      <c r="C628" s="2"/>
      <c r="D628" s="2"/>
      <c r="E628" s="2"/>
      <c r="F628" s="2"/>
      <c r="G628" s="2"/>
      <c r="H628" s="2"/>
      <c r="I628" s="2"/>
      <c r="J628" s="2"/>
      <c r="K628" s="2"/>
      <c r="L628" s="2"/>
      <c r="M628" s="2"/>
      <c r="N628" s="2"/>
      <c r="O628" s="2"/>
      <c r="P628" s="2"/>
      <c r="Q628" s="2"/>
      <c r="R628" s="2"/>
      <c r="S628" s="2"/>
      <c r="T628" s="2"/>
    </row>
    <row r="629" spans="1:20" ht="15.75" customHeight="1">
      <c r="A629" s="1"/>
      <c r="B629" s="2"/>
      <c r="C629" s="2"/>
      <c r="D629" s="2"/>
      <c r="E629" s="2"/>
      <c r="F629" s="2"/>
      <c r="G629" s="2"/>
      <c r="H629" s="2"/>
      <c r="I629" s="2"/>
      <c r="J629" s="2"/>
      <c r="K629" s="2"/>
      <c r="L629" s="2"/>
      <c r="M629" s="2"/>
      <c r="N629" s="2"/>
      <c r="O629" s="2"/>
      <c r="P629" s="2"/>
      <c r="Q629" s="2"/>
      <c r="R629" s="2"/>
      <c r="S629" s="2"/>
      <c r="T629" s="2"/>
    </row>
    <row r="630" spans="1:20" ht="15.75" customHeight="1">
      <c r="A630" s="1"/>
      <c r="B630" s="2"/>
      <c r="C630" s="2"/>
      <c r="D630" s="2"/>
      <c r="E630" s="2"/>
      <c r="F630" s="2"/>
      <c r="G630" s="2"/>
      <c r="H630" s="2"/>
      <c r="I630" s="2"/>
      <c r="J630" s="2"/>
      <c r="K630" s="2"/>
      <c r="L630" s="2"/>
      <c r="M630" s="2"/>
      <c r="N630" s="2"/>
      <c r="O630" s="2"/>
      <c r="P630" s="2"/>
      <c r="Q630" s="2"/>
      <c r="R630" s="2"/>
      <c r="S630" s="2"/>
      <c r="T630" s="2"/>
    </row>
    <row r="631" spans="1:20" ht="15.75" customHeight="1">
      <c r="A631" s="1"/>
      <c r="B631" s="2"/>
      <c r="C631" s="2"/>
      <c r="D631" s="2"/>
      <c r="E631" s="2"/>
      <c r="F631" s="2"/>
      <c r="G631" s="2"/>
      <c r="H631" s="2"/>
      <c r="I631" s="2"/>
      <c r="J631" s="2"/>
      <c r="K631" s="2"/>
      <c r="L631" s="2"/>
      <c r="M631" s="2"/>
      <c r="N631" s="2"/>
      <c r="O631" s="2"/>
      <c r="P631" s="2"/>
      <c r="Q631" s="2"/>
      <c r="R631" s="2"/>
      <c r="S631" s="2"/>
      <c r="T631" s="2"/>
    </row>
    <row r="632" spans="1:20" ht="15.75" customHeight="1">
      <c r="A632" s="1"/>
      <c r="B632" s="2"/>
      <c r="C632" s="2"/>
      <c r="D632" s="2"/>
      <c r="E632" s="2"/>
      <c r="F632" s="2"/>
      <c r="G632" s="2"/>
      <c r="H632" s="2"/>
      <c r="I632" s="2"/>
      <c r="J632" s="2"/>
      <c r="K632" s="2"/>
      <c r="L632" s="2"/>
      <c r="M632" s="2"/>
      <c r="N632" s="2"/>
      <c r="O632" s="2"/>
      <c r="P632" s="2"/>
      <c r="Q632" s="2"/>
      <c r="R632" s="2"/>
      <c r="S632" s="2"/>
      <c r="T632" s="2"/>
    </row>
    <row r="633" spans="1:20" ht="15.75" customHeight="1">
      <c r="A633" s="1"/>
      <c r="B633" s="2"/>
      <c r="C633" s="2"/>
      <c r="D633" s="2"/>
      <c r="E633" s="2"/>
      <c r="F633" s="2"/>
      <c r="G633" s="2"/>
      <c r="H633" s="2"/>
      <c r="I633" s="2"/>
      <c r="J633" s="2"/>
      <c r="K633" s="2"/>
      <c r="L633" s="2"/>
      <c r="M633" s="2"/>
      <c r="N633" s="2"/>
      <c r="O633" s="2"/>
      <c r="P633" s="2"/>
      <c r="Q633" s="2"/>
      <c r="R633" s="2"/>
      <c r="S633" s="2"/>
      <c r="T633" s="2"/>
    </row>
    <row r="634" spans="1:20" ht="15.75" customHeight="1">
      <c r="A634" s="1"/>
      <c r="B634" s="2"/>
      <c r="C634" s="2"/>
      <c r="D634" s="2"/>
      <c r="E634" s="2"/>
      <c r="F634" s="2"/>
      <c r="G634" s="2"/>
      <c r="H634" s="2"/>
      <c r="I634" s="2"/>
      <c r="J634" s="2"/>
      <c r="K634" s="2"/>
      <c r="L634" s="2"/>
      <c r="M634" s="2"/>
      <c r="N634" s="2"/>
      <c r="O634" s="2"/>
      <c r="P634" s="2"/>
      <c r="Q634" s="2"/>
      <c r="R634" s="2"/>
      <c r="S634" s="2"/>
      <c r="T634" s="2"/>
    </row>
    <row r="635" spans="1:20" ht="15.75" customHeight="1">
      <c r="A635" s="1"/>
      <c r="B635" s="2"/>
      <c r="C635" s="2"/>
      <c r="D635" s="2"/>
      <c r="E635" s="2"/>
      <c r="F635" s="2"/>
      <c r="G635" s="2"/>
      <c r="H635" s="2"/>
      <c r="I635" s="2"/>
      <c r="J635" s="2"/>
      <c r="K635" s="2"/>
      <c r="L635" s="2"/>
      <c r="M635" s="2"/>
      <c r="N635" s="2"/>
      <c r="O635" s="2"/>
      <c r="P635" s="2"/>
      <c r="Q635" s="2"/>
      <c r="R635" s="2"/>
      <c r="S635" s="2"/>
      <c r="T635" s="2"/>
    </row>
    <row r="636" spans="1:20" ht="15.75" customHeight="1">
      <c r="A636" s="1"/>
      <c r="B636" s="2"/>
      <c r="C636" s="2"/>
      <c r="D636" s="2"/>
      <c r="E636" s="2"/>
      <c r="F636" s="2"/>
      <c r="G636" s="2"/>
      <c r="H636" s="2"/>
      <c r="I636" s="2"/>
      <c r="J636" s="2"/>
      <c r="K636" s="2"/>
      <c r="L636" s="2"/>
      <c r="M636" s="2"/>
      <c r="N636" s="2"/>
      <c r="O636" s="2"/>
      <c r="P636" s="2"/>
      <c r="Q636" s="2"/>
      <c r="R636" s="2"/>
      <c r="S636" s="2"/>
      <c r="T636" s="2"/>
    </row>
    <row r="637" spans="1:20" ht="15.75" customHeight="1">
      <c r="A637" s="1"/>
      <c r="B637" s="2"/>
      <c r="C637" s="2"/>
      <c r="D637" s="2"/>
      <c r="E637" s="2"/>
      <c r="F637" s="2"/>
      <c r="G637" s="2"/>
      <c r="H637" s="2"/>
      <c r="I637" s="2"/>
      <c r="J637" s="2"/>
      <c r="K637" s="2"/>
      <c r="L637" s="2"/>
      <c r="M637" s="2"/>
      <c r="N637" s="2"/>
      <c r="O637" s="2"/>
      <c r="P637" s="2"/>
      <c r="Q637" s="2"/>
      <c r="R637" s="2"/>
      <c r="S637" s="2"/>
      <c r="T637" s="2"/>
    </row>
    <row r="638" spans="1:20" ht="15.75" customHeight="1">
      <c r="A638" s="1"/>
      <c r="B638" s="2"/>
      <c r="C638" s="2"/>
      <c r="D638" s="2"/>
      <c r="E638" s="2"/>
      <c r="F638" s="2"/>
      <c r="G638" s="2"/>
      <c r="H638" s="2"/>
      <c r="I638" s="2"/>
      <c r="J638" s="2"/>
      <c r="K638" s="2"/>
      <c r="L638" s="2"/>
      <c r="M638" s="2"/>
      <c r="N638" s="2"/>
      <c r="O638" s="2"/>
      <c r="P638" s="2"/>
      <c r="Q638" s="2"/>
      <c r="R638" s="2"/>
      <c r="S638" s="2"/>
      <c r="T638" s="2"/>
    </row>
    <row r="639" spans="1:20" ht="15.75" customHeight="1">
      <c r="A639" s="1"/>
      <c r="B639" s="2"/>
      <c r="C639" s="2"/>
      <c r="D639" s="2"/>
      <c r="E639" s="2"/>
      <c r="F639" s="2"/>
      <c r="G639" s="2"/>
      <c r="H639" s="2"/>
      <c r="I639" s="2"/>
      <c r="J639" s="2"/>
      <c r="K639" s="2"/>
      <c r="L639" s="2"/>
      <c r="M639" s="2"/>
      <c r="N639" s="2"/>
      <c r="O639" s="2"/>
      <c r="P639" s="2"/>
      <c r="Q639" s="2"/>
      <c r="R639" s="2"/>
      <c r="S639" s="2"/>
      <c r="T639" s="2"/>
    </row>
    <row r="640" spans="1:20" ht="15.75" customHeight="1">
      <c r="A640" s="1"/>
      <c r="B640" s="2"/>
      <c r="C640" s="2"/>
      <c r="D640" s="2"/>
      <c r="E640" s="2"/>
      <c r="F640" s="2"/>
      <c r="G640" s="2"/>
      <c r="H640" s="2"/>
      <c r="I640" s="2"/>
      <c r="J640" s="2"/>
      <c r="K640" s="2"/>
      <c r="L640" s="2"/>
      <c r="M640" s="2"/>
      <c r="N640" s="2"/>
      <c r="O640" s="2"/>
      <c r="P640" s="2"/>
      <c r="Q640" s="2"/>
      <c r="R640" s="2"/>
      <c r="S640" s="2"/>
      <c r="T640" s="2"/>
    </row>
    <row r="641" spans="1:20" ht="15.75" customHeight="1">
      <c r="A641" s="1"/>
      <c r="B641" s="2"/>
      <c r="C641" s="2"/>
      <c r="D641" s="2"/>
      <c r="E641" s="2"/>
      <c r="F641" s="2"/>
      <c r="G641" s="2"/>
      <c r="H641" s="2"/>
      <c r="I641" s="2"/>
      <c r="J641" s="2"/>
      <c r="K641" s="2"/>
      <c r="L641" s="2"/>
      <c r="M641" s="2"/>
      <c r="N641" s="2"/>
      <c r="O641" s="2"/>
      <c r="P641" s="2"/>
      <c r="Q641" s="2"/>
      <c r="R641" s="2"/>
      <c r="S641" s="2"/>
      <c r="T641" s="2"/>
    </row>
    <row r="642" spans="1:20" ht="15.75" customHeight="1">
      <c r="A642" s="1"/>
      <c r="B642" s="2"/>
      <c r="C642" s="2"/>
      <c r="D642" s="2"/>
      <c r="E642" s="2"/>
      <c r="F642" s="2"/>
      <c r="G642" s="2"/>
      <c r="H642" s="2"/>
      <c r="I642" s="2"/>
      <c r="J642" s="2"/>
      <c r="K642" s="2"/>
      <c r="L642" s="2"/>
      <c r="M642" s="2"/>
      <c r="N642" s="2"/>
      <c r="O642" s="2"/>
      <c r="P642" s="2"/>
      <c r="Q642" s="2"/>
      <c r="R642" s="2"/>
      <c r="S642" s="2"/>
      <c r="T642" s="2"/>
    </row>
    <row r="643" spans="1:20" ht="15.75" customHeight="1">
      <c r="A643" s="1"/>
      <c r="B643" s="2"/>
      <c r="C643" s="2"/>
      <c r="D643" s="2"/>
      <c r="E643" s="2"/>
      <c r="F643" s="2"/>
      <c r="G643" s="2"/>
      <c r="H643" s="2"/>
      <c r="I643" s="2"/>
      <c r="J643" s="2"/>
      <c r="K643" s="2"/>
      <c r="L643" s="2"/>
      <c r="M643" s="2"/>
      <c r="N643" s="2"/>
      <c r="O643" s="2"/>
      <c r="P643" s="2"/>
      <c r="Q643" s="2"/>
      <c r="R643" s="2"/>
      <c r="S643" s="2"/>
      <c r="T643" s="2"/>
    </row>
    <row r="644" spans="1:20" ht="15.75" customHeight="1">
      <c r="A644" s="1"/>
      <c r="B644" s="2"/>
      <c r="C644" s="2"/>
      <c r="D644" s="2"/>
      <c r="E644" s="2"/>
      <c r="F644" s="2"/>
      <c r="G644" s="2"/>
      <c r="H644" s="2"/>
      <c r="I644" s="2"/>
      <c r="J644" s="2"/>
      <c r="K644" s="2"/>
      <c r="L644" s="2"/>
      <c r="M644" s="2"/>
      <c r="N644" s="2"/>
      <c r="O644" s="2"/>
      <c r="P644" s="2"/>
      <c r="Q644" s="2"/>
      <c r="R644" s="2"/>
      <c r="S644" s="2"/>
      <c r="T644" s="2"/>
    </row>
    <row r="645" spans="1:20" ht="15.75" customHeight="1">
      <c r="A645" s="1"/>
      <c r="B645" s="2"/>
      <c r="C645" s="2"/>
      <c r="D645" s="2"/>
      <c r="E645" s="2"/>
      <c r="F645" s="2"/>
      <c r="G645" s="2"/>
      <c r="H645" s="2"/>
      <c r="I645" s="2"/>
      <c r="J645" s="2"/>
      <c r="K645" s="2"/>
      <c r="L645" s="2"/>
      <c r="M645" s="2"/>
      <c r="N645" s="2"/>
      <c r="O645" s="2"/>
      <c r="P645" s="2"/>
      <c r="Q645" s="2"/>
      <c r="R645" s="2"/>
      <c r="S645" s="2"/>
      <c r="T645" s="2"/>
    </row>
    <row r="646" spans="1:20" ht="15.75" customHeight="1">
      <c r="A646" s="1"/>
      <c r="B646" s="2"/>
      <c r="C646" s="2"/>
      <c r="D646" s="2"/>
      <c r="E646" s="2"/>
      <c r="F646" s="2"/>
      <c r="G646" s="2"/>
      <c r="H646" s="2"/>
      <c r="I646" s="2"/>
      <c r="J646" s="2"/>
      <c r="K646" s="2"/>
      <c r="L646" s="2"/>
      <c r="M646" s="2"/>
      <c r="N646" s="2"/>
      <c r="O646" s="2"/>
      <c r="P646" s="2"/>
      <c r="Q646" s="2"/>
      <c r="R646" s="2"/>
      <c r="S646" s="2"/>
      <c r="T646" s="2"/>
    </row>
    <row r="647" spans="1:20" ht="15.75" customHeight="1">
      <c r="A647" s="1"/>
      <c r="B647" s="2"/>
      <c r="C647" s="2"/>
      <c r="D647" s="2"/>
      <c r="E647" s="2"/>
      <c r="F647" s="2"/>
      <c r="G647" s="2"/>
      <c r="H647" s="2"/>
      <c r="I647" s="2"/>
      <c r="J647" s="2"/>
      <c r="K647" s="2"/>
      <c r="L647" s="2"/>
      <c r="M647" s="2"/>
      <c r="N647" s="2"/>
      <c r="O647" s="2"/>
      <c r="P647" s="2"/>
      <c r="Q647" s="2"/>
      <c r="R647" s="2"/>
      <c r="S647" s="2"/>
      <c r="T647" s="2"/>
    </row>
    <row r="648" spans="1:20" ht="15.75" customHeight="1">
      <c r="A648" s="1"/>
      <c r="B648" s="2"/>
      <c r="C648" s="2"/>
      <c r="D648" s="2"/>
      <c r="E648" s="2"/>
      <c r="F648" s="2"/>
      <c r="G648" s="2"/>
      <c r="H648" s="2"/>
      <c r="I648" s="2"/>
      <c r="J648" s="2"/>
      <c r="K648" s="2"/>
      <c r="L648" s="2"/>
      <c r="M648" s="2"/>
      <c r="N648" s="2"/>
      <c r="O648" s="2"/>
      <c r="P648" s="2"/>
      <c r="Q648" s="2"/>
      <c r="R648" s="2"/>
      <c r="S648" s="2"/>
      <c r="T648" s="2"/>
    </row>
    <row r="649" spans="1:20" ht="15.75" customHeight="1">
      <c r="A649" s="1"/>
      <c r="B649" s="2"/>
      <c r="C649" s="2"/>
      <c r="D649" s="2"/>
      <c r="E649" s="2"/>
      <c r="F649" s="2"/>
      <c r="G649" s="2"/>
      <c r="H649" s="2"/>
      <c r="I649" s="2"/>
      <c r="J649" s="2"/>
      <c r="K649" s="2"/>
      <c r="L649" s="2"/>
      <c r="M649" s="2"/>
      <c r="N649" s="2"/>
      <c r="O649" s="2"/>
      <c r="P649" s="2"/>
      <c r="Q649" s="2"/>
      <c r="R649" s="2"/>
      <c r="S649" s="2"/>
      <c r="T649" s="2"/>
    </row>
    <row r="650" spans="1:20" ht="15.75" customHeight="1">
      <c r="A650" s="1"/>
      <c r="B650" s="2"/>
      <c r="C650" s="2"/>
      <c r="D650" s="2"/>
      <c r="E650" s="2"/>
      <c r="F650" s="2"/>
      <c r="G650" s="2"/>
      <c r="H650" s="2"/>
      <c r="I650" s="2"/>
      <c r="J650" s="2"/>
      <c r="K650" s="2"/>
      <c r="L650" s="2"/>
      <c r="M650" s="2"/>
      <c r="N650" s="2"/>
      <c r="O650" s="2"/>
      <c r="P650" s="2"/>
      <c r="Q650" s="2"/>
      <c r="R650" s="2"/>
      <c r="S650" s="2"/>
      <c r="T650" s="2"/>
    </row>
    <row r="651" spans="1:20" ht="15.75" customHeight="1">
      <c r="A651" s="1"/>
      <c r="B651" s="2"/>
      <c r="C651" s="2"/>
      <c r="D651" s="2"/>
      <c r="E651" s="2"/>
      <c r="F651" s="2"/>
      <c r="G651" s="2"/>
      <c r="H651" s="2"/>
      <c r="I651" s="2"/>
      <c r="J651" s="2"/>
      <c r="K651" s="2"/>
      <c r="L651" s="2"/>
      <c r="M651" s="2"/>
      <c r="N651" s="2"/>
      <c r="O651" s="2"/>
      <c r="P651" s="2"/>
      <c r="Q651" s="2"/>
      <c r="R651" s="2"/>
      <c r="S651" s="2"/>
      <c r="T651" s="2"/>
    </row>
    <row r="652" spans="1:20" ht="15.75" customHeight="1">
      <c r="A652" s="1"/>
      <c r="B652" s="2"/>
      <c r="C652" s="2"/>
      <c r="D652" s="2"/>
      <c r="E652" s="2"/>
      <c r="F652" s="2"/>
      <c r="G652" s="2"/>
      <c r="H652" s="2"/>
      <c r="I652" s="2"/>
      <c r="J652" s="2"/>
      <c r="K652" s="2"/>
      <c r="L652" s="2"/>
      <c r="M652" s="2"/>
      <c r="N652" s="2"/>
      <c r="O652" s="2"/>
      <c r="P652" s="2"/>
      <c r="Q652" s="2"/>
      <c r="R652" s="2"/>
      <c r="S652" s="2"/>
      <c r="T652" s="2"/>
    </row>
    <row r="653" spans="1:20" ht="15.75" customHeight="1">
      <c r="A653" s="1"/>
      <c r="B653" s="2"/>
      <c r="C653" s="2"/>
      <c r="D653" s="2"/>
      <c r="E653" s="2"/>
      <c r="F653" s="2"/>
      <c r="G653" s="2"/>
      <c r="H653" s="2"/>
      <c r="I653" s="2"/>
      <c r="J653" s="2"/>
      <c r="K653" s="2"/>
      <c r="L653" s="2"/>
      <c r="M653" s="2"/>
      <c r="N653" s="2"/>
      <c r="O653" s="2"/>
      <c r="P653" s="2"/>
      <c r="Q653" s="2"/>
      <c r="R653" s="2"/>
      <c r="S653" s="2"/>
      <c r="T653" s="2"/>
    </row>
    <row r="654" spans="1:20" ht="15.75" customHeight="1">
      <c r="A654" s="1"/>
      <c r="B654" s="2"/>
      <c r="C654" s="2"/>
      <c r="D654" s="2"/>
      <c r="E654" s="2"/>
      <c r="F654" s="2"/>
      <c r="G654" s="2"/>
      <c r="H654" s="2"/>
      <c r="I654" s="2"/>
      <c r="J654" s="2"/>
      <c r="K654" s="2"/>
      <c r="L654" s="2"/>
      <c r="M654" s="2"/>
      <c r="N654" s="2"/>
      <c r="O654" s="2"/>
      <c r="P654" s="2"/>
      <c r="Q654" s="2"/>
      <c r="R654" s="2"/>
      <c r="S654" s="2"/>
      <c r="T654" s="2"/>
    </row>
    <row r="655" spans="1:20" ht="15.75" customHeight="1">
      <c r="A655" s="1"/>
      <c r="B655" s="2"/>
      <c r="C655" s="2"/>
      <c r="D655" s="2"/>
      <c r="E655" s="2"/>
      <c r="F655" s="2"/>
      <c r="G655" s="2"/>
      <c r="H655" s="2"/>
      <c r="I655" s="2"/>
      <c r="J655" s="2"/>
      <c r="K655" s="2"/>
      <c r="L655" s="2"/>
      <c r="M655" s="2"/>
      <c r="N655" s="2"/>
      <c r="O655" s="2"/>
      <c r="P655" s="2"/>
      <c r="Q655" s="2"/>
      <c r="R655" s="2"/>
      <c r="S655" s="2"/>
      <c r="T655" s="2"/>
    </row>
    <row r="656" spans="1:20" ht="15.75" customHeight="1">
      <c r="A656" s="1"/>
      <c r="B656" s="2"/>
      <c r="C656" s="2"/>
      <c r="D656" s="2"/>
      <c r="E656" s="2"/>
      <c r="F656" s="2"/>
      <c r="G656" s="2"/>
      <c r="H656" s="2"/>
      <c r="I656" s="2"/>
      <c r="J656" s="2"/>
      <c r="K656" s="2"/>
      <c r="L656" s="2"/>
      <c r="M656" s="2"/>
      <c r="N656" s="2"/>
      <c r="O656" s="2"/>
      <c r="P656" s="2"/>
      <c r="Q656" s="2"/>
      <c r="R656" s="2"/>
      <c r="S656" s="2"/>
      <c r="T656" s="2"/>
    </row>
    <row r="657" spans="1:20" ht="15.75" customHeight="1">
      <c r="A657" s="1"/>
      <c r="B657" s="2"/>
      <c r="C657" s="2"/>
      <c r="D657" s="2"/>
      <c r="E657" s="2"/>
      <c r="F657" s="2"/>
      <c r="G657" s="2"/>
      <c r="H657" s="2"/>
      <c r="I657" s="2"/>
      <c r="J657" s="2"/>
      <c r="K657" s="2"/>
      <c r="L657" s="2"/>
      <c r="M657" s="2"/>
      <c r="N657" s="2"/>
      <c r="O657" s="2"/>
      <c r="P657" s="2"/>
      <c r="Q657" s="2"/>
      <c r="R657" s="2"/>
      <c r="S657" s="2"/>
      <c r="T657" s="2"/>
    </row>
    <row r="658" spans="1:20" ht="15.75" customHeight="1">
      <c r="A658" s="1"/>
      <c r="B658" s="2"/>
      <c r="C658" s="2"/>
      <c r="D658" s="2"/>
      <c r="E658" s="2"/>
      <c r="F658" s="2"/>
      <c r="G658" s="2"/>
      <c r="H658" s="2"/>
      <c r="I658" s="2"/>
      <c r="J658" s="2"/>
      <c r="K658" s="2"/>
      <c r="L658" s="2"/>
      <c r="M658" s="2"/>
      <c r="N658" s="2"/>
      <c r="O658" s="2"/>
      <c r="P658" s="2"/>
      <c r="Q658" s="2"/>
      <c r="R658" s="2"/>
      <c r="S658" s="2"/>
      <c r="T658" s="2"/>
    </row>
    <row r="659" spans="1:20" ht="15.75" customHeight="1">
      <c r="A659" s="1"/>
      <c r="B659" s="2"/>
      <c r="C659" s="2"/>
      <c r="D659" s="2"/>
      <c r="E659" s="2"/>
      <c r="F659" s="2"/>
      <c r="G659" s="2"/>
      <c r="H659" s="2"/>
      <c r="I659" s="2"/>
      <c r="J659" s="2"/>
      <c r="K659" s="2"/>
      <c r="L659" s="2"/>
      <c r="M659" s="2"/>
      <c r="N659" s="2"/>
      <c r="O659" s="2"/>
      <c r="P659" s="2"/>
      <c r="Q659" s="2"/>
      <c r="R659" s="2"/>
      <c r="S659" s="2"/>
      <c r="T659" s="2"/>
    </row>
    <row r="660" spans="1:20" ht="15.75" customHeight="1">
      <c r="A660" s="1"/>
      <c r="B660" s="2"/>
      <c r="C660" s="2"/>
      <c r="D660" s="2"/>
      <c r="E660" s="2"/>
      <c r="F660" s="2"/>
      <c r="G660" s="2"/>
      <c r="H660" s="2"/>
      <c r="I660" s="2"/>
      <c r="J660" s="2"/>
      <c r="K660" s="2"/>
      <c r="L660" s="2"/>
      <c r="M660" s="2"/>
      <c r="N660" s="2"/>
      <c r="O660" s="2"/>
      <c r="P660" s="2"/>
      <c r="Q660" s="2"/>
      <c r="R660" s="2"/>
      <c r="S660" s="2"/>
      <c r="T660" s="2"/>
    </row>
    <row r="661" spans="1:20" ht="15.75" customHeight="1">
      <c r="A661" s="1"/>
      <c r="B661" s="2"/>
      <c r="C661" s="2"/>
      <c r="D661" s="2"/>
      <c r="E661" s="2"/>
      <c r="F661" s="2"/>
      <c r="G661" s="2"/>
      <c r="H661" s="2"/>
      <c r="I661" s="2"/>
      <c r="J661" s="2"/>
      <c r="K661" s="2"/>
      <c r="L661" s="2"/>
      <c r="M661" s="2"/>
      <c r="N661" s="2"/>
      <c r="O661" s="2"/>
      <c r="P661" s="2"/>
      <c r="Q661" s="2"/>
      <c r="R661" s="2"/>
      <c r="S661" s="2"/>
      <c r="T661" s="2"/>
    </row>
    <row r="662" spans="1:20" ht="15.75" customHeight="1">
      <c r="A662" s="1"/>
      <c r="B662" s="2"/>
      <c r="C662" s="2"/>
      <c r="D662" s="2"/>
      <c r="E662" s="2"/>
      <c r="F662" s="2"/>
      <c r="G662" s="2"/>
      <c r="H662" s="2"/>
      <c r="I662" s="2"/>
      <c r="J662" s="2"/>
      <c r="K662" s="2"/>
      <c r="L662" s="2"/>
      <c r="M662" s="2"/>
      <c r="N662" s="2"/>
      <c r="O662" s="2"/>
      <c r="P662" s="2"/>
      <c r="Q662" s="2"/>
      <c r="R662" s="2"/>
      <c r="S662" s="2"/>
      <c r="T662" s="2"/>
    </row>
    <row r="663" spans="1:20" ht="15.75" customHeight="1">
      <c r="A663" s="1"/>
      <c r="B663" s="2"/>
      <c r="C663" s="2"/>
      <c r="D663" s="2"/>
      <c r="E663" s="2"/>
      <c r="F663" s="2"/>
      <c r="G663" s="2"/>
      <c r="H663" s="2"/>
      <c r="I663" s="2"/>
      <c r="J663" s="2"/>
      <c r="K663" s="2"/>
      <c r="L663" s="2"/>
      <c r="M663" s="2"/>
      <c r="N663" s="2"/>
      <c r="O663" s="2"/>
      <c r="P663" s="2"/>
      <c r="Q663" s="2"/>
      <c r="R663" s="2"/>
      <c r="S663" s="2"/>
      <c r="T663" s="2"/>
    </row>
    <row r="664" spans="1:20" ht="15.75" customHeight="1">
      <c r="A664" s="1"/>
      <c r="B664" s="2"/>
      <c r="C664" s="2"/>
      <c r="D664" s="2"/>
      <c r="E664" s="2"/>
      <c r="F664" s="2"/>
      <c r="G664" s="2"/>
      <c r="H664" s="2"/>
      <c r="I664" s="2"/>
      <c r="J664" s="2"/>
      <c r="K664" s="2"/>
      <c r="L664" s="2"/>
      <c r="M664" s="2"/>
      <c r="N664" s="2"/>
      <c r="O664" s="2"/>
      <c r="P664" s="2"/>
      <c r="Q664" s="2"/>
      <c r="R664" s="2"/>
      <c r="S664" s="2"/>
      <c r="T664" s="2"/>
    </row>
    <row r="665" spans="1:20" ht="15.75" customHeight="1">
      <c r="A665" s="1"/>
      <c r="B665" s="2"/>
      <c r="C665" s="2"/>
      <c r="D665" s="2"/>
      <c r="E665" s="2"/>
      <c r="F665" s="2"/>
      <c r="G665" s="2"/>
      <c r="H665" s="2"/>
      <c r="I665" s="2"/>
      <c r="J665" s="2"/>
      <c r="K665" s="2"/>
      <c r="L665" s="2"/>
      <c r="M665" s="2"/>
      <c r="N665" s="2"/>
      <c r="O665" s="2"/>
      <c r="P665" s="2"/>
      <c r="Q665" s="2"/>
      <c r="R665" s="2"/>
      <c r="S665" s="2"/>
      <c r="T665" s="2"/>
    </row>
    <row r="666" spans="1:20" ht="15.75" customHeight="1">
      <c r="A666" s="1"/>
      <c r="B666" s="2"/>
      <c r="C666" s="2"/>
      <c r="D666" s="2"/>
      <c r="E666" s="2"/>
      <c r="F666" s="2"/>
      <c r="G666" s="2"/>
      <c r="H666" s="2"/>
      <c r="I666" s="2"/>
      <c r="J666" s="2"/>
      <c r="K666" s="2"/>
      <c r="L666" s="2"/>
      <c r="M666" s="2"/>
      <c r="N666" s="2"/>
      <c r="O666" s="2"/>
      <c r="P666" s="2"/>
      <c r="Q666" s="2"/>
      <c r="R666" s="2"/>
      <c r="S666" s="2"/>
      <c r="T666" s="2"/>
    </row>
    <row r="667" spans="1:20" ht="15.75" customHeight="1">
      <c r="A667" s="1"/>
      <c r="B667" s="2"/>
      <c r="C667" s="2"/>
      <c r="D667" s="2"/>
      <c r="E667" s="2"/>
      <c r="F667" s="2"/>
      <c r="G667" s="2"/>
      <c r="H667" s="2"/>
      <c r="I667" s="2"/>
      <c r="J667" s="2"/>
      <c r="K667" s="2"/>
      <c r="L667" s="2"/>
      <c r="M667" s="2"/>
      <c r="N667" s="2"/>
      <c r="O667" s="2"/>
      <c r="P667" s="2"/>
      <c r="Q667" s="2"/>
      <c r="R667" s="2"/>
      <c r="S667" s="2"/>
      <c r="T667" s="2"/>
    </row>
    <row r="668" spans="1:20" ht="15.75" customHeight="1">
      <c r="A668" s="1"/>
      <c r="B668" s="2"/>
      <c r="C668" s="2"/>
      <c r="D668" s="2"/>
      <c r="E668" s="2"/>
      <c r="F668" s="2"/>
      <c r="G668" s="2"/>
      <c r="H668" s="2"/>
      <c r="I668" s="2"/>
      <c r="J668" s="2"/>
      <c r="K668" s="2"/>
      <c r="L668" s="2"/>
      <c r="M668" s="2"/>
      <c r="N668" s="2"/>
      <c r="O668" s="2"/>
      <c r="P668" s="2"/>
      <c r="Q668" s="2"/>
      <c r="R668" s="2"/>
      <c r="S668" s="2"/>
      <c r="T668" s="2"/>
    </row>
    <row r="669" spans="1:20" ht="15.75" customHeight="1">
      <c r="A669" s="1"/>
      <c r="B669" s="2"/>
      <c r="C669" s="2"/>
      <c r="D669" s="2"/>
      <c r="E669" s="2"/>
      <c r="F669" s="2"/>
      <c r="G669" s="2"/>
      <c r="H669" s="2"/>
      <c r="I669" s="2"/>
      <c r="J669" s="2"/>
      <c r="K669" s="2"/>
      <c r="L669" s="2"/>
      <c r="M669" s="2"/>
      <c r="N669" s="2"/>
      <c r="O669" s="2"/>
      <c r="P669" s="2"/>
      <c r="Q669" s="2"/>
      <c r="R669" s="2"/>
      <c r="S669" s="2"/>
      <c r="T669" s="2"/>
    </row>
    <row r="670" spans="1:20" ht="15.75" customHeight="1">
      <c r="A670" s="1"/>
      <c r="B670" s="2"/>
      <c r="C670" s="2"/>
      <c r="D670" s="2"/>
      <c r="E670" s="2"/>
      <c r="F670" s="2"/>
      <c r="G670" s="2"/>
      <c r="H670" s="2"/>
      <c r="I670" s="2"/>
      <c r="J670" s="2"/>
      <c r="K670" s="2"/>
      <c r="L670" s="2"/>
      <c r="M670" s="2"/>
      <c r="N670" s="2"/>
      <c r="O670" s="2"/>
      <c r="P670" s="2"/>
      <c r="Q670" s="2"/>
      <c r="R670" s="2"/>
      <c r="S670" s="2"/>
      <c r="T670" s="2"/>
    </row>
    <row r="671" spans="1:20" ht="15.75" customHeight="1">
      <c r="A671" s="1"/>
      <c r="B671" s="2"/>
      <c r="C671" s="2"/>
      <c r="D671" s="2"/>
      <c r="E671" s="2"/>
      <c r="F671" s="2"/>
      <c r="G671" s="2"/>
      <c r="H671" s="2"/>
      <c r="I671" s="2"/>
      <c r="J671" s="2"/>
      <c r="K671" s="2"/>
      <c r="L671" s="2"/>
      <c r="M671" s="2"/>
      <c r="N671" s="2"/>
      <c r="O671" s="2"/>
      <c r="P671" s="2"/>
      <c r="Q671" s="2"/>
      <c r="R671" s="2"/>
      <c r="S671" s="2"/>
      <c r="T671" s="2"/>
    </row>
    <row r="672" spans="1:20" ht="15.75" customHeight="1">
      <c r="A672" s="1"/>
      <c r="B672" s="2"/>
      <c r="C672" s="2"/>
      <c r="D672" s="2"/>
      <c r="E672" s="2"/>
      <c r="F672" s="2"/>
      <c r="G672" s="2"/>
      <c r="H672" s="2"/>
      <c r="I672" s="2"/>
      <c r="J672" s="2"/>
      <c r="K672" s="2"/>
      <c r="L672" s="2"/>
      <c r="M672" s="2"/>
      <c r="N672" s="2"/>
      <c r="O672" s="2"/>
      <c r="P672" s="2"/>
      <c r="Q672" s="2"/>
      <c r="R672" s="2"/>
      <c r="S672" s="2"/>
      <c r="T672" s="2"/>
    </row>
    <row r="673" spans="1:20" ht="15.75" customHeight="1">
      <c r="A673" s="1"/>
      <c r="B673" s="2"/>
      <c r="C673" s="2"/>
      <c r="D673" s="2"/>
      <c r="E673" s="2"/>
      <c r="F673" s="2"/>
      <c r="G673" s="2"/>
      <c r="H673" s="2"/>
      <c r="I673" s="2"/>
      <c r="J673" s="2"/>
      <c r="K673" s="2"/>
      <c r="L673" s="2"/>
      <c r="M673" s="2"/>
      <c r="N673" s="2"/>
      <c r="O673" s="2"/>
      <c r="P673" s="2"/>
      <c r="Q673" s="2"/>
      <c r="R673" s="2"/>
      <c r="S673" s="2"/>
      <c r="T673" s="2"/>
    </row>
    <row r="674" spans="1:20" ht="15.75" customHeight="1">
      <c r="A674" s="1"/>
      <c r="B674" s="2"/>
      <c r="C674" s="2"/>
      <c r="D674" s="2"/>
      <c r="E674" s="2"/>
      <c r="F674" s="2"/>
      <c r="G674" s="2"/>
      <c r="H674" s="2"/>
      <c r="I674" s="2"/>
      <c r="J674" s="2"/>
      <c r="K674" s="2"/>
      <c r="L674" s="2"/>
      <c r="M674" s="2"/>
      <c r="N674" s="2"/>
      <c r="O674" s="2"/>
      <c r="P674" s="2"/>
      <c r="Q674" s="2"/>
      <c r="R674" s="2"/>
      <c r="S674" s="2"/>
      <c r="T674" s="2"/>
    </row>
    <row r="675" spans="1:20" ht="15.75" customHeight="1">
      <c r="A675" s="1"/>
      <c r="B675" s="2"/>
      <c r="C675" s="2"/>
      <c r="D675" s="2"/>
      <c r="E675" s="2"/>
      <c r="F675" s="2"/>
      <c r="G675" s="2"/>
      <c r="H675" s="2"/>
      <c r="I675" s="2"/>
      <c r="J675" s="2"/>
      <c r="K675" s="2"/>
      <c r="L675" s="2"/>
      <c r="M675" s="2"/>
      <c r="N675" s="2"/>
      <c r="O675" s="2"/>
      <c r="P675" s="2"/>
      <c r="Q675" s="2"/>
      <c r="R675" s="2"/>
      <c r="S675" s="2"/>
      <c r="T675" s="2"/>
    </row>
    <row r="676" spans="1:20" ht="15.75" customHeight="1">
      <c r="A676" s="1"/>
      <c r="B676" s="2"/>
      <c r="C676" s="2"/>
      <c r="D676" s="2"/>
      <c r="E676" s="2"/>
      <c r="F676" s="2"/>
      <c r="G676" s="2"/>
      <c r="H676" s="2"/>
      <c r="I676" s="2"/>
      <c r="J676" s="2"/>
      <c r="K676" s="2"/>
      <c r="L676" s="2"/>
      <c r="M676" s="2"/>
      <c r="N676" s="2"/>
      <c r="O676" s="2"/>
      <c r="P676" s="2"/>
      <c r="Q676" s="2"/>
      <c r="R676" s="2"/>
      <c r="S676" s="2"/>
      <c r="T676" s="2"/>
    </row>
    <row r="677" spans="1:20" ht="15.75" customHeight="1">
      <c r="A677" s="1"/>
      <c r="B677" s="2"/>
      <c r="C677" s="2"/>
      <c r="D677" s="2"/>
      <c r="E677" s="2"/>
      <c r="F677" s="2"/>
      <c r="G677" s="2"/>
      <c r="H677" s="2"/>
      <c r="I677" s="2"/>
      <c r="J677" s="2"/>
      <c r="K677" s="2"/>
      <c r="L677" s="2"/>
      <c r="M677" s="2"/>
      <c r="N677" s="2"/>
      <c r="O677" s="2"/>
      <c r="P677" s="2"/>
      <c r="Q677" s="2"/>
      <c r="R677" s="2"/>
      <c r="S677" s="2"/>
      <c r="T677" s="2"/>
    </row>
    <row r="678" spans="1:20" ht="15.75" customHeight="1">
      <c r="A678" s="1"/>
      <c r="B678" s="2"/>
      <c r="C678" s="2"/>
      <c r="D678" s="2"/>
      <c r="E678" s="2"/>
      <c r="F678" s="2"/>
      <c r="G678" s="2"/>
      <c r="H678" s="2"/>
      <c r="I678" s="2"/>
      <c r="J678" s="2"/>
      <c r="K678" s="2"/>
      <c r="L678" s="2"/>
      <c r="M678" s="2"/>
      <c r="N678" s="2"/>
      <c r="O678" s="2"/>
      <c r="P678" s="2"/>
      <c r="Q678" s="2"/>
      <c r="R678" s="2"/>
      <c r="S678" s="2"/>
      <c r="T678" s="2"/>
    </row>
    <row r="679" spans="1:20" ht="15.75" customHeight="1">
      <c r="A679" s="1"/>
      <c r="B679" s="2"/>
      <c r="C679" s="2"/>
      <c r="D679" s="2"/>
      <c r="E679" s="2"/>
      <c r="F679" s="2"/>
      <c r="G679" s="2"/>
      <c r="H679" s="2"/>
      <c r="I679" s="2"/>
      <c r="J679" s="2"/>
      <c r="K679" s="2"/>
      <c r="L679" s="2"/>
      <c r="M679" s="2"/>
      <c r="N679" s="2"/>
      <c r="O679" s="2"/>
      <c r="P679" s="2"/>
      <c r="Q679" s="2"/>
      <c r="R679" s="2"/>
      <c r="S679" s="2"/>
      <c r="T679" s="2"/>
    </row>
    <row r="680" spans="1:20" ht="15.75" customHeight="1">
      <c r="A680" s="1"/>
      <c r="B680" s="2"/>
      <c r="C680" s="2"/>
      <c r="D680" s="2"/>
      <c r="E680" s="2"/>
      <c r="F680" s="2"/>
      <c r="G680" s="2"/>
      <c r="H680" s="2"/>
      <c r="I680" s="2"/>
      <c r="J680" s="2"/>
      <c r="K680" s="2"/>
      <c r="L680" s="2"/>
      <c r="M680" s="2"/>
      <c r="N680" s="2"/>
      <c r="O680" s="2"/>
      <c r="P680" s="2"/>
      <c r="Q680" s="2"/>
      <c r="R680" s="2"/>
      <c r="S680" s="2"/>
      <c r="T680" s="2"/>
    </row>
    <row r="681" spans="1:20" ht="15.75" customHeight="1">
      <c r="A681" s="1"/>
      <c r="B681" s="2"/>
      <c r="C681" s="2"/>
      <c r="D681" s="2"/>
      <c r="E681" s="2"/>
      <c r="F681" s="2"/>
      <c r="G681" s="2"/>
      <c r="H681" s="2"/>
      <c r="I681" s="2"/>
      <c r="J681" s="2"/>
      <c r="K681" s="2"/>
      <c r="L681" s="2"/>
      <c r="M681" s="2"/>
      <c r="N681" s="2"/>
      <c r="O681" s="2"/>
      <c r="P681" s="2"/>
      <c r="Q681" s="2"/>
      <c r="R681" s="2"/>
      <c r="S681" s="2"/>
      <c r="T681" s="2"/>
    </row>
    <row r="682" spans="1:20" ht="15.75" customHeight="1">
      <c r="A682" s="1"/>
      <c r="B682" s="2"/>
      <c r="C682" s="2"/>
      <c r="D682" s="2"/>
      <c r="E682" s="2"/>
      <c r="F682" s="2"/>
      <c r="G682" s="2"/>
      <c r="H682" s="2"/>
      <c r="I682" s="2"/>
      <c r="J682" s="2"/>
      <c r="K682" s="2"/>
      <c r="L682" s="2"/>
      <c r="M682" s="2"/>
      <c r="N682" s="2"/>
      <c r="O682" s="2"/>
      <c r="P682" s="2"/>
      <c r="Q682" s="2"/>
      <c r="R682" s="2"/>
      <c r="S682" s="2"/>
      <c r="T682" s="2"/>
    </row>
    <row r="683" spans="1:20" ht="15.75" customHeight="1">
      <c r="A683" s="1"/>
      <c r="B683" s="2"/>
      <c r="C683" s="2"/>
      <c r="D683" s="2"/>
      <c r="E683" s="2"/>
      <c r="F683" s="2"/>
      <c r="G683" s="2"/>
      <c r="H683" s="2"/>
      <c r="I683" s="2"/>
      <c r="J683" s="2"/>
      <c r="K683" s="2"/>
      <c r="L683" s="2"/>
      <c r="M683" s="2"/>
      <c r="N683" s="2"/>
      <c r="O683" s="2"/>
      <c r="P683" s="2"/>
      <c r="Q683" s="2"/>
      <c r="R683" s="2"/>
      <c r="S683" s="2"/>
      <c r="T683" s="2"/>
    </row>
    <row r="684" spans="1:20" ht="15.75" customHeight="1">
      <c r="A684" s="1"/>
      <c r="B684" s="2"/>
      <c r="C684" s="2"/>
      <c r="D684" s="2"/>
      <c r="E684" s="2"/>
      <c r="F684" s="2"/>
      <c r="G684" s="2"/>
      <c r="H684" s="2"/>
      <c r="I684" s="2"/>
      <c r="J684" s="2"/>
      <c r="K684" s="2"/>
      <c r="L684" s="2"/>
      <c r="M684" s="2"/>
      <c r="N684" s="2"/>
      <c r="O684" s="2"/>
      <c r="P684" s="2"/>
      <c r="Q684" s="2"/>
      <c r="R684" s="2"/>
      <c r="S684" s="2"/>
      <c r="T684" s="2"/>
    </row>
    <row r="685" spans="1:20" ht="15.75" customHeight="1">
      <c r="A685" s="1"/>
      <c r="B685" s="2"/>
      <c r="C685" s="2"/>
      <c r="D685" s="2"/>
      <c r="E685" s="2"/>
      <c r="F685" s="2"/>
      <c r="G685" s="2"/>
      <c r="H685" s="2"/>
      <c r="I685" s="2"/>
      <c r="J685" s="2"/>
      <c r="K685" s="2"/>
      <c r="L685" s="2"/>
      <c r="M685" s="2"/>
      <c r="N685" s="2"/>
      <c r="O685" s="2"/>
      <c r="P685" s="2"/>
      <c r="Q685" s="2"/>
      <c r="R685" s="2"/>
      <c r="S685" s="2"/>
      <c r="T685" s="2"/>
    </row>
    <row r="686" spans="1:20" ht="15.75" customHeight="1">
      <c r="A686" s="1"/>
      <c r="B686" s="2"/>
      <c r="C686" s="2"/>
      <c r="D686" s="2"/>
      <c r="E686" s="2"/>
      <c r="F686" s="2"/>
      <c r="G686" s="2"/>
      <c r="H686" s="2"/>
      <c r="I686" s="2"/>
      <c r="J686" s="2"/>
      <c r="K686" s="2"/>
      <c r="L686" s="2"/>
      <c r="M686" s="2"/>
      <c r="N686" s="2"/>
      <c r="O686" s="2"/>
      <c r="P686" s="2"/>
      <c r="Q686" s="2"/>
      <c r="R686" s="2"/>
      <c r="S686" s="2"/>
      <c r="T686" s="2"/>
    </row>
    <row r="687" spans="1:20" ht="15.75" customHeight="1">
      <c r="A687" s="1"/>
      <c r="B687" s="2"/>
      <c r="C687" s="2"/>
      <c r="D687" s="2"/>
      <c r="E687" s="2"/>
      <c r="F687" s="2"/>
      <c r="G687" s="2"/>
      <c r="H687" s="2"/>
      <c r="I687" s="2"/>
      <c r="J687" s="2"/>
      <c r="K687" s="2"/>
      <c r="L687" s="2"/>
      <c r="M687" s="2"/>
      <c r="N687" s="2"/>
      <c r="O687" s="2"/>
      <c r="P687" s="2"/>
      <c r="Q687" s="2"/>
      <c r="R687" s="2"/>
      <c r="S687" s="2"/>
      <c r="T687" s="2"/>
    </row>
    <row r="688" spans="1:20" ht="15.75" customHeight="1">
      <c r="A688" s="1"/>
      <c r="B688" s="2"/>
      <c r="C688" s="2"/>
      <c r="D688" s="2"/>
      <c r="E688" s="2"/>
      <c r="F688" s="2"/>
      <c r="G688" s="2"/>
      <c r="H688" s="2"/>
      <c r="I688" s="2"/>
      <c r="J688" s="2"/>
      <c r="K688" s="2"/>
      <c r="L688" s="2"/>
      <c r="M688" s="2"/>
      <c r="N688" s="2"/>
      <c r="O688" s="2"/>
      <c r="P688" s="2"/>
      <c r="Q688" s="2"/>
      <c r="R688" s="2"/>
      <c r="S688" s="2"/>
      <c r="T688" s="2"/>
    </row>
    <row r="689" spans="1:20" ht="15.75" customHeight="1">
      <c r="A689" s="1"/>
      <c r="B689" s="2"/>
      <c r="C689" s="2"/>
      <c r="D689" s="2"/>
      <c r="E689" s="2"/>
      <c r="F689" s="2"/>
      <c r="G689" s="2"/>
      <c r="H689" s="2"/>
      <c r="I689" s="2"/>
      <c r="J689" s="2"/>
      <c r="K689" s="2"/>
      <c r="L689" s="2"/>
      <c r="M689" s="2"/>
      <c r="N689" s="2"/>
      <c r="O689" s="2"/>
      <c r="P689" s="2"/>
      <c r="Q689" s="2"/>
      <c r="R689" s="2"/>
      <c r="S689" s="2"/>
      <c r="T689" s="2"/>
    </row>
    <row r="690" spans="1:20" ht="15.75" customHeight="1">
      <c r="A690" s="1"/>
      <c r="B690" s="2"/>
      <c r="C690" s="2"/>
      <c r="D690" s="2"/>
      <c r="E690" s="2"/>
      <c r="F690" s="2"/>
      <c r="G690" s="2"/>
      <c r="H690" s="2"/>
      <c r="I690" s="2"/>
      <c r="J690" s="2"/>
      <c r="K690" s="2"/>
      <c r="L690" s="2"/>
      <c r="M690" s="2"/>
      <c r="N690" s="2"/>
      <c r="O690" s="2"/>
      <c r="P690" s="2"/>
      <c r="Q690" s="2"/>
      <c r="R690" s="2"/>
      <c r="S690" s="2"/>
      <c r="T690" s="2"/>
    </row>
    <row r="691" spans="1:20" ht="15.75" customHeight="1">
      <c r="A691" s="1"/>
      <c r="B691" s="2"/>
      <c r="C691" s="2"/>
      <c r="D691" s="2"/>
      <c r="E691" s="2"/>
      <c r="F691" s="2"/>
      <c r="G691" s="2"/>
      <c r="H691" s="2"/>
      <c r="I691" s="2"/>
      <c r="J691" s="2"/>
      <c r="K691" s="2"/>
      <c r="L691" s="2"/>
      <c r="M691" s="2"/>
      <c r="N691" s="2"/>
      <c r="O691" s="2"/>
      <c r="P691" s="2"/>
      <c r="Q691" s="2"/>
      <c r="R691" s="2"/>
      <c r="S691" s="2"/>
      <c r="T691" s="2"/>
    </row>
    <row r="692" spans="1:20" ht="15.75" customHeight="1">
      <c r="A692" s="1"/>
      <c r="B692" s="2"/>
      <c r="C692" s="2"/>
      <c r="D692" s="2"/>
      <c r="E692" s="2"/>
      <c r="F692" s="2"/>
      <c r="G692" s="2"/>
      <c r="H692" s="2"/>
      <c r="I692" s="2"/>
      <c r="J692" s="2"/>
      <c r="K692" s="2"/>
      <c r="L692" s="2"/>
      <c r="M692" s="2"/>
      <c r="N692" s="2"/>
      <c r="O692" s="2"/>
      <c r="P692" s="2"/>
      <c r="Q692" s="2"/>
      <c r="R692" s="2"/>
      <c r="S692" s="2"/>
      <c r="T692" s="2"/>
    </row>
    <row r="693" spans="1:20" ht="15.75" customHeight="1">
      <c r="A693" s="1"/>
      <c r="B693" s="2"/>
      <c r="C693" s="2"/>
      <c r="D693" s="2"/>
      <c r="E693" s="2"/>
      <c r="F693" s="2"/>
      <c r="G693" s="2"/>
      <c r="H693" s="2"/>
      <c r="I693" s="2"/>
      <c r="J693" s="2"/>
      <c r="K693" s="2"/>
      <c r="L693" s="2"/>
      <c r="M693" s="2"/>
      <c r="N693" s="2"/>
      <c r="O693" s="2"/>
      <c r="P693" s="2"/>
      <c r="Q693" s="2"/>
      <c r="R693" s="2"/>
      <c r="S693" s="2"/>
      <c r="T693" s="2"/>
    </row>
    <row r="694" spans="1:20" ht="15.75" customHeight="1">
      <c r="A694" s="1"/>
      <c r="B694" s="2"/>
      <c r="C694" s="2"/>
      <c r="D694" s="2"/>
      <c r="E694" s="2"/>
      <c r="F694" s="2"/>
      <c r="G694" s="2"/>
      <c r="H694" s="2"/>
      <c r="I694" s="2"/>
      <c r="J694" s="2"/>
      <c r="K694" s="2"/>
      <c r="L694" s="2"/>
      <c r="M694" s="2"/>
      <c r="N694" s="2"/>
      <c r="O694" s="2"/>
      <c r="P694" s="2"/>
      <c r="Q694" s="2"/>
      <c r="R694" s="2"/>
      <c r="S694" s="2"/>
      <c r="T694" s="2"/>
    </row>
    <row r="695" spans="1:20" ht="15.75" customHeight="1">
      <c r="A695" s="1"/>
      <c r="B695" s="2"/>
      <c r="C695" s="2"/>
      <c r="D695" s="2"/>
      <c r="E695" s="2"/>
      <c r="F695" s="2"/>
      <c r="G695" s="2"/>
      <c r="H695" s="2"/>
      <c r="I695" s="2"/>
      <c r="J695" s="2"/>
      <c r="K695" s="2"/>
      <c r="L695" s="2"/>
      <c r="M695" s="2"/>
      <c r="N695" s="2"/>
      <c r="O695" s="2"/>
      <c r="P695" s="2"/>
      <c r="Q695" s="2"/>
      <c r="R695" s="2"/>
      <c r="S695" s="2"/>
      <c r="T695" s="2"/>
    </row>
    <row r="696" spans="1:20" ht="15.75" customHeight="1">
      <c r="A696" s="1"/>
      <c r="B696" s="2"/>
      <c r="C696" s="2"/>
      <c r="D696" s="2"/>
      <c r="E696" s="2"/>
      <c r="F696" s="2"/>
      <c r="G696" s="2"/>
      <c r="H696" s="2"/>
      <c r="I696" s="2"/>
      <c r="J696" s="2"/>
      <c r="K696" s="2"/>
      <c r="L696" s="2"/>
      <c r="M696" s="2"/>
      <c r="N696" s="2"/>
      <c r="O696" s="2"/>
      <c r="P696" s="2"/>
      <c r="Q696" s="2"/>
      <c r="R696" s="2"/>
      <c r="S696" s="2"/>
      <c r="T696" s="2"/>
    </row>
    <row r="697" spans="1:20" ht="15.75" customHeight="1">
      <c r="A697" s="1"/>
      <c r="B697" s="2"/>
      <c r="C697" s="2"/>
      <c r="D697" s="2"/>
      <c r="E697" s="2"/>
      <c r="F697" s="2"/>
      <c r="G697" s="2"/>
      <c r="H697" s="2"/>
      <c r="I697" s="2"/>
      <c r="J697" s="2"/>
      <c r="K697" s="2"/>
      <c r="L697" s="2"/>
      <c r="M697" s="2"/>
      <c r="N697" s="2"/>
      <c r="O697" s="2"/>
      <c r="P697" s="2"/>
      <c r="Q697" s="2"/>
      <c r="R697" s="2"/>
      <c r="S697" s="2"/>
      <c r="T697" s="2"/>
    </row>
    <row r="698" spans="1:20" ht="15.75" customHeight="1">
      <c r="A698" s="1"/>
      <c r="B698" s="2"/>
      <c r="C698" s="2"/>
      <c r="D698" s="2"/>
      <c r="E698" s="2"/>
      <c r="F698" s="2"/>
      <c r="G698" s="2"/>
      <c r="H698" s="2"/>
      <c r="I698" s="2"/>
      <c r="J698" s="2"/>
      <c r="K698" s="2"/>
      <c r="L698" s="2"/>
      <c r="M698" s="2"/>
      <c r="N698" s="2"/>
      <c r="O698" s="2"/>
      <c r="P698" s="2"/>
      <c r="Q698" s="2"/>
      <c r="R698" s="2"/>
      <c r="S698" s="2"/>
      <c r="T698" s="2"/>
    </row>
    <row r="699" spans="1:20" ht="15.75" customHeight="1">
      <c r="A699" s="1"/>
      <c r="B699" s="2"/>
      <c r="C699" s="2"/>
      <c r="D699" s="2"/>
      <c r="E699" s="2"/>
      <c r="F699" s="2"/>
      <c r="G699" s="2"/>
      <c r="H699" s="2"/>
      <c r="I699" s="2"/>
      <c r="J699" s="2"/>
      <c r="K699" s="2"/>
      <c r="L699" s="2"/>
      <c r="M699" s="2"/>
      <c r="N699" s="2"/>
      <c r="O699" s="2"/>
      <c r="P699" s="2"/>
      <c r="Q699" s="2"/>
      <c r="R699" s="2"/>
      <c r="S699" s="2"/>
      <c r="T699" s="2"/>
    </row>
    <row r="700" spans="1:20" ht="15.75" customHeight="1">
      <c r="A700" s="1"/>
      <c r="B700" s="2"/>
      <c r="C700" s="2"/>
      <c r="D700" s="2"/>
      <c r="E700" s="2"/>
      <c r="F700" s="2"/>
      <c r="G700" s="2"/>
      <c r="H700" s="2"/>
      <c r="I700" s="2"/>
      <c r="J700" s="2"/>
      <c r="K700" s="2"/>
      <c r="L700" s="2"/>
      <c r="M700" s="2"/>
      <c r="N700" s="2"/>
      <c r="O700" s="2"/>
      <c r="P700" s="2"/>
      <c r="Q700" s="2"/>
      <c r="R700" s="2"/>
      <c r="S700" s="2"/>
      <c r="T700" s="2"/>
    </row>
    <row r="701" spans="1:20" ht="15.75" customHeight="1">
      <c r="A701" s="1"/>
      <c r="B701" s="2"/>
      <c r="C701" s="2"/>
      <c r="D701" s="2"/>
      <c r="E701" s="2"/>
      <c r="F701" s="2"/>
      <c r="G701" s="2"/>
      <c r="H701" s="2"/>
      <c r="I701" s="2"/>
      <c r="J701" s="2"/>
      <c r="K701" s="2"/>
      <c r="L701" s="2"/>
      <c r="M701" s="2"/>
      <c r="N701" s="2"/>
      <c r="O701" s="2"/>
      <c r="P701" s="2"/>
      <c r="Q701" s="2"/>
      <c r="R701" s="2"/>
      <c r="S701" s="2"/>
      <c r="T701" s="2"/>
    </row>
    <row r="702" spans="1:20" ht="15.75" customHeight="1">
      <c r="A702" s="1"/>
      <c r="B702" s="2"/>
      <c r="C702" s="2"/>
      <c r="D702" s="2"/>
      <c r="E702" s="2"/>
      <c r="F702" s="2"/>
      <c r="G702" s="2"/>
      <c r="H702" s="2"/>
      <c r="I702" s="2"/>
      <c r="J702" s="2"/>
      <c r="K702" s="2"/>
      <c r="L702" s="2"/>
      <c r="M702" s="2"/>
      <c r="N702" s="2"/>
      <c r="O702" s="2"/>
      <c r="P702" s="2"/>
      <c r="Q702" s="2"/>
      <c r="R702" s="2"/>
      <c r="S702" s="2"/>
      <c r="T702" s="2"/>
    </row>
    <row r="703" spans="1:20" ht="15.75" customHeight="1">
      <c r="A703" s="1"/>
      <c r="B703" s="2"/>
      <c r="C703" s="2"/>
      <c r="D703" s="2"/>
      <c r="E703" s="2"/>
      <c r="F703" s="2"/>
      <c r="G703" s="2"/>
      <c r="H703" s="2"/>
      <c r="I703" s="2"/>
      <c r="J703" s="2"/>
      <c r="K703" s="2"/>
      <c r="L703" s="2"/>
      <c r="M703" s="2"/>
      <c r="N703" s="2"/>
      <c r="O703" s="2"/>
      <c r="P703" s="2"/>
      <c r="Q703" s="2"/>
      <c r="R703" s="2"/>
      <c r="S703" s="2"/>
      <c r="T703" s="2"/>
    </row>
    <row r="704" spans="1:20" ht="15.75" customHeight="1">
      <c r="A704" s="1"/>
      <c r="B704" s="2"/>
      <c r="C704" s="2"/>
      <c r="D704" s="2"/>
      <c r="E704" s="2"/>
      <c r="F704" s="2"/>
      <c r="G704" s="2"/>
      <c r="H704" s="2"/>
      <c r="I704" s="2"/>
      <c r="J704" s="2"/>
      <c r="K704" s="2"/>
      <c r="L704" s="2"/>
      <c r="M704" s="2"/>
      <c r="N704" s="2"/>
      <c r="O704" s="2"/>
      <c r="P704" s="2"/>
      <c r="Q704" s="2"/>
      <c r="R704" s="2"/>
      <c r="S704" s="2"/>
      <c r="T704" s="2"/>
    </row>
    <row r="705" spans="1:20" ht="15.75" customHeight="1">
      <c r="A705" s="1"/>
      <c r="B705" s="2"/>
      <c r="C705" s="2"/>
      <c r="D705" s="2"/>
      <c r="E705" s="2"/>
      <c r="F705" s="2"/>
      <c r="G705" s="2"/>
      <c r="H705" s="2"/>
      <c r="I705" s="2"/>
      <c r="J705" s="2"/>
      <c r="K705" s="2"/>
      <c r="L705" s="2"/>
      <c r="M705" s="2"/>
      <c r="N705" s="2"/>
      <c r="O705" s="2"/>
      <c r="P705" s="2"/>
      <c r="Q705" s="2"/>
      <c r="R705" s="2"/>
      <c r="S705" s="2"/>
      <c r="T705" s="2"/>
    </row>
    <row r="706" spans="1:20" ht="15.75" customHeight="1">
      <c r="A706" s="1"/>
      <c r="B706" s="2"/>
      <c r="C706" s="2"/>
      <c r="D706" s="2"/>
      <c r="E706" s="2"/>
      <c r="F706" s="2"/>
      <c r="G706" s="2"/>
      <c r="H706" s="2"/>
      <c r="I706" s="2"/>
      <c r="J706" s="2"/>
      <c r="K706" s="2"/>
      <c r="L706" s="2"/>
      <c r="M706" s="2"/>
      <c r="N706" s="2"/>
      <c r="O706" s="2"/>
      <c r="P706" s="2"/>
      <c r="Q706" s="2"/>
      <c r="R706" s="2"/>
      <c r="S706" s="2"/>
      <c r="T706" s="2"/>
    </row>
    <row r="707" spans="1:20" ht="15.75" customHeight="1">
      <c r="A707" s="1"/>
      <c r="B707" s="2"/>
      <c r="C707" s="2"/>
      <c r="D707" s="2"/>
      <c r="E707" s="2"/>
      <c r="F707" s="2"/>
      <c r="G707" s="2"/>
      <c r="H707" s="2"/>
      <c r="I707" s="2"/>
      <c r="J707" s="2"/>
      <c r="K707" s="2"/>
      <c r="L707" s="2"/>
      <c r="M707" s="2"/>
      <c r="N707" s="2"/>
      <c r="O707" s="2"/>
      <c r="P707" s="2"/>
      <c r="Q707" s="2"/>
      <c r="R707" s="2"/>
      <c r="S707" s="2"/>
      <c r="T707" s="2"/>
    </row>
    <row r="708" spans="1:20" ht="15.75" customHeight="1">
      <c r="A708" s="1"/>
      <c r="B708" s="2"/>
      <c r="C708" s="2"/>
      <c r="D708" s="2"/>
      <c r="E708" s="2"/>
      <c r="F708" s="2"/>
      <c r="G708" s="2"/>
      <c r="H708" s="2"/>
      <c r="I708" s="2"/>
      <c r="J708" s="2"/>
      <c r="K708" s="2"/>
      <c r="L708" s="2"/>
      <c r="M708" s="2"/>
      <c r="N708" s="2"/>
      <c r="O708" s="2"/>
      <c r="P708" s="2"/>
      <c r="Q708" s="2"/>
      <c r="R708" s="2"/>
      <c r="S708" s="2"/>
      <c r="T708" s="2"/>
    </row>
    <row r="709" spans="1:20" ht="15.75" customHeight="1">
      <c r="A709" s="1"/>
      <c r="B709" s="2"/>
      <c r="C709" s="2"/>
      <c r="D709" s="2"/>
      <c r="E709" s="2"/>
      <c r="F709" s="2"/>
      <c r="G709" s="2"/>
      <c r="H709" s="2"/>
      <c r="I709" s="2"/>
      <c r="J709" s="2"/>
      <c r="K709" s="2"/>
      <c r="L709" s="2"/>
      <c r="M709" s="2"/>
      <c r="N709" s="2"/>
      <c r="O709" s="2"/>
      <c r="P709" s="2"/>
      <c r="Q709" s="2"/>
      <c r="R709" s="2"/>
      <c r="S709" s="2"/>
      <c r="T709" s="2"/>
    </row>
    <row r="710" spans="1:20" ht="15.75" customHeight="1">
      <c r="A710" s="1"/>
      <c r="B710" s="2"/>
      <c r="C710" s="2"/>
      <c r="D710" s="2"/>
      <c r="E710" s="2"/>
      <c r="F710" s="2"/>
      <c r="G710" s="2"/>
      <c r="H710" s="2"/>
      <c r="I710" s="2"/>
      <c r="J710" s="2"/>
      <c r="K710" s="2"/>
      <c r="L710" s="2"/>
      <c r="M710" s="2"/>
      <c r="N710" s="2"/>
      <c r="O710" s="2"/>
      <c r="P710" s="2"/>
      <c r="Q710" s="2"/>
      <c r="R710" s="2"/>
      <c r="S710" s="2"/>
      <c r="T710" s="2"/>
    </row>
    <row r="711" spans="1:20" ht="15.75" customHeight="1">
      <c r="A711" s="1"/>
      <c r="B711" s="2"/>
      <c r="C711" s="2"/>
      <c r="D711" s="2"/>
      <c r="E711" s="2"/>
      <c r="F711" s="2"/>
      <c r="G711" s="2"/>
      <c r="H711" s="2"/>
      <c r="I711" s="2"/>
      <c r="J711" s="2"/>
      <c r="K711" s="2"/>
      <c r="L711" s="2"/>
      <c r="M711" s="2"/>
      <c r="N711" s="2"/>
      <c r="O711" s="2"/>
      <c r="P711" s="2"/>
      <c r="Q711" s="2"/>
      <c r="R711" s="2"/>
      <c r="S711" s="2"/>
      <c r="T711" s="2"/>
    </row>
    <row r="712" spans="1:20" ht="15.75" customHeight="1">
      <c r="A712" s="1"/>
      <c r="B712" s="2"/>
      <c r="C712" s="2"/>
      <c r="D712" s="2"/>
      <c r="E712" s="2"/>
      <c r="F712" s="2"/>
      <c r="G712" s="2"/>
      <c r="H712" s="2"/>
      <c r="I712" s="2"/>
      <c r="J712" s="2"/>
      <c r="K712" s="2"/>
      <c r="L712" s="2"/>
      <c r="M712" s="2"/>
      <c r="N712" s="2"/>
      <c r="O712" s="2"/>
      <c r="P712" s="2"/>
      <c r="Q712" s="2"/>
      <c r="R712" s="2"/>
      <c r="S712" s="2"/>
      <c r="T712" s="2"/>
    </row>
    <row r="713" spans="1:20" ht="15.75" customHeight="1">
      <c r="A713" s="1"/>
      <c r="B713" s="2"/>
      <c r="C713" s="2"/>
      <c r="D713" s="2"/>
      <c r="E713" s="2"/>
      <c r="F713" s="2"/>
      <c r="G713" s="2"/>
      <c r="H713" s="2"/>
      <c r="I713" s="2"/>
      <c r="J713" s="2"/>
      <c r="K713" s="2"/>
      <c r="L713" s="2"/>
      <c r="M713" s="2"/>
      <c r="N713" s="2"/>
      <c r="O713" s="2"/>
      <c r="P713" s="2"/>
      <c r="Q713" s="2"/>
      <c r="R713" s="2"/>
      <c r="S713" s="2"/>
      <c r="T713" s="2"/>
    </row>
    <row r="714" spans="1:20" ht="15.75" customHeight="1">
      <c r="A714" s="1"/>
      <c r="B714" s="2"/>
      <c r="C714" s="2"/>
      <c r="D714" s="2"/>
      <c r="E714" s="2"/>
      <c r="F714" s="2"/>
      <c r="G714" s="2"/>
      <c r="H714" s="2"/>
      <c r="I714" s="2"/>
      <c r="J714" s="2"/>
      <c r="K714" s="2"/>
      <c r="L714" s="2"/>
      <c r="M714" s="2"/>
      <c r="N714" s="2"/>
      <c r="O714" s="2"/>
      <c r="P714" s="2"/>
      <c r="Q714" s="2"/>
      <c r="R714" s="2"/>
      <c r="S714" s="2"/>
      <c r="T714" s="2"/>
    </row>
    <row r="715" spans="1:20" ht="15.75" customHeight="1">
      <c r="A715" s="1"/>
      <c r="B715" s="2"/>
      <c r="C715" s="2"/>
      <c r="D715" s="2"/>
      <c r="E715" s="2"/>
      <c r="F715" s="2"/>
      <c r="G715" s="2"/>
      <c r="H715" s="2"/>
      <c r="I715" s="2"/>
      <c r="J715" s="2"/>
      <c r="K715" s="2"/>
      <c r="L715" s="2"/>
      <c r="M715" s="2"/>
      <c r="N715" s="2"/>
      <c r="O715" s="2"/>
      <c r="P715" s="2"/>
      <c r="Q715" s="2"/>
      <c r="R715" s="2"/>
      <c r="S715" s="2"/>
      <c r="T715" s="2"/>
    </row>
    <row r="716" spans="1:20" ht="15.75" customHeight="1">
      <c r="A716" s="1"/>
      <c r="B716" s="2"/>
      <c r="C716" s="2"/>
      <c r="D716" s="2"/>
      <c r="E716" s="2"/>
      <c r="F716" s="2"/>
      <c r="G716" s="2"/>
      <c r="H716" s="2"/>
      <c r="I716" s="2"/>
      <c r="J716" s="2"/>
      <c r="K716" s="2"/>
      <c r="L716" s="2"/>
      <c r="M716" s="2"/>
      <c r="N716" s="2"/>
      <c r="O716" s="2"/>
      <c r="P716" s="2"/>
      <c r="Q716" s="2"/>
      <c r="R716" s="2"/>
      <c r="S716" s="2"/>
      <c r="T716" s="2"/>
    </row>
    <row r="717" spans="1:20" ht="15.75" customHeight="1">
      <c r="A717" s="1"/>
      <c r="B717" s="2"/>
      <c r="C717" s="2"/>
      <c r="D717" s="2"/>
      <c r="E717" s="2"/>
      <c r="F717" s="2"/>
      <c r="G717" s="2"/>
      <c r="H717" s="2"/>
      <c r="I717" s="2"/>
      <c r="J717" s="2"/>
      <c r="K717" s="2"/>
      <c r="L717" s="2"/>
      <c r="M717" s="2"/>
      <c r="N717" s="2"/>
      <c r="O717" s="2"/>
      <c r="P717" s="2"/>
      <c r="Q717" s="2"/>
      <c r="R717" s="2"/>
      <c r="S717" s="2"/>
      <c r="T717" s="2"/>
    </row>
    <row r="718" spans="1:20" ht="15.75" customHeight="1">
      <c r="A718" s="1"/>
      <c r="B718" s="2"/>
      <c r="C718" s="2"/>
      <c r="D718" s="2"/>
      <c r="E718" s="2"/>
      <c r="F718" s="2"/>
      <c r="G718" s="2"/>
      <c r="H718" s="2"/>
      <c r="I718" s="2"/>
      <c r="J718" s="2"/>
      <c r="K718" s="2"/>
      <c r="L718" s="2"/>
      <c r="M718" s="2"/>
      <c r="N718" s="2"/>
      <c r="O718" s="2"/>
      <c r="P718" s="2"/>
      <c r="Q718" s="2"/>
      <c r="R718" s="2"/>
      <c r="S718" s="2"/>
      <c r="T718" s="2"/>
    </row>
    <row r="719" spans="1:20" ht="15.75" customHeight="1">
      <c r="A719" s="1"/>
      <c r="B719" s="2"/>
      <c r="C719" s="2"/>
      <c r="D719" s="2"/>
      <c r="E719" s="2"/>
      <c r="F719" s="2"/>
      <c r="G719" s="2"/>
      <c r="H719" s="2"/>
      <c r="I719" s="2"/>
      <c r="J719" s="2"/>
      <c r="K719" s="2"/>
      <c r="L719" s="2"/>
      <c r="M719" s="2"/>
      <c r="N719" s="2"/>
      <c r="O719" s="2"/>
      <c r="P719" s="2"/>
      <c r="Q719" s="2"/>
      <c r="R719" s="2"/>
      <c r="S719" s="2"/>
      <c r="T719" s="2"/>
    </row>
    <row r="720" spans="1:20" ht="15.75" customHeight="1">
      <c r="A720" s="1"/>
      <c r="B720" s="2"/>
      <c r="C720" s="2"/>
      <c r="D720" s="2"/>
      <c r="E720" s="2"/>
      <c r="F720" s="2"/>
      <c r="G720" s="2"/>
      <c r="H720" s="2"/>
      <c r="I720" s="2"/>
      <c r="J720" s="2"/>
      <c r="K720" s="2"/>
      <c r="L720" s="2"/>
      <c r="M720" s="2"/>
      <c r="N720" s="2"/>
      <c r="O720" s="2"/>
      <c r="P720" s="2"/>
      <c r="Q720" s="2"/>
      <c r="R720" s="2"/>
      <c r="S720" s="2"/>
      <c r="T720" s="2"/>
    </row>
    <row r="721" spans="1:20" ht="15.75" customHeight="1">
      <c r="A721" s="1"/>
      <c r="B721" s="2"/>
      <c r="C721" s="2"/>
      <c r="D721" s="2"/>
      <c r="E721" s="2"/>
      <c r="F721" s="2"/>
      <c r="G721" s="2"/>
      <c r="H721" s="2"/>
      <c r="I721" s="2"/>
      <c r="J721" s="2"/>
      <c r="K721" s="2"/>
      <c r="L721" s="2"/>
      <c r="M721" s="2"/>
      <c r="N721" s="2"/>
      <c r="O721" s="2"/>
      <c r="P721" s="2"/>
      <c r="Q721" s="2"/>
      <c r="R721" s="2"/>
      <c r="S721" s="2"/>
      <c r="T721" s="2"/>
    </row>
    <row r="722" spans="1:20" ht="15.75" customHeight="1">
      <c r="A722" s="1"/>
      <c r="B722" s="2"/>
      <c r="C722" s="2"/>
      <c r="D722" s="2"/>
      <c r="E722" s="2"/>
      <c r="F722" s="2"/>
      <c r="G722" s="2"/>
      <c r="H722" s="2"/>
      <c r="I722" s="2"/>
      <c r="J722" s="2"/>
      <c r="K722" s="2"/>
      <c r="L722" s="2"/>
      <c r="M722" s="2"/>
      <c r="N722" s="2"/>
      <c r="O722" s="2"/>
      <c r="P722" s="2"/>
      <c r="Q722" s="2"/>
      <c r="R722" s="2"/>
      <c r="S722" s="2"/>
      <c r="T722" s="2"/>
    </row>
    <row r="723" spans="1:20" ht="15.75" customHeight="1">
      <c r="A723" s="1"/>
      <c r="B723" s="2"/>
      <c r="C723" s="2"/>
      <c r="D723" s="2"/>
      <c r="E723" s="2"/>
      <c r="F723" s="2"/>
      <c r="G723" s="2"/>
      <c r="H723" s="2"/>
      <c r="I723" s="2"/>
      <c r="J723" s="2"/>
      <c r="K723" s="2"/>
      <c r="L723" s="2"/>
      <c r="M723" s="2"/>
      <c r="N723" s="2"/>
      <c r="O723" s="2"/>
      <c r="P723" s="2"/>
      <c r="Q723" s="2"/>
      <c r="R723" s="2"/>
      <c r="S723" s="2"/>
      <c r="T723" s="2"/>
    </row>
    <row r="724" spans="1:20" ht="15.75" customHeight="1">
      <c r="A724" s="1"/>
      <c r="B724" s="2"/>
      <c r="C724" s="2"/>
      <c r="D724" s="2"/>
      <c r="E724" s="2"/>
      <c r="F724" s="2"/>
      <c r="G724" s="2"/>
      <c r="H724" s="2"/>
      <c r="I724" s="2"/>
      <c r="J724" s="2"/>
      <c r="K724" s="2"/>
      <c r="L724" s="2"/>
      <c r="M724" s="2"/>
      <c r="N724" s="2"/>
      <c r="O724" s="2"/>
      <c r="P724" s="2"/>
      <c r="Q724" s="2"/>
      <c r="R724" s="2"/>
      <c r="S724" s="2"/>
      <c r="T724" s="2"/>
    </row>
    <row r="725" spans="1:20" ht="15.75" customHeight="1">
      <c r="A725" s="1"/>
      <c r="B725" s="2"/>
      <c r="C725" s="2"/>
      <c r="D725" s="2"/>
      <c r="E725" s="2"/>
      <c r="F725" s="2"/>
      <c r="G725" s="2"/>
      <c r="H725" s="2"/>
      <c r="I725" s="2"/>
      <c r="J725" s="2"/>
      <c r="K725" s="2"/>
      <c r="L725" s="2"/>
      <c r="M725" s="2"/>
      <c r="N725" s="2"/>
      <c r="O725" s="2"/>
      <c r="P725" s="2"/>
      <c r="Q725" s="2"/>
      <c r="R725" s="2"/>
      <c r="S725" s="2"/>
      <c r="T725" s="2"/>
    </row>
    <row r="726" spans="1:20" ht="15.75" customHeight="1">
      <c r="A726" s="1"/>
      <c r="B726" s="2"/>
      <c r="C726" s="2"/>
      <c r="D726" s="2"/>
      <c r="E726" s="2"/>
      <c r="F726" s="2"/>
      <c r="G726" s="2"/>
      <c r="H726" s="2"/>
      <c r="I726" s="2"/>
      <c r="J726" s="2"/>
      <c r="K726" s="2"/>
      <c r="L726" s="2"/>
      <c r="M726" s="2"/>
      <c r="N726" s="2"/>
      <c r="O726" s="2"/>
      <c r="P726" s="2"/>
      <c r="Q726" s="2"/>
      <c r="R726" s="2"/>
      <c r="S726" s="2"/>
      <c r="T726" s="2"/>
    </row>
    <row r="727" spans="1:20" ht="15.75" customHeight="1">
      <c r="A727" s="1"/>
      <c r="B727" s="2"/>
      <c r="C727" s="2"/>
      <c r="D727" s="2"/>
      <c r="E727" s="2"/>
      <c r="F727" s="2"/>
      <c r="G727" s="2"/>
      <c r="H727" s="2"/>
      <c r="I727" s="2"/>
      <c r="J727" s="2"/>
      <c r="K727" s="2"/>
      <c r="L727" s="2"/>
      <c r="M727" s="2"/>
      <c r="N727" s="2"/>
      <c r="O727" s="2"/>
      <c r="P727" s="2"/>
      <c r="Q727" s="2"/>
      <c r="R727" s="2"/>
      <c r="S727" s="2"/>
      <c r="T727" s="2"/>
    </row>
    <row r="728" spans="1:20" ht="15.75" customHeight="1">
      <c r="A728" s="1"/>
      <c r="B728" s="2"/>
      <c r="C728" s="2"/>
      <c r="D728" s="2"/>
      <c r="E728" s="2"/>
      <c r="F728" s="2"/>
      <c r="G728" s="2"/>
      <c r="H728" s="2"/>
      <c r="I728" s="2"/>
      <c r="J728" s="2"/>
      <c r="K728" s="2"/>
      <c r="L728" s="2"/>
      <c r="M728" s="2"/>
      <c r="N728" s="2"/>
      <c r="O728" s="2"/>
      <c r="P728" s="2"/>
      <c r="Q728" s="2"/>
      <c r="R728" s="2"/>
      <c r="S728" s="2"/>
      <c r="T728" s="2"/>
    </row>
    <row r="729" spans="1:20" ht="15.75" customHeight="1">
      <c r="A729" s="1"/>
      <c r="B729" s="2"/>
      <c r="C729" s="2"/>
      <c r="D729" s="2"/>
      <c r="E729" s="2"/>
      <c r="F729" s="2"/>
      <c r="G729" s="2"/>
      <c r="H729" s="2"/>
      <c r="I729" s="2"/>
      <c r="J729" s="2"/>
      <c r="K729" s="2"/>
      <c r="L729" s="2"/>
      <c r="M729" s="2"/>
      <c r="N729" s="2"/>
      <c r="O729" s="2"/>
      <c r="P729" s="2"/>
      <c r="Q729" s="2"/>
      <c r="R729" s="2"/>
      <c r="S729" s="2"/>
      <c r="T729" s="2"/>
    </row>
    <row r="730" spans="1:20" ht="15.75" customHeight="1">
      <c r="A730" s="1"/>
      <c r="B730" s="2"/>
      <c r="C730" s="2"/>
      <c r="D730" s="2"/>
      <c r="E730" s="2"/>
      <c r="F730" s="2"/>
      <c r="G730" s="2"/>
      <c r="H730" s="2"/>
      <c r="I730" s="2"/>
      <c r="J730" s="2"/>
      <c r="K730" s="2"/>
      <c r="L730" s="2"/>
      <c r="M730" s="2"/>
      <c r="N730" s="2"/>
      <c r="O730" s="2"/>
      <c r="P730" s="2"/>
      <c r="Q730" s="2"/>
      <c r="R730" s="2"/>
      <c r="S730" s="2"/>
      <c r="T730" s="2"/>
    </row>
    <row r="731" spans="1:20" ht="15.75" customHeight="1">
      <c r="A731" s="1"/>
      <c r="B731" s="2"/>
      <c r="C731" s="2"/>
      <c r="D731" s="2"/>
      <c r="E731" s="2"/>
      <c r="F731" s="2"/>
      <c r="G731" s="2"/>
      <c r="H731" s="2"/>
      <c r="I731" s="2"/>
      <c r="J731" s="2"/>
      <c r="K731" s="2"/>
      <c r="L731" s="2"/>
      <c r="M731" s="2"/>
      <c r="N731" s="2"/>
      <c r="O731" s="2"/>
      <c r="P731" s="2"/>
      <c r="Q731" s="2"/>
      <c r="R731" s="2"/>
      <c r="S731" s="2"/>
      <c r="T731" s="2"/>
    </row>
    <row r="732" spans="1:20" ht="15.75" customHeight="1">
      <c r="A732" s="1"/>
      <c r="B732" s="2"/>
      <c r="C732" s="2"/>
      <c r="D732" s="2"/>
      <c r="E732" s="2"/>
      <c r="F732" s="2"/>
      <c r="G732" s="2"/>
      <c r="H732" s="2"/>
      <c r="I732" s="2"/>
      <c r="J732" s="2"/>
      <c r="K732" s="2"/>
      <c r="L732" s="2"/>
      <c r="M732" s="2"/>
      <c r="N732" s="2"/>
      <c r="O732" s="2"/>
      <c r="P732" s="2"/>
      <c r="Q732" s="2"/>
      <c r="R732" s="2"/>
      <c r="S732" s="2"/>
      <c r="T732" s="2"/>
    </row>
    <row r="733" spans="1:20" ht="15.75" customHeight="1">
      <c r="A733" s="1"/>
      <c r="B733" s="2"/>
      <c r="C733" s="2"/>
      <c r="D733" s="2"/>
      <c r="E733" s="2"/>
      <c r="F733" s="2"/>
      <c r="G733" s="2"/>
      <c r="H733" s="2"/>
      <c r="I733" s="2"/>
      <c r="J733" s="2"/>
      <c r="K733" s="2"/>
      <c r="L733" s="2"/>
      <c r="M733" s="2"/>
      <c r="N733" s="2"/>
      <c r="O733" s="2"/>
      <c r="P733" s="2"/>
      <c r="Q733" s="2"/>
      <c r="R733" s="2"/>
      <c r="S733" s="2"/>
      <c r="T733" s="2"/>
    </row>
    <row r="734" spans="1:20" ht="15.75" customHeight="1">
      <c r="A734" s="1"/>
      <c r="B734" s="2"/>
      <c r="C734" s="2"/>
      <c r="D734" s="2"/>
      <c r="E734" s="2"/>
      <c r="F734" s="2"/>
      <c r="G734" s="2"/>
      <c r="H734" s="2"/>
      <c r="I734" s="2"/>
      <c r="J734" s="2"/>
      <c r="K734" s="2"/>
      <c r="L734" s="2"/>
      <c r="M734" s="2"/>
      <c r="N734" s="2"/>
      <c r="O734" s="2"/>
      <c r="P734" s="2"/>
      <c r="Q734" s="2"/>
      <c r="R734" s="2"/>
      <c r="S734" s="2"/>
      <c r="T734" s="2"/>
    </row>
    <row r="735" spans="1:20" ht="15.75" customHeight="1">
      <c r="A735" s="1"/>
      <c r="B735" s="2"/>
      <c r="C735" s="2"/>
      <c r="D735" s="2"/>
      <c r="E735" s="2"/>
      <c r="F735" s="2"/>
      <c r="G735" s="2"/>
      <c r="H735" s="2"/>
      <c r="I735" s="2"/>
      <c r="J735" s="2"/>
      <c r="K735" s="2"/>
      <c r="L735" s="2"/>
      <c r="M735" s="2"/>
      <c r="N735" s="2"/>
      <c r="O735" s="2"/>
      <c r="P735" s="2"/>
      <c r="Q735" s="2"/>
      <c r="R735" s="2"/>
      <c r="S735" s="2"/>
      <c r="T735" s="2"/>
    </row>
    <row r="736" spans="1:20" ht="15.75" customHeight="1">
      <c r="A736" s="1"/>
      <c r="B736" s="2"/>
      <c r="C736" s="2"/>
      <c r="D736" s="2"/>
      <c r="E736" s="2"/>
      <c r="F736" s="2"/>
      <c r="G736" s="2"/>
      <c r="H736" s="2"/>
      <c r="I736" s="2"/>
      <c r="J736" s="2"/>
      <c r="K736" s="2"/>
      <c r="L736" s="2"/>
      <c r="M736" s="2"/>
      <c r="N736" s="2"/>
      <c r="O736" s="2"/>
      <c r="P736" s="2"/>
      <c r="Q736" s="2"/>
      <c r="R736" s="2"/>
      <c r="S736" s="2"/>
      <c r="T736" s="2"/>
    </row>
    <row r="737" spans="1:20" ht="15.75" customHeight="1">
      <c r="A737" s="1"/>
      <c r="B737" s="2"/>
      <c r="C737" s="2"/>
      <c r="D737" s="2"/>
      <c r="E737" s="2"/>
      <c r="F737" s="2"/>
      <c r="G737" s="2"/>
      <c r="H737" s="2"/>
      <c r="I737" s="2"/>
      <c r="J737" s="2"/>
      <c r="K737" s="2"/>
      <c r="L737" s="2"/>
      <c r="M737" s="2"/>
      <c r="N737" s="2"/>
      <c r="O737" s="2"/>
      <c r="P737" s="2"/>
      <c r="Q737" s="2"/>
      <c r="R737" s="2"/>
      <c r="S737" s="2"/>
      <c r="T737" s="2"/>
    </row>
    <row r="738" spans="1:20" ht="15.75" customHeight="1">
      <c r="A738" s="1"/>
      <c r="B738" s="2"/>
      <c r="C738" s="2"/>
      <c r="D738" s="2"/>
      <c r="E738" s="2"/>
      <c r="F738" s="2"/>
      <c r="G738" s="2"/>
      <c r="H738" s="2"/>
      <c r="I738" s="2"/>
      <c r="J738" s="2"/>
      <c r="K738" s="2"/>
      <c r="L738" s="2"/>
      <c r="M738" s="2"/>
      <c r="N738" s="2"/>
      <c r="O738" s="2"/>
      <c r="P738" s="2"/>
      <c r="Q738" s="2"/>
      <c r="R738" s="2"/>
      <c r="S738" s="2"/>
      <c r="T738" s="2"/>
    </row>
    <row r="739" spans="1:20" ht="15.75" customHeight="1">
      <c r="A739" s="1"/>
      <c r="B739" s="2"/>
      <c r="C739" s="2"/>
      <c r="D739" s="2"/>
      <c r="E739" s="2"/>
      <c r="F739" s="2"/>
      <c r="G739" s="2"/>
      <c r="H739" s="2"/>
      <c r="I739" s="2"/>
      <c r="J739" s="2"/>
      <c r="K739" s="2"/>
      <c r="L739" s="2"/>
      <c r="M739" s="2"/>
      <c r="N739" s="2"/>
      <c r="O739" s="2"/>
      <c r="P739" s="2"/>
      <c r="Q739" s="2"/>
      <c r="R739" s="2"/>
      <c r="S739" s="2"/>
      <c r="T739" s="2"/>
    </row>
    <row r="740" spans="1:20" ht="15.75" customHeight="1">
      <c r="A740" s="1"/>
      <c r="B740" s="2"/>
      <c r="C740" s="2"/>
      <c r="D740" s="2"/>
      <c r="E740" s="2"/>
      <c r="F740" s="2"/>
      <c r="G740" s="2"/>
      <c r="H740" s="2"/>
      <c r="I740" s="2"/>
      <c r="J740" s="2"/>
      <c r="K740" s="2"/>
      <c r="L740" s="2"/>
      <c r="M740" s="2"/>
      <c r="N740" s="2"/>
      <c r="O740" s="2"/>
      <c r="P740" s="2"/>
      <c r="Q740" s="2"/>
      <c r="R740" s="2"/>
      <c r="S740" s="2"/>
      <c r="T740" s="2"/>
    </row>
    <row r="741" spans="1:20" ht="15.75" customHeight="1">
      <c r="A741" s="1"/>
      <c r="B741" s="2"/>
      <c r="C741" s="2"/>
      <c r="D741" s="2"/>
      <c r="E741" s="2"/>
      <c r="F741" s="2"/>
      <c r="G741" s="2"/>
      <c r="H741" s="2"/>
      <c r="I741" s="2"/>
      <c r="J741" s="2"/>
      <c r="K741" s="2"/>
      <c r="L741" s="2"/>
      <c r="M741" s="2"/>
      <c r="N741" s="2"/>
      <c r="O741" s="2"/>
      <c r="P741" s="2"/>
      <c r="Q741" s="2"/>
      <c r="R741" s="2"/>
      <c r="S741" s="2"/>
      <c r="T741" s="2"/>
    </row>
    <row r="742" spans="1:20" ht="15.75" customHeight="1">
      <c r="A742" s="1"/>
      <c r="B742" s="2"/>
      <c r="C742" s="2"/>
      <c r="D742" s="2"/>
      <c r="E742" s="2"/>
      <c r="F742" s="2"/>
      <c r="G742" s="2"/>
      <c r="H742" s="2"/>
      <c r="I742" s="2"/>
      <c r="J742" s="2"/>
      <c r="K742" s="2"/>
      <c r="L742" s="2"/>
      <c r="M742" s="2"/>
      <c r="N742" s="2"/>
      <c r="O742" s="2"/>
      <c r="P742" s="2"/>
      <c r="Q742" s="2"/>
      <c r="R742" s="2"/>
      <c r="S742" s="2"/>
      <c r="T742" s="2"/>
    </row>
    <row r="743" spans="1:20" ht="15.75" customHeight="1">
      <c r="A743" s="1"/>
      <c r="B743" s="2"/>
      <c r="C743" s="2"/>
      <c r="D743" s="2"/>
      <c r="E743" s="2"/>
      <c r="F743" s="2"/>
      <c r="G743" s="2"/>
      <c r="H743" s="2"/>
      <c r="I743" s="2"/>
      <c r="J743" s="2"/>
      <c r="K743" s="2"/>
      <c r="L743" s="2"/>
      <c r="M743" s="2"/>
      <c r="N743" s="2"/>
      <c r="O743" s="2"/>
      <c r="P743" s="2"/>
      <c r="Q743" s="2"/>
      <c r="R743" s="2"/>
      <c r="S743" s="2"/>
      <c r="T743" s="2"/>
    </row>
    <row r="744" spans="1:20" ht="15.75" customHeight="1">
      <c r="A744" s="1"/>
      <c r="B744" s="2"/>
      <c r="C744" s="2"/>
      <c r="D744" s="2"/>
      <c r="E744" s="2"/>
      <c r="F744" s="2"/>
      <c r="G744" s="2"/>
      <c r="H744" s="2"/>
      <c r="I744" s="2"/>
      <c r="J744" s="2"/>
      <c r="K744" s="2"/>
      <c r="L744" s="2"/>
      <c r="M744" s="2"/>
      <c r="N744" s="2"/>
      <c r="O744" s="2"/>
      <c r="P744" s="2"/>
      <c r="Q744" s="2"/>
      <c r="R744" s="2"/>
      <c r="S744" s="2"/>
      <c r="T744" s="2"/>
    </row>
    <row r="745" spans="1:20" ht="15.75" customHeight="1">
      <c r="A745" s="1"/>
      <c r="B745" s="2"/>
      <c r="C745" s="2"/>
      <c r="D745" s="2"/>
      <c r="E745" s="2"/>
      <c r="F745" s="2"/>
      <c r="G745" s="2"/>
      <c r="H745" s="2"/>
      <c r="I745" s="2"/>
      <c r="J745" s="2"/>
      <c r="K745" s="2"/>
      <c r="L745" s="2"/>
      <c r="M745" s="2"/>
      <c r="N745" s="2"/>
      <c r="O745" s="2"/>
      <c r="P745" s="2"/>
      <c r="Q745" s="2"/>
      <c r="R745" s="2"/>
      <c r="S745" s="2"/>
      <c r="T745" s="2"/>
    </row>
    <row r="746" spans="1:20" ht="15.75" customHeight="1">
      <c r="A746" s="1"/>
      <c r="B746" s="2"/>
      <c r="C746" s="2"/>
      <c r="D746" s="2"/>
      <c r="E746" s="2"/>
      <c r="F746" s="2"/>
      <c r="G746" s="2"/>
      <c r="H746" s="2"/>
      <c r="I746" s="2"/>
      <c r="J746" s="2"/>
      <c r="K746" s="2"/>
      <c r="L746" s="2"/>
      <c r="M746" s="2"/>
      <c r="N746" s="2"/>
      <c r="O746" s="2"/>
      <c r="P746" s="2"/>
      <c r="Q746" s="2"/>
      <c r="R746" s="2"/>
      <c r="S746" s="2"/>
      <c r="T746" s="2"/>
    </row>
    <row r="747" spans="1:20" ht="15.75" customHeight="1">
      <c r="A747" s="1"/>
      <c r="B747" s="2"/>
      <c r="C747" s="2"/>
      <c r="D747" s="2"/>
      <c r="E747" s="2"/>
      <c r="F747" s="2"/>
      <c r="G747" s="2"/>
      <c r="H747" s="2"/>
      <c r="I747" s="2"/>
      <c r="J747" s="2"/>
      <c r="K747" s="2"/>
      <c r="L747" s="2"/>
      <c r="M747" s="2"/>
      <c r="N747" s="2"/>
      <c r="O747" s="2"/>
      <c r="P747" s="2"/>
      <c r="Q747" s="2"/>
      <c r="R747" s="2"/>
      <c r="S747" s="2"/>
      <c r="T747" s="2"/>
    </row>
    <row r="748" spans="1:20" ht="15.75" customHeight="1">
      <c r="A748" s="1"/>
      <c r="B748" s="2"/>
      <c r="C748" s="2"/>
      <c r="D748" s="2"/>
      <c r="E748" s="2"/>
      <c r="F748" s="2"/>
      <c r="G748" s="2"/>
      <c r="H748" s="2"/>
      <c r="I748" s="2"/>
      <c r="J748" s="2"/>
      <c r="K748" s="2"/>
      <c r="L748" s="2"/>
      <c r="M748" s="2"/>
      <c r="N748" s="2"/>
      <c r="O748" s="2"/>
      <c r="P748" s="2"/>
      <c r="Q748" s="2"/>
      <c r="R748" s="2"/>
      <c r="S748" s="2"/>
      <c r="T748" s="2"/>
    </row>
    <row r="749" spans="1:20" ht="15.75" customHeight="1">
      <c r="A749" s="1"/>
      <c r="B749" s="2"/>
      <c r="C749" s="2"/>
      <c r="D749" s="2"/>
      <c r="E749" s="2"/>
      <c r="F749" s="2"/>
      <c r="G749" s="2"/>
      <c r="H749" s="2"/>
      <c r="I749" s="2"/>
      <c r="J749" s="2"/>
      <c r="K749" s="2"/>
      <c r="L749" s="2"/>
      <c r="M749" s="2"/>
      <c r="N749" s="2"/>
      <c r="O749" s="2"/>
      <c r="P749" s="2"/>
      <c r="Q749" s="2"/>
      <c r="R749" s="2"/>
      <c r="S749" s="2"/>
      <c r="T749" s="2"/>
    </row>
    <row r="750" spans="1:20" ht="15.75" customHeight="1">
      <c r="A750" s="1"/>
      <c r="B750" s="2"/>
      <c r="C750" s="2"/>
      <c r="D750" s="2"/>
      <c r="E750" s="2"/>
      <c r="F750" s="2"/>
      <c r="G750" s="2"/>
      <c r="H750" s="2"/>
      <c r="I750" s="2"/>
      <c r="J750" s="2"/>
      <c r="K750" s="2"/>
      <c r="L750" s="2"/>
      <c r="M750" s="2"/>
      <c r="N750" s="2"/>
      <c r="O750" s="2"/>
      <c r="P750" s="2"/>
      <c r="Q750" s="2"/>
      <c r="R750" s="2"/>
      <c r="S750" s="2"/>
      <c r="T750" s="2"/>
    </row>
    <row r="751" spans="1:20" ht="15.75" customHeight="1">
      <c r="A751" s="1"/>
      <c r="B751" s="2"/>
      <c r="C751" s="2"/>
      <c r="D751" s="2"/>
      <c r="E751" s="2"/>
      <c r="F751" s="2"/>
      <c r="G751" s="2"/>
      <c r="H751" s="2"/>
      <c r="I751" s="2"/>
      <c r="J751" s="2"/>
      <c r="K751" s="2"/>
      <c r="L751" s="2"/>
      <c r="M751" s="2"/>
      <c r="N751" s="2"/>
      <c r="O751" s="2"/>
      <c r="P751" s="2"/>
      <c r="Q751" s="2"/>
      <c r="R751" s="2"/>
      <c r="S751" s="2"/>
      <c r="T751" s="2"/>
    </row>
    <row r="752" spans="1:20" ht="15.75" customHeight="1">
      <c r="A752" s="1"/>
      <c r="B752" s="2"/>
      <c r="C752" s="2"/>
      <c r="D752" s="2"/>
      <c r="E752" s="2"/>
      <c r="F752" s="2"/>
      <c r="G752" s="2"/>
      <c r="H752" s="2"/>
      <c r="I752" s="2"/>
      <c r="J752" s="2"/>
      <c r="K752" s="2"/>
      <c r="L752" s="2"/>
      <c r="M752" s="2"/>
      <c r="N752" s="2"/>
      <c r="O752" s="2"/>
      <c r="P752" s="2"/>
      <c r="Q752" s="2"/>
      <c r="R752" s="2"/>
      <c r="S752" s="2"/>
      <c r="T752" s="2"/>
    </row>
    <row r="753" spans="1:20" ht="15.75" customHeight="1">
      <c r="A753" s="1"/>
      <c r="B753" s="2"/>
      <c r="C753" s="2"/>
      <c r="D753" s="2"/>
      <c r="E753" s="2"/>
      <c r="F753" s="2"/>
      <c r="G753" s="2"/>
      <c r="H753" s="2"/>
      <c r="I753" s="2"/>
      <c r="J753" s="2"/>
      <c r="K753" s="2"/>
      <c r="L753" s="2"/>
      <c r="M753" s="2"/>
      <c r="N753" s="2"/>
      <c r="O753" s="2"/>
      <c r="P753" s="2"/>
      <c r="Q753" s="2"/>
      <c r="R753" s="2"/>
      <c r="S753" s="2"/>
      <c r="T753" s="2"/>
    </row>
    <row r="754" spans="1:20" ht="15.75" customHeight="1">
      <c r="A754" s="1"/>
      <c r="B754" s="2"/>
      <c r="C754" s="2"/>
      <c r="D754" s="2"/>
      <c r="E754" s="2"/>
      <c r="F754" s="2"/>
      <c r="G754" s="2"/>
      <c r="H754" s="2"/>
      <c r="I754" s="2"/>
      <c r="J754" s="2"/>
      <c r="K754" s="2"/>
      <c r="L754" s="2"/>
      <c r="M754" s="2"/>
      <c r="N754" s="2"/>
      <c r="O754" s="2"/>
      <c r="P754" s="2"/>
      <c r="Q754" s="2"/>
      <c r="R754" s="2"/>
      <c r="S754" s="2"/>
      <c r="T754" s="2"/>
    </row>
    <row r="755" spans="1:20" ht="15.75" customHeight="1">
      <c r="A755" s="1"/>
      <c r="B755" s="2"/>
      <c r="C755" s="2"/>
      <c r="D755" s="2"/>
      <c r="E755" s="2"/>
      <c r="F755" s="2"/>
      <c r="G755" s="2"/>
      <c r="H755" s="2"/>
      <c r="I755" s="2"/>
      <c r="J755" s="2"/>
      <c r="K755" s="2"/>
      <c r="L755" s="2"/>
      <c r="M755" s="2"/>
      <c r="N755" s="2"/>
      <c r="O755" s="2"/>
      <c r="P755" s="2"/>
      <c r="Q755" s="2"/>
      <c r="R755" s="2"/>
      <c r="S755" s="2"/>
      <c r="T755" s="2"/>
    </row>
    <row r="756" spans="1:20" ht="15.75" customHeight="1">
      <c r="A756" s="1"/>
      <c r="B756" s="2"/>
      <c r="C756" s="2"/>
      <c r="D756" s="2"/>
      <c r="E756" s="2"/>
      <c r="F756" s="2"/>
      <c r="G756" s="2"/>
      <c r="H756" s="2"/>
      <c r="I756" s="2"/>
      <c r="J756" s="2"/>
      <c r="K756" s="2"/>
      <c r="L756" s="2"/>
      <c r="M756" s="2"/>
      <c r="N756" s="2"/>
      <c r="O756" s="2"/>
      <c r="P756" s="2"/>
      <c r="Q756" s="2"/>
      <c r="R756" s="2"/>
      <c r="S756" s="2"/>
      <c r="T756" s="2"/>
    </row>
    <row r="757" spans="1:20" ht="15.75" customHeight="1">
      <c r="A757" s="1"/>
      <c r="B757" s="2"/>
      <c r="C757" s="2"/>
      <c r="D757" s="2"/>
      <c r="E757" s="2"/>
      <c r="F757" s="2"/>
      <c r="G757" s="2"/>
      <c r="H757" s="2"/>
      <c r="I757" s="2"/>
      <c r="J757" s="2"/>
      <c r="K757" s="2"/>
      <c r="L757" s="2"/>
      <c r="M757" s="2"/>
      <c r="N757" s="2"/>
      <c r="O757" s="2"/>
      <c r="P757" s="2"/>
      <c r="Q757" s="2"/>
      <c r="R757" s="2"/>
      <c r="S757" s="2"/>
      <c r="T757" s="2"/>
    </row>
    <row r="758" spans="1:20" ht="15.75" customHeight="1">
      <c r="A758" s="1"/>
      <c r="B758" s="2"/>
      <c r="C758" s="2"/>
      <c r="D758" s="2"/>
      <c r="E758" s="2"/>
      <c r="F758" s="2"/>
      <c r="G758" s="2"/>
      <c r="H758" s="2"/>
      <c r="I758" s="2"/>
      <c r="J758" s="2"/>
      <c r="K758" s="2"/>
      <c r="L758" s="2"/>
      <c r="M758" s="2"/>
      <c r="N758" s="2"/>
      <c r="O758" s="2"/>
      <c r="P758" s="2"/>
      <c r="Q758" s="2"/>
      <c r="R758" s="2"/>
      <c r="S758" s="2"/>
      <c r="T758" s="2"/>
    </row>
    <row r="759" spans="1:20" ht="15.75" customHeight="1">
      <c r="A759" s="1"/>
      <c r="B759" s="2"/>
      <c r="C759" s="2"/>
      <c r="D759" s="2"/>
      <c r="E759" s="2"/>
      <c r="F759" s="2"/>
      <c r="G759" s="2"/>
      <c r="H759" s="2"/>
      <c r="I759" s="2"/>
      <c r="J759" s="2"/>
      <c r="K759" s="2"/>
      <c r="L759" s="2"/>
      <c r="M759" s="2"/>
      <c r="N759" s="2"/>
      <c r="O759" s="2"/>
      <c r="P759" s="2"/>
      <c r="Q759" s="2"/>
      <c r="R759" s="2"/>
      <c r="S759" s="2"/>
      <c r="T759" s="2"/>
    </row>
    <row r="760" spans="1:20" ht="15.75" customHeight="1">
      <c r="A760" s="1"/>
      <c r="B760" s="2"/>
      <c r="C760" s="2"/>
      <c r="D760" s="2"/>
      <c r="E760" s="2"/>
      <c r="F760" s="2"/>
      <c r="G760" s="2"/>
      <c r="H760" s="2"/>
      <c r="I760" s="2"/>
      <c r="J760" s="2"/>
      <c r="K760" s="2"/>
      <c r="L760" s="2"/>
      <c r="M760" s="2"/>
      <c r="N760" s="2"/>
      <c r="O760" s="2"/>
      <c r="P760" s="2"/>
      <c r="Q760" s="2"/>
      <c r="R760" s="2"/>
      <c r="S760" s="2"/>
      <c r="T760" s="2"/>
    </row>
    <row r="761" spans="1:20" ht="15.75" customHeight="1">
      <c r="A761" s="1"/>
      <c r="B761" s="2"/>
      <c r="C761" s="2"/>
      <c r="D761" s="2"/>
      <c r="E761" s="2"/>
      <c r="F761" s="2"/>
      <c r="G761" s="2"/>
      <c r="H761" s="2"/>
      <c r="I761" s="2"/>
      <c r="J761" s="2"/>
      <c r="K761" s="2"/>
      <c r="L761" s="2"/>
      <c r="M761" s="2"/>
      <c r="N761" s="2"/>
      <c r="O761" s="2"/>
      <c r="P761" s="2"/>
      <c r="Q761" s="2"/>
      <c r="R761" s="2"/>
      <c r="S761" s="2"/>
      <c r="T761" s="2"/>
    </row>
    <row r="762" spans="1:20" ht="15.75" customHeight="1">
      <c r="A762" s="1"/>
      <c r="B762" s="2"/>
      <c r="C762" s="2"/>
      <c r="D762" s="2"/>
      <c r="E762" s="2"/>
      <c r="F762" s="2"/>
      <c r="G762" s="2"/>
      <c r="H762" s="2"/>
      <c r="I762" s="2"/>
      <c r="J762" s="2"/>
      <c r="K762" s="2"/>
      <c r="L762" s="2"/>
      <c r="M762" s="2"/>
      <c r="N762" s="2"/>
      <c r="O762" s="2"/>
      <c r="P762" s="2"/>
      <c r="Q762" s="2"/>
      <c r="R762" s="2"/>
      <c r="S762" s="2"/>
      <c r="T762" s="2"/>
    </row>
    <row r="763" spans="1:20" ht="15.75" customHeight="1">
      <c r="A763" s="1"/>
      <c r="B763" s="2"/>
      <c r="C763" s="2"/>
      <c r="D763" s="2"/>
      <c r="E763" s="2"/>
      <c r="F763" s="2"/>
      <c r="G763" s="2"/>
      <c r="H763" s="2"/>
      <c r="I763" s="2"/>
      <c r="J763" s="2"/>
      <c r="K763" s="2"/>
      <c r="L763" s="2"/>
      <c r="M763" s="2"/>
      <c r="N763" s="2"/>
      <c r="O763" s="2"/>
      <c r="P763" s="2"/>
      <c r="Q763" s="2"/>
      <c r="R763" s="2"/>
      <c r="S763" s="2"/>
      <c r="T763" s="2"/>
    </row>
    <row r="764" spans="1:20" ht="15.75" customHeight="1">
      <c r="A764" s="1"/>
      <c r="B764" s="2"/>
      <c r="C764" s="2"/>
      <c r="D764" s="2"/>
      <c r="E764" s="2"/>
      <c r="F764" s="2"/>
      <c r="G764" s="2"/>
      <c r="H764" s="2"/>
      <c r="I764" s="2"/>
      <c r="J764" s="2"/>
      <c r="K764" s="2"/>
      <c r="L764" s="2"/>
      <c r="M764" s="2"/>
      <c r="N764" s="2"/>
      <c r="O764" s="2"/>
      <c r="P764" s="2"/>
      <c r="Q764" s="2"/>
      <c r="R764" s="2"/>
      <c r="S764" s="2"/>
      <c r="T764" s="2"/>
    </row>
    <row r="765" spans="1:20" ht="15.75" customHeight="1">
      <c r="A765" s="1"/>
      <c r="B765" s="2"/>
      <c r="C765" s="2"/>
      <c r="D765" s="2"/>
      <c r="E765" s="2"/>
      <c r="F765" s="2"/>
      <c r="G765" s="2"/>
      <c r="H765" s="2"/>
      <c r="I765" s="2"/>
      <c r="J765" s="2"/>
      <c r="K765" s="2"/>
      <c r="L765" s="2"/>
      <c r="M765" s="2"/>
      <c r="N765" s="2"/>
      <c r="O765" s="2"/>
      <c r="P765" s="2"/>
      <c r="Q765" s="2"/>
      <c r="R765" s="2"/>
      <c r="S765" s="2"/>
      <c r="T765" s="2"/>
    </row>
    <row r="766" spans="1:20" ht="15.75" customHeight="1">
      <c r="A766" s="1"/>
      <c r="B766" s="2"/>
      <c r="C766" s="2"/>
      <c r="D766" s="2"/>
      <c r="E766" s="2"/>
      <c r="F766" s="2"/>
      <c r="G766" s="2"/>
      <c r="H766" s="2"/>
      <c r="I766" s="2"/>
      <c r="J766" s="2"/>
      <c r="K766" s="2"/>
      <c r="L766" s="2"/>
      <c r="M766" s="2"/>
      <c r="N766" s="2"/>
      <c r="O766" s="2"/>
      <c r="P766" s="2"/>
      <c r="Q766" s="2"/>
      <c r="R766" s="2"/>
      <c r="S766" s="2"/>
      <c r="T766" s="2"/>
    </row>
    <row r="767" spans="1:20" ht="15.75" customHeight="1">
      <c r="A767" s="1"/>
      <c r="B767" s="2"/>
      <c r="C767" s="2"/>
      <c r="D767" s="2"/>
      <c r="E767" s="2"/>
      <c r="F767" s="2"/>
      <c r="G767" s="2"/>
      <c r="H767" s="2"/>
      <c r="I767" s="2"/>
      <c r="J767" s="2"/>
      <c r="K767" s="2"/>
      <c r="L767" s="2"/>
      <c r="M767" s="2"/>
      <c r="N767" s="2"/>
      <c r="O767" s="2"/>
      <c r="P767" s="2"/>
      <c r="Q767" s="2"/>
      <c r="R767" s="2"/>
      <c r="S767" s="2"/>
      <c r="T767" s="2"/>
    </row>
    <row r="768" spans="1:20" ht="15.75" customHeight="1">
      <c r="A768" s="1"/>
      <c r="B768" s="2"/>
      <c r="C768" s="2"/>
      <c r="D768" s="2"/>
      <c r="E768" s="2"/>
      <c r="F768" s="2"/>
      <c r="G768" s="2"/>
      <c r="H768" s="2"/>
      <c r="I768" s="2"/>
      <c r="J768" s="2"/>
      <c r="K768" s="2"/>
      <c r="L768" s="2"/>
      <c r="M768" s="2"/>
      <c r="N768" s="2"/>
      <c r="O768" s="2"/>
      <c r="P768" s="2"/>
      <c r="Q768" s="2"/>
      <c r="R768" s="2"/>
      <c r="S768" s="2"/>
      <c r="T768" s="2"/>
    </row>
    <row r="769" spans="1:20" ht="15.75" customHeight="1">
      <c r="A769" s="1"/>
      <c r="B769" s="2"/>
      <c r="C769" s="2"/>
      <c r="D769" s="2"/>
      <c r="E769" s="2"/>
      <c r="F769" s="2"/>
      <c r="G769" s="2"/>
      <c r="H769" s="2"/>
      <c r="I769" s="2"/>
      <c r="J769" s="2"/>
      <c r="K769" s="2"/>
      <c r="L769" s="2"/>
      <c r="M769" s="2"/>
      <c r="N769" s="2"/>
      <c r="O769" s="2"/>
      <c r="P769" s="2"/>
      <c r="Q769" s="2"/>
      <c r="R769" s="2"/>
      <c r="S769" s="2"/>
      <c r="T769" s="2"/>
    </row>
    <row r="770" spans="1:20" ht="15.75" customHeight="1">
      <c r="A770" s="1"/>
      <c r="B770" s="2"/>
      <c r="C770" s="2"/>
      <c r="D770" s="2"/>
      <c r="E770" s="2"/>
      <c r="F770" s="2"/>
      <c r="G770" s="2"/>
      <c r="H770" s="2"/>
      <c r="I770" s="2"/>
      <c r="J770" s="2"/>
      <c r="K770" s="2"/>
      <c r="L770" s="2"/>
      <c r="M770" s="2"/>
      <c r="N770" s="2"/>
      <c r="O770" s="2"/>
      <c r="P770" s="2"/>
      <c r="Q770" s="2"/>
      <c r="R770" s="2"/>
      <c r="S770" s="2"/>
      <c r="T770" s="2"/>
    </row>
    <row r="771" spans="1:20" ht="15.75" customHeight="1">
      <c r="A771" s="1"/>
      <c r="B771" s="2"/>
      <c r="C771" s="2"/>
      <c r="D771" s="2"/>
      <c r="E771" s="2"/>
      <c r="F771" s="2"/>
      <c r="G771" s="2"/>
      <c r="H771" s="2"/>
      <c r="I771" s="2"/>
      <c r="J771" s="2"/>
      <c r="K771" s="2"/>
      <c r="L771" s="2"/>
      <c r="M771" s="2"/>
      <c r="N771" s="2"/>
      <c r="O771" s="2"/>
      <c r="P771" s="2"/>
      <c r="Q771" s="2"/>
      <c r="R771" s="2"/>
      <c r="S771" s="2"/>
      <c r="T771" s="2"/>
    </row>
    <row r="772" spans="1:20" ht="15.75" customHeight="1">
      <c r="A772" s="1"/>
      <c r="B772" s="2"/>
      <c r="C772" s="2"/>
      <c r="D772" s="2"/>
      <c r="E772" s="2"/>
      <c r="F772" s="2"/>
      <c r="G772" s="2"/>
      <c r="H772" s="2"/>
      <c r="I772" s="2"/>
      <c r="J772" s="2"/>
      <c r="K772" s="2"/>
      <c r="L772" s="2"/>
      <c r="M772" s="2"/>
      <c r="N772" s="2"/>
      <c r="O772" s="2"/>
      <c r="P772" s="2"/>
      <c r="Q772" s="2"/>
      <c r="R772" s="2"/>
      <c r="S772" s="2"/>
      <c r="T772" s="2"/>
    </row>
    <row r="773" spans="1:20" ht="15.75" customHeight="1">
      <c r="A773" s="1"/>
      <c r="B773" s="2"/>
      <c r="C773" s="2"/>
      <c r="D773" s="2"/>
      <c r="E773" s="2"/>
      <c r="F773" s="2"/>
      <c r="G773" s="2"/>
      <c r="H773" s="2"/>
      <c r="I773" s="2"/>
      <c r="J773" s="2"/>
      <c r="K773" s="2"/>
      <c r="L773" s="2"/>
      <c r="M773" s="2"/>
      <c r="N773" s="2"/>
      <c r="O773" s="2"/>
      <c r="P773" s="2"/>
      <c r="Q773" s="2"/>
      <c r="R773" s="2"/>
      <c r="S773" s="2"/>
      <c r="T773" s="2"/>
    </row>
    <row r="774" spans="1:20" ht="15.75" customHeight="1">
      <c r="A774" s="1"/>
      <c r="B774" s="2"/>
      <c r="C774" s="2"/>
      <c r="D774" s="2"/>
      <c r="E774" s="2"/>
      <c r="F774" s="2"/>
      <c r="G774" s="2"/>
      <c r="H774" s="2"/>
      <c r="I774" s="2"/>
      <c r="J774" s="2"/>
      <c r="K774" s="2"/>
      <c r="L774" s="2"/>
      <c r="M774" s="2"/>
      <c r="N774" s="2"/>
      <c r="O774" s="2"/>
      <c r="P774" s="2"/>
      <c r="Q774" s="2"/>
      <c r="R774" s="2"/>
      <c r="S774" s="2"/>
      <c r="T774" s="2"/>
    </row>
    <row r="775" spans="1:20" ht="15.75" customHeight="1">
      <c r="A775" s="1"/>
      <c r="B775" s="2"/>
      <c r="C775" s="2"/>
      <c r="D775" s="2"/>
      <c r="E775" s="2"/>
      <c r="F775" s="2"/>
      <c r="G775" s="2"/>
      <c r="H775" s="2"/>
      <c r="I775" s="2"/>
      <c r="J775" s="2"/>
      <c r="K775" s="2"/>
      <c r="L775" s="2"/>
      <c r="M775" s="2"/>
      <c r="N775" s="2"/>
      <c r="O775" s="2"/>
      <c r="P775" s="2"/>
      <c r="Q775" s="2"/>
      <c r="R775" s="2"/>
      <c r="S775" s="2"/>
      <c r="T775" s="2"/>
    </row>
    <row r="776" spans="1:20" ht="15.75" customHeight="1">
      <c r="A776" s="1"/>
      <c r="B776" s="2"/>
      <c r="C776" s="2"/>
      <c r="D776" s="2"/>
      <c r="E776" s="2"/>
      <c r="F776" s="2"/>
      <c r="G776" s="2"/>
      <c r="H776" s="2"/>
      <c r="I776" s="2"/>
      <c r="J776" s="2"/>
      <c r="K776" s="2"/>
      <c r="L776" s="2"/>
      <c r="M776" s="2"/>
      <c r="N776" s="2"/>
      <c r="O776" s="2"/>
      <c r="P776" s="2"/>
      <c r="Q776" s="2"/>
      <c r="R776" s="2"/>
      <c r="S776" s="2"/>
      <c r="T776" s="2"/>
    </row>
    <row r="777" spans="1:20" ht="15.75" customHeight="1">
      <c r="A777" s="1"/>
      <c r="B777" s="2"/>
      <c r="C777" s="2"/>
      <c r="D777" s="2"/>
      <c r="E777" s="2"/>
      <c r="F777" s="2"/>
      <c r="G777" s="2"/>
      <c r="H777" s="2"/>
      <c r="I777" s="2"/>
      <c r="J777" s="2"/>
      <c r="K777" s="2"/>
      <c r="L777" s="2"/>
      <c r="M777" s="2"/>
      <c r="N777" s="2"/>
      <c r="O777" s="2"/>
      <c r="P777" s="2"/>
      <c r="Q777" s="2"/>
      <c r="R777" s="2"/>
      <c r="S777" s="2"/>
      <c r="T777" s="2"/>
    </row>
    <row r="778" spans="1:20" ht="15.75" customHeight="1">
      <c r="A778" s="1"/>
      <c r="B778" s="2"/>
      <c r="C778" s="2"/>
      <c r="D778" s="2"/>
      <c r="E778" s="2"/>
      <c r="F778" s="2"/>
      <c r="G778" s="2"/>
      <c r="H778" s="2"/>
      <c r="I778" s="2"/>
      <c r="J778" s="2"/>
      <c r="K778" s="2"/>
      <c r="L778" s="2"/>
      <c r="M778" s="2"/>
      <c r="N778" s="2"/>
      <c r="O778" s="2"/>
      <c r="P778" s="2"/>
      <c r="Q778" s="2"/>
      <c r="R778" s="2"/>
      <c r="S778" s="2"/>
      <c r="T778" s="2"/>
    </row>
    <row r="779" spans="1:20" ht="15.75" customHeight="1">
      <c r="A779" s="1"/>
      <c r="B779" s="2"/>
      <c r="C779" s="2"/>
      <c r="D779" s="2"/>
      <c r="E779" s="2"/>
      <c r="F779" s="2"/>
      <c r="G779" s="2"/>
      <c r="H779" s="2"/>
      <c r="I779" s="2"/>
      <c r="J779" s="2"/>
      <c r="K779" s="2"/>
      <c r="L779" s="2"/>
      <c r="M779" s="2"/>
      <c r="N779" s="2"/>
      <c r="O779" s="2"/>
      <c r="P779" s="2"/>
      <c r="Q779" s="2"/>
      <c r="R779" s="2"/>
      <c r="S779" s="2"/>
      <c r="T779" s="2"/>
    </row>
    <row r="780" spans="1:20" ht="15.75" customHeight="1">
      <c r="A780" s="1"/>
      <c r="B780" s="2"/>
      <c r="C780" s="2"/>
      <c r="D780" s="2"/>
      <c r="E780" s="2"/>
      <c r="F780" s="2"/>
      <c r="G780" s="2"/>
      <c r="H780" s="2"/>
      <c r="I780" s="2"/>
      <c r="J780" s="2"/>
      <c r="K780" s="2"/>
      <c r="L780" s="2"/>
      <c r="M780" s="2"/>
      <c r="N780" s="2"/>
      <c r="O780" s="2"/>
      <c r="P780" s="2"/>
      <c r="Q780" s="2"/>
      <c r="R780" s="2"/>
      <c r="S780" s="2"/>
      <c r="T780" s="2"/>
    </row>
    <row r="781" spans="1:20" ht="15.75" customHeight="1">
      <c r="A781" s="1"/>
      <c r="B781" s="2"/>
      <c r="C781" s="2"/>
      <c r="D781" s="2"/>
      <c r="E781" s="2"/>
      <c r="F781" s="2"/>
      <c r="G781" s="2"/>
      <c r="H781" s="2"/>
      <c r="I781" s="2"/>
      <c r="J781" s="2"/>
      <c r="K781" s="2"/>
      <c r="L781" s="2"/>
      <c r="M781" s="2"/>
      <c r="N781" s="2"/>
      <c r="O781" s="2"/>
      <c r="P781" s="2"/>
      <c r="Q781" s="2"/>
      <c r="R781" s="2"/>
      <c r="S781" s="2"/>
      <c r="T781" s="2"/>
    </row>
    <row r="782" spans="1:20" ht="15.75" customHeight="1">
      <c r="A782" s="1"/>
      <c r="B782" s="2"/>
      <c r="C782" s="2"/>
      <c r="D782" s="2"/>
      <c r="E782" s="2"/>
      <c r="F782" s="2"/>
      <c r="G782" s="2"/>
      <c r="H782" s="2"/>
      <c r="I782" s="2"/>
      <c r="J782" s="2"/>
      <c r="K782" s="2"/>
      <c r="L782" s="2"/>
      <c r="M782" s="2"/>
      <c r="N782" s="2"/>
      <c r="O782" s="2"/>
      <c r="P782" s="2"/>
      <c r="Q782" s="2"/>
      <c r="R782" s="2"/>
      <c r="S782" s="2"/>
      <c r="T782" s="2"/>
    </row>
    <row r="783" spans="1:20" ht="15.75" customHeight="1">
      <c r="A783" s="1"/>
      <c r="B783" s="2"/>
      <c r="C783" s="2"/>
      <c r="D783" s="2"/>
      <c r="E783" s="2"/>
      <c r="F783" s="2"/>
      <c r="G783" s="2"/>
      <c r="H783" s="2"/>
      <c r="I783" s="2"/>
      <c r="J783" s="2"/>
      <c r="K783" s="2"/>
      <c r="L783" s="2"/>
      <c r="M783" s="2"/>
      <c r="N783" s="2"/>
      <c r="O783" s="2"/>
      <c r="P783" s="2"/>
      <c r="Q783" s="2"/>
      <c r="R783" s="2"/>
      <c r="S783" s="2"/>
      <c r="T783" s="2"/>
    </row>
    <row r="784" spans="1:20" ht="15.75" customHeight="1">
      <c r="A784" s="1"/>
      <c r="B784" s="2"/>
      <c r="C784" s="2"/>
      <c r="D784" s="2"/>
      <c r="E784" s="2"/>
      <c r="F784" s="2"/>
      <c r="G784" s="2"/>
      <c r="H784" s="2"/>
      <c r="I784" s="2"/>
      <c r="J784" s="2"/>
      <c r="K784" s="2"/>
      <c r="L784" s="2"/>
      <c r="M784" s="2"/>
      <c r="N784" s="2"/>
      <c r="O784" s="2"/>
      <c r="P784" s="2"/>
      <c r="Q784" s="2"/>
      <c r="R784" s="2"/>
      <c r="S784" s="2"/>
      <c r="T784" s="2"/>
    </row>
    <row r="785" spans="1:20" ht="15.75" customHeight="1">
      <c r="A785" s="1"/>
      <c r="B785" s="2"/>
      <c r="C785" s="2"/>
      <c r="D785" s="2"/>
      <c r="E785" s="2"/>
      <c r="F785" s="2"/>
      <c r="G785" s="2"/>
      <c r="H785" s="2"/>
      <c r="I785" s="2"/>
      <c r="J785" s="2"/>
      <c r="K785" s="2"/>
      <c r="L785" s="2"/>
      <c r="M785" s="2"/>
      <c r="N785" s="2"/>
      <c r="O785" s="2"/>
      <c r="P785" s="2"/>
      <c r="Q785" s="2"/>
      <c r="R785" s="2"/>
      <c r="S785" s="2"/>
      <c r="T785" s="2"/>
    </row>
    <row r="786" spans="1:20" ht="15.75" customHeight="1">
      <c r="A786" s="1"/>
      <c r="B786" s="2"/>
      <c r="C786" s="2"/>
      <c r="D786" s="2"/>
      <c r="E786" s="2"/>
      <c r="F786" s="2"/>
      <c r="G786" s="2"/>
      <c r="H786" s="2"/>
      <c r="I786" s="2"/>
      <c r="J786" s="2"/>
      <c r="K786" s="2"/>
      <c r="L786" s="2"/>
      <c r="M786" s="2"/>
      <c r="N786" s="2"/>
      <c r="O786" s="2"/>
      <c r="P786" s="2"/>
      <c r="Q786" s="2"/>
      <c r="R786" s="2"/>
      <c r="S786" s="2"/>
      <c r="T786" s="2"/>
    </row>
    <row r="787" spans="1:20" ht="15.75" customHeight="1">
      <c r="A787" s="1"/>
      <c r="B787" s="2"/>
      <c r="C787" s="2"/>
      <c r="D787" s="2"/>
      <c r="E787" s="2"/>
      <c r="F787" s="2"/>
      <c r="G787" s="2"/>
      <c r="H787" s="2"/>
      <c r="I787" s="2"/>
      <c r="J787" s="2"/>
      <c r="K787" s="2"/>
      <c r="L787" s="2"/>
      <c r="M787" s="2"/>
      <c r="N787" s="2"/>
      <c r="O787" s="2"/>
      <c r="P787" s="2"/>
      <c r="Q787" s="2"/>
      <c r="R787" s="2"/>
      <c r="S787" s="2"/>
      <c r="T787" s="2"/>
    </row>
    <row r="788" spans="1:20" ht="15.75" customHeight="1">
      <c r="A788" s="1"/>
      <c r="B788" s="2"/>
      <c r="C788" s="2"/>
      <c r="D788" s="2"/>
      <c r="E788" s="2"/>
      <c r="F788" s="2"/>
      <c r="G788" s="2"/>
      <c r="H788" s="2"/>
      <c r="I788" s="2"/>
      <c r="J788" s="2"/>
      <c r="K788" s="2"/>
      <c r="L788" s="2"/>
      <c r="M788" s="2"/>
      <c r="N788" s="2"/>
      <c r="O788" s="2"/>
      <c r="P788" s="2"/>
      <c r="Q788" s="2"/>
      <c r="R788" s="2"/>
      <c r="S788" s="2"/>
      <c r="T788" s="2"/>
    </row>
    <row r="789" spans="1:20" ht="15.75" customHeight="1">
      <c r="A789" s="1"/>
      <c r="B789" s="2"/>
      <c r="C789" s="2"/>
      <c r="D789" s="2"/>
      <c r="E789" s="2"/>
      <c r="F789" s="2"/>
      <c r="G789" s="2"/>
      <c r="H789" s="2"/>
      <c r="I789" s="2"/>
      <c r="J789" s="2"/>
      <c r="K789" s="2"/>
      <c r="L789" s="2"/>
      <c r="M789" s="2"/>
      <c r="N789" s="2"/>
      <c r="O789" s="2"/>
      <c r="P789" s="2"/>
      <c r="Q789" s="2"/>
      <c r="R789" s="2"/>
      <c r="S789" s="2"/>
      <c r="T789" s="2"/>
    </row>
    <row r="790" spans="1:20" ht="15.75" customHeight="1">
      <c r="A790" s="1"/>
      <c r="B790" s="2"/>
      <c r="C790" s="2"/>
      <c r="D790" s="2"/>
      <c r="E790" s="2"/>
      <c r="F790" s="2"/>
      <c r="G790" s="2"/>
      <c r="H790" s="2"/>
      <c r="I790" s="2"/>
      <c r="J790" s="2"/>
      <c r="K790" s="2"/>
      <c r="L790" s="2"/>
      <c r="M790" s="2"/>
      <c r="N790" s="2"/>
      <c r="O790" s="2"/>
      <c r="P790" s="2"/>
      <c r="Q790" s="2"/>
      <c r="R790" s="2"/>
      <c r="S790" s="2"/>
      <c r="T790" s="2"/>
    </row>
    <row r="791" spans="1:20" ht="15.75" customHeight="1">
      <c r="A791" s="1"/>
      <c r="B791" s="2"/>
      <c r="C791" s="2"/>
      <c r="D791" s="2"/>
      <c r="E791" s="2"/>
      <c r="F791" s="2"/>
      <c r="G791" s="2"/>
      <c r="H791" s="2"/>
      <c r="I791" s="2"/>
      <c r="J791" s="2"/>
      <c r="K791" s="2"/>
      <c r="L791" s="2"/>
      <c r="M791" s="2"/>
      <c r="N791" s="2"/>
      <c r="O791" s="2"/>
      <c r="P791" s="2"/>
      <c r="Q791" s="2"/>
      <c r="R791" s="2"/>
      <c r="S791" s="2"/>
      <c r="T791" s="2"/>
    </row>
    <row r="792" spans="1:20" ht="15.75" customHeight="1">
      <c r="A792" s="1"/>
      <c r="B792" s="2"/>
      <c r="C792" s="2"/>
      <c r="D792" s="2"/>
      <c r="E792" s="2"/>
      <c r="F792" s="2"/>
      <c r="G792" s="2"/>
      <c r="H792" s="2"/>
      <c r="I792" s="2"/>
      <c r="J792" s="2"/>
      <c r="K792" s="2"/>
      <c r="L792" s="2"/>
      <c r="M792" s="2"/>
      <c r="N792" s="2"/>
      <c r="O792" s="2"/>
      <c r="P792" s="2"/>
      <c r="Q792" s="2"/>
      <c r="R792" s="2"/>
      <c r="S792" s="2"/>
      <c r="T792" s="2"/>
    </row>
    <row r="793" spans="1:20" ht="15.75" customHeight="1">
      <c r="A793" s="1"/>
      <c r="B793" s="2"/>
      <c r="C793" s="2"/>
      <c r="D793" s="2"/>
      <c r="E793" s="2"/>
      <c r="F793" s="2"/>
      <c r="G793" s="2"/>
      <c r="H793" s="2"/>
      <c r="I793" s="2"/>
      <c r="J793" s="2"/>
      <c r="K793" s="2"/>
      <c r="L793" s="2"/>
      <c r="M793" s="2"/>
      <c r="N793" s="2"/>
      <c r="O793" s="2"/>
      <c r="P793" s="2"/>
      <c r="Q793" s="2"/>
      <c r="R793" s="2"/>
      <c r="S793" s="2"/>
      <c r="T793" s="2"/>
    </row>
    <row r="794" spans="1:20" ht="15.75" customHeight="1">
      <c r="A794" s="1"/>
      <c r="B794" s="2"/>
      <c r="C794" s="2"/>
      <c r="D794" s="2"/>
      <c r="E794" s="2"/>
      <c r="F794" s="2"/>
      <c r="G794" s="2"/>
      <c r="H794" s="2"/>
      <c r="I794" s="2"/>
      <c r="J794" s="2"/>
      <c r="K794" s="2"/>
      <c r="L794" s="2"/>
      <c r="M794" s="2"/>
      <c r="N794" s="2"/>
      <c r="O794" s="2"/>
      <c r="P794" s="2"/>
      <c r="Q794" s="2"/>
      <c r="R794" s="2"/>
      <c r="S794" s="2"/>
      <c r="T794" s="2"/>
    </row>
    <row r="795" spans="1:20" ht="15.75" customHeight="1">
      <c r="A795" s="1"/>
      <c r="B795" s="2"/>
      <c r="C795" s="2"/>
      <c r="D795" s="2"/>
      <c r="E795" s="2"/>
      <c r="F795" s="2"/>
      <c r="G795" s="2"/>
      <c r="H795" s="2"/>
      <c r="I795" s="2"/>
      <c r="J795" s="2"/>
      <c r="K795" s="2"/>
      <c r="L795" s="2"/>
      <c r="M795" s="2"/>
      <c r="N795" s="2"/>
      <c r="O795" s="2"/>
      <c r="P795" s="2"/>
      <c r="Q795" s="2"/>
      <c r="R795" s="2"/>
      <c r="S795" s="2"/>
      <c r="T795" s="2"/>
    </row>
    <row r="796" spans="1:20" ht="15.75" customHeight="1">
      <c r="A796" s="1"/>
      <c r="B796" s="2"/>
      <c r="C796" s="2"/>
      <c r="D796" s="2"/>
      <c r="E796" s="2"/>
      <c r="F796" s="2"/>
      <c r="G796" s="2"/>
      <c r="H796" s="2"/>
      <c r="I796" s="2"/>
      <c r="J796" s="2"/>
      <c r="K796" s="2"/>
      <c r="L796" s="2"/>
      <c r="M796" s="2"/>
      <c r="N796" s="2"/>
      <c r="O796" s="2"/>
      <c r="P796" s="2"/>
      <c r="Q796" s="2"/>
      <c r="R796" s="2"/>
      <c r="S796" s="2"/>
      <c r="T796" s="2"/>
    </row>
    <row r="797" spans="1:20" ht="15.75" customHeight="1">
      <c r="A797" s="1"/>
      <c r="B797" s="2"/>
      <c r="C797" s="2"/>
      <c r="D797" s="2"/>
      <c r="E797" s="2"/>
      <c r="F797" s="2"/>
      <c r="G797" s="2"/>
      <c r="H797" s="2"/>
      <c r="I797" s="2"/>
      <c r="J797" s="2"/>
      <c r="K797" s="2"/>
      <c r="L797" s="2"/>
      <c r="M797" s="2"/>
      <c r="N797" s="2"/>
      <c r="O797" s="2"/>
      <c r="P797" s="2"/>
      <c r="Q797" s="2"/>
      <c r="R797" s="2"/>
      <c r="S797" s="2"/>
      <c r="T797" s="2"/>
    </row>
    <row r="798" spans="1:20" ht="15.75" customHeight="1">
      <c r="A798" s="1"/>
      <c r="B798" s="2"/>
      <c r="C798" s="2"/>
      <c r="D798" s="2"/>
      <c r="E798" s="2"/>
      <c r="F798" s="2"/>
      <c r="G798" s="2"/>
      <c r="H798" s="2"/>
      <c r="I798" s="2"/>
      <c r="J798" s="2"/>
      <c r="K798" s="2"/>
      <c r="L798" s="2"/>
      <c r="M798" s="2"/>
      <c r="N798" s="2"/>
      <c r="O798" s="2"/>
      <c r="P798" s="2"/>
      <c r="Q798" s="2"/>
      <c r="R798" s="2"/>
      <c r="S798" s="2"/>
      <c r="T798" s="2"/>
    </row>
    <row r="799" spans="1:20" ht="15.75" customHeight="1">
      <c r="A799" s="1"/>
      <c r="B799" s="2"/>
      <c r="C799" s="2"/>
      <c r="D799" s="2"/>
      <c r="E799" s="2"/>
      <c r="F799" s="2"/>
      <c r="G799" s="2"/>
      <c r="H799" s="2"/>
      <c r="I799" s="2"/>
      <c r="J799" s="2"/>
      <c r="K799" s="2"/>
      <c r="L799" s="2"/>
      <c r="M799" s="2"/>
      <c r="N799" s="2"/>
      <c r="O799" s="2"/>
      <c r="P799" s="2"/>
      <c r="Q799" s="2"/>
      <c r="R799" s="2"/>
      <c r="S799" s="2"/>
      <c r="T799" s="2"/>
    </row>
    <row r="800" spans="1:20" ht="15.75" customHeight="1">
      <c r="A800" s="1"/>
      <c r="B800" s="2"/>
      <c r="C800" s="2"/>
      <c r="D800" s="2"/>
      <c r="E800" s="2"/>
      <c r="F800" s="2"/>
      <c r="G800" s="2"/>
      <c r="H800" s="2"/>
      <c r="I800" s="2"/>
      <c r="J800" s="2"/>
      <c r="K800" s="2"/>
      <c r="L800" s="2"/>
      <c r="M800" s="2"/>
      <c r="N800" s="2"/>
      <c r="O800" s="2"/>
      <c r="P800" s="2"/>
      <c r="Q800" s="2"/>
      <c r="R800" s="2"/>
      <c r="S800" s="2"/>
      <c r="T800" s="2"/>
    </row>
    <row r="801" spans="1:20" ht="15.75" customHeight="1">
      <c r="A801" s="1"/>
      <c r="B801" s="2"/>
      <c r="C801" s="2"/>
      <c r="D801" s="2"/>
      <c r="E801" s="2"/>
      <c r="F801" s="2"/>
      <c r="G801" s="2"/>
      <c r="H801" s="2"/>
      <c r="I801" s="2"/>
      <c r="J801" s="2"/>
      <c r="K801" s="2"/>
      <c r="L801" s="2"/>
      <c r="M801" s="2"/>
      <c r="N801" s="2"/>
      <c r="O801" s="2"/>
      <c r="P801" s="2"/>
      <c r="Q801" s="2"/>
      <c r="R801" s="2"/>
      <c r="S801" s="2"/>
      <c r="T801" s="2"/>
    </row>
    <row r="802" spans="1:20" ht="15.75" customHeight="1">
      <c r="A802" s="1"/>
      <c r="B802" s="2"/>
      <c r="C802" s="2"/>
      <c r="D802" s="2"/>
      <c r="E802" s="2"/>
      <c r="F802" s="2"/>
      <c r="G802" s="2"/>
      <c r="H802" s="2"/>
      <c r="I802" s="2"/>
      <c r="J802" s="2"/>
      <c r="K802" s="2"/>
      <c r="L802" s="2"/>
      <c r="M802" s="2"/>
      <c r="N802" s="2"/>
      <c r="O802" s="2"/>
      <c r="P802" s="2"/>
      <c r="Q802" s="2"/>
      <c r="R802" s="2"/>
      <c r="S802" s="2"/>
      <c r="T802" s="2"/>
    </row>
    <row r="803" spans="1:20" ht="15.75" customHeight="1">
      <c r="A803" s="1"/>
      <c r="B803" s="2"/>
      <c r="C803" s="2"/>
      <c r="D803" s="2"/>
      <c r="E803" s="2"/>
      <c r="F803" s="2"/>
      <c r="G803" s="2"/>
      <c r="H803" s="2"/>
      <c r="I803" s="2"/>
      <c r="J803" s="2"/>
      <c r="K803" s="2"/>
      <c r="L803" s="2"/>
      <c r="M803" s="2"/>
      <c r="N803" s="2"/>
      <c r="O803" s="2"/>
      <c r="P803" s="2"/>
      <c r="Q803" s="2"/>
      <c r="R803" s="2"/>
      <c r="S803" s="2"/>
      <c r="T803" s="2"/>
    </row>
    <row r="804" spans="1:20" ht="15.75" customHeight="1">
      <c r="A804" s="1"/>
      <c r="B804" s="2"/>
      <c r="C804" s="2"/>
      <c r="D804" s="2"/>
      <c r="E804" s="2"/>
      <c r="F804" s="2"/>
      <c r="G804" s="2"/>
      <c r="H804" s="2"/>
      <c r="I804" s="2"/>
      <c r="J804" s="2"/>
      <c r="K804" s="2"/>
      <c r="L804" s="2"/>
      <c r="M804" s="2"/>
      <c r="N804" s="2"/>
      <c r="O804" s="2"/>
      <c r="P804" s="2"/>
      <c r="Q804" s="2"/>
      <c r="R804" s="2"/>
      <c r="S804" s="2"/>
      <c r="T804" s="2"/>
    </row>
    <row r="805" spans="1:20" ht="15.75" customHeight="1">
      <c r="A805" s="1"/>
      <c r="B805" s="2"/>
      <c r="C805" s="2"/>
      <c r="D805" s="2"/>
      <c r="E805" s="2"/>
      <c r="F805" s="2"/>
      <c r="G805" s="2"/>
      <c r="H805" s="2"/>
      <c r="I805" s="2"/>
      <c r="J805" s="2"/>
      <c r="K805" s="2"/>
      <c r="L805" s="2"/>
      <c r="M805" s="2"/>
      <c r="N805" s="2"/>
      <c r="O805" s="2"/>
      <c r="P805" s="2"/>
      <c r="Q805" s="2"/>
      <c r="R805" s="2"/>
      <c r="S805" s="2"/>
      <c r="T805" s="2"/>
    </row>
    <row r="806" spans="1:20" ht="15.75" customHeight="1">
      <c r="A806" s="1"/>
      <c r="B806" s="2"/>
      <c r="C806" s="2"/>
      <c r="D806" s="2"/>
      <c r="E806" s="2"/>
      <c r="F806" s="2"/>
      <c r="G806" s="2"/>
      <c r="H806" s="2"/>
      <c r="I806" s="2"/>
      <c r="J806" s="2"/>
      <c r="K806" s="2"/>
      <c r="L806" s="2"/>
      <c r="M806" s="2"/>
      <c r="N806" s="2"/>
      <c r="O806" s="2"/>
      <c r="P806" s="2"/>
      <c r="Q806" s="2"/>
      <c r="R806" s="2"/>
      <c r="S806" s="2"/>
      <c r="T806" s="2"/>
    </row>
    <row r="807" spans="1:20" ht="15.75" customHeight="1">
      <c r="A807" s="1"/>
      <c r="B807" s="2"/>
      <c r="C807" s="2"/>
      <c r="D807" s="2"/>
      <c r="E807" s="2"/>
      <c r="F807" s="2"/>
      <c r="G807" s="2"/>
      <c r="H807" s="2"/>
      <c r="I807" s="2"/>
      <c r="J807" s="2"/>
      <c r="K807" s="2"/>
      <c r="L807" s="2"/>
      <c r="M807" s="2"/>
      <c r="N807" s="2"/>
      <c r="O807" s="2"/>
      <c r="P807" s="2"/>
      <c r="Q807" s="2"/>
      <c r="R807" s="2"/>
      <c r="S807" s="2"/>
      <c r="T807" s="2"/>
    </row>
    <row r="808" spans="1:20" ht="15.75" customHeight="1">
      <c r="A808" s="1"/>
      <c r="B808" s="2"/>
      <c r="C808" s="2"/>
      <c r="D808" s="2"/>
      <c r="E808" s="2"/>
      <c r="F808" s="2"/>
      <c r="G808" s="2"/>
      <c r="H808" s="2"/>
      <c r="I808" s="2"/>
      <c r="J808" s="2"/>
      <c r="K808" s="2"/>
      <c r="L808" s="2"/>
      <c r="M808" s="2"/>
      <c r="N808" s="2"/>
      <c r="O808" s="2"/>
      <c r="P808" s="2"/>
      <c r="Q808" s="2"/>
      <c r="R808" s="2"/>
      <c r="S808" s="2"/>
      <c r="T808" s="2"/>
    </row>
    <row r="809" spans="1:20" ht="15.75" customHeight="1">
      <c r="A809" s="1"/>
      <c r="B809" s="2"/>
      <c r="C809" s="2"/>
      <c r="D809" s="2"/>
      <c r="E809" s="2"/>
      <c r="F809" s="2"/>
      <c r="G809" s="2"/>
      <c r="H809" s="2"/>
      <c r="I809" s="2"/>
      <c r="J809" s="2"/>
      <c r="K809" s="2"/>
      <c r="L809" s="2"/>
      <c r="M809" s="2"/>
      <c r="N809" s="2"/>
      <c r="O809" s="2"/>
      <c r="P809" s="2"/>
      <c r="Q809" s="2"/>
      <c r="R809" s="2"/>
      <c r="S809" s="2"/>
      <c r="T809" s="2"/>
    </row>
    <row r="810" spans="1:20" ht="15.75" customHeight="1">
      <c r="A810" s="1"/>
      <c r="B810" s="2"/>
      <c r="C810" s="2"/>
      <c r="D810" s="2"/>
      <c r="E810" s="2"/>
      <c r="F810" s="2"/>
      <c r="G810" s="2"/>
      <c r="H810" s="2"/>
      <c r="I810" s="2"/>
      <c r="J810" s="2"/>
      <c r="K810" s="2"/>
      <c r="L810" s="2"/>
      <c r="M810" s="2"/>
      <c r="N810" s="2"/>
      <c r="O810" s="2"/>
      <c r="P810" s="2"/>
      <c r="Q810" s="2"/>
      <c r="R810" s="2"/>
      <c r="S810" s="2"/>
      <c r="T810" s="2"/>
    </row>
    <row r="811" spans="1:20" ht="15.75" customHeight="1">
      <c r="A811" s="1"/>
      <c r="B811" s="2"/>
      <c r="C811" s="2"/>
      <c r="D811" s="2"/>
      <c r="E811" s="2"/>
      <c r="F811" s="2"/>
      <c r="G811" s="2"/>
      <c r="H811" s="2"/>
      <c r="I811" s="2"/>
      <c r="J811" s="2"/>
      <c r="K811" s="2"/>
      <c r="L811" s="2"/>
      <c r="M811" s="2"/>
      <c r="N811" s="2"/>
      <c r="O811" s="2"/>
      <c r="P811" s="2"/>
      <c r="Q811" s="2"/>
      <c r="R811" s="2"/>
      <c r="S811" s="2"/>
      <c r="T811" s="2"/>
    </row>
    <row r="812" spans="1:20" ht="15.75" customHeight="1">
      <c r="A812" s="1"/>
      <c r="B812" s="2"/>
      <c r="C812" s="2"/>
      <c r="D812" s="2"/>
      <c r="E812" s="2"/>
      <c r="F812" s="2"/>
      <c r="G812" s="2"/>
      <c r="H812" s="2"/>
      <c r="I812" s="2"/>
      <c r="J812" s="2"/>
      <c r="K812" s="2"/>
      <c r="L812" s="2"/>
      <c r="M812" s="2"/>
      <c r="N812" s="2"/>
      <c r="O812" s="2"/>
      <c r="P812" s="2"/>
      <c r="Q812" s="2"/>
      <c r="R812" s="2"/>
      <c r="S812" s="2"/>
      <c r="T812" s="2"/>
    </row>
    <row r="813" spans="1:20" ht="15.75" customHeight="1">
      <c r="A813" s="1"/>
      <c r="B813" s="2"/>
      <c r="C813" s="2"/>
      <c r="D813" s="2"/>
      <c r="E813" s="2"/>
      <c r="F813" s="2"/>
      <c r="G813" s="2"/>
      <c r="H813" s="2"/>
      <c r="I813" s="2"/>
      <c r="J813" s="2"/>
      <c r="K813" s="2"/>
      <c r="L813" s="2"/>
      <c r="M813" s="2"/>
      <c r="N813" s="2"/>
      <c r="O813" s="2"/>
      <c r="P813" s="2"/>
      <c r="Q813" s="2"/>
      <c r="R813" s="2"/>
      <c r="S813" s="2"/>
      <c r="T813" s="2"/>
    </row>
    <row r="814" spans="1:20" ht="15.75" customHeight="1">
      <c r="A814" s="1"/>
      <c r="B814" s="2"/>
      <c r="C814" s="2"/>
      <c r="D814" s="2"/>
      <c r="E814" s="2"/>
      <c r="F814" s="2"/>
      <c r="G814" s="2"/>
      <c r="H814" s="2"/>
      <c r="I814" s="2"/>
      <c r="J814" s="2"/>
      <c r="K814" s="2"/>
      <c r="L814" s="2"/>
      <c r="M814" s="2"/>
      <c r="N814" s="2"/>
      <c r="O814" s="2"/>
      <c r="P814" s="2"/>
      <c r="Q814" s="2"/>
      <c r="R814" s="2"/>
      <c r="S814" s="2"/>
      <c r="T814" s="2"/>
    </row>
    <row r="815" spans="1:20" ht="15.75" customHeight="1">
      <c r="A815" s="1"/>
      <c r="B815" s="2"/>
      <c r="C815" s="2"/>
      <c r="D815" s="2"/>
      <c r="E815" s="2"/>
      <c r="F815" s="2"/>
      <c r="G815" s="2"/>
      <c r="H815" s="2"/>
      <c r="I815" s="2"/>
      <c r="J815" s="2"/>
      <c r="K815" s="2"/>
      <c r="L815" s="2"/>
      <c r="M815" s="2"/>
      <c r="N815" s="2"/>
      <c r="O815" s="2"/>
      <c r="P815" s="2"/>
      <c r="Q815" s="2"/>
      <c r="R815" s="2"/>
      <c r="S815" s="2"/>
      <c r="T815" s="2"/>
    </row>
    <row r="816" spans="1:20" ht="15.75" customHeight="1">
      <c r="A816" s="1"/>
      <c r="B816" s="2"/>
      <c r="C816" s="2"/>
      <c r="D816" s="2"/>
      <c r="E816" s="2"/>
      <c r="F816" s="2"/>
      <c r="G816" s="2"/>
      <c r="H816" s="2"/>
      <c r="I816" s="2"/>
      <c r="J816" s="2"/>
      <c r="K816" s="2"/>
      <c r="L816" s="2"/>
      <c r="M816" s="2"/>
      <c r="N816" s="2"/>
      <c r="O816" s="2"/>
      <c r="P816" s="2"/>
      <c r="Q816" s="2"/>
      <c r="R816" s="2"/>
      <c r="S816" s="2"/>
      <c r="T816" s="2"/>
    </row>
    <row r="817" spans="1:20" ht="15.75" customHeight="1">
      <c r="A817" s="1"/>
      <c r="B817" s="2"/>
      <c r="C817" s="2"/>
      <c r="D817" s="2"/>
      <c r="E817" s="2"/>
      <c r="F817" s="2"/>
      <c r="G817" s="2"/>
      <c r="H817" s="2"/>
      <c r="I817" s="2"/>
      <c r="J817" s="2"/>
      <c r="K817" s="2"/>
      <c r="L817" s="2"/>
      <c r="M817" s="2"/>
      <c r="N817" s="2"/>
      <c r="O817" s="2"/>
      <c r="P817" s="2"/>
      <c r="Q817" s="2"/>
      <c r="R817" s="2"/>
      <c r="S817" s="2"/>
      <c r="T817" s="2"/>
    </row>
    <row r="818" spans="1:20" ht="15.75" customHeight="1">
      <c r="A818" s="1"/>
      <c r="B818" s="2"/>
      <c r="C818" s="2"/>
      <c r="D818" s="2"/>
      <c r="E818" s="2"/>
      <c r="F818" s="2"/>
      <c r="G818" s="2"/>
      <c r="H818" s="2"/>
      <c r="I818" s="2"/>
      <c r="J818" s="2"/>
      <c r="K818" s="2"/>
      <c r="L818" s="2"/>
      <c r="M818" s="2"/>
      <c r="N818" s="2"/>
      <c r="O818" s="2"/>
      <c r="P818" s="2"/>
      <c r="Q818" s="2"/>
      <c r="R818" s="2"/>
      <c r="S818" s="2"/>
      <c r="T818" s="2"/>
    </row>
    <row r="819" spans="1:20" ht="15.75" customHeight="1">
      <c r="A819" s="1"/>
      <c r="B819" s="2"/>
      <c r="C819" s="2"/>
      <c r="D819" s="2"/>
      <c r="E819" s="2"/>
      <c r="F819" s="2"/>
      <c r="G819" s="2"/>
      <c r="H819" s="2"/>
      <c r="I819" s="2"/>
      <c r="J819" s="2"/>
      <c r="K819" s="2"/>
      <c r="L819" s="2"/>
      <c r="M819" s="2"/>
      <c r="N819" s="2"/>
      <c r="O819" s="2"/>
      <c r="P819" s="2"/>
      <c r="Q819" s="2"/>
      <c r="R819" s="2"/>
      <c r="S819" s="2"/>
      <c r="T819" s="2"/>
    </row>
    <row r="820" spans="1:20" ht="15.75" customHeight="1">
      <c r="A820" s="1"/>
      <c r="B820" s="2"/>
      <c r="C820" s="2"/>
      <c r="D820" s="2"/>
      <c r="E820" s="2"/>
      <c r="F820" s="2"/>
      <c r="G820" s="2"/>
      <c r="H820" s="2"/>
      <c r="I820" s="2"/>
      <c r="J820" s="2"/>
      <c r="K820" s="2"/>
      <c r="L820" s="2"/>
      <c r="M820" s="2"/>
      <c r="N820" s="2"/>
      <c r="O820" s="2"/>
      <c r="P820" s="2"/>
      <c r="Q820" s="2"/>
      <c r="R820" s="2"/>
      <c r="S820" s="2"/>
      <c r="T820" s="2"/>
    </row>
    <row r="821" spans="1:20" ht="15.75" customHeight="1">
      <c r="A821" s="1"/>
      <c r="B821" s="2"/>
      <c r="C821" s="2"/>
      <c r="D821" s="2"/>
      <c r="E821" s="2"/>
      <c r="F821" s="2"/>
      <c r="G821" s="2"/>
      <c r="H821" s="2"/>
      <c r="I821" s="2"/>
      <c r="J821" s="2"/>
      <c r="K821" s="2"/>
      <c r="L821" s="2"/>
      <c r="M821" s="2"/>
      <c r="N821" s="2"/>
      <c r="O821" s="2"/>
      <c r="P821" s="2"/>
      <c r="Q821" s="2"/>
      <c r="R821" s="2"/>
      <c r="S821" s="2"/>
      <c r="T821" s="2"/>
    </row>
    <row r="822" spans="1:20" ht="15.75" customHeight="1">
      <c r="A822" s="1"/>
      <c r="B822" s="2"/>
      <c r="C822" s="2"/>
      <c r="D822" s="2"/>
      <c r="E822" s="2"/>
      <c r="F822" s="2"/>
      <c r="G822" s="2"/>
      <c r="H822" s="2"/>
      <c r="I822" s="2"/>
      <c r="J822" s="2"/>
      <c r="K822" s="2"/>
      <c r="L822" s="2"/>
      <c r="M822" s="2"/>
      <c r="N822" s="2"/>
      <c r="O822" s="2"/>
      <c r="P822" s="2"/>
      <c r="Q822" s="2"/>
      <c r="R822" s="2"/>
      <c r="S822" s="2"/>
      <c r="T822" s="2"/>
    </row>
    <row r="823" spans="1:20" ht="15.75" customHeight="1">
      <c r="A823" s="1"/>
      <c r="B823" s="2"/>
      <c r="C823" s="2"/>
      <c r="D823" s="2"/>
      <c r="E823" s="2"/>
      <c r="F823" s="2"/>
      <c r="G823" s="2"/>
      <c r="H823" s="2"/>
      <c r="I823" s="2"/>
      <c r="J823" s="2"/>
      <c r="K823" s="2"/>
      <c r="L823" s="2"/>
      <c r="M823" s="2"/>
      <c r="N823" s="2"/>
      <c r="O823" s="2"/>
      <c r="P823" s="2"/>
      <c r="Q823" s="2"/>
      <c r="R823" s="2"/>
      <c r="S823" s="2"/>
      <c r="T823" s="2"/>
    </row>
    <row r="824" spans="1:20" ht="15.75" customHeight="1">
      <c r="A824" s="1"/>
      <c r="B824" s="2"/>
      <c r="C824" s="2"/>
      <c r="D824" s="2"/>
      <c r="E824" s="2"/>
      <c r="F824" s="2"/>
      <c r="G824" s="2"/>
      <c r="H824" s="2"/>
      <c r="I824" s="2"/>
      <c r="J824" s="2"/>
      <c r="K824" s="2"/>
      <c r="L824" s="2"/>
      <c r="M824" s="2"/>
      <c r="N824" s="2"/>
      <c r="O824" s="2"/>
      <c r="P824" s="2"/>
      <c r="Q824" s="2"/>
      <c r="R824" s="2"/>
      <c r="S824" s="2"/>
      <c r="T824" s="2"/>
    </row>
    <row r="825" spans="1:20" ht="15.75" customHeight="1">
      <c r="A825" s="1"/>
      <c r="B825" s="2"/>
      <c r="C825" s="2"/>
      <c r="D825" s="2"/>
      <c r="E825" s="2"/>
      <c r="F825" s="2"/>
      <c r="G825" s="2"/>
      <c r="H825" s="2"/>
      <c r="I825" s="2"/>
      <c r="J825" s="2"/>
      <c r="K825" s="2"/>
      <c r="L825" s="2"/>
      <c r="M825" s="2"/>
      <c r="N825" s="2"/>
      <c r="O825" s="2"/>
      <c r="P825" s="2"/>
      <c r="Q825" s="2"/>
      <c r="R825" s="2"/>
      <c r="S825" s="2"/>
      <c r="T825" s="2"/>
    </row>
    <row r="826" spans="1:20" ht="15.75" customHeight="1">
      <c r="A826" s="1"/>
      <c r="B826" s="2"/>
      <c r="C826" s="2"/>
      <c r="D826" s="2"/>
      <c r="E826" s="2"/>
      <c r="F826" s="2"/>
      <c r="G826" s="2"/>
      <c r="H826" s="2"/>
      <c r="I826" s="2"/>
      <c r="J826" s="2"/>
      <c r="K826" s="2"/>
      <c r="L826" s="2"/>
      <c r="M826" s="2"/>
      <c r="N826" s="2"/>
      <c r="O826" s="2"/>
      <c r="P826" s="2"/>
      <c r="Q826" s="2"/>
      <c r="R826" s="2"/>
      <c r="S826" s="2"/>
      <c r="T826" s="2"/>
    </row>
    <row r="827" spans="1:20" ht="15.75" customHeight="1">
      <c r="A827" s="1"/>
      <c r="B827" s="2"/>
      <c r="C827" s="2"/>
      <c r="D827" s="2"/>
      <c r="E827" s="2"/>
      <c r="F827" s="2"/>
      <c r="G827" s="2"/>
      <c r="H827" s="2"/>
      <c r="I827" s="2"/>
      <c r="J827" s="2"/>
      <c r="K827" s="2"/>
      <c r="L827" s="2"/>
      <c r="M827" s="2"/>
      <c r="N827" s="2"/>
      <c r="O827" s="2"/>
      <c r="P827" s="2"/>
      <c r="Q827" s="2"/>
      <c r="R827" s="2"/>
      <c r="S827" s="2"/>
      <c r="T827" s="2"/>
    </row>
    <row r="828" spans="1:20" ht="15.75" customHeight="1">
      <c r="A828" s="1"/>
      <c r="B828" s="2"/>
      <c r="C828" s="2"/>
      <c r="D828" s="2"/>
      <c r="E828" s="2"/>
      <c r="F828" s="2"/>
      <c r="G828" s="2"/>
      <c r="H828" s="2"/>
      <c r="I828" s="2"/>
      <c r="J828" s="2"/>
      <c r="K828" s="2"/>
      <c r="L828" s="2"/>
      <c r="M828" s="2"/>
      <c r="N828" s="2"/>
      <c r="O828" s="2"/>
      <c r="P828" s="2"/>
      <c r="Q828" s="2"/>
      <c r="R828" s="2"/>
      <c r="S828" s="2"/>
      <c r="T828" s="2"/>
    </row>
    <row r="829" spans="1:20" ht="15.75" customHeight="1">
      <c r="A829" s="1"/>
      <c r="B829" s="2"/>
      <c r="C829" s="2"/>
      <c r="D829" s="2"/>
      <c r="E829" s="2"/>
      <c r="F829" s="2"/>
      <c r="G829" s="2"/>
      <c r="H829" s="2"/>
      <c r="I829" s="2"/>
      <c r="J829" s="2"/>
      <c r="K829" s="2"/>
      <c r="L829" s="2"/>
      <c r="M829" s="2"/>
      <c r="N829" s="2"/>
      <c r="O829" s="2"/>
      <c r="P829" s="2"/>
      <c r="Q829" s="2"/>
      <c r="R829" s="2"/>
      <c r="S829" s="2"/>
      <c r="T829" s="2"/>
    </row>
    <row r="830" spans="1:20" ht="15.75" customHeight="1">
      <c r="A830" s="1"/>
      <c r="B830" s="2"/>
      <c r="C830" s="2"/>
      <c r="D830" s="2"/>
      <c r="E830" s="2"/>
      <c r="F830" s="2"/>
      <c r="G830" s="2"/>
      <c r="H830" s="2"/>
      <c r="I830" s="2"/>
      <c r="J830" s="2"/>
      <c r="K830" s="2"/>
      <c r="L830" s="2"/>
      <c r="M830" s="2"/>
      <c r="N830" s="2"/>
      <c r="O830" s="2"/>
      <c r="P830" s="2"/>
      <c r="Q830" s="2"/>
      <c r="R830" s="2"/>
      <c r="S830" s="2"/>
      <c r="T830" s="2"/>
    </row>
    <row r="831" spans="1:20" ht="15.75" customHeight="1">
      <c r="A831" s="1"/>
      <c r="B831" s="2"/>
      <c r="C831" s="2"/>
      <c r="D831" s="2"/>
      <c r="E831" s="2"/>
      <c r="F831" s="2"/>
      <c r="G831" s="2"/>
      <c r="H831" s="2"/>
      <c r="I831" s="2"/>
      <c r="J831" s="2"/>
      <c r="K831" s="2"/>
      <c r="L831" s="2"/>
      <c r="M831" s="2"/>
      <c r="N831" s="2"/>
      <c r="O831" s="2"/>
      <c r="P831" s="2"/>
      <c r="Q831" s="2"/>
      <c r="R831" s="2"/>
      <c r="S831" s="2"/>
      <c r="T831" s="2"/>
    </row>
    <row r="832" spans="1:20" ht="15.75" customHeight="1">
      <c r="A832" s="1"/>
      <c r="B832" s="2"/>
      <c r="C832" s="2"/>
      <c r="D832" s="2"/>
      <c r="E832" s="2"/>
      <c r="F832" s="2"/>
      <c r="G832" s="2"/>
      <c r="H832" s="2"/>
      <c r="I832" s="2"/>
      <c r="J832" s="2"/>
      <c r="K832" s="2"/>
      <c r="L832" s="2"/>
      <c r="M832" s="2"/>
      <c r="N832" s="2"/>
      <c r="O832" s="2"/>
      <c r="P832" s="2"/>
      <c r="Q832" s="2"/>
      <c r="R832" s="2"/>
      <c r="S832" s="2"/>
      <c r="T832" s="2"/>
    </row>
    <row r="833" spans="1:20" ht="15.75" customHeight="1">
      <c r="A833" s="1"/>
      <c r="B833" s="2"/>
      <c r="C833" s="2"/>
      <c r="D833" s="2"/>
      <c r="E833" s="2"/>
      <c r="F833" s="2"/>
      <c r="G833" s="2"/>
      <c r="H833" s="2"/>
      <c r="I833" s="2"/>
      <c r="J833" s="2"/>
      <c r="K833" s="2"/>
      <c r="L833" s="2"/>
      <c r="M833" s="2"/>
      <c r="N833" s="2"/>
      <c r="O833" s="2"/>
      <c r="P833" s="2"/>
      <c r="Q833" s="2"/>
      <c r="R833" s="2"/>
      <c r="S833" s="2"/>
      <c r="T833" s="2"/>
    </row>
    <row r="834" spans="1:20" ht="15.75" customHeight="1">
      <c r="A834" s="1"/>
      <c r="B834" s="2"/>
      <c r="C834" s="2"/>
      <c r="D834" s="2"/>
      <c r="E834" s="2"/>
      <c r="F834" s="2"/>
      <c r="G834" s="2"/>
      <c r="H834" s="2"/>
      <c r="I834" s="2"/>
      <c r="J834" s="2"/>
      <c r="K834" s="2"/>
      <c r="L834" s="2"/>
      <c r="M834" s="2"/>
      <c r="N834" s="2"/>
      <c r="O834" s="2"/>
      <c r="P834" s="2"/>
      <c r="Q834" s="2"/>
      <c r="R834" s="2"/>
      <c r="S834" s="2"/>
      <c r="T834" s="2"/>
    </row>
    <row r="835" spans="1:20" ht="15.75" customHeight="1">
      <c r="A835" s="1"/>
      <c r="B835" s="2"/>
      <c r="C835" s="2"/>
      <c r="D835" s="2"/>
      <c r="E835" s="2"/>
      <c r="F835" s="2"/>
      <c r="G835" s="2"/>
      <c r="H835" s="2"/>
      <c r="I835" s="2"/>
      <c r="J835" s="2"/>
      <c r="K835" s="2"/>
      <c r="L835" s="2"/>
      <c r="M835" s="2"/>
      <c r="N835" s="2"/>
      <c r="O835" s="2"/>
      <c r="P835" s="2"/>
      <c r="Q835" s="2"/>
      <c r="R835" s="2"/>
      <c r="S835" s="2"/>
      <c r="T835" s="2"/>
    </row>
    <row r="836" spans="1:20" ht="15.75" customHeight="1">
      <c r="A836" s="1"/>
      <c r="B836" s="2"/>
      <c r="C836" s="2"/>
      <c r="D836" s="2"/>
      <c r="E836" s="2"/>
      <c r="F836" s="2"/>
      <c r="G836" s="2"/>
      <c r="H836" s="2"/>
      <c r="I836" s="2"/>
      <c r="J836" s="2"/>
      <c r="K836" s="2"/>
      <c r="L836" s="2"/>
      <c r="M836" s="2"/>
      <c r="N836" s="2"/>
      <c r="O836" s="2"/>
      <c r="P836" s="2"/>
      <c r="Q836" s="2"/>
      <c r="R836" s="2"/>
      <c r="S836" s="2"/>
      <c r="T836" s="2"/>
    </row>
    <row r="837" spans="1:20" ht="15.75" customHeight="1">
      <c r="A837" s="1"/>
      <c r="B837" s="2"/>
      <c r="C837" s="2"/>
      <c r="D837" s="2"/>
      <c r="E837" s="2"/>
      <c r="F837" s="2"/>
      <c r="G837" s="2"/>
      <c r="H837" s="2"/>
      <c r="I837" s="2"/>
      <c r="J837" s="2"/>
      <c r="K837" s="2"/>
      <c r="L837" s="2"/>
      <c r="M837" s="2"/>
      <c r="N837" s="2"/>
      <c r="O837" s="2"/>
      <c r="P837" s="2"/>
      <c r="Q837" s="2"/>
      <c r="R837" s="2"/>
      <c r="S837" s="2"/>
      <c r="T837" s="2"/>
    </row>
    <row r="838" spans="1:20" ht="15.75" customHeight="1">
      <c r="A838" s="1"/>
      <c r="B838" s="2"/>
      <c r="C838" s="2"/>
      <c r="D838" s="2"/>
      <c r="E838" s="2"/>
      <c r="F838" s="2"/>
      <c r="G838" s="2"/>
      <c r="H838" s="2"/>
      <c r="I838" s="2"/>
      <c r="J838" s="2"/>
      <c r="K838" s="2"/>
      <c r="L838" s="2"/>
      <c r="M838" s="2"/>
      <c r="N838" s="2"/>
      <c r="O838" s="2"/>
      <c r="P838" s="2"/>
      <c r="Q838" s="2"/>
      <c r="R838" s="2"/>
      <c r="S838" s="2"/>
      <c r="T838" s="2"/>
    </row>
    <row r="839" spans="1:20" ht="15.75" customHeight="1">
      <c r="A839" s="1"/>
      <c r="B839" s="2"/>
      <c r="C839" s="2"/>
      <c r="D839" s="2"/>
      <c r="E839" s="2"/>
      <c r="F839" s="2"/>
      <c r="G839" s="2"/>
      <c r="H839" s="2"/>
      <c r="I839" s="2"/>
      <c r="J839" s="2"/>
      <c r="K839" s="2"/>
      <c r="L839" s="2"/>
      <c r="M839" s="2"/>
      <c r="N839" s="2"/>
      <c r="O839" s="2"/>
      <c r="P839" s="2"/>
      <c r="Q839" s="2"/>
      <c r="R839" s="2"/>
      <c r="S839" s="2"/>
      <c r="T839" s="2"/>
    </row>
    <row r="840" spans="1:20" ht="15.75" customHeight="1">
      <c r="A840" s="1"/>
      <c r="B840" s="2"/>
      <c r="C840" s="2"/>
      <c r="D840" s="2"/>
      <c r="E840" s="2"/>
      <c r="F840" s="2"/>
      <c r="G840" s="2"/>
      <c r="H840" s="2"/>
      <c r="I840" s="2"/>
      <c r="J840" s="2"/>
      <c r="K840" s="2"/>
      <c r="L840" s="2"/>
      <c r="M840" s="2"/>
      <c r="N840" s="2"/>
      <c r="O840" s="2"/>
      <c r="P840" s="2"/>
      <c r="Q840" s="2"/>
      <c r="R840" s="2"/>
      <c r="S840" s="2"/>
      <c r="T840" s="2"/>
    </row>
    <row r="841" spans="1:20" ht="15.75" customHeight="1">
      <c r="A841" s="1"/>
      <c r="B841" s="2"/>
      <c r="C841" s="2"/>
      <c r="D841" s="2"/>
      <c r="E841" s="2"/>
      <c r="F841" s="2"/>
      <c r="G841" s="2"/>
      <c r="H841" s="2"/>
      <c r="I841" s="2"/>
      <c r="J841" s="2"/>
      <c r="K841" s="2"/>
      <c r="L841" s="2"/>
      <c r="M841" s="2"/>
      <c r="N841" s="2"/>
      <c r="O841" s="2"/>
      <c r="P841" s="2"/>
      <c r="Q841" s="2"/>
      <c r="R841" s="2"/>
      <c r="S841" s="2"/>
      <c r="T841" s="2"/>
    </row>
    <row r="842" spans="1:20" ht="15.75" customHeight="1">
      <c r="A842" s="1"/>
      <c r="B842" s="2"/>
      <c r="C842" s="2"/>
      <c r="D842" s="2"/>
      <c r="E842" s="2"/>
      <c r="F842" s="2"/>
      <c r="G842" s="2"/>
      <c r="H842" s="2"/>
      <c r="I842" s="2"/>
      <c r="J842" s="2"/>
      <c r="K842" s="2"/>
      <c r="L842" s="2"/>
      <c r="M842" s="2"/>
      <c r="N842" s="2"/>
      <c r="O842" s="2"/>
      <c r="P842" s="2"/>
      <c r="Q842" s="2"/>
      <c r="R842" s="2"/>
      <c r="S842" s="2"/>
      <c r="T842" s="2"/>
    </row>
    <row r="843" spans="1:20" ht="15.75" customHeight="1">
      <c r="A843" s="1"/>
      <c r="B843" s="2"/>
      <c r="C843" s="2"/>
      <c r="D843" s="2"/>
      <c r="E843" s="2"/>
      <c r="F843" s="2"/>
      <c r="G843" s="2"/>
      <c r="H843" s="2"/>
      <c r="I843" s="2"/>
      <c r="J843" s="2"/>
      <c r="K843" s="2"/>
      <c r="L843" s="2"/>
      <c r="M843" s="2"/>
      <c r="N843" s="2"/>
      <c r="O843" s="2"/>
      <c r="P843" s="2"/>
      <c r="Q843" s="2"/>
      <c r="R843" s="2"/>
      <c r="S843" s="2"/>
      <c r="T843" s="2"/>
    </row>
    <row r="844" spans="1:20" ht="15.75" customHeight="1">
      <c r="A844" s="1"/>
      <c r="B844" s="2"/>
      <c r="C844" s="2"/>
      <c r="D844" s="2"/>
      <c r="E844" s="2"/>
      <c r="F844" s="2"/>
      <c r="G844" s="2"/>
      <c r="H844" s="2"/>
      <c r="I844" s="2"/>
      <c r="J844" s="2"/>
      <c r="K844" s="2"/>
      <c r="L844" s="2"/>
      <c r="M844" s="2"/>
      <c r="N844" s="2"/>
      <c r="O844" s="2"/>
      <c r="P844" s="2"/>
      <c r="Q844" s="2"/>
      <c r="R844" s="2"/>
      <c r="S844" s="2"/>
      <c r="T844" s="2"/>
    </row>
    <row r="845" spans="1:20" ht="15.75" customHeight="1">
      <c r="A845" s="1"/>
      <c r="B845" s="2"/>
      <c r="C845" s="2"/>
      <c r="D845" s="2"/>
      <c r="E845" s="2"/>
      <c r="F845" s="2"/>
      <c r="G845" s="2"/>
      <c r="H845" s="2"/>
      <c r="I845" s="2"/>
      <c r="J845" s="2"/>
      <c r="K845" s="2"/>
      <c r="L845" s="2"/>
      <c r="M845" s="2"/>
      <c r="N845" s="2"/>
      <c r="O845" s="2"/>
      <c r="P845" s="2"/>
      <c r="Q845" s="2"/>
      <c r="R845" s="2"/>
      <c r="S845" s="2"/>
      <c r="T845" s="2"/>
    </row>
    <row r="846" spans="1:20" ht="15.75" customHeight="1">
      <c r="A846" s="1"/>
      <c r="B846" s="2"/>
      <c r="C846" s="2"/>
      <c r="D846" s="2"/>
      <c r="E846" s="2"/>
      <c r="F846" s="2"/>
      <c r="G846" s="2"/>
      <c r="H846" s="2"/>
      <c r="I846" s="2"/>
      <c r="J846" s="2"/>
      <c r="K846" s="2"/>
      <c r="L846" s="2"/>
      <c r="M846" s="2"/>
      <c r="N846" s="2"/>
      <c r="O846" s="2"/>
      <c r="P846" s="2"/>
      <c r="Q846" s="2"/>
      <c r="R846" s="2"/>
      <c r="S846" s="2"/>
      <c r="T846" s="2"/>
    </row>
    <row r="847" spans="1:20" ht="15.75" customHeight="1">
      <c r="A847" s="1"/>
      <c r="B847" s="2"/>
      <c r="C847" s="2"/>
      <c r="D847" s="2"/>
      <c r="E847" s="2"/>
      <c r="F847" s="2"/>
      <c r="G847" s="2"/>
      <c r="H847" s="2"/>
      <c r="I847" s="2"/>
      <c r="J847" s="2"/>
      <c r="K847" s="2"/>
      <c r="L847" s="2"/>
      <c r="M847" s="2"/>
      <c r="N847" s="2"/>
      <c r="O847" s="2"/>
      <c r="P847" s="2"/>
      <c r="Q847" s="2"/>
      <c r="R847" s="2"/>
      <c r="S847" s="2"/>
      <c r="T847" s="2"/>
    </row>
    <row r="848" spans="1:20" ht="15.75" customHeight="1">
      <c r="A848" s="1"/>
      <c r="B848" s="2"/>
      <c r="C848" s="2"/>
      <c r="D848" s="2"/>
      <c r="E848" s="2"/>
      <c r="F848" s="2"/>
      <c r="G848" s="2"/>
      <c r="H848" s="2"/>
      <c r="I848" s="2"/>
      <c r="J848" s="2"/>
      <c r="K848" s="2"/>
      <c r="L848" s="2"/>
      <c r="M848" s="2"/>
      <c r="N848" s="2"/>
      <c r="O848" s="2"/>
      <c r="P848" s="2"/>
      <c r="Q848" s="2"/>
      <c r="R848" s="2"/>
      <c r="S848" s="2"/>
      <c r="T848" s="2"/>
    </row>
    <row r="849" spans="1:20" ht="15.75" customHeight="1">
      <c r="A849" s="1"/>
      <c r="B849" s="2"/>
      <c r="C849" s="2"/>
      <c r="D849" s="2"/>
      <c r="E849" s="2"/>
      <c r="F849" s="2"/>
      <c r="G849" s="2"/>
      <c r="H849" s="2"/>
      <c r="I849" s="2"/>
      <c r="J849" s="2"/>
      <c r="K849" s="2"/>
      <c r="L849" s="2"/>
      <c r="M849" s="2"/>
      <c r="N849" s="2"/>
      <c r="O849" s="2"/>
      <c r="P849" s="2"/>
      <c r="Q849" s="2"/>
      <c r="R849" s="2"/>
      <c r="S849" s="2"/>
      <c r="T849" s="2"/>
    </row>
    <row r="850" spans="1:20" ht="15.75" customHeight="1">
      <c r="A850" s="1"/>
      <c r="B850" s="2"/>
      <c r="C850" s="2"/>
      <c r="D850" s="2"/>
      <c r="E850" s="2"/>
      <c r="F850" s="2"/>
      <c r="G850" s="2"/>
      <c r="H850" s="2"/>
      <c r="I850" s="2"/>
      <c r="J850" s="2"/>
      <c r="K850" s="2"/>
      <c r="L850" s="2"/>
      <c r="M850" s="2"/>
      <c r="N850" s="2"/>
      <c r="O850" s="2"/>
      <c r="P850" s="2"/>
      <c r="Q850" s="2"/>
      <c r="R850" s="2"/>
      <c r="S850" s="2"/>
      <c r="T850" s="2"/>
    </row>
    <row r="851" spans="1:20" ht="15.75" customHeight="1">
      <c r="A851" s="1"/>
      <c r="B851" s="2"/>
      <c r="C851" s="2"/>
      <c r="D851" s="2"/>
      <c r="E851" s="2"/>
      <c r="F851" s="2"/>
      <c r="G851" s="2"/>
      <c r="H851" s="2"/>
      <c r="I851" s="2"/>
      <c r="J851" s="2"/>
      <c r="K851" s="2"/>
      <c r="L851" s="2"/>
      <c r="M851" s="2"/>
      <c r="N851" s="2"/>
      <c r="O851" s="2"/>
      <c r="P851" s="2"/>
      <c r="Q851" s="2"/>
      <c r="R851" s="2"/>
      <c r="S851" s="2"/>
      <c r="T851" s="2"/>
    </row>
    <row r="852" spans="1:20" ht="15.75" customHeight="1">
      <c r="A852" s="1"/>
      <c r="B852" s="2"/>
      <c r="C852" s="2"/>
      <c r="D852" s="2"/>
      <c r="E852" s="2"/>
      <c r="F852" s="2"/>
      <c r="G852" s="2"/>
      <c r="H852" s="2"/>
      <c r="I852" s="2"/>
      <c r="J852" s="2"/>
      <c r="K852" s="2"/>
      <c r="L852" s="2"/>
      <c r="M852" s="2"/>
      <c r="N852" s="2"/>
      <c r="O852" s="2"/>
      <c r="P852" s="2"/>
      <c r="Q852" s="2"/>
      <c r="R852" s="2"/>
      <c r="S852" s="2"/>
      <c r="T852" s="2"/>
    </row>
    <row r="853" spans="1:20" ht="15.75" customHeight="1">
      <c r="A853" s="1"/>
      <c r="B853" s="2"/>
      <c r="C853" s="2"/>
      <c r="D853" s="2"/>
      <c r="E853" s="2"/>
      <c r="F853" s="2"/>
      <c r="G853" s="2"/>
      <c r="H853" s="2"/>
      <c r="I853" s="2"/>
      <c r="J853" s="2"/>
      <c r="K853" s="2"/>
      <c r="L853" s="2"/>
      <c r="M853" s="2"/>
      <c r="N853" s="2"/>
      <c r="O853" s="2"/>
      <c r="P853" s="2"/>
      <c r="Q853" s="2"/>
      <c r="R853" s="2"/>
      <c r="S853" s="2"/>
      <c r="T853" s="2"/>
    </row>
    <row r="854" spans="1:20" ht="15.75" customHeight="1">
      <c r="A854" s="1"/>
      <c r="B854" s="2"/>
      <c r="C854" s="2"/>
      <c r="D854" s="2"/>
      <c r="E854" s="2"/>
      <c r="F854" s="2"/>
      <c r="G854" s="2"/>
      <c r="H854" s="2"/>
      <c r="I854" s="2"/>
      <c r="J854" s="2"/>
      <c r="K854" s="2"/>
      <c r="L854" s="2"/>
      <c r="M854" s="2"/>
      <c r="N854" s="2"/>
      <c r="O854" s="2"/>
      <c r="P854" s="2"/>
      <c r="Q854" s="2"/>
      <c r="R854" s="2"/>
      <c r="S854" s="2"/>
      <c r="T854" s="2"/>
    </row>
    <row r="855" spans="1:20" ht="15.75" customHeight="1">
      <c r="A855" s="1"/>
      <c r="B855" s="2"/>
      <c r="C855" s="2"/>
      <c r="D855" s="2"/>
      <c r="E855" s="2"/>
      <c r="F855" s="2"/>
      <c r="G855" s="2"/>
      <c r="H855" s="2"/>
      <c r="I855" s="2"/>
      <c r="J855" s="2"/>
      <c r="K855" s="2"/>
      <c r="L855" s="2"/>
      <c r="M855" s="2"/>
      <c r="N855" s="2"/>
      <c r="O855" s="2"/>
      <c r="P855" s="2"/>
      <c r="Q855" s="2"/>
      <c r="R855" s="2"/>
      <c r="S855" s="2"/>
      <c r="T855" s="2"/>
    </row>
    <row r="856" spans="1:20" ht="15.75" customHeight="1">
      <c r="A856" s="1"/>
      <c r="B856" s="2"/>
      <c r="C856" s="2"/>
      <c r="D856" s="2"/>
      <c r="E856" s="2"/>
      <c r="F856" s="2"/>
      <c r="G856" s="2"/>
      <c r="H856" s="2"/>
      <c r="I856" s="2"/>
      <c r="J856" s="2"/>
      <c r="K856" s="2"/>
      <c r="L856" s="2"/>
      <c r="M856" s="2"/>
      <c r="N856" s="2"/>
      <c r="O856" s="2"/>
      <c r="P856" s="2"/>
      <c r="Q856" s="2"/>
      <c r="R856" s="2"/>
      <c r="S856" s="2"/>
      <c r="T856" s="2"/>
    </row>
    <row r="857" spans="1:20" ht="15.75" customHeight="1">
      <c r="A857" s="1"/>
      <c r="B857" s="2"/>
      <c r="C857" s="2"/>
      <c r="D857" s="2"/>
      <c r="E857" s="2"/>
      <c r="F857" s="2"/>
      <c r="G857" s="2"/>
      <c r="H857" s="2"/>
      <c r="I857" s="2"/>
      <c r="J857" s="2"/>
      <c r="K857" s="2"/>
      <c r="L857" s="2"/>
      <c r="M857" s="2"/>
      <c r="N857" s="2"/>
      <c r="O857" s="2"/>
      <c r="P857" s="2"/>
      <c r="Q857" s="2"/>
      <c r="R857" s="2"/>
      <c r="S857" s="2"/>
      <c r="T857" s="2"/>
    </row>
    <row r="858" spans="1:20" ht="15.75" customHeight="1">
      <c r="A858" s="1"/>
      <c r="B858" s="2"/>
      <c r="C858" s="2"/>
      <c r="D858" s="2"/>
      <c r="E858" s="2"/>
      <c r="F858" s="2"/>
      <c r="G858" s="2"/>
      <c r="H858" s="2"/>
      <c r="I858" s="2"/>
      <c r="J858" s="2"/>
      <c r="K858" s="2"/>
      <c r="L858" s="2"/>
      <c r="M858" s="2"/>
      <c r="N858" s="2"/>
      <c r="O858" s="2"/>
      <c r="P858" s="2"/>
      <c r="Q858" s="2"/>
      <c r="R858" s="2"/>
      <c r="S858" s="2"/>
      <c r="T858" s="2"/>
    </row>
    <row r="859" spans="1:20" ht="15.75" customHeight="1">
      <c r="A859" s="1"/>
      <c r="B859" s="2"/>
      <c r="C859" s="2"/>
      <c r="D859" s="2"/>
      <c r="E859" s="2"/>
      <c r="F859" s="2"/>
      <c r="G859" s="2"/>
      <c r="H859" s="2"/>
      <c r="I859" s="2"/>
      <c r="J859" s="2"/>
      <c r="K859" s="2"/>
      <c r="L859" s="2"/>
      <c r="M859" s="2"/>
      <c r="N859" s="2"/>
      <c r="O859" s="2"/>
      <c r="P859" s="2"/>
      <c r="Q859" s="2"/>
      <c r="R859" s="2"/>
      <c r="S859" s="2"/>
      <c r="T859" s="2"/>
    </row>
    <row r="860" spans="1:20" ht="15.75" customHeight="1">
      <c r="A860" s="1"/>
      <c r="B860" s="2"/>
      <c r="C860" s="2"/>
      <c r="D860" s="2"/>
      <c r="E860" s="2"/>
      <c r="F860" s="2"/>
      <c r="G860" s="2"/>
      <c r="H860" s="2"/>
      <c r="I860" s="2"/>
      <c r="J860" s="2"/>
      <c r="K860" s="2"/>
      <c r="L860" s="2"/>
      <c r="M860" s="2"/>
      <c r="N860" s="2"/>
      <c r="O860" s="2"/>
      <c r="P860" s="2"/>
      <c r="Q860" s="2"/>
      <c r="R860" s="2"/>
      <c r="S860" s="2"/>
      <c r="T860" s="2"/>
    </row>
    <row r="861" spans="1:20" ht="15.75" customHeight="1">
      <c r="A861" s="1"/>
      <c r="B861" s="2"/>
      <c r="C861" s="2"/>
      <c r="D861" s="2"/>
      <c r="E861" s="2"/>
      <c r="F861" s="2"/>
      <c r="G861" s="2"/>
      <c r="H861" s="2"/>
      <c r="I861" s="2"/>
      <c r="J861" s="2"/>
      <c r="K861" s="2"/>
      <c r="L861" s="2"/>
      <c r="M861" s="2"/>
      <c r="N861" s="2"/>
      <c r="O861" s="2"/>
      <c r="P861" s="2"/>
      <c r="Q861" s="2"/>
      <c r="R861" s="2"/>
      <c r="S861" s="2"/>
      <c r="T861" s="2"/>
    </row>
    <row r="862" spans="1:20" ht="15.75" customHeight="1">
      <c r="A862" s="1"/>
      <c r="B862" s="2"/>
      <c r="C862" s="2"/>
      <c r="D862" s="2"/>
      <c r="E862" s="2"/>
      <c r="F862" s="2"/>
      <c r="G862" s="2"/>
      <c r="H862" s="2"/>
      <c r="I862" s="2"/>
      <c r="J862" s="2"/>
      <c r="K862" s="2"/>
      <c r="L862" s="2"/>
      <c r="M862" s="2"/>
      <c r="N862" s="2"/>
      <c r="O862" s="2"/>
      <c r="P862" s="2"/>
      <c r="Q862" s="2"/>
      <c r="R862" s="2"/>
      <c r="S862" s="2"/>
      <c r="T862" s="2"/>
    </row>
    <row r="863" spans="1:20" ht="15.75" customHeight="1">
      <c r="A863" s="1"/>
      <c r="B863" s="2"/>
      <c r="C863" s="2"/>
      <c r="D863" s="2"/>
      <c r="E863" s="2"/>
      <c r="F863" s="2"/>
      <c r="G863" s="2"/>
      <c r="H863" s="2"/>
      <c r="I863" s="2"/>
      <c r="J863" s="2"/>
      <c r="K863" s="2"/>
      <c r="L863" s="2"/>
      <c r="M863" s="2"/>
      <c r="N863" s="2"/>
      <c r="O863" s="2"/>
      <c r="P863" s="2"/>
      <c r="Q863" s="2"/>
      <c r="R863" s="2"/>
      <c r="S863" s="2"/>
      <c r="T863" s="2"/>
    </row>
    <row r="864" spans="1:20" ht="15.75" customHeight="1">
      <c r="A864" s="1"/>
      <c r="B864" s="2"/>
      <c r="C864" s="2"/>
      <c r="D864" s="2"/>
      <c r="E864" s="2"/>
      <c r="F864" s="2"/>
      <c r="G864" s="2"/>
      <c r="H864" s="2"/>
      <c r="I864" s="2"/>
      <c r="J864" s="2"/>
      <c r="K864" s="2"/>
      <c r="L864" s="2"/>
      <c r="M864" s="2"/>
      <c r="N864" s="2"/>
      <c r="O864" s="2"/>
      <c r="P864" s="2"/>
      <c r="Q864" s="2"/>
      <c r="R864" s="2"/>
      <c r="S864" s="2"/>
      <c r="T864" s="2"/>
    </row>
    <row r="865" spans="1:20" ht="15.75" customHeight="1">
      <c r="A865" s="1"/>
      <c r="B865" s="2"/>
      <c r="C865" s="2"/>
      <c r="D865" s="2"/>
      <c r="E865" s="2"/>
      <c r="F865" s="2"/>
      <c r="G865" s="2"/>
      <c r="H865" s="2"/>
      <c r="I865" s="2"/>
      <c r="J865" s="2"/>
      <c r="K865" s="2"/>
      <c r="L865" s="2"/>
      <c r="M865" s="2"/>
      <c r="N865" s="2"/>
      <c r="O865" s="2"/>
      <c r="P865" s="2"/>
      <c r="Q865" s="2"/>
      <c r="R865" s="2"/>
      <c r="S865" s="2"/>
      <c r="T865" s="2"/>
    </row>
    <row r="866" spans="1:20" ht="15.75" customHeight="1">
      <c r="A866" s="1"/>
      <c r="B866" s="2"/>
      <c r="C866" s="2"/>
      <c r="D866" s="2"/>
      <c r="E866" s="2"/>
      <c r="F866" s="2"/>
      <c r="G866" s="2"/>
      <c r="H866" s="2"/>
      <c r="I866" s="2"/>
      <c r="J866" s="2"/>
      <c r="K866" s="2"/>
      <c r="L866" s="2"/>
      <c r="M866" s="2"/>
      <c r="N866" s="2"/>
      <c r="O866" s="2"/>
      <c r="P866" s="2"/>
      <c r="Q866" s="2"/>
      <c r="R866" s="2"/>
      <c r="S866" s="2"/>
      <c r="T866" s="2"/>
    </row>
    <row r="867" spans="1:20" ht="15.75" customHeight="1">
      <c r="A867" s="1"/>
      <c r="B867" s="2"/>
      <c r="C867" s="2"/>
      <c r="D867" s="2"/>
      <c r="E867" s="2"/>
      <c r="F867" s="2"/>
      <c r="G867" s="2"/>
      <c r="H867" s="2"/>
      <c r="I867" s="2"/>
      <c r="J867" s="2"/>
      <c r="K867" s="2"/>
      <c r="L867" s="2"/>
      <c r="M867" s="2"/>
      <c r="N867" s="2"/>
      <c r="O867" s="2"/>
      <c r="P867" s="2"/>
      <c r="Q867" s="2"/>
      <c r="R867" s="2"/>
      <c r="S867" s="2"/>
      <c r="T867" s="2"/>
    </row>
    <row r="868" spans="1:20" ht="15.75" customHeight="1">
      <c r="A868" s="1"/>
      <c r="B868" s="2"/>
      <c r="C868" s="2"/>
      <c r="D868" s="2"/>
      <c r="E868" s="2"/>
      <c r="F868" s="2"/>
      <c r="G868" s="2"/>
      <c r="H868" s="2"/>
      <c r="I868" s="2"/>
      <c r="J868" s="2"/>
      <c r="K868" s="2"/>
      <c r="L868" s="2"/>
      <c r="M868" s="2"/>
      <c r="N868" s="2"/>
      <c r="O868" s="2"/>
      <c r="P868" s="2"/>
      <c r="Q868" s="2"/>
      <c r="R868" s="2"/>
      <c r="S868" s="2"/>
      <c r="T868" s="2"/>
    </row>
    <row r="869" spans="1:20" ht="15.75" customHeight="1">
      <c r="A869" s="1"/>
      <c r="B869" s="2"/>
      <c r="C869" s="2"/>
      <c r="D869" s="2"/>
      <c r="E869" s="2"/>
      <c r="F869" s="2"/>
      <c r="G869" s="2"/>
      <c r="H869" s="2"/>
      <c r="I869" s="2"/>
      <c r="J869" s="2"/>
      <c r="K869" s="2"/>
      <c r="L869" s="2"/>
      <c r="M869" s="2"/>
      <c r="N869" s="2"/>
      <c r="O869" s="2"/>
      <c r="P869" s="2"/>
      <c r="Q869" s="2"/>
      <c r="R869" s="2"/>
      <c r="S869" s="2"/>
      <c r="T869" s="2"/>
    </row>
    <row r="870" spans="1:20" ht="15.75" customHeight="1">
      <c r="A870" s="1"/>
      <c r="B870" s="2"/>
      <c r="C870" s="2"/>
      <c r="D870" s="2"/>
      <c r="E870" s="2"/>
      <c r="F870" s="2"/>
      <c r="G870" s="2"/>
      <c r="H870" s="2"/>
      <c r="I870" s="2"/>
      <c r="J870" s="2"/>
      <c r="K870" s="2"/>
      <c r="L870" s="2"/>
      <c r="M870" s="2"/>
      <c r="N870" s="2"/>
      <c r="O870" s="2"/>
      <c r="P870" s="2"/>
      <c r="Q870" s="2"/>
      <c r="R870" s="2"/>
      <c r="S870" s="2"/>
      <c r="T870" s="2"/>
    </row>
    <row r="871" spans="1:20" ht="15.75" customHeight="1">
      <c r="A871" s="1"/>
      <c r="B871" s="2"/>
      <c r="C871" s="2"/>
      <c r="D871" s="2"/>
      <c r="E871" s="2"/>
      <c r="F871" s="2"/>
      <c r="G871" s="2"/>
      <c r="H871" s="2"/>
      <c r="I871" s="2"/>
      <c r="J871" s="2"/>
      <c r="K871" s="2"/>
      <c r="L871" s="2"/>
      <c r="M871" s="2"/>
      <c r="N871" s="2"/>
      <c r="O871" s="2"/>
      <c r="P871" s="2"/>
      <c r="Q871" s="2"/>
      <c r="R871" s="2"/>
      <c r="S871" s="2"/>
      <c r="T871" s="2"/>
    </row>
    <row r="872" spans="1:20" ht="15.75" customHeight="1">
      <c r="A872" s="1"/>
      <c r="B872" s="2"/>
      <c r="C872" s="2"/>
      <c r="D872" s="2"/>
      <c r="E872" s="2"/>
      <c r="F872" s="2"/>
      <c r="G872" s="2"/>
      <c r="H872" s="2"/>
      <c r="I872" s="2"/>
      <c r="J872" s="2"/>
      <c r="K872" s="2"/>
      <c r="L872" s="2"/>
      <c r="M872" s="2"/>
      <c r="N872" s="2"/>
      <c r="O872" s="2"/>
      <c r="P872" s="2"/>
      <c r="Q872" s="2"/>
      <c r="R872" s="2"/>
      <c r="S872" s="2"/>
      <c r="T872" s="2"/>
    </row>
    <row r="873" spans="1:20" ht="15.75" customHeight="1">
      <c r="A873" s="1"/>
      <c r="B873" s="2"/>
      <c r="C873" s="2"/>
      <c r="D873" s="2"/>
      <c r="E873" s="2"/>
      <c r="F873" s="2"/>
      <c r="G873" s="2"/>
      <c r="H873" s="2"/>
      <c r="I873" s="2"/>
      <c r="J873" s="2"/>
      <c r="K873" s="2"/>
      <c r="L873" s="2"/>
      <c r="M873" s="2"/>
      <c r="N873" s="2"/>
      <c r="O873" s="2"/>
      <c r="P873" s="2"/>
      <c r="Q873" s="2"/>
      <c r="R873" s="2"/>
      <c r="S873" s="2"/>
      <c r="T873" s="2"/>
    </row>
    <row r="874" spans="1:20" ht="15.75" customHeight="1">
      <c r="A874" s="1"/>
      <c r="B874" s="2"/>
      <c r="C874" s="2"/>
      <c r="D874" s="2"/>
      <c r="E874" s="2"/>
      <c r="F874" s="2"/>
      <c r="G874" s="2"/>
      <c r="H874" s="2"/>
      <c r="I874" s="2"/>
      <c r="J874" s="2"/>
      <c r="K874" s="2"/>
      <c r="L874" s="2"/>
      <c r="M874" s="2"/>
      <c r="N874" s="2"/>
      <c r="O874" s="2"/>
      <c r="P874" s="2"/>
      <c r="Q874" s="2"/>
      <c r="R874" s="2"/>
      <c r="S874" s="2"/>
      <c r="T874" s="2"/>
    </row>
    <row r="875" spans="1:20" ht="15.75" customHeight="1">
      <c r="A875" s="1"/>
      <c r="B875" s="2"/>
      <c r="C875" s="2"/>
      <c r="D875" s="2"/>
      <c r="E875" s="2"/>
      <c r="F875" s="2"/>
      <c r="G875" s="2"/>
      <c r="H875" s="2"/>
      <c r="I875" s="2"/>
      <c r="J875" s="2"/>
      <c r="K875" s="2"/>
      <c r="L875" s="2"/>
      <c r="M875" s="2"/>
      <c r="N875" s="2"/>
      <c r="O875" s="2"/>
      <c r="P875" s="2"/>
      <c r="Q875" s="2"/>
      <c r="R875" s="2"/>
      <c r="S875" s="2"/>
      <c r="T875" s="2"/>
    </row>
    <row r="876" spans="1:20" ht="15.75" customHeight="1">
      <c r="A876" s="1"/>
      <c r="B876" s="2"/>
      <c r="C876" s="2"/>
      <c r="D876" s="2"/>
      <c r="E876" s="2"/>
      <c r="F876" s="2"/>
      <c r="G876" s="2"/>
      <c r="H876" s="2"/>
      <c r="I876" s="2"/>
      <c r="J876" s="2"/>
      <c r="K876" s="2"/>
      <c r="L876" s="2"/>
      <c r="M876" s="2"/>
      <c r="N876" s="2"/>
      <c r="O876" s="2"/>
      <c r="P876" s="2"/>
      <c r="Q876" s="2"/>
      <c r="R876" s="2"/>
      <c r="S876" s="2"/>
      <c r="T876" s="2"/>
    </row>
    <row r="877" spans="1:20" ht="15.75" customHeight="1">
      <c r="A877" s="1"/>
      <c r="B877" s="2"/>
      <c r="C877" s="2"/>
      <c r="D877" s="2"/>
      <c r="E877" s="2"/>
      <c r="F877" s="2"/>
      <c r="G877" s="2"/>
      <c r="H877" s="2"/>
      <c r="I877" s="2"/>
      <c r="J877" s="2"/>
      <c r="K877" s="2"/>
      <c r="L877" s="2"/>
      <c r="M877" s="2"/>
      <c r="N877" s="2"/>
      <c r="O877" s="2"/>
      <c r="P877" s="2"/>
      <c r="Q877" s="2"/>
      <c r="R877" s="2"/>
      <c r="S877" s="2"/>
      <c r="T877" s="2"/>
    </row>
    <row r="878" spans="1:20" ht="15.75" customHeight="1">
      <c r="A878" s="1"/>
      <c r="B878" s="2"/>
      <c r="C878" s="2"/>
      <c r="D878" s="2"/>
      <c r="E878" s="2"/>
      <c r="F878" s="2"/>
      <c r="G878" s="2"/>
      <c r="H878" s="2"/>
      <c r="I878" s="2"/>
      <c r="J878" s="2"/>
      <c r="K878" s="2"/>
      <c r="L878" s="2"/>
      <c r="M878" s="2"/>
      <c r="N878" s="2"/>
      <c r="O878" s="2"/>
      <c r="P878" s="2"/>
      <c r="Q878" s="2"/>
      <c r="R878" s="2"/>
      <c r="S878" s="2"/>
      <c r="T878" s="2"/>
    </row>
    <row r="879" spans="1:20" ht="15.75" customHeight="1">
      <c r="A879" s="1"/>
      <c r="B879" s="2"/>
      <c r="C879" s="2"/>
      <c r="D879" s="2"/>
      <c r="E879" s="2"/>
      <c r="F879" s="2"/>
      <c r="G879" s="2"/>
      <c r="H879" s="2"/>
      <c r="I879" s="2"/>
      <c r="J879" s="2"/>
      <c r="K879" s="2"/>
      <c r="L879" s="2"/>
      <c r="M879" s="2"/>
      <c r="N879" s="2"/>
      <c r="O879" s="2"/>
      <c r="P879" s="2"/>
      <c r="Q879" s="2"/>
      <c r="R879" s="2"/>
      <c r="S879" s="2"/>
      <c r="T879" s="2"/>
    </row>
    <row r="880" spans="1:20" ht="15.75" customHeight="1">
      <c r="A880" s="1"/>
      <c r="B880" s="2"/>
      <c r="C880" s="2"/>
      <c r="D880" s="2"/>
      <c r="E880" s="2"/>
      <c r="F880" s="2"/>
      <c r="G880" s="2"/>
      <c r="H880" s="2"/>
      <c r="I880" s="2"/>
      <c r="J880" s="2"/>
      <c r="K880" s="2"/>
      <c r="L880" s="2"/>
      <c r="M880" s="2"/>
      <c r="N880" s="2"/>
      <c r="O880" s="2"/>
      <c r="P880" s="2"/>
      <c r="Q880" s="2"/>
      <c r="R880" s="2"/>
      <c r="S880" s="2"/>
      <c r="T880" s="2"/>
    </row>
    <row r="881" spans="1:20" ht="15.75" customHeight="1">
      <c r="A881" s="1"/>
      <c r="B881" s="2"/>
      <c r="C881" s="2"/>
      <c r="D881" s="2"/>
      <c r="E881" s="2"/>
      <c r="F881" s="2"/>
      <c r="G881" s="2"/>
      <c r="H881" s="2"/>
      <c r="I881" s="2"/>
      <c r="J881" s="2"/>
      <c r="K881" s="2"/>
      <c r="L881" s="2"/>
      <c r="M881" s="2"/>
      <c r="N881" s="2"/>
      <c r="O881" s="2"/>
      <c r="P881" s="2"/>
      <c r="Q881" s="2"/>
      <c r="R881" s="2"/>
      <c r="S881" s="2"/>
      <c r="T881" s="2"/>
    </row>
    <row r="882" spans="1:20" ht="15.75" customHeight="1">
      <c r="A882" s="1"/>
      <c r="B882" s="2"/>
      <c r="C882" s="2"/>
      <c r="D882" s="2"/>
      <c r="E882" s="2"/>
      <c r="F882" s="2"/>
      <c r="G882" s="2"/>
      <c r="H882" s="2"/>
      <c r="I882" s="2"/>
      <c r="J882" s="2"/>
      <c r="K882" s="2"/>
      <c r="L882" s="2"/>
      <c r="M882" s="2"/>
      <c r="N882" s="2"/>
      <c r="O882" s="2"/>
      <c r="P882" s="2"/>
      <c r="Q882" s="2"/>
      <c r="R882" s="2"/>
      <c r="S882" s="2"/>
      <c r="T882" s="2"/>
    </row>
    <row r="883" spans="1:20" ht="15.75" customHeight="1">
      <c r="A883" s="1"/>
      <c r="B883" s="2"/>
      <c r="C883" s="2"/>
      <c r="D883" s="2"/>
      <c r="E883" s="2"/>
      <c r="F883" s="2"/>
      <c r="G883" s="2"/>
      <c r="H883" s="2"/>
      <c r="I883" s="2"/>
      <c r="J883" s="2"/>
      <c r="K883" s="2"/>
      <c r="L883" s="2"/>
      <c r="M883" s="2"/>
      <c r="N883" s="2"/>
      <c r="O883" s="2"/>
      <c r="P883" s="2"/>
      <c r="Q883" s="2"/>
      <c r="R883" s="2"/>
      <c r="S883" s="2"/>
      <c r="T883" s="2"/>
    </row>
    <row r="884" spans="1:20" ht="15.75" customHeight="1">
      <c r="A884" s="1"/>
      <c r="B884" s="2"/>
      <c r="C884" s="2"/>
      <c r="D884" s="2"/>
      <c r="E884" s="2"/>
      <c r="F884" s="2"/>
      <c r="G884" s="2"/>
      <c r="H884" s="2"/>
      <c r="I884" s="2"/>
      <c r="J884" s="2"/>
      <c r="K884" s="2"/>
      <c r="L884" s="2"/>
      <c r="M884" s="2"/>
      <c r="N884" s="2"/>
      <c r="O884" s="2"/>
      <c r="P884" s="2"/>
      <c r="Q884" s="2"/>
      <c r="R884" s="2"/>
      <c r="S884" s="2"/>
      <c r="T884" s="2"/>
    </row>
    <row r="885" spans="1:20" ht="15.75" customHeight="1">
      <c r="A885" s="1"/>
      <c r="B885" s="2"/>
      <c r="C885" s="2"/>
      <c r="D885" s="2"/>
      <c r="E885" s="2"/>
      <c r="F885" s="2"/>
      <c r="G885" s="2"/>
      <c r="H885" s="2"/>
      <c r="I885" s="2"/>
      <c r="J885" s="2"/>
      <c r="K885" s="2"/>
      <c r="L885" s="2"/>
      <c r="M885" s="2"/>
      <c r="N885" s="2"/>
      <c r="O885" s="2"/>
      <c r="P885" s="2"/>
      <c r="Q885" s="2"/>
      <c r="R885" s="2"/>
      <c r="S885" s="2"/>
      <c r="T885" s="2"/>
    </row>
    <row r="886" spans="1:20" ht="15.75" customHeight="1">
      <c r="A886" s="1"/>
      <c r="B886" s="2"/>
      <c r="C886" s="2"/>
      <c r="D886" s="2"/>
      <c r="E886" s="2"/>
      <c r="F886" s="2"/>
      <c r="G886" s="2"/>
      <c r="H886" s="2"/>
      <c r="I886" s="2"/>
      <c r="J886" s="2"/>
      <c r="K886" s="2"/>
      <c r="L886" s="2"/>
      <c r="M886" s="2"/>
      <c r="N886" s="2"/>
      <c r="O886" s="2"/>
      <c r="P886" s="2"/>
      <c r="Q886" s="2"/>
      <c r="R886" s="2"/>
      <c r="S886" s="2"/>
      <c r="T886" s="2"/>
    </row>
    <row r="887" spans="1:20" ht="15.75" customHeight="1">
      <c r="A887" s="1"/>
      <c r="B887" s="2"/>
      <c r="C887" s="2"/>
      <c r="D887" s="2"/>
      <c r="E887" s="2"/>
      <c r="F887" s="2"/>
      <c r="G887" s="2"/>
      <c r="H887" s="2"/>
      <c r="I887" s="2"/>
      <c r="J887" s="2"/>
      <c r="K887" s="2"/>
      <c r="L887" s="2"/>
      <c r="M887" s="2"/>
      <c r="N887" s="2"/>
      <c r="O887" s="2"/>
      <c r="P887" s="2"/>
      <c r="Q887" s="2"/>
      <c r="R887" s="2"/>
      <c r="S887" s="2"/>
      <c r="T887" s="2"/>
    </row>
    <row r="888" spans="1:20" ht="15.75" customHeight="1">
      <c r="A888" s="1"/>
      <c r="B888" s="2"/>
      <c r="C888" s="2"/>
      <c r="D888" s="2"/>
      <c r="E888" s="2"/>
      <c r="F888" s="2"/>
      <c r="G888" s="2"/>
      <c r="H888" s="2"/>
      <c r="I888" s="2"/>
      <c r="J888" s="2"/>
      <c r="K888" s="2"/>
      <c r="L888" s="2"/>
      <c r="M888" s="2"/>
      <c r="N888" s="2"/>
      <c r="O888" s="2"/>
      <c r="P888" s="2"/>
      <c r="Q888" s="2"/>
      <c r="R888" s="2"/>
      <c r="S888" s="2"/>
      <c r="T888" s="2"/>
    </row>
    <row r="889" spans="1:20" ht="15.75" customHeight="1">
      <c r="A889" s="1"/>
      <c r="B889" s="2"/>
      <c r="C889" s="2"/>
      <c r="D889" s="2"/>
      <c r="E889" s="2"/>
      <c r="F889" s="2"/>
      <c r="G889" s="2"/>
      <c r="H889" s="2"/>
      <c r="I889" s="2"/>
      <c r="J889" s="2"/>
      <c r="K889" s="2"/>
      <c r="L889" s="2"/>
      <c r="M889" s="2"/>
      <c r="N889" s="2"/>
      <c r="O889" s="2"/>
      <c r="P889" s="2"/>
      <c r="Q889" s="2"/>
      <c r="R889" s="2"/>
      <c r="S889" s="2"/>
      <c r="T889" s="2"/>
    </row>
    <row r="890" spans="1:20" ht="15.75" customHeight="1">
      <c r="A890" s="1"/>
      <c r="B890" s="2"/>
      <c r="C890" s="2"/>
      <c r="D890" s="2"/>
      <c r="E890" s="2"/>
      <c r="F890" s="2"/>
      <c r="G890" s="2"/>
      <c r="H890" s="2"/>
      <c r="I890" s="2"/>
      <c r="J890" s="2"/>
      <c r="K890" s="2"/>
      <c r="L890" s="2"/>
      <c r="M890" s="2"/>
      <c r="N890" s="2"/>
      <c r="O890" s="2"/>
      <c r="P890" s="2"/>
      <c r="Q890" s="2"/>
      <c r="R890" s="2"/>
      <c r="S890" s="2"/>
      <c r="T890" s="2"/>
    </row>
    <row r="891" spans="1:20" ht="15.75" customHeight="1">
      <c r="A891" s="1"/>
      <c r="B891" s="2"/>
      <c r="C891" s="2"/>
      <c r="D891" s="2"/>
      <c r="E891" s="2"/>
      <c r="F891" s="2"/>
      <c r="G891" s="2"/>
      <c r="H891" s="2"/>
      <c r="I891" s="2"/>
      <c r="J891" s="2"/>
      <c r="K891" s="2"/>
      <c r="L891" s="2"/>
      <c r="M891" s="2"/>
      <c r="N891" s="2"/>
      <c r="O891" s="2"/>
      <c r="P891" s="2"/>
      <c r="Q891" s="2"/>
      <c r="R891" s="2"/>
      <c r="S891" s="2"/>
      <c r="T891" s="2"/>
    </row>
    <row r="892" spans="1:20" ht="15.75" customHeight="1">
      <c r="A892" s="1"/>
      <c r="B892" s="2"/>
      <c r="C892" s="2"/>
      <c r="D892" s="2"/>
      <c r="E892" s="2"/>
      <c r="F892" s="2"/>
      <c r="G892" s="2"/>
      <c r="H892" s="2"/>
      <c r="I892" s="2"/>
      <c r="J892" s="2"/>
      <c r="K892" s="2"/>
      <c r="L892" s="2"/>
      <c r="M892" s="2"/>
      <c r="N892" s="2"/>
      <c r="O892" s="2"/>
      <c r="P892" s="2"/>
      <c r="Q892" s="2"/>
      <c r="R892" s="2"/>
      <c r="S892" s="2"/>
      <c r="T892" s="2"/>
    </row>
    <row r="893" spans="1:20" ht="15.75" customHeight="1">
      <c r="A893" s="1"/>
      <c r="B893" s="2"/>
      <c r="C893" s="2"/>
      <c r="D893" s="2"/>
      <c r="E893" s="2"/>
      <c r="F893" s="2"/>
      <c r="G893" s="2"/>
      <c r="H893" s="2"/>
      <c r="I893" s="2"/>
      <c r="J893" s="2"/>
      <c r="K893" s="2"/>
      <c r="L893" s="2"/>
      <c r="M893" s="2"/>
      <c r="N893" s="2"/>
      <c r="O893" s="2"/>
      <c r="P893" s="2"/>
      <c r="Q893" s="2"/>
      <c r="R893" s="2"/>
      <c r="S893" s="2"/>
      <c r="T893" s="2"/>
    </row>
    <row r="894" spans="1:20" ht="15.75" customHeight="1">
      <c r="A894" s="1"/>
      <c r="B894" s="2"/>
      <c r="C894" s="2"/>
      <c r="D894" s="2"/>
      <c r="E894" s="2"/>
      <c r="F894" s="2"/>
      <c r="G894" s="2"/>
      <c r="H894" s="2"/>
      <c r="I894" s="2"/>
      <c r="J894" s="2"/>
      <c r="K894" s="2"/>
      <c r="L894" s="2"/>
      <c r="M894" s="2"/>
      <c r="N894" s="2"/>
      <c r="O894" s="2"/>
      <c r="P894" s="2"/>
      <c r="Q894" s="2"/>
      <c r="R894" s="2"/>
      <c r="S894" s="2"/>
      <c r="T894" s="2"/>
    </row>
    <row r="895" spans="1:20" ht="15.75" customHeight="1">
      <c r="A895" s="1"/>
      <c r="B895" s="2"/>
      <c r="C895" s="2"/>
      <c r="D895" s="2"/>
      <c r="E895" s="2"/>
      <c r="F895" s="2"/>
      <c r="G895" s="2"/>
      <c r="H895" s="2"/>
      <c r="I895" s="2"/>
      <c r="J895" s="2"/>
      <c r="K895" s="2"/>
      <c r="L895" s="2"/>
      <c r="M895" s="2"/>
      <c r="N895" s="2"/>
      <c r="O895" s="2"/>
      <c r="P895" s="2"/>
      <c r="Q895" s="2"/>
      <c r="R895" s="2"/>
      <c r="S895" s="2"/>
      <c r="T895" s="2"/>
    </row>
    <row r="896" spans="1:20" ht="15.75" customHeight="1">
      <c r="A896" s="1"/>
      <c r="B896" s="2"/>
      <c r="C896" s="2"/>
      <c r="D896" s="2"/>
      <c r="E896" s="2"/>
      <c r="F896" s="2"/>
      <c r="G896" s="2"/>
      <c r="H896" s="2"/>
      <c r="I896" s="2"/>
      <c r="J896" s="2"/>
      <c r="K896" s="2"/>
      <c r="L896" s="2"/>
      <c r="M896" s="2"/>
      <c r="N896" s="2"/>
      <c r="O896" s="2"/>
      <c r="P896" s="2"/>
      <c r="Q896" s="2"/>
      <c r="R896" s="2"/>
      <c r="S896" s="2"/>
      <c r="T896" s="2"/>
    </row>
    <row r="897" spans="1:20" ht="15.75" customHeight="1">
      <c r="A897" s="1"/>
      <c r="B897" s="2"/>
      <c r="C897" s="2"/>
      <c r="D897" s="2"/>
      <c r="E897" s="2"/>
      <c r="F897" s="2"/>
      <c r="G897" s="2"/>
      <c r="H897" s="2"/>
      <c r="I897" s="2"/>
      <c r="J897" s="2"/>
      <c r="K897" s="2"/>
      <c r="L897" s="2"/>
      <c r="M897" s="2"/>
      <c r="N897" s="2"/>
      <c r="O897" s="2"/>
      <c r="P897" s="2"/>
      <c r="Q897" s="2"/>
      <c r="R897" s="2"/>
      <c r="S897" s="2"/>
      <c r="T897" s="2"/>
    </row>
    <row r="898" spans="1:20" ht="15.75" customHeight="1">
      <c r="A898" s="1"/>
      <c r="B898" s="2"/>
      <c r="C898" s="2"/>
      <c r="D898" s="2"/>
      <c r="E898" s="2"/>
      <c r="F898" s="2"/>
      <c r="G898" s="2"/>
      <c r="H898" s="2"/>
      <c r="I898" s="2"/>
      <c r="J898" s="2"/>
      <c r="K898" s="2"/>
      <c r="L898" s="2"/>
      <c r="M898" s="2"/>
      <c r="N898" s="2"/>
      <c r="O898" s="2"/>
      <c r="P898" s="2"/>
      <c r="Q898" s="2"/>
      <c r="R898" s="2"/>
      <c r="S898" s="2"/>
      <c r="T898" s="2"/>
    </row>
    <row r="899" spans="1:20" ht="15.75" customHeight="1">
      <c r="A899" s="1"/>
      <c r="B899" s="2"/>
      <c r="C899" s="2"/>
      <c r="D899" s="2"/>
      <c r="E899" s="2"/>
      <c r="F899" s="2"/>
      <c r="G899" s="2"/>
      <c r="H899" s="2"/>
      <c r="I899" s="2"/>
      <c r="J899" s="2"/>
      <c r="K899" s="2"/>
      <c r="L899" s="2"/>
      <c r="M899" s="2"/>
      <c r="N899" s="2"/>
      <c r="O899" s="2"/>
      <c r="P899" s="2"/>
      <c r="Q899" s="2"/>
      <c r="R899" s="2"/>
      <c r="S899" s="2"/>
      <c r="T899" s="2"/>
    </row>
    <row r="900" spans="1:20" ht="15.75" customHeight="1">
      <c r="A900" s="1"/>
      <c r="B900" s="2"/>
      <c r="C900" s="2"/>
      <c r="D900" s="2"/>
      <c r="E900" s="2"/>
      <c r="F900" s="2"/>
      <c r="G900" s="2"/>
      <c r="H900" s="2"/>
      <c r="I900" s="2"/>
      <c r="J900" s="2"/>
      <c r="K900" s="2"/>
      <c r="L900" s="2"/>
      <c r="M900" s="2"/>
      <c r="N900" s="2"/>
      <c r="O900" s="2"/>
      <c r="P900" s="2"/>
      <c r="Q900" s="2"/>
      <c r="R900" s="2"/>
      <c r="S900" s="2"/>
      <c r="T900" s="2"/>
    </row>
    <row r="901" spans="1:20" ht="15.75" customHeight="1">
      <c r="A901" s="1"/>
      <c r="B901" s="2"/>
      <c r="C901" s="2"/>
      <c r="D901" s="2"/>
      <c r="E901" s="2"/>
      <c r="F901" s="2"/>
      <c r="G901" s="2"/>
      <c r="H901" s="2"/>
      <c r="I901" s="2"/>
      <c r="J901" s="2"/>
      <c r="K901" s="2"/>
      <c r="L901" s="2"/>
      <c r="M901" s="2"/>
      <c r="N901" s="2"/>
      <c r="O901" s="2"/>
      <c r="P901" s="2"/>
      <c r="Q901" s="2"/>
      <c r="R901" s="2"/>
      <c r="S901" s="2"/>
      <c r="T901" s="2"/>
    </row>
    <row r="902" spans="1:20" ht="15.75" customHeight="1">
      <c r="A902" s="1"/>
      <c r="B902" s="2"/>
      <c r="C902" s="2"/>
      <c r="D902" s="2"/>
      <c r="E902" s="2"/>
      <c r="F902" s="2"/>
      <c r="G902" s="2"/>
      <c r="H902" s="2"/>
      <c r="I902" s="2"/>
      <c r="J902" s="2"/>
      <c r="K902" s="2"/>
      <c r="L902" s="2"/>
      <c r="M902" s="2"/>
      <c r="N902" s="2"/>
      <c r="O902" s="2"/>
      <c r="P902" s="2"/>
      <c r="Q902" s="2"/>
      <c r="R902" s="2"/>
      <c r="S902" s="2"/>
      <c r="T902" s="2"/>
    </row>
    <row r="903" spans="1:20" ht="15.75" customHeight="1">
      <c r="A903" s="1"/>
      <c r="B903" s="2"/>
      <c r="C903" s="2"/>
      <c r="D903" s="2"/>
      <c r="E903" s="2"/>
      <c r="F903" s="2"/>
      <c r="G903" s="2"/>
      <c r="H903" s="2"/>
      <c r="I903" s="2"/>
      <c r="J903" s="2"/>
      <c r="K903" s="2"/>
      <c r="L903" s="2"/>
      <c r="M903" s="2"/>
      <c r="N903" s="2"/>
      <c r="O903" s="2"/>
      <c r="P903" s="2"/>
      <c r="Q903" s="2"/>
      <c r="R903" s="2"/>
      <c r="S903" s="2"/>
      <c r="T903" s="2"/>
    </row>
    <row r="904" spans="1:20" ht="15.75" customHeight="1">
      <c r="A904" s="1"/>
      <c r="B904" s="2"/>
      <c r="C904" s="2"/>
      <c r="D904" s="2"/>
      <c r="E904" s="2"/>
      <c r="F904" s="2"/>
      <c r="G904" s="2"/>
      <c r="H904" s="2"/>
      <c r="I904" s="2"/>
      <c r="J904" s="2"/>
      <c r="K904" s="2"/>
      <c r="L904" s="2"/>
      <c r="M904" s="2"/>
      <c r="N904" s="2"/>
      <c r="O904" s="2"/>
      <c r="P904" s="2"/>
      <c r="Q904" s="2"/>
      <c r="R904" s="2"/>
      <c r="S904" s="2"/>
      <c r="T904" s="2"/>
    </row>
    <row r="905" spans="1:20" ht="15.75" customHeight="1">
      <c r="A905" s="1"/>
      <c r="B905" s="2"/>
      <c r="C905" s="2"/>
      <c r="D905" s="2"/>
      <c r="E905" s="2"/>
      <c r="F905" s="2"/>
      <c r="G905" s="2"/>
      <c r="H905" s="2"/>
      <c r="I905" s="2"/>
      <c r="J905" s="2"/>
      <c r="K905" s="2"/>
      <c r="L905" s="2"/>
      <c r="M905" s="2"/>
      <c r="N905" s="2"/>
      <c r="O905" s="2"/>
      <c r="P905" s="2"/>
      <c r="Q905" s="2"/>
      <c r="R905" s="2"/>
      <c r="S905" s="2"/>
      <c r="T905" s="2"/>
    </row>
    <row r="906" spans="1:20" ht="15.75" customHeight="1">
      <c r="A906" s="1"/>
      <c r="B906" s="2"/>
      <c r="C906" s="2"/>
      <c r="D906" s="2"/>
      <c r="E906" s="2"/>
      <c r="F906" s="2"/>
      <c r="G906" s="2"/>
      <c r="H906" s="2"/>
      <c r="I906" s="2"/>
      <c r="J906" s="2"/>
      <c r="K906" s="2"/>
      <c r="L906" s="2"/>
      <c r="M906" s="2"/>
      <c r="N906" s="2"/>
      <c r="O906" s="2"/>
      <c r="P906" s="2"/>
      <c r="Q906" s="2"/>
      <c r="R906" s="2"/>
      <c r="S906" s="2"/>
      <c r="T906" s="2"/>
    </row>
    <row r="907" spans="1:20" ht="15.75" customHeight="1">
      <c r="A907" s="1"/>
      <c r="B907" s="2"/>
      <c r="C907" s="2"/>
      <c r="D907" s="2"/>
      <c r="E907" s="2"/>
      <c r="F907" s="2"/>
      <c r="G907" s="2"/>
      <c r="H907" s="2"/>
      <c r="I907" s="2"/>
      <c r="J907" s="2"/>
      <c r="K907" s="2"/>
      <c r="L907" s="2"/>
      <c r="M907" s="2"/>
      <c r="N907" s="2"/>
      <c r="O907" s="2"/>
      <c r="P907" s="2"/>
      <c r="Q907" s="2"/>
      <c r="R907" s="2"/>
      <c r="S907" s="2"/>
      <c r="T907" s="2"/>
    </row>
    <row r="908" spans="1:20" ht="15.75" customHeight="1">
      <c r="A908" s="1"/>
      <c r="B908" s="2"/>
      <c r="C908" s="2"/>
      <c r="D908" s="2"/>
      <c r="E908" s="2"/>
      <c r="F908" s="2"/>
      <c r="G908" s="2"/>
      <c r="H908" s="2"/>
      <c r="I908" s="2"/>
      <c r="J908" s="2"/>
      <c r="K908" s="2"/>
      <c r="L908" s="2"/>
      <c r="M908" s="2"/>
      <c r="N908" s="2"/>
      <c r="O908" s="2"/>
      <c r="P908" s="2"/>
      <c r="Q908" s="2"/>
      <c r="R908" s="2"/>
      <c r="S908" s="2"/>
      <c r="T908" s="2"/>
    </row>
    <row r="909" spans="1:20" ht="15.75" customHeight="1">
      <c r="A909" s="1"/>
      <c r="B909" s="2"/>
      <c r="C909" s="2"/>
      <c r="D909" s="2"/>
      <c r="E909" s="2"/>
      <c r="F909" s="2"/>
      <c r="G909" s="2"/>
      <c r="H909" s="2"/>
      <c r="I909" s="2"/>
      <c r="J909" s="2"/>
      <c r="K909" s="2"/>
      <c r="L909" s="2"/>
      <c r="M909" s="2"/>
      <c r="N909" s="2"/>
      <c r="O909" s="2"/>
      <c r="P909" s="2"/>
      <c r="Q909" s="2"/>
      <c r="R909" s="2"/>
      <c r="S909" s="2"/>
      <c r="T909" s="2"/>
    </row>
    <row r="910" spans="1:20" ht="15.75" customHeight="1">
      <c r="A910" s="1"/>
      <c r="B910" s="2"/>
      <c r="C910" s="2"/>
      <c r="D910" s="2"/>
      <c r="E910" s="2"/>
      <c r="F910" s="2"/>
      <c r="G910" s="2"/>
      <c r="H910" s="2"/>
      <c r="I910" s="2"/>
      <c r="J910" s="2"/>
      <c r="K910" s="2"/>
      <c r="L910" s="2"/>
      <c r="M910" s="2"/>
      <c r="N910" s="2"/>
      <c r="O910" s="2"/>
      <c r="P910" s="2"/>
      <c r="Q910" s="2"/>
      <c r="R910" s="2"/>
      <c r="S910" s="2"/>
      <c r="T910" s="2"/>
    </row>
    <row r="911" spans="1:20" ht="15.75" customHeight="1">
      <c r="A911" s="1"/>
      <c r="B911" s="2"/>
      <c r="C911" s="2"/>
      <c r="D911" s="2"/>
      <c r="E911" s="2"/>
      <c r="F911" s="2"/>
      <c r="G911" s="2"/>
      <c r="H911" s="2"/>
      <c r="I911" s="2"/>
      <c r="J911" s="2"/>
      <c r="K911" s="2"/>
      <c r="L911" s="2"/>
      <c r="M911" s="2"/>
      <c r="N911" s="2"/>
      <c r="O911" s="2"/>
      <c r="P911" s="2"/>
      <c r="Q911" s="2"/>
      <c r="R911" s="2"/>
      <c r="S911" s="2"/>
      <c r="T911" s="2"/>
    </row>
    <row r="912" spans="1:20" ht="15.75" customHeight="1">
      <c r="A912" s="1"/>
      <c r="B912" s="2"/>
      <c r="C912" s="2"/>
      <c r="D912" s="2"/>
      <c r="E912" s="2"/>
      <c r="F912" s="2"/>
      <c r="G912" s="2"/>
      <c r="H912" s="2"/>
      <c r="I912" s="2"/>
      <c r="J912" s="2"/>
      <c r="K912" s="2"/>
      <c r="L912" s="2"/>
      <c r="M912" s="2"/>
      <c r="N912" s="2"/>
      <c r="O912" s="2"/>
      <c r="P912" s="2"/>
      <c r="Q912" s="2"/>
      <c r="R912" s="2"/>
      <c r="S912" s="2"/>
      <c r="T912" s="2"/>
    </row>
    <row r="913" spans="1:20" ht="15.75" customHeight="1">
      <c r="A913" s="1"/>
      <c r="B913" s="2"/>
      <c r="C913" s="2"/>
      <c r="D913" s="2"/>
      <c r="E913" s="2"/>
      <c r="F913" s="2"/>
      <c r="G913" s="2"/>
      <c r="H913" s="2"/>
      <c r="I913" s="2"/>
      <c r="J913" s="2"/>
      <c r="K913" s="2"/>
      <c r="L913" s="2"/>
      <c r="M913" s="2"/>
      <c r="N913" s="2"/>
      <c r="O913" s="2"/>
      <c r="P913" s="2"/>
      <c r="Q913" s="2"/>
      <c r="R913" s="2"/>
      <c r="S913" s="2"/>
      <c r="T913" s="2"/>
    </row>
    <row r="914" spans="1:20" ht="15.75" customHeight="1">
      <c r="A914" s="1"/>
      <c r="B914" s="2"/>
      <c r="C914" s="2"/>
      <c r="D914" s="2"/>
      <c r="E914" s="2"/>
      <c r="F914" s="2"/>
      <c r="G914" s="2"/>
      <c r="H914" s="2"/>
      <c r="I914" s="2"/>
      <c r="J914" s="2"/>
      <c r="K914" s="2"/>
      <c r="L914" s="2"/>
      <c r="M914" s="2"/>
      <c r="N914" s="2"/>
      <c r="O914" s="2"/>
      <c r="P914" s="2"/>
      <c r="Q914" s="2"/>
      <c r="R914" s="2"/>
      <c r="S914" s="2"/>
      <c r="T914" s="2"/>
    </row>
    <row r="915" spans="1:20" ht="15.75" customHeight="1">
      <c r="A915" s="1"/>
      <c r="B915" s="2"/>
      <c r="C915" s="2"/>
      <c r="D915" s="2"/>
      <c r="E915" s="2"/>
      <c r="F915" s="2"/>
      <c r="G915" s="2"/>
      <c r="H915" s="2"/>
      <c r="I915" s="2"/>
      <c r="J915" s="2"/>
      <c r="K915" s="2"/>
      <c r="L915" s="2"/>
      <c r="M915" s="2"/>
      <c r="N915" s="2"/>
      <c r="O915" s="2"/>
      <c r="P915" s="2"/>
      <c r="Q915" s="2"/>
      <c r="R915" s="2"/>
      <c r="S915" s="2"/>
      <c r="T915" s="2"/>
    </row>
    <row r="916" spans="1:20" ht="15.75" customHeight="1">
      <c r="A916" s="1"/>
      <c r="B916" s="2"/>
      <c r="C916" s="2"/>
      <c r="D916" s="2"/>
      <c r="E916" s="2"/>
      <c r="F916" s="2"/>
      <c r="G916" s="2"/>
      <c r="H916" s="2"/>
      <c r="I916" s="2"/>
      <c r="J916" s="2"/>
      <c r="K916" s="2"/>
      <c r="L916" s="2"/>
      <c r="M916" s="2"/>
      <c r="N916" s="2"/>
      <c r="O916" s="2"/>
      <c r="P916" s="2"/>
      <c r="Q916" s="2"/>
      <c r="R916" s="2"/>
      <c r="S916" s="2"/>
      <c r="T916" s="2"/>
    </row>
    <row r="917" spans="1:20" ht="15.75" customHeight="1">
      <c r="A917" s="1"/>
      <c r="B917" s="2"/>
      <c r="C917" s="2"/>
      <c r="D917" s="2"/>
      <c r="E917" s="2"/>
      <c r="F917" s="2"/>
      <c r="G917" s="2"/>
      <c r="H917" s="2"/>
      <c r="I917" s="2"/>
      <c r="J917" s="2"/>
      <c r="K917" s="2"/>
      <c r="L917" s="2"/>
      <c r="M917" s="2"/>
      <c r="N917" s="2"/>
      <c r="O917" s="2"/>
      <c r="P917" s="2"/>
      <c r="Q917" s="2"/>
      <c r="R917" s="2"/>
      <c r="S917" s="2"/>
      <c r="T917" s="2"/>
    </row>
    <row r="918" spans="1:20" ht="15.75" customHeight="1">
      <c r="A918" s="1"/>
      <c r="B918" s="2"/>
      <c r="C918" s="2"/>
      <c r="D918" s="2"/>
      <c r="E918" s="2"/>
      <c r="F918" s="2"/>
      <c r="G918" s="2"/>
      <c r="H918" s="2"/>
      <c r="I918" s="2"/>
      <c r="J918" s="2"/>
      <c r="K918" s="2"/>
      <c r="L918" s="2"/>
      <c r="M918" s="2"/>
      <c r="N918" s="2"/>
      <c r="O918" s="2"/>
      <c r="P918" s="2"/>
      <c r="Q918" s="2"/>
      <c r="R918" s="2"/>
      <c r="S918" s="2"/>
      <c r="T918" s="2"/>
    </row>
    <row r="919" spans="1:20" ht="15.75" customHeight="1">
      <c r="A919" s="1"/>
      <c r="B919" s="2"/>
      <c r="C919" s="2"/>
      <c r="D919" s="2"/>
      <c r="E919" s="2"/>
      <c r="F919" s="2"/>
      <c r="G919" s="2"/>
      <c r="H919" s="2"/>
      <c r="I919" s="2"/>
      <c r="J919" s="2"/>
      <c r="K919" s="2"/>
      <c r="L919" s="2"/>
      <c r="M919" s="2"/>
      <c r="N919" s="2"/>
      <c r="O919" s="2"/>
      <c r="P919" s="2"/>
      <c r="Q919" s="2"/>
      <c r="R919" s="2"/>
      <c r="S919" s="2"/>
      <c r="T919" s="2"/>
    </row>
    <row r="920" spans="1:20" ht="15.75" customHeight="1">
      <c r="A920" s="1"/>
      <c r="B920" s="2"/>
      <c r="C920" s="2"/>
      <c r="D920" s="2"/>
      <c r="E920" s="2"/>
      <c r="F920" s="2"/>
      <c r="G920" s="2"/>
      <c r="H920" s="2"/>
      <c r="I920" s="2"/>
      <c r="J920" s="2"/>
      <c r="K920" s="2"/>
      <c r="L920" s="2"/>
      <c r="M920" s="2"/>
      <c r="N920" s="2"/>
      <c r="O920" s="2"/>
      <c r="P920" s="2"/>
      <c r="Q920" s="2"/>
      <c r="R920" s="2"/>
      <c r="S920" s="2"/>
      <c r="T920" s="2"/>
    </row>
    <row r="921" spans="1:20" ht="15.75" customHeight="1">
      <c r="A921" s="1"/>
      <c r="B921" s="2"/>
      <c r="C921" s="2"/>
      <c r="D921" s="2"/>
      <c r="E921" s="2"/>
      <c r="F921" s="2"/>
      <c r="G921" s="2"/>
      <c r="H921" s="2"/>
      <c r="I921" s="2"/>
      <c r="J921" s="2"/>
      <c r="K921" s="2"/>
      <c r="L921" s="2"/>
      <c r="M921" s="2"/>
      <c r="N921" s="2"/>
      <c r="O921" s="2"/>
      <c r="P921" s="2"/>
      <c r="Q921" s="2"/>
      <c r="R921" s="2"/>
      <c r="S921" s="2"/>
      <c r="T921" s="2"/>
    </row>
    <row r="922" spans="1:20" ht="15.75" customHeight="1">
      <c r="A922" s="1"/>
      <c r="B922" s="2"/>
      <c r="C922" s="2"/>
      <c r="D922" s="2"/>
      <c r="E922" s="2"/>
      <c r="F922" s="2"/>
      <c r="G922" s="2"/>
      <c r="H922" s="2"/>
      <c r="I922" s="2"/>
      <c r="J922" s="2"/>
      <c r="K922" s="2"/>
      <c r="L922" s="2"/>
      <c r="M922" s="2"/>
      <c r="N922" s="2"/>
      <c r="O922" s="2"/>
      <c r="P922" s="2"/>
      <c r="Q922" s="2"/>
      <c r="R922" s="2"/>
      <c r="S922" s="2"/>
      <c r="T922" s="2"/>
    </row>
    <row r="923" spans="1:20" ht="15.75" customHeight="1">
      <c r="A923" s="1"/>
      <c r="B923" s="2"/>
      <c r="C923" s="2"/>
      <c r="D923" s="2"/>
      <c r="E923" s="2"/>
      <c r="F923" s="2"/>
      <c r="G923" s="2"/>
      <c r="H923" s="2"/>
      <c r="I923" s="2"/>
      <c r="J923" s="2"/>
      <c r="K923" s="2"/>
      <c r="L923" s="2"/>
      <c r="M923" s="2"/>
      <c r="N923" s="2"/>
      <c r="O923" s="2"/>
      <c r="P923" s="2"/>
      <c r="Q923" s="2"/>
      <c r="R923" s="2"/>
      <c r="S923" s="2"/>
      <c r="T923" s="2"/>
    </row>
    <row r="924" spans="1:20" ht="15.75" customHeight="1">
      <c r="A924" s="1"/>
      <c r="B924" s="2"/>
      <c r="C924" s="2"/>
      <c r="D924" s="2"/>
      <c r="E924" s="2"/>
      <c r="F924" s="2"/>
      <c r="G924" s="2"/>
      <c r="H924" s="2"/>
      <c r="I924" s="2"/>
      <c r="J924" s="2"/>
      <c r="K924" s="2"/>
      <c r="L924" s="2"/>
      <c r="M924" s="2"/>
      <c r="N924" s="2"/>
      <c r="O924" s="2"/>
      <c r="P924" s="2"/>
      <c r="Q924" s="2"/>
      <c r="R924" s="2"/>
      <c r="S924" s="2"/>
      <c r="T924" s="2"/>
    </row>
    <row r="925" spans="1:20" ht="15.75" customHeight="1">
      <c r="A925" s="1"/>
      <c r="B925" s="2"/>
      <c r="C925" s="2"/>
      <c r="D925" s="2"/>
      <c r="E925" s="2"/>
      <c r="F925" s="2"/>
      <c r="G925" s="2"/>
      <c r="H925" s="2"/>
      <c r="I925" s="2"/>
      <c r="J925" s="2"/>
      <c r="K925" s="2"/>
      <c r="L925" s="2"/>
      <c r="M925" s="2"/>
      <c r="N925" s="2"/>
      <c r="O925" s="2"/>
      <c r="P925" s="2"/>
      <c r="Q925" s="2"/>
      <c r="R925" s="2"/>
      <c r="S925" s="2"/>
      <c r="T925" s="2"/>
    </row>
    <row r="926" spans="1:20" ht="15.75" customHeight="1">
      <c r="A926" s="1"/>
      <c r="B926" s="2"/>
      <c r="C926" s="2"/>
      <c r="D926" s="2"/>
      <c r="E926" s="2"/>
      <c r="F926" s="2"/>
      <c r="G926" s="2"/>
      <c r="H926" s="2"/>
      <c r="I926" s="2"/>
      <c r="J926" s="2"/>
      <c r="K926" s="2"/>
      <c r="L926" s="2"/>
      <c r="M926" s="2"/>
      <c r="N926" s="2"/>
      <c r="O926" s="2"/>
      <c r="P926" s="2"/>
      <c r="Q926" s="2"/>
      <c r="R926" s="2"/>
      <c r="S926" s="2"/>
      <c r="T926" s="2"/>
    </row>
    <row r="927" spans="1:20" ht="15.75" customHeight="1">
      <c r="A927" s="1"/>
      <c r="B927" s="2"/>
      <c r="C927" s="2"/>
      <c r="D927" s="2"/>
      <c r="E927" s="2"/>
      <c r="F927" s="2"/>
      <c r="G927" s="2"/>
      <c r="H927" s="2"/>
      <c r="I927" s="2"/>
      <c r="J927" s="2"/>
      <c r="K927" s="2"/>
      <c r="L927" s="2"/>
      <c r="M927" s="2"/>
      <c r="N927" s="2"/>
      <c r="O927" s="2"/>
      <c r="P927" s="2"/>
      <c r="Q927" s="2"/>
      <c r="R927" s="2"/>
      <c r="S927" s="2"/>
      <c r="T927" s="2"/>
    </row>
    <row r="928" spans="1:20" ht="15.75" customHeight="1">
      <c r="A928" s="1"/>
      <c r="B928" s="2"/>
      <c r="C928" s="2"/>
      <c r="D928" s="2"/>
      <c r="E928" s="2"/>
      <c r="F928" s="2"/>
      <c r="G928" s="2"/>
      <c r="H928" s="2"/>
      <c r="I928" s="2"/>
      <c r="J928" s="2"/>
      <c r="K928" s="2"/>
      <c r="L928" s="2"/>
      <c r="M928" s="2"/>
      <c r="N928" s="2"/>
      <c r="O928" s="2"/>
      <c r="P928" s="2"/>
      <c r="Q928" s="2"/>
      <c r="R928" s="2"/>
      <c r="S928" s="2"/>
      <c r="T928" s="2"/>
    </row>
    <row r="929" spans="1:20" ht="15.75" customHeight="1">
      <c r="A929" s="1"/>
      <c r="B929" s="2"/>
      <c r="C929" s="2"/>
      <c r="D929" s="2"/>
      <c r="E929" s="2"/>
      <c r="F929" s="2"/>
      <c r="G929" s="2"/>
      <c r="H929" s="2"/>
      <c r="I929" s="2"/>
      <c r="J929" s="2"/>
      <c r="K929" s="2"/>
      <c r="L929" s="2"/>
      <c r="M929" s="2"/>
      <c r="N929" s="2"/>
      <c r="O929" s="2"/>
      <c r="P929" s="2"/>
      <c r="Q929" s="2"/>
      <c r="R929" s="2"/>
      <c r="S929" s="2"/>
      <c r="T929" s="2"/>
    </row>
    <row r="930" spans="1:20" ht="15.75" customHeight="1">
      <c r="A930" s="1"/>
      <c r="B930" s="2"/>
      <c r="C930" s="2"/>
      <c r="D930" s="2"/>
      <c r="E930" s="2"/>
      <c r="F930" s="2"/>
      <c r="G930" s="2"/>
      <c r="H930" s="2"/>
      <c r="I930" s="2"/>
      <c r="J930" s="2"/>
      <c r="K930" s="2"/>
      <c r="L930" s="2"/>
      <c r="M930" s="2"/>
      <c r="N930" s="2"/>
      <c r="O930" s="2"/>
      <c r="P930" s="2"/>
      <c r="Q930" s="2"/>
      <c r="R930" s="2"/>
      <c r="S930" s="2"/>
      <c r="T930" s="2"/>
    </row>
    <row r="931" spans="1:20" ht="15.75" customHeight="1">
      <c r="A931" s="1"/>
      <c r="B931" s="2"/>
      <c r="C931" s="2"/>
      <c r="D931" s="2"/>
      <c r="E931" s="2"/>
      <c r="F931" s="2"/>
      <c r="G931" s="2"/>
      <c r="H931" s="2"/>
      <c r="I931" s="2"/>
      <c r="J931" s="2"/>
      <c r="K931" s="2"/>
      <c r="L931" s="2"/>
      <c r="M931" s="2"/>
      <c r="N931" s="2"/>
      <c r="O931" s="2"/>
      <c r="P931" s="2"/>
      <c r="Q931" s="2"/>
      <c r="R931" s="2"/>
      <c r="S931" s="2"/>
      <c r="T931" s="2"/>
    </row>
    <row r="932" spans="1:20" ht="15.75" customHeight="1">
      <c r="A932" s="1"/>
      <c r="B932" s="2"/>
      <c r="C932" s="2"/>
      <c r="D932" s="2"/>
      <c r="E932" s="2"/>
      <c r="F932" s="2"/>
      <c r="G932" s="2"/>
      <c r="H932" s="2"/>
      <c r="I932" s="2"/>
      <c r="J932" s="2"/>
      <c r="K932" s="2"/>
      <c r="L932" s="2"/>
      <c r="M932" s="2"/>
      <c r="N932" s="2"/>
      <c r="O932" s="2"/>
      <c r="P932" s="2"/>
      <c r="Q932" s="2"/>
      <c r="R932" s="2"/>
      <c r="S932" s="2"/>
      <c r="T932" s="2"/>
    </row>
    <row r="933" spans="1:20" ht="15.75" customHeight="1">
      <c r="A933" s="1"/>
      <c r="B933" s="2"/>
      <c r="C933" s="2"/>
      <c r="D933" s="2"/>
      <c r="E933" s="2"/>
      <c r="F933" s="2"/>
      <c r="G933" s="2"/>
      <c r="H933" s="2"/>
      <c r="I933" s="2"/>
      <c r="J933" s="2"/>
      <c r="K933" s="2"/>
      <c r="L933" s="2"/>
      <c r="M933" s="2"/>
      <c r="N933" s="2"/>
      <c r="O933" s="2"/>
      <c r="P933" s="2"/>
      <c r="Q933" s="2"/>
      <c r="R933" s="2"/>
      <c r="S933" s="2"/>
      <c r="T933" s="2"/>
    </row>
    <row r="934" spans="1:20" ht="15.75" customHeight="1">
      <c r="A934" s="1"/>
      <c r="B934" s="2"/>
      <c r="C934" s="2"/>
      <c r="D934" s="2"/>
      <c r="E934" s="2"/>
      <c r="F934" s="2"/>
      <c r="G934" s="2"/>
      <c r="H934" s="2"/>
      <c r="I934" s="2"/>
      <c r="J934" s="2"/>
      <c r="K934" s="2"/>
      <c r="L934" s="2"/>
      <c r="M934" s="2"/>
      <c r="N934" s="2"/>
      <c r="O934" s="2"/>
      <c r="P934" s="2"/>
      <c r="Q934" s="2"/>
      <c r="R934" s="2"/>
      <c r="S934" s="2"/>
      <c r="T934" s="2"/>
    </row>
    <row r="935" spans="1:20" ht="15.75" customHeight="1">
      <c r="A935" s="1"/>
      <c r="B935" s="2"/>
      <c r="C935" s="2"/>
      <c r="D935" s="2"/>
      <c r="E935" s="2"/>
      <c r="F935" s="2"/>
      <c r="G935" s="2"/>
      <c r="H935" s="2"/>
      <c r="I935" s="2"/>
      <c r="J935" s="2"/>
      <c r="K935" s="2"/>
      <c r="L935" s="2"/>
      <c r="M935" s="2"/>
      <c r="N935" s="2"/>
      <c r="O935" s="2"/>
      <c r="P935" s="2"/>
      <c r="Q935" s="2"/>
      <c r="R935" s="2"/>
      <c r="S935" s="2"/>
      <c r="T935" s="2"/>
    </row>
    <row r="936" spans="1:20" ht="15.75" customHeight="1">
      <c r="A936" s="1"/>
      <c r="B936" s="2"/>
      <c r="C936" s="2"/>
      <c r="D936" s="2"/>
      <c r="E936" s="2"/>
      <c r="F936" s="2"/>
      <c r="G936" s="2"/>
      <c r="H936" s="2"/>
      <c r="I936" s="2"/>
      <c r="J936" s="2"/>
      <c r="K936" s="2"/>
      <c r="L936" s="2"/>
      <c r="M936" s="2"/>
      <c r="N936" s="2"/>
      <c r="O936" s="2"/>
      <c r="P936" s="2"/>
      <c r="Q936" s="2"/>
      <c r="R936" s="2"/>
      <c r="S936" s="2"/>
      <c r="T936" s="2"/>
    </row>
    <row r="937" spans="1:20" ht="15.75" customHeight="1">
      <c r="A937" s="1"/>
      <c r="B937" s="2"/>
      <c r="C937" s="2"/>
      <c r="D937" s="2"/>
      <c r="E937" s="2"/>
      <c r="F937" s="2"/>
      <c r="G937" s="2"/>
      <c r="H937" s="2"/>
      <c r="I937" s="2"/>
      <c r="J937" s="2"/>
      <c r="K937" s="2"/>
      <c r="L937" s="2"/>
      <c r="M937" s="2"/>
      <c r="N937" s="2"/>
      <c r="O937" s="2"/>
      <c r="P937" s="2"/>
      <c r="Q937" s="2"/>
      <c r="R937" s="2"/>
      <c r="S937" s="2"/>
      <c r="T937" s="2"/>
    </row>
    <row r="938" spans="1:20" ht="15.75" customHeight="1">
      <c r="A938" s="1"/>
      <c r="B938" s="2"/>
      <c r="C938" s="2"/>
      <c r="D938" s="2"/>
      <c r="E938" s="2"/>
      <c r="F938" s="2"/>
      <c r="G938" s="2"/>
      <c r="H938" s="2"/>
      <c r="I938" s="2"/>
      <c r="J938" s="2"/>
      <c r="K938" s="2"/>
      <c r="L938" s="2"/>
      <c r="M938" s="2"/>
      <c r="N938" s="2"/>
      <c r="O938" s="2"/>
      <c r="P938" s="2"/>
      <c r="Q938" s="2"/>
      <c r="R938" s="2"/>
      <c r="S938" s="2"/>
      <c r="T938" s="2"/>
    </row>
    <row r="939" spans="1:20" ht="15.75" customHeight="1">
      <c r="A939" s="1"/>
      <c r="B939" s="2"/>
      <c r="C939" s="2"/>
      <c r="D939" s="2"/>
      <c r="E939" s="2"/>
      <c r="F939" s="2"/>
      <c r="G939" s="2"/>
      <c r="H939" s="2"/>
      <c r="I939" s="2"/>
      <c r="J939" s="2"/>
      <c r="K939" s="2"/>
      <c r="L939" s="2"/>
      <c r="M939" s="2"/>
      <c r="N939" s="2"/>
      <c r="O939" s="2"/>
      <c r="P939" s="2"/>
      <c r="Q939" s="2"/>
      <c r="R939" s="2"/>
      <c r="S939" s="2"/>
      <c r="T939" s="2"/>
    </row>
    <row r="940" spans="1:20" ht="15.75" customHeight="1">
      <c r="A940" s="1"/>
      <c r="B940" s="2"/>
      <c r="C940" s="2"/>
      <c r="D940" s="2"/>
      <c r="E940" s="2"/>
      <c r="F940" s="2"/>
      <c r="G940" s="2"/>
      <c r="H940" s="2"/>
      <c r="I940" s="2"/>
      <c r="J940" s="2"/>
      <c r="K940" s="2"/>
      <c r="L940" s="2"/>
      <c r="M940" s="2"/>
      <c r="N940" s="2"/>
      <c r="O940" s="2"/>
      <c r="P940" s="2"/>
      <c r="Q940" s="2"/>
      <c r="R940" s="2"/>
      <c r="S940" s="2"/>
      <c r="T940" s="2"/>
    </row>
    <row r="941" spans="1:20" ht="15.75" customHeight="1">
      <c r="A941" s="1"/>
      <c r="B941" s="2"/>
      <c r="C941" s="2"/>
      <c r="D941" s="2"/>
      <c r="E941" s="2"/>
      <c r="F941" s="2"/>
      <c r="G941" s="2"/>
      <c r="H941" s="2"/>
      <c r="I941" s="2"/>
      <c r="J941" s="2"/>
      <c r="K941" s="2"/>
      <c r="L941" s="2"/>
      <c r="M941" s="2"/>
      <c r="N941" s="2"/>
      <c r="O941" s="2"/>
      <c r="P941" s="2"/>
      <c r="Q941" s="2"/>
      <c r="R941" s="2"/>
      <c r="S941" s="2"/>
      <c r="T941" s="2"/>
    </row>
    <row r="942" spans="1:20" ht="15.75" customHeight="1">
      <c r="A942" s="1"/>
      <c r="B942" s="2"/>
      <c r="C942" s="2"/>
      <c r="D942" s="2"/>
      <c r="E942" s="2"/>
      <c r="F942" s="2"/>
      <c r="G942" s="2"/>
      <c r="H942" s="2"/>
      <c r="I942" s="2"/>
      <c r="J942" s="2"/>
      <c r="K942" s="2"/>
      <c r="L942" s="2"/>
      <c r="M942" s="2"/>
      <c r="N942" s="2"/>
      <c r="O942" s="2"/>
      <c r="P942" s="2"/>
      <c r="Q942" s="2"/>
      <c r="R942" s="2"/>
      <c r="S942" s="2"/>
      <c r="T942" s="2"/>
    </row>
    <row r="943" spans="1:20" ht="15.75" customHeight="1">
      <c r="A943" s="1"/>
      <c r="B943" s="2"/>
      <c r="C943" s="2"/>
      <c r="D943" s="2"/>
      <c r="E943" s="2"/>
      <c r="F943" s="2"/>
      <c r="G943" s="2"/>
      <c r="H943" s="2"/>
      <c r="I943" s="2"/>
      <c r="J943" s="2"/>
      <c r="K943" s="2"/>
      <c r="L943" s="2"/>
      <c r="M943" s="2"/>
      <c r="N943" s="2"/>
      <c r="O943" s="2"/>
      <c r="P943" s="2"/>
      <c r="Q943" s="2"/>
      <c r="R943" s="2"/>
      <c r="S943" s="2"/>
      <c r="T943" s="2"/>
    </row>
    <row r="944" spans="1:20" ht="15.75" customHeight="1">
      <c r="A944" s="1"/>
      <c r="B944" s="2"/>
      <c r="C944" s="2"/>
      <c r="D944" s="2"/>
      <c r="E944" s="2"/>
      <c r="F944" s="2"/>
      <c r="G944" s="2"/>
      <c r="H944" s="2"/>
      <c r="I944" s="2"/>
      <c r="J944" s="2"/>
      <c r="K944" s="2"/>
      <c r="L944" s="2"/>
      <c r="M944" s="2"/>
      <c r="N944" s="2"/>
      <c r="O944" s="2"/>
      <c r="P944" s="2"/>
      <c r="Q944" s="2"/>
      <c r="R944" s="2"/>
      <c r="S944" s="2"/>
      <c r="T944" s="2"/>
    </row>
    <row r="945" spans="1:20" ht="15.75" customHeight="1">
      <c r="A945" s="1"/>
      <c r="B945" s="2"/>
      <c r="C945" s="2"/>
      <c r="D945" s="2"/>
      <c r="E945" s="2"/>
      <c r="F945" s="2"/>
      <c r="G945" s="2"/>
      <c r="H945" s="2"/>
      <c r="I945" s="2"/>
      <c r="J945" s="2"/>
      <c r="K945" s="2"/>
      <c r="L945" s="2"/>
      <c r="M945" s="2"/>
      <c r="N945" s="2"/>
      <c r="O945" s="2"/>
      <c r="P945" s="2"/>
      <c r="Q945" s="2"/>
      <c r="R945" s="2"/>
      <c r="S945" s="2"/>
      <c r="T945" s="2"/>
    </row>
    <row r="946" spans="1:20" ht="15.75" customHeight="1">
      <c r="A946" s="1"/>
      <c r="B946" s="2"/>
      <c r="C946" s="2"/>
      <c r="D946" s="2"/>
      <c r="E946" s="2"/>
      <c r="F946" s="2"/>
      <c r="G946" s="2"/>
      <c r="H946" s="2"/>
      <c r="I946" s="2"/>
      <c r="J946" s="2"/>
      <c r="K946" s="2"/>
      <c r="L946" s="2"/>
      <c r="M946" s="2"/>
      <c r="N946" s="2"/>
      <c r="O946" s="2"/>
      <c r="P946" s="2"/>
      <c r="Q946" s="2"/>
      <c r="R946" s="2"/>
      <c r="S946" s="2"/>
      <c r="T946" s="2"/>
    </row>
    <row r="947" spans="1:20" ht="15.75" customHeight="1">
      <c r="A947" s="1"/>
      <c r="B947" s="2"/>
      <c r="C947" s="2"/>
      <c r="D947" s="2"/>
      <c r="E947" s="2"/>
      <c r="F947" s="2"/>
      <c r="G947" s="2"/>
      <c r="H947" s="2"/>
      <c r="I947" s="2"/>
      <c r="J947" s="2"/>
      <c r="K947" s="2"/>
      <c r="L947" s="2"/>
      <c r="M947" s="2"/>
      <c r="N947" s="2"/>
      <c r="O947" s="2"/>
      <c r="P947" s="2"/>
      <c r="Q947" s="2"/>
      <c r="R947" s="2"/>
      <c r="S947" s="2"/>
      <c r="T947" s="2"/>
    </row>
    <row r="948" spans="1:20" ht="15.75" customHeight="1">
      <c r="A948" s="1"/>
      <c r="B948" s="2"/>
      <c r="C948" s="2"/>
      <c r="D948" s="2"/>
      <c r="E948" s="2"/>
      <c r="F948" s="2"/>
      <c r="G948" s="2"/>
      <c r="H948" s="2"/>
      <c r="I948" s="2"/>
      <c r="J948" s="2"/>
      <c r="K948" s="2"/>
      <c r="L948" s="2"/>
      <c r="M948" s="2"/>
      <c r="N948" s="2"/>
      <c r="O948" s="2"/>
      <c r="P948" s="2"/>
      <c r="Q948" s="2"/>
      <c r="R948" s="2"/>
      <c r="S948" s="2"/>
      <c r="T948" s="2"/>
    </row>
    <row r="949" spans="1:20" ht="15.75" customHeight="1">
      <c r="A949" s="1"/>
      <c r="B949" s="2"/>
      <c r="C949" s="2"/>
      <c r="D949" s="2"/>
      <c r="E949" s="2"/>
      <c r="F949" s="2"/>
      <c r="G949" s="2"/>
      <c r="H949" s="2"/>
      <c r="I949" s="2"/>
      <c r="J949" s="2"/>
      <c r="K949" s="2"/>
      <c r="L949" s="2"/>
      <c r="M949" s="2"/>
      <c r="N949" s="2"/>
      <c r="O949" s="2"/>
      <c r="P949" s="2"/>
      <c r="Q949" s="2"/>
      <c r="R949" s="2"/>
      <c r="S949" s="2"/>
      <c r="T949" s="2"/>
    </row>
    <row r="950" spans="1:20" ht="15.75" customHeight="1">
      <c r="A950" s="1"/>
      <c r="B950" s="2"/>
      <c r="C950" s="2"/>
      <c r="D950" s="2"/>
      <c r="E950" s="2"/>
      <c r="F950" s="2"/>
      <c r="G950" s="2"/>
      <c r="H950" s="2"/>
      <c r="I950" s="2"/>
      <c r="J950" s="2"/>
      <c r="K950" s="2"/>
      <c r="L950" s="2"/>
      <c r="M950" s="2"/>
      <c r="N950" s="2"/>
      <c r="O950" s="2"/>
      <c r="P950" s="2"/>
      <c r="Q950" s="2"/>
      <c r="R950" s="2"/>
      <c r="S950" s="2"/>
      <c r="T950" s="2"/>
    </row>
    <row r="951" spans="1:20" ht="15.75" customHeight="1">
      <c r="A951" s="1"/>
      <c r="B951" s="2"/>
      <c r="C951" s="2"/>
      <c r="D951" s="2"/>
      <c r="E951" s="2"/>
      <c r="F951" s="2"/>
      <c r="G951" s="2"/>
      <c r="H951" s="2"/>
      <c r="I951" s="2"/>
      <c r="J951" s="2"/>
      <c r="K951" s="2"/>
      <c r="L951" s="2"/>
      <c r="M951" s="2"/>
      <c r="N951" s="2"/>
      <c r="O951" s="2"/>
      <c r="P951" s="2"/>
      <c r="Q951" s="2"/>
      <c r="R951" s="2"/>
      <c r="S951" s="2"/>
      <c r="T951" s="2"/>
    </row>
    <row r="952" spans="1:20" ht="15.75" customHeight="1">
      <c r="A952" s="1"/>
      <c r="B952" s="2"/>
      <c r="C952" s="2"/>
      <c r="D952" s="2"/>
      <c r="E952" s="2"/>
      <c r="F952" s="2"/>
      <c r="G952" s="2"/>
      <c r="H952" s="2"/>
      <c r="I952" s="2"/>
      <c r="J952" s="2"/>
      <c r="K952" s="2"/>
      <c r="L952" s="2"/>
      <c r="M952" s="2"/>
      <c r="N952" s="2"/>
      <c r="O952" s="2"/>
      <c r="P952" s="2"/>
      <c r="Q952" s="2"/>
      <c r="R952" s="2"/>
      <c r="S952" s="2"/>
      <c r="T952" s="2"/>
    </row>
    <row r="953" spans="1:20" ht="15.75" customHeight="1">
      <c r="A953" s="1"/>
      <c r="B953" s="2"/>
      <c r="C953" s="2"/>
      <c r="D953" s="2"/>
      <c r="E953" s="2"/>
      <c r="F953" s="2"/>
      <c r="G953" s="2"/>
      <c r="H953" s="2"/>
      <c r="I953" s="2"/>
      <c r="J953" s="2"/>
      <c r="K953" s="2"/>
      <c r="L953" s="2"/>
      <c r="M953" s="2"/>
      <c r="N953" s="2"/>
      <c r="O953" s="2"/>
      <c r="P953" s="2"/>
      <c r="Q953" s="2"/>
      <c r="R953" s="2"/>
      <c r="S953" s="2"/>
      <c r="T953" s="2"/>
    </row>
    <row r="954" spans="1:20" ht="15.75" customHeight="1">
      <c r="A954" s="1"/>
      <c r="B954" s="2"/>
      <c r="C954" s="2"/>
      <c r="D954" s="2"/>
      <c r="E954" s="2"/>
      <c r="F954" s="2"/>
      <c r="G954" s="2"/>
      <c r="H954" s="2"/>
      <c r="I954" s="2"/>
      <c r="J954" s="2"/>
      <c r="K954" s="2"/>
      <c r="L954" s="2"/>
      <c r="M954" s="2"/>
      <c r="N954" s="2"/>
      <c r="O954" s="2"/>
      <c r="P954" s="2"/>
      <c r="Q954" s="2"/>
      <c r="R954" s="2"/>
      <c r="S954" s="2"/>
      <c r="T954" s="2"/>
    </row>
    <row r="955" spans="1:20" ht="15.75" customHeight="1">
      <c r="A955" s="1"/>
      <c r="B955" s="2"/>
      <c r="C955" s="2"/>
      <c r="D955" s="2"/>
      <c r="E955" s="2"/>
      <c r="F955" s="2"/>
      <c r="G955" s="2"/>
      <c r="H955" s="2"/>
      <c r="I955" s="2"/>
      <c r="J955" s="2"/>
      <c r="K955" s="2"/>
      <c r="L955" s="2"/>
      <c r="M955" s="2"/>
      <c r="N955" s="2"/>
      <c r="O955" s="2"/>
      <c r="P955" s="2"/>
      <c r="Q955" s="2"/>
      <c r="R955" s="2"/>
      <c r="S955" s="2"/>
      <c r="T955" s="2"/>
    </row>
    <row r="956" spans="1:20" ht="15.75" customHeight="1">
      <c r="A956" s="1"/>
      <c r="B956" s="2"/>
      <c r="C956" s="2"/>
      <c r="D956" s="2"/>
      <c r="E956" s="2"/>
      <c r="F956" s="2"/>
      <c r="G956" s="2"/>
      <c r="H956" s="2"/>
      <c r="I956" s="2"/>
      <c r="J956" s="2"/>
      <c r="K956" s="2"/>
      <c r="L956" s="2"/>
      <c r="M956" s="2"/>
      <c r="N956" s="2"/>
      <c r="O956" s="2"/>
      <c r="P956" s="2"/>
      <c r="Q956" s="2"/>
      <c r="R956" s="2"/>
      <c r="S956" s="2"/>
      <c r="T956" s="2"/>
    </row>
    <row r="957" spans="1:20" ht="15.75" customHeight="1">
      <c r="A957" s="1"/>
      <c r="B957" s="2"/>
      <c r="C957" s="2"/>
      <c r="D957" s="2"/>
      <c r="E957" s="2"/>
      <c r="F957" s="2"/>
      <c r="G957" s="2"/>
      <c r="H957" s="2"/>
      <c r="I957" s="2"/>
      <c r="J957" s="2"/>
      <c r="K957" s="2"/>
      <c r="L957" s="2"/>
      <c r="M957" s="2"/>
      <c r="N957" s="2"/>
      <c r="O957" s="2"/>
      <c r="P957" s="2"/>
      <c r="Q957" s="2"/>
      <c r="R957" s="2"/>
      <c r="S957" s="2"/>
      <c r="T957" s="2"/>
    </row>
    <row r="958" spans="1:20" ht="15.75" customHeight="1">
      <c r="A958" s="1"/>
      <c r="B958" s="2"/>
      <c r="C958" s="2"/>
      <c r="D958" s="2"/>
      <c r="E958" s="2"/>
      <c r="F958" s="2"/>
      <c r="G958" s="2"/>
      <c r="H958" s="2"/>
      <c r="I958" s="2"/>
      <c r="J958" s="2"/>
      <c r="K958" s="2"/>
      <c r="L958" s="2"/>
      <c r="M958" s="2"/>
      <c r="N958" s="2"/>
      <c r="O958" s="2"/>
      <c r="P958" s="2"/>
      <c r="Q958" s="2"/>
      <c r="R958" s="2"/>
      <c r="S958" s="2"/>
      <c r="T958" s="2"/>
    </row>
    <row r="959" spans="1:20" ht="15.75" customHeight="1">
      <c r="A959" s="1"/>
      <c r="B959" s="2"/>
      <c r="C959" s="2"/>
      <c r="D959" s="2"/>
      <c r="E959" s="2"/>
      <c r="F959" s="2"/>
      <c r="G959" s="2"/>
      <c r="H959" s="2"/>
      <c r="I959" s="2"/>
      <c r="J959" s="2"/>
      <c r="K959" s="2"/>
      <c r="L959" s="2"/>
      <c r="M959" s="2"/>
      <c r="N959" s="2"/>
      <c r="O959" s="2"/>
      <c r="P959" s="2"/>
      <c r="Q959" s="2"/>
      <c r="R959" s="2"/>
      <c r="S959" s="2"/>
      <c r="T959" s="2"/>
    </row>
    <row r="960" spans="1:20" ht="15.75" customHeight="1">
      <c r="A960" s="1"/>
      <c r="B960" s="2"/>
      <c r="C960" s="2"/>
      <c r="D960" s="2"/>
      <c r="E960" s="2"/>
      <c r="F960" s="2"/>
      <c r="G960" s="2"/>
      <c r="H960" s="2"/>
      <c r="I960" s="2"/>
      <c r="J960" s="2"/>
      <c r="K960" s="2"/>
      <c r="L960" s="2"/>
      <c r="M960" s="2"/>
      <c r="N960" s="2"/>
      <c r="O960" s="2"/>
      <c r="P960" s="2"/>
      <c r="Q960" s="2"/>
      <c r="R960" s="2"/>
      <c r="S960" s="2"/>
      <c r="T960" s="2"/>
    </row>
    <row r="961" spans="1:20" ht="15.75" customHeight="1">
      <c r="A961" s="1"/>
      <c r="B961" s="2"/>
      <c r="C961" s="2"/>
      <c r="D961" s="2"/>
      <c r="E961" s="2"/>
      <c r="F961" s="2"/>
      <c r="G961" s="2"/>
      <c r="H961" s="2"/>
      <c r="I961" s="2"/>
      <c r="J961" s="2"/>
      <c r="K961" s="2"/>
      <c r="L961" s="2"/>
      <c r="M961" s="2"/>
      <c r="N961" s="2"/>
      <c r="O961" s="2"/>
      <c r="P961" s="2"/>
      <c r="Q961" s="2"/>
      <c r="R961" s="2"/>
      <c r="S961" s="2"/>
      <c r="T961" s="2"/>
    </row>
    <row r="962" spans="1:20" ht="15.75" customHeight="1">
      <c r="A962" s="1"/>
      <c r="B962" s="2"/>
      <c r="C962" s="2"/>
      <c r="D962" s="2"/>
      <c r="E962" s="2"/>
      <c r="F962" s="2"/>
      <c r="G962" s="2"/>
      <c r="H962" s="2"/>
      <c r="I962" s="2"/>
      <c r="J962" s="2"/>
      <c r="K962" s="2"/>
      <c r="L962" s="2"/>
      <c r="M962" s="2"/>
      <c r="N962" s="2"/>
      <c r="O962" s="2"/>
      <c r="P962" s="2"/>
      <c r="Q962" s="2"/>
      <c r="R962" s="2"/>
      <c r="S962" s="2"/>
      <c r="T962" s="2"/>
    </row>
    <row r="963" spans="1:20" ht="15.75" customHeight="1">
      <c r="A963" s="1"/>
      <c r="B963" s="2"/>
      <c r="C963" s="2"/>
      <c r="D963" s="2"/>
      <c r="E963" s="2"/>
      <c r="F963" s="2"/>
      <c r="G963" s="2"/>
      <c r="H963" s="2"/>
      <c r="I963" s="2"/>
      <c r="J963" s="2"/>
      <c r="K963" s="2"/>
      <c r="L963" s="2"/>
      <c r="M963" s="2"/>
      <c r="N963" s="2"/>
      <c r="O963" s="2"/>
      <c r="P963" s="2"/>
      <c r="Q963" s="2"/>
      <c r="R963" s="2"/>
      <c r="S963" s="2"/>
      <c r="T963" s="2"/>
    </row>
    <row r="964" spans="1:20" ht="15.75" customHeight="1">
      <c r="A964" s="1"/>
      <c r="B964" s="2"/>
      <c r="C964" s="2"/>
      <c r="D964" s="2"/>
      <c r="E964" s="2"/>
      <c r="F964" s="2"/>
      <c r="G964" s="2"/>
      <c r="H964" s="2"/>
      <c r="I964" s="2"/>
      <c r="J964" s="2"/>
      <c r="K964" s="2"/>
      <c r="L964" s="2"/>
      <c r="M964" s="2"/>
      <c r="N964" s="2"/>
      <c r="O964" s="2"/>
      <c r="P964" s="2"/>
      <c r="Q964" s="2"/>
      <c r="R964" s="2"/>
      <c r="S964" s="2"/>
      <c r="T964" s="2"/>
    </row>
    <row r="965" spans="1:20" ht="15.75" customHeight="1">
      <c r="A965" s="1"/>
      <c r="B965" s="2"/>
      <c r="C965" s="2"/>
      <c r="D965" s="2"/>
      <c r="E965" s="2"/>
      <c r="F965" s="2"/>
      <c r="G965" s="2"/>
      <c r="H965" s="2"/>
      <c r="I965" s="2"/>
      <c r="J965" s="2"/>
      <c r="K965" s="2"/>
      <c r="L965" s="2"/>
      <c r="M965" s="2"/>
      <c r="N965" s="2"/>
      <c r="O965" s="2"/>
      <c r="P965" s="2"/>
      <c r="Q965" s="2"/>
      <c r="R965" s="2"/>
      <c r="S965" s="2"/>
      <c r="T965" s="2"/>
    </row>
    <row r="966" spans="1:20" ht="15.75" customHeight="1">
      <c r="A966" s="1"/>
      <c r="B966" s="2"/>
      <c r="C966" s="2"/>
      <c r="D966" s="2"/>
      <c r="E966" s="2"/>
      <c r="F966" s="2"/>
      <c r="G966" s="2"/>
      <c r="H966" s="2"/>
      <c r="I966" s="2"/>
      <c r="J966" s="2"/>
      <c r="K966" s="2"/>
      <c r="L966" s="2"/>
      <c r="M966" s="2"/>
      <c r="N966" s="2"/>
      <c r="O966" s="2"/>
      <c r="P966" s="2"/>
      <c r="Q966" s="2"/>
      <c r="R966" s="2"/>
      <c r="S966" s="2"/>
      <c r="T966" s="2"/>
    </row>
    <row r="967" spans="1:20" ht="15.75" customHeight="1">
      <c r="A967" s="1"/>
      <c r="B967" s="2"/>
      <c r="C967" s="2"/>
      <c r="D967" s="2"/>
      <c r="E967" s="2"/>
      <c r="F967" s="2"/>
      <c r="G967" s="2"/>
      <c r="H967" s="2"/>
      <c r="I967" s="2"/>
      <c r="J967" s="2"/>
      <c r="K967" s="2"/>
      <c r="L967" s="2"/>
      <c r="M967" s="2"/>
      <c r="N967" s="2"/>
      <c r="O967" s="2"/>
      <c r="P967" s="2"/>
      <c r="Q967" s="2"/>
      <c r="R967" s="2"/>
      <c r="S967" s="2"/>
      <c r="T967" s="2"/>
    </row>
    <row r="968" spans="1:20" ht="15.75" customHeight="1">
      <c r="A968" s="1"/>
      <c r="B968" s="2"/>
      <c r="C968" s="2"/>
      <c r="D968" s="2"/>
      <c r="E968" s="2"/>
      <c r="F968" s="2"/>
      <c r="G968" s="2"/>
      <c r="H968" s="2"/>
      <c r="I968" s="2"/>
      <c r="J968" s="2"/>
      <c r="K968" s="2"/>
      <c r="L968" s="2"/>
      <c r="M968" s="2"/>
      <c r="N968" s="2"/>
      <c r="O968" s="2"/>
      <c r="P968" s="2"/>
      <c r="Q968" s="2"/>
      <c r="R968" s="2"/>
      <c r="S968" s="2"/>
      <c r="T968" s="2"/>
    </row>
    <row r="969" spans="1:20" ht="15.75" customHeight="1">
      <c r="A969" s="1"/>
      <c r="B969" s="2"/>
      <c r="C969" s="2"/>
      <c r="D969" s="2"/>
      <c r="E969" s="2"/>
      <c r="F969" s="2"/>
      <c r="G969" s="2"/>
      <c r="H969" s="2"/>
      <c r="I969" s="2"/>
      <c r="J969" s="2"/>
      <c r="K969" s="2"/>
      <c r="L969" s="2"/>
      <c r="M969" s="2"/>
      <c r="N969" s="2"/>
      <c r="O969" s="2"/>
      <c r="P969" s="2"/>
      <c r="Q969" s="2"/>
      <c r="R969" s="2"/>
      <c r="S969" s="2"/>
      <c r="T969" s="2"/>
    </row>
    <row r="970" spans="1:20" ht="15.75" customHeight="1">
      <c r="A970" s="1"/>
      <c r="B970" s="2"/>
      <c r="C970" s="2"/>
      <c r="D970" s="2"/>
      <c r="E970" s="2"/>
      <c r="F970" s="2"/>
      <c r="G970" s="2"/>
      <c r="H970" s="2"/>
      <c r="I970" s="2"/>
      <c r="J970" s="2"/>
      <c r="K970" s="2"/>
      <c r="L970" s="2"/>
      <c r="M970" s="2"/>
      <c r="N970" s="2"/>
      <c r="O970" s="2"/>
      <c r="P970" s="2"/>
      <c r="Q970" s="2"/>
      <c r="R970" s="2"/>
      <c r="S970" s="2"/>
      <c r="T970" s="2"/>
    </row>
    <row r="971" spans="1:20" ht="15.75" customHeight="1">
      <c r="A971" s="1"/>
      <c r="B971" s="2"/>
      <c r="C971" s="2"/>
      <c r="D971" s="2"/>
      <c r="E971" s="2"/>
      <c r="F971" s="2"/>
      <c r="G971" s="2"/>
      <c r="H971" s="2"/>
      <c r="I971" s="2"/>
      <c r="J971" s="2"/>
      <c r="K971" s="2"/>
      <c r="L971" s="2"/>
      <c r="M971" s="2"/>
      <c r="N971" s="2"/>
      <c r="O971" s="2"/>
      <c r="P971" s="2"/>
      <c r="Q971" s="2"/>
      <c r="R971" s="2"/>
      <c r="S971" s="2"/>
      <c r="T971" s="2"/>
    </row>
    <row r="972" spans="1:20" ht="15.75" customHeight="1">
      <c r="A972" s="1"/>
      <c r="B972" s="2"/>
      <c r="C972" s="2"/>
      <c r="D972" s="2"/>
      <c r="E972" s="2"/>
      <c r="F972" s="2"/>
      <c r="G972" s="2"/>
      <c r="H972" s="2"/>
      <c r="I972" s="2"/>
      <c r="J972" s="2"/>
      <c r="K972" s="2"/>
      <c r="L972" s="2"/>
      <c r="M972" s="2"/>
      <c r="N972" s="2"/>
      <c r="O972" s="2"/>
      <c r="P972" s="2"/>
      <c r="Q972" s="2"/>
      <c r="R972" s="2"/>
      <c r="S972" s="2"/>
      <c r="T972" s="2"/>
    </row>
    <row r="973" spans="1:20" ht="15.75" customHeight="1">
      <c r="A973" s="1"/>
      <c r="B973" s="2"/>
      <c r="C973" s="2"/>
      <c r="D973" s="2"/>
      <c r="E973" s="2"/>
      <c r="F973" s="2"/>
      <c r="G973" s="2"/>
      <c r="H973" s="2"/>
      <c r="I973" s="2"/>
      <c r="J973" s="2"/>
      <c r="K973" s="2"/>
      <c r="L973" s="2"/>
      <c r="M973" s="2"/>
      <c r="N973" s="2"/>
      <c r="O973" s="2"/>
      <c r="P973" s="2"/>
      <c r="Q973" s="2"/>
      <c r="R973" s="2"/>
      <c r="S973" s="2"/>
      <c r="T973" s="2"/>
    </row>
    <row r="974" spans="1:20" ht="15.75" customHeight="1">
      <c r="A974" s="1"/>
      <c r="B974" s="2"/>
      <c r="C974" s="2"/>
      <c r="D974" s="2"/>
      <c r="E974" s="2"/>
      <c r="F974" s="2"/>
      <c r="G974" s="2"/>
      <c r="H974" s="2"/>
      <c r="I974" s="2"/>
      <c r="J974" s="2"/>
      <c r="K974" s="2"/>
      <c r="L974" s="2"/>
      <c r="M974" s="2"/>
      <c r="N974" s="2"/>
      <c r="O974" s="2"/>
      <c r="P974" s="2"/>
      <c r="Q974" s="2"/>
      <c r="R974" s="2"/>
      <c r="S974" s="2"/>
      <c r="T974" s="2"/>
    </row>
    <row r="975" spans="1:20" ht="15.75" customHeight="1">
      <c r="A975" s="1"/>
      <c r="B975" s="2"/>
      <c r="C975" s="2"/>
      <c r="D975" s="2"/>
      <c r="E975" s="2"/>
      <c r="F975" s="2"/>
      <c r="G975" s="2"/>
      <c r="H975" s="2"/>
      <c r="I975" s="2"/>
      <c r="J975" s="2"/>
      <c r="K975" s="2"/>
      <c r="L975" s="2"/>
      <c r="M975" s="2"/>
      <c r="N975" s="2"/>
      <c r="O975" s="2"/>
      <c r="P975" s="2"/>
      <c r="Q975" s="2"/>
      <c r="R975" s="2"/>
      <c r="S975" s="2"/>
      <c r="T975" s="2"/>
    </row>
    <row r="976" spans="1:20" ht="15.75" customHeight="1">
      <c r="A976" s="1"/>
      <c r="B976" s="2"/>
      <c r="C976" s="2"/>
      <c r="D976" s="2"/>
      <c r="E976" s="2"/>
      <c r="F976" s="2"/>
      <c r="G976" s="2"/>
      <c r="H976" s="2"/>
      <c r="I976" s="2"/>
      <c r="J976" s="2"/>
      <c r="K976" s="2"/>
      <c r="L976" s="2"/>
      <c r="M976" s="2"/>
      <c r="N976" s="2"/>
      <c r="O976" s="2"/>
      <c r="P976" s="2"/>
      <c r="Q976" s="2"/>
      <c r="R976" s="2"/>
      <c r="S976" s="2"/>
      <c r="T976" s="2"/>
    </row>
    <row r="977" spans="1:20" ht="15.75" customHeight="1">
      <c r="A977" s="1"/>
      <c r="B977" s="2"/>
      <c r="C977" s="2"/>
      <c r="D977" s="2"/>
      <c r="E977" s="2"/>
      <c r="F977" s="2"/>
      <c r="G977" s="2"/>
      <c r="H977" s="2"/>
      <c r="I977" s="2"/>
      <c r="J977" s="2"/>
      <c r="K977" s="2"/>
      <c r="L977" s="2"/>
      <c r="M977" s="2"/>
      <c r="N977" s="2"/>
      <c r="O977" s="2"/>
      <c r="P977" s="2"/>
      <c r="Q977" s="2"/>
      <c r="R977" s="2"/>
      <c r="S977" s="2"/>
      <c r="T977" s="2"/>
    </row>
    <row r="978" spans="1:20" ht="15.75" customHeight="1">
      <c r="A978" s="1"/>
      <c r="B978" s="2"/>
      <c r="C978" s="2"/>
      <c r="D978" s="2"/>
      <c r="E978" s="2"/>
      <c r="F978" s="2"/>
      <c r="G978" s="2"/>
      <c r="H978" s="2"/>
      <c r="I978" s="2"/>
      <c r="J978" s="2"/>
      <c r="K978" s="2"/>
      <c r="L978" s="2"/>
      <c r="M978" s="2"/>
      <c r="N978" s="2"/>
      <c r="O978" s="2"/>
      <c r="P978" s="2"/>
      <c r="Q978" s="2"/>
      <c r="R978" s="2"/>
      <c r="S978" s="2"/>
      <c r="T978" s="2"/>
    </row>
    <row r="979" spans="1:20" ht="15.75" customHeight="1">
      <c r="A979" s="1"/>
      <c r="B979" s="2"/>
      <c r="C979" s="2"/>
      <c r="D979" s="2"/>
      <c r="E979" s="2"/>
      <c r="F979" s="2"/>
      <c r="G979" s="2"/>
      <c r="H979" s="2"/>
      <c r="I979" s="2"/>
      <c r="J979" s="2"/>
      <c r="K979" s="2"/>
      <c r="L979" s="2"/>
      <c r="M979" s="2"/>
      <c r="N979" s="2"/>
      <c r="O979" s="2"/>
      <c r="P979" s="2"/>
      <c r="Q979" s="2"/>
      <c r="R979" s="2"/>
      <c r="S979" s="2"/>
      <c r="T979" s="2"/>
    </row>
    <row r="980" spans="1:20" ht="15.75" customHeight="1">
      <c r="A980" s="1"/>
      <c r="B980" s="2"/>
      <c r="C980" s="2"/>
      <c r="D980" s="2"/>
      <c r="E980" s="2"/>
      <c r="F980" s="2"/>
      <c r="G980" s="2"/>
      <c r="H980" s="2"/>
      <c r="I980" s="2"/>
      <c r="J980" s="2"/>
      <c r="K980" s="2"/>
      <c r="L980" s="2"/>
      <c r="M980" s="2"/>
      <c r="N980" s="2"/>
      <c r="O980" s="2"/>
      <c r="P980" s="2"/>
      <c r="Q980" s="2"/>
      <c r="R980" s="2"/>
      <c r="S980" s="2"/>
      <c r="T980" s="2"/>
    </row>
    <row r="981" spans="1:20" ht="15.75" customHeight="1">
      <c r="A981" s="1"/>
      <c r="B981" s="2"/>
      <c r="C981" s="2"/>
      <c r="D981" s="2"/>
      <c r="E981" s="2"/>
      <c r="F981" s="2"/>
      <c r="G981" s="2"/>
      <c r="H981" s="2"/>
      <c r="I981" s="2"/>
      <c r="J981" s="2"/>
      <c r="K981" s="2"/>
      <c r="L981" s="2"/>
      <c r="M981" s="2"/>
      <c r="N981" s="2"/>
      <c r="O981" s="2"/>
      <c r="P981" s="2"/>
      <c r="Q981" s="2"/>
      <c r="R981" s="2"/>
      <c r="S981" s="2"/>
      <c r="T981" s="2"/>
    </row>
    <row r="982" spans="1:20" ht="15.75" customHeight="1">
      <c r="A982" s="1"/>
      <c r="B982" s="2"/>
      <c r="C982" s="2"/>
      <c r="D982" s="2"/>
      <c r="E982" s="2"/>
      <c r="F982" s="2"/>
      <c r="G982" s="2"/>
      <c r="H982" s="2"/>
      <c r="I982" s="2"/>
      <c r="J982" s="2"/>
      <c r="K982" s="2"/>
      <c r="L982" s="2"/>
      <c r="M982" s="2"/>
      <c r="N982" s="2"/>
      <c r="O982" s="2"/>
      <c r="P982" s="2"/>
      <c r="Q982" s="2"/>
      <c r="R982" s="2"/>
      <c r="S982" s="2"/>
      <c r="T982" s="2"/>
    </row>
    <row r="983" spans="1:20" ht="15.75" customHeight="1">
      <c r="A983" s="1"/>
      <c r="B983" s="2"/>
      <c r="C983" s="2"/>
      <c r="D983" s="2"/>
      <c r="E983" s="2"/>
      <c r="F983" s="2"/>
      <c r="G983" s="2"/>
      <c r="H983" s="2"/>
      <c r="I983" s="2"/>
      <c r="J983" s="2"/>
      <c r="K983" s="2"/>
      <c r="L983" s="2"/>
      <c r="M983" s="2"/>
      <c r="N983" s="2"/>
      <c r="O983" s="2"/>
      <c r="P983" s="2"/>
      <c r="Q983" s="2"/>
      <c r="R983" s="2"/>
      <c r="S983" s="2"/>
      <c r="T983" s="2"/>
    </row>
    <row r="984" spans="1:20" ht="15.75" customHeight="1">
      <c r="A984" s="1"/>
      <c r="B984" s="2"/>
      <c r="C984" s="2"/>
      <c r="D984" s="2"/>
      <c r="E984" s="2"/>
      <c r="F984" s="2"/>
      <c r="G984" s="2"/>
      <c r="H984" s="2"/>
      <c r="I984" s="2"/>
      <c r="J984" s="2"/>
      <c r="K984" s="2"/>
      <c r="L984" s="2"/>
      <c r="M984" s="2"/>
      <c r="N984" s="2"/>
      <c r="O984" s="2"/>
      <c r="P984" s="2"/>
      <c r="Q984" s="2"/>
      <c r="R984" s="2"/>
      <c r="S984" s="2"/>
      <c r="T984" s="2"/>
    </row>
    <row r="985" spans="1:20" ht="15.75" customHeight="1">
      <c r="A985" s="1"/>
      <c r="B985" s="2"/>
      <c r="C985" s="2"/>
      <c r="D985" s="2"/>
      <c r="E985" s="2"/>
      <c r="F985" s="2"/>
      <c r="G985" s="2"/>
      <c r="H985" s="2"/>
      <c r="I985" s="2"/>
      <c r="J985" s="2"/>
      <c r="K985" s="2"/>
      <c r="L985" s="2"/>
      <c r="M985" s="2"/>
      <c r="N985" s="2"/>
      <c r="O985" s="2"/>
      <c r="P985" s="2"/>
      <c r="Q985" s="2"/>
      <c r="R985" s="2"/>
      <c r="S985" s="2"/>
      <c r="T985" s="2"/>
    </row>
    <row r="986" spans="1:20" ht="15.75" customHeight="1">
      <c r="A986" s="1"/>
      <c r="B986" s="2"/>
      <c r="C986" s="2"/>
      <c r="D986" s="2"/>
      <c r="E986" s="2"/>
      <c r="F986" s="2"/>
      <c r="G986" s="2"/>
      <c r="H986" s="2"/>
      <c r="I986" s="2"/>
      <c r="J986" s="2"/>
      <c r="K986" s="2"/>
      <c r="L986" s="2"/>
      <c r="M986" s="2"/>
      <c r="N986" s="2"/>
      <c r="O986" s="2"/>
      <c r="P986" s="2"/>
      <c r="Q986" s="2"/>
      <c r="R986" s="2"/>
      <c r="S986" s="2"/>
      <c r="T986" s="2"/>
    </row>
    <row r="987" spans="1:20" ht="15.75" customHeight="1">
      <c r="A987" s="1"/>
      <c r="B987" s="2"/>
      <c r="C987" s="2"/>
      <c r="D987" s="2"/>
      <c r="E987" s="2"/>
      <c r="F987" s="2"/>
      <c r="G987" s="2"/>
      <c r="H987" s="2"/>
      <c r="I987" s="2"/>
      <c r="J987" s="2"/>
      <c r="K987" s="2"/>
      <c r="L987" s="2"/>
      <c r="M987" s="2"/>
      <c r="N987" s="2"/>
      <c r="O987" s="2"/>
      <c r="P987" s="2"/>
      <c r="Q987" s="2"/>
      <c r="R987" s="2"/>
      <c r="S987" s="2"/>
      <c r="T987" s="2"/>
    </row>
    <row r="988" spans="1:20" ht="15.75" customHeight="1">
      <c r="A988" s="1"/>
      <c r="B988" s="2"/>
      <c r="C988" s="2"/>
      <c r="D988" s="2"/>
      <c r="E988" s="2"/>
      <c r="F988" s="2"/>
      <c r="G988" s="2"/>
      <c r="H988" s="2"/>
      <c r="I988" s="2"/>
      <c r="J988" s="2"/>
      <c r="K988" s="2"/>
      <c r="L988" s="2"/>
      <c r="M988" s="2"/>
      <c r="N988" s="2"/>
      <c r="O988" s="2"/>
      <c r="P988" s="2"/>
      <c r="Q988" s="2"/>
      <c r="R988" s="2"/>
      <c r="S988" s="2"/>
      <c r="T988" s="2"/>
    </row>
    <row r="989" spans="1:20" ht="15.75" customHeight="1">
      <c r="A989" s="1"/>
      <c r="B989" s="2"/>
      <c r="C989" s="2"/>
      <c r="D989" s="2"/>
      <c r="E989" s="2"/>
      <c r="F989" s="2"/>
      <c r="G989" s="2"/>
      <c r="H989" s="2"/>
      <c r="I989" s="2"/>
      <c r="J989" s="2"/>
      <c r="K989" s="2"/>
      <c r="L989" s="2"/>
      <c r="M989" s="2"/>
      <c r="N989" s="2"/>
      <c r="O989" s="2"/>
      <c r="P989" s="2"/>
      <c r="Q989" s="2"/>
      <c r="R989" s="2"/>
      <c r="S989" s="2"/>
      <c r="T989" s="2"/>
    </row>
    <row r="990" spans="1:20" ht="15.75" customHeight="1">
      <c r="A990" s="1"/>
      <c r="B990" s="2"/>
      <c r="C990" s="2"/>
      <c r="D990" s="2"/>
      <c r="E990" s="2"/>
      <c r="F990" s="2"/>
      <c r="G990" s="2"/>
      <c r="H990" s="2"/>
      <c r="I990" s="2"/>
      <c r="J990" s="2"/>
      <c r="K990" s="2"/>
      <c r="L990" s="2"/>
      <c r="M990" s="2"/>
      <c r="N990" s="2"/>
      <c r="O990" s="2"/>
      <c r="P990" s="2"/>
      <c r="Q990" s="2"/>
      <c r="R990" s="2"/>
      <c r="S990" s="2"/>
      <c r="T990" s="2"/>
    </row>
    <row r="991" spans="1:20" ht="15.75" customHeight="1">
      <c r="A991" s="1"/>
      <c r="B991" s="2"/>
      <c r="C991" s="2"/>
      <c r="D991" s="2"/>
      <c r="E991" s="2"/>
      <c r="F991" s="2"/>
      <c r="G991" s="2"/>
      <c r="H991" s="2"/>
      <c r="I991" s="2"/>
      <c r="J991" s="2"/>
      <c r="K991" s="2"/>
      <c r="L991" s="2"/>
      <c r="M991" s="2"/>
      <c r="N991" s="2"/>
      <c r="O991" s="2"/>
      <c r="P991" s="2"/>
      <c r="Q991" s="2"/>
      <c r="R991" s="2"/>
      <c r="S991" s="2"/>
      <c r="T991" s="2"/>
    </row>
    <row r="992" spans="1:20" ht="15.75" customHeight="1">
      <c r="A992" s="1"/>
      <c r="B992" s="2"/>
      <c r="C992" s="2"/>
      <c r="D992" s="2"/>
      <c r="E992" s="2"/>
      <c r="F992" s="2"/>
      <c r="G992" s="2"/>
      <c r="H992" s="2"/>
      <c r="I992" s="2"/>
      <c r="J992" s="2"/>
      <c r="K992" s="2"/>
      <c r="L992" s="2"/>
      <c r="M992" s="2"/>
      <c r="N992" s="2"/>
      <c r="O992" s="2"/>
      <c r="P992" s="2"/>
      <c r="Q992" s="2"/>
      <c r="R992" s="2"/>
      <c r="S992" s="2"/>
      <c r="T992" s="2"/>
    </row>
    <row r="993" spans="1:20" ht="15.75" customHeight="1">
      <c r="A993" s="1"/>
      <c r="B993" s="2"/>
      <c r="C993" s="2"/>
      <c r="D993" s="2"/>
      <c r="E993" s="2"/>
      <c r="F993" s="2"/>
      <c r="G993" s="2"/>
      <c r="H993" s="2"/>
      <c r="I993" s="2"/>
      <c r="J993" s="2"/>
      <c r="K993" s="2"/>
      <c r="L993" s="2"/>
      <c r="M993" s="2"/>
      <c r="N993" s="2"/>
      <c r="O993" s="2"/>
      <c r="P993" s="2"/>
      <c r="Q993" s="2"/>
      <c r="R993" s="2"/>
      <c r="S993" s="2"/>
      <c r="T993" s="2"/>
    </row>
    <row r="994" spans="1:20" ht="15.75" customHeight="1">
      <c r="A994" s="1"/>
      <c r="B994" s="2"/>
      <c r="C994" s="2"/>
      <c r="D994" s="2"/>
      <c r="E994" s="2"/>
      <c r="F994" s="2"/>
      <c r="G994" s="2"/>
      <c r="H994" s="2"/>
      <c r="I994" s="2"/>
      <c r="J994" s="2"/>
      <c r="K994" s="2"/>
      <c r="L994" s="2"/>
      <c r="M994" s="2"/>
      <c r="N994" s="2"/>
      <c r="O994" s="2"/>
      <c r="P994" s="2"/>
      <c r="Q994" s="2"/>
      <c r="R994" s="2"/>
      <c r="S994" s="2"/>
      <c r="T994" s="2"/>
    </row>
    <row r="995" spans="1:20" ht="15.75" customHeight="1">
      <c r="A995" s="1"/>
      <c r="B995" s="2"/>
      <c r="C995" s="2"/>
      <c r="D995" s="2"/>
      <c r="E995" s="2"/>
      <c r="F995" s="2"/>
      <c r="G995" s="2"/>
      <c r="H995" s="2"/>
      <c r="I995" s="2"/>
      <c r="J995" s="2"/>
      <c r="K995" s="2"/>
      <c r="L995" s="2"/>
      <c r="M995" s="2"/>
      <c r="N995" s="2"/>
      <c r="O995" s="2"/>
      <c r="P995" s="2"/>
      <c r="Q995" s="2"/>
      <c r="R995" s="2"/>
      <c r="S995" s="2"/>
      <c r="T995" s="2"/>
    </row>
    <row r="996" spans="1:20" ht="15.75" customHeight="1">
      <c r="A996" s="1"/>
      <c r="B996" s="2"/>
      <c r="C996" s="2"/>
      <c r="D996" s="2"/>
      <c r="E996" s="2"/>
      <c r="F996" s="2"/>
      <c r="G996" s="2"/>
      <c r="H996" s="2"/>
      <c r="I996" s="2"/>
      <c r="J996" s="2"/>
      <c r="K996" s="2"/>
      <c r="L996" s="2"/>
      <c r="M996" s="2"/>
      <c r="N996" s="2"/>
      <c r="O996" s="2"/>
      <c r="P996" s="2"/>
      <c r="Q996" s="2"/>
      <c r="R996" s="2"/>
      <c r="S996" s="2"/>
      <c r="T996" s="2"/>
    </row>
    <row r="997" spans="1:20" ht="15.75" customHeight="1">
      <c r="A997" s="1"/>
      <c r="B997" s="2"/>
      <c r="C997" s="2"/>
      <c r="D997" s="2"/>
      <c r="E997" s="2"/>
      <c r="F997" s="2"/>
      <c r="G997" s="2"/>
      <c r="H997" s="2"/>
      <c r="I997" s="2"/>
      <c r="J997" s="2"/>
      <c r="K997" s="2"/>
      <c r="L997" s="2"/>
      <c r="M997" s="2"/>
      <c r="N997" s="2"/>
      <c r="O997" s="2"/>
      <c r="P997" s="2"/>
      <c r="Q997" s="2"/>
      <c r="R997" s="2"/>
      <c r="S997" s="2"/>
      <c r="T997" s="2"/>
    </row>
    <row r="998" spans="1:20" ht="15.75" customHeight="1">
      <c r="A998" s="1"/>
      <c r="B998" s="2"/>
      <c r="C998" s="2"/>
      <c r="D998" s="2"/>
      <c r="E998" s="2"/>
      <c r="F998" s="2"/>
      <c r="G998" s="2"/>
      <c r="H998" s="2"/>
      <c r="I998" s="2"/>
      <c r="J998" s="2"/>
      <c r="K998" s="2"/>
      <c r="L998" s="2"/>
      <c r="M998" s="2"/>
      <c r="N998" s="2"/>
      <c r="O998" s="2"/>
      <c r="P998" s="2"/>
      <c r="Q998" s="2"/>
      <c r="R998" s="2"/>
      <c r="S998" s="2"/>
      <c r="T998" s="2"/>
    </row>
    <row r="999" spans="1:20" ht="15.75" customHeight="1">
      <c r="A999" s="1"/>
      <c r="B999" s="2"/>
      <c r="C999" s="2"/>
      <c r="D999" s="2"/>
      <c r="E999" s="2"/>
      <c r="F999" s="2"/>
      <c r="G999" s="2"/>
      <c r="H999" s="2"/>
      <c r="I999" s="2"/>
      <c r="J999" s="2"/>
      <c r="K999" s="2"/>
      <c r="L999" s="2"/>
      <c r="M999" s="2"/>
      <c r="N999" s="2"/>
      <c r="O999" s="2"/>
      <c r="P999" s="2"/>
      <c r="Q999" s="2"/>
      <c r="R999" s="2"/>
      <c r="S999" s="2"/>
      <c r="T999" s="2"/>
    </row>
    <row r="1000" spans="1:20" ht="15.75" customHeight="1">
      <c r="A1000" s="1"/>
      <c r="B1000" s="2"/>
      <c r="C1000" s="2"/>
      <c r="D1000" s="2"/>
      <c r="E1000" s="2"/>
      <c r="F1000" s="2"/>
      <c r="G1000" s="2"/>
      <c r="H1000" s="2"/>
      <c r="I1000" s="2"/>
      <c r="J1000" s="2"/>
      <c r="K1000" s="2"/>
      <c r="L1000" s="2"/>
      <c r="M1000" s="2"/>
      <c r="N1000" s="2"/>
      <c r="O1000" s="2"/>
      <c r="P1000" s="2"/>
      <c r="Q1000" s="2"/>
      <c r="R1000" s="2"/>
      <c r="S1000" s="2"/>
      <c r="T1000" s="2"/>
    </row>
  </sheetData>
  <conditionalFormatting sqref="E98:T98">
    <cfRule type="containsText" dxfId="14" priority="6" operator="containsText" text="TRUE">
      <formula>NOT(ISERROR(SEARCH(("TRUE"),(E98))))</formula>
    </cfRule>
  </conditionalFormatting>
  <conditionalFormatting sqref="E118:T118">
    <cfRule type="containsText" dxfId="13" priority="5" operator="containsText" text="TRUE">
      <formula>NOT(ISERROR(SEARCH(("TRUE"),(E118))))</formula>
    </cfRule>
  </conditionalFormatting>
  <conditionalFormatting sqref="E153:T153">
    <cfRule type="containsText" dxfId="12" priority="7" operator="containsText" text="TRUE">
      <formula>NOT(ISERROR(SEARCH(("TRUE"),(E153))))</formula>
    </cfRule>
  </conditionalFormatting>
  <pageMargins left="0.7" right="0.7" top="0.75" bottom="0.75" header="0" footer="0"/>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AC1000"/>
  <sheetViews>
    <sheetView zoomScale="72" zoomScaleNormal="60" workbookViewId="0">
      <pane xSplit="3" ySplit="3" topLeftCell="V48" activePane="bottomRight" state="frozen"/>
      <selection pane="topRight" activeCell="D1" sqref="D1"/>
      <selection pane="bottomLeft" activeCell="A4" sqref="A4"/>
      <selection pane="bottomRight" activeCell="V1" sqref="V1:AD1048576"/>
    </sheetView>
  </sheetViews>
  <sheetFormatPr defaultColWidth="14.42578125" defaultRowHeight="15" customHeight="1"/>
  <cols>
    <col min="1" max="1" width="5.5703125" customWidth="1"/>
    <col min="2" max="2" width="41.28515625" customWidth="1"/>
    <col min="3" max="3" width="17" customWidth="1"/>
    <col min="4" max="5" width="14.42578125" hidden="1" customWidth="1"/>
    <col min="6" max="6" width="15.42578125" hidden="1" customWidth="1"/>
    <col min="7" max="10" width="16.42578125" hidden="1" customWidth="1"/>
    <col min="11" max="11" width="17.28515625" hidden="1" customWidth="1"/>
    <col min="12" max="12" width="17.5703125" customWidth="1"/>
    <col min="13" max="13" width="17.28515625" customWidth="1"/>
    <col min="14" max="15" width="17.5703125" customWidth="1"/>
    <col min="16" max="20" width="25.5703125" customWidth="1"/>
  </cols>
  <sheetData>
    <row r="1" spans="1:29" ht="15.75" customHeight="1">
      <c r="A1" s="1"/>
      <c r="B1" s="2"/>
      <c r="C1" s="2"/>
      <c r="D1" s="2"/>
      <c r="E1" s="2"/>
      <c r="F1" s="2"/>
      <c r="G1" s="2"/>
      <c r="H1" s="2"/>
      <c r="I1" s="2"/>
      <c r="J1" s="2"/>
      <c r="K1" s="2"/>
      <c r="L1" s="2"/>
      <c r="M1" s="2"/>
      <c r="N1" s="2"/>
      <c r="O1" s="2"/>
      <c r="P1" s="2"/>
      <c r="Q1" s="2"/>
      <c r="R1" s="2"/>
      <c r="S1" s="2"/>
      <c r="T1" s="2"/>
    </row>
    <row r="2" spans="1:29" ht="15.75" customHeight="1" thickBot="1">
      <c r="A2" s="1"/>
      <c r="B2" s="2"/>
      <c r="C2" s="2"/>
      <c r="D2" s="2"/>
      <c r="E2" s="2"/>
      <c r="F2" s="2"/>
      <c r="G2" s="2"/>
      <c r="H2" s="2"/>
      <c r="I2" s="2"/>
      <c r="J2" s="2"/>
      <c r="K2" s="2"/>
      <c r="L2" s="2"/>
      <c r="M2" s="2"/>
      <c r="N2" s="2"/>
      <c r="O2" s="2"/>
      <c r="P2" s="2"/>
      <c r="Q2" s="2"/>
      <c r="R2" s="2"/>
      <c r="S2" s="2"/>
      <c r="T2" s="2"/>
    </row>
    <row r="3" spans="1:29" ht="15.75" customHeight="1" thickBot="1">
      <c r="A3" s="86"/>
      <c r="B3" s="87" t="s">
        <v>109</v>
      </c>
      <c r="C3" s="88" t="s">
        <v>1</v>
      </c>
      <c r="D3" s="88">
        <v>2008</v>
      </c>
      <c r="E3" s="88">
        <f t="shared" ref="E3:T3" si="0">D3+1</f>
        <v>2009</v>
      </c>
      <c r="F3" s="88">
        <f t="shared" si="0"/>
        <v>2010</v>
      </c>
      <c r="G3" s="88">
        <f t="shared" si="0"/>
        <v>2011</v>
      </c>
      <c r="H3" s="88">
        <f t="shared" si="0"/>
        <v>2012</v>
      </c>
      <c r="I3" s="88">
        <f t="shared" si="0"/>
        <v>2013</v>
      </c>
      <c r="J3" s="88">
        <f t="shared" si="0"/>
        <v>2014</v>
      </c>
      <c r="K3" s="88">
        <f t="shared" si="0"/>
        <v>2015</v>
      </c>
      <c r="L3" s="88">
        <f t="shared" si="0"/>
        <v>2016</v>
      </c>
      <c r="M3" s="88">
        <f t="shared" si="0"/>
        <v>2017</v>
      </c>
      <c r="N3" s="88">
        <f t="shared" si="0"/>
        <v>2018</v>
      </c>
      <c r="O3" s="88">
        <f t="shared" si="0"/>
        <v>2019</v>
      </c>
      <c r="P3" s="88">
        <f t="shared" si="0"/>
        <v>2020</v>
      </c>
      <c r="Q3" s="88">
        <f t="shared" si="0"/>
        <v>2021</v>
      </c>
      <c r="R3" s="88">
        <f t="shared" si="0"/>
        <v>2022</v>
      </c>
      <c r="S3" s="88">
        <f t="shared" si="0"/>
        <v>2023</v>
      </c>
      <c r="T3" s="88">
        <f t="shared" si="0"/>
        <v>2024</v>
      </c>
    </row>
    <row r="4" spans="1:29" ht="15.75" customHeight="1">
      <c r="A4" s="1"/>
      <c r="B4" s="2"/>
      <c r="C4" s="2"/>
      <c r="D4" s="2"/>
      <c r="E4" s="2"/>
      <c r="F4" s="2"/>
      <c r="G4" s="2"/>
      <c r="H4" s="2"/>
      <c r="I4" s="2"/>
      <c r="J4" s="2"/>
      <c r="K4" s="2"/>
      <c r="L4" s="2"/>
      <c r="M4" s="2"/>
      <c r="N4" s="2"/>
      <c r="O4" s="2"/>
      <c r="P4" s="2"/>
      <c r="Q4" s="2"/>
      <c r="R4" s="2"/>
      <c r="S4" s="2"/>
      <c r="T4" s="2"/>
    </row>
    <row r="5" spans="1:29" ht="15.75" customHeight="1">
      <c r="A5" s="6" t="s">
        <v>89</v>
      </c>
      <c r="B5" s="2"/>
      <c r="C5" s="2"/>
      <c r="D5" s="2"/>
      <c r="E5" s="2"/>
      <c r="F5" s="2"/>
      <c r="G5" s="2"/>
      <c r="H5" s="2"/>
      <c r="I5" s="2"/>
      <c r="J5" s="2"/>
      <c r="K5" s="2"/>
      <c r="L5" s="2"/>
      <c r="M5" s="2"/>
      <c r="N5" s="2"/>
      <c r="O5" s="2"/>
      <c r="P5" s="2"/>
      <c r="Q5" s="2"/>
      <c r="R5" s="2"/>
      <c r="S5" s="2"/>
      <c r="T5" s="2"/>
    </row>
    <row r="6" spans="1:29" ht="6.75" customHeight="1" thickBot="1">
      <c r="A6" s="7"/>
      <c r="B6" s="2"/>
      <c r="C6" s="2"/>
      <c r="D6" s="2"/>
      <c r="E6" s="2"/>
      <c r="F6" s="2"/>
      <c r="G6" s="2"/>
      <c r="H6" s="2"/>
      <c r="I6" s="2"/>
      <c r="J6" s="2"/>
      <c r="K6" s="2"/>
      <c r="L6" s="2"/>
      <c r="M6" s="2"/>
      <c r="N6" s="2"/>
      <c r="O6" s="2"/>
      <c r="P6" s="2"/>
      <c r="Q6" s="2"/>
      <c r="R6" s="2"/>
      <c r="S6" s="2"/>
      <c r="T6" s="2"/>
    </row>
    <row r="7" spans="1:29" ht="15.75" customHeight="1" thickBot="1">
      <c r="A7" s="89" t="s">
        <v>3</v>
      </c>
      <c r="B7" s="87" t="s">
        <v>4</v>
      </c>
      <c r="C7" s="88" t="s">
        <v>5</v>
      </c>
      <c r="D7" s="88">
        <f t="shared" ref="D7:T7" si="1">D$3</f>
        <v>2008</v>
      </c>
      <c r="E7" s="88">
        <f t="shared" si="1"/>
        <v>2009</v>
      </c>
      <c r="F7" s="88">
        <f t="shared" si="1"/>
        <v>2010</v>
      </c>
      <c r="G7" s="88">
        <f t="shared" si="1"/>
        <v>2011</v>
      </c>
      <c r="H7" s="88">
        <f t="shared" si="1"/>
        <v>2012</v>
      </c>
      <c r="I7" s="88">
        <f t="shared" si="1"/>
        <v>2013</v>
      </c>
      <c r="J7" s="88">
        <f t="shared" si="1"/>
        <v>2014</v>
      </c>
      <c r="K7" s="88">
        <f t="shared" si="1"/>
        <v>2015</v>
      </c>
      <c r="L7" s="88">
        <f t="shared" si="1"/>
        <v>2016</v>
      </c>
      <c r="M7" s="88">
        <f t="shared" si="1"/>
        <v>2017</v>
      </c>
      <c r="N7" s="88">
        <f t="shared" si="1"/>
        <v>2018</v>
      </c>
      <c r="O7" s="88">
        <f t="shared" si="1"/>
        <v>2019</v>
      </c>
      <c r="P7" s="88">
        <f t="shared" si="1"/>
        <v>2020</v>
      </c>
      <c r="Q7" s="88">
        <f t="shared" si="1"/>
        <v>2021</v>
      </c>
      <c r="R7" s="88">
        <f t="shared" si="1"/>
        <v>2022</v>
      </c>
      <c r="S7" s="88">
        <f t="shared" si="1"/>
        <v>2023</v>
      </c>
      <c r="T7" s="88">
        <f t="shared" si="1"/>
        <v>2024</v>
      </c>
    </row>
    <row r="8" spans="1:29"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f t="shared" si="2"/>
        <v>-15</v>
      </c>
      <c r="P8" s="9">
        <f t="shared" si="2"/>
        <v>-16</v>
      </c>
      <c r="Q8" s="9">
        <f t="shared" si="2"/>
        <v>-17</v>
      </c>
      <c r="R8" s="9">
        <f t="shared" si="2"/>
        <v>-18</v>
      </c>
      <c r="S8" s="9">
        <f t="shared" si="2"/>
        <v>-19</v>
      </c>
      <c r="T8" s="9">
        <f t="shared" si="2"/>
        <v>-20</v>
      </c>
    </row>
    <row r="9" spans="1:29" ht="15.75" customHeight="1">
      <c r="A9" s="23">
        <v>1</v>
      </c>
      <c r="B9" s="24" t="s">
        <v>6</v>
      </c>
      <c r="C9" s="23" t="s">
        <v>84</v>
      </c>
      <c r="D9" s="34">
        <f t="shared" ref="D9:Q9" si="3">SUM(D10:D11)</f>
        <v>0</v>
      </c>
      <c r="E9" s="34">
        <f t="shared" si="3"/>
        <v>0</v>
      </c>
      <c r="F9" s="34">
        <f t="shared" si="3"/>
        <v>4161000000</v>
      </c>
      <c r="G9" s="34">
        <f t="shared" si="3"/>
        <v>3044920000</v>
      </c>
      <c r="H9" s="34">
        <f t="shared" si="3"/>
        <v>3078670000</v>
      </c>
      <c r="I9" s="34">
        <f t="shared" si="3"/>
        <v>3134000000</v>
      </c>
      <c r="J9" s="34">
        <f t="shared" si="3"/>
        <v>3469338840.7175255</v>
      </c>
      <c r="K9" s="34">
        <f t="shared" si="3"/>
        <v>3451019356.1814432</v>
      </c>
      <c r="L9" s="34">
        <f t="shared" si="3"/>
        <v>3383979149.9958763</v>
      </c>
      <c r="M9" s="34">
        <f t="shared" si="3"/>
        <v>2857815828.8000002</v>
      </c>
      <c r="N9" s="34">
        <f t="shared" si="3"/>
        <v>2761182693.8000002</v>
      </c>
      <c r="O9" s="34">
        <f t="shared" si="3"/>
        <v>2631640885.8000002</v>
      </c>
      <c r="P9" s="34">
        <f t="shared" si="3"/>
        <v>3096942437.8000002</v>
      </c>
      <c r="Q9" s="34">
        <f t="shared" si="3"/>
        <v>3017819590</v>
      </c>
      <c r="R9" s="34">
        <f t="shared" ref="R9:S9" si="4">SUM(R10:R11)</f>
        <v>3036676590</v>
      </c>
      <c r="S9" s="34">
        <f t="shared" si="4"/>
        <v>2845468894.046875</v>
      </c>
      <c r="T9" s="34">
        <f t="shared" ref="T9" si="5">SUM(T10:T11)</f>
        <v>2857860963</v>
      </c>
      <c r="Z9" s="209"/>
      <c r="AA9" s="209"/>
      <c r="AB9" s="209"/>
      <c r="AC9" s="209"/>
    </row>
    <row r="10" spans="1:29" ht="15.75" customHeight="1">
      <c r="A10" s="14">
        <v>1.1000000000000001</v>
      </c>
      <c r="B10" s="15" t="s">
        <v>8</v>
      </c>
      <c r="C10" s="14" t="s">
        <v>84</v>
      </c>
      <c r="D10" s="16"/>
      <c r="E10" s="16"/>
      <c r="F10" s="16">
        <v>4161000000</v>
      </c>
      <c r="G10" s="16">
        <v>3044920000</v>
      </c>
      <c r="H10" s="16">
        <v>3078670000</v>
      </c>
      <c r="I10" s="16">
        <v>3134000000</v>
      </c>
      <c r="J10" s="16">
        <v>2926755789.171134</v>
      </c>
      <c r="K10" s="16">
        <v>2895693933.5010309</v>
      </c>
      <c r="L10" s="16">
        <v>2849197026.2845364</v>
      </c>
      <c r="M10" s="16">
        <v>994707115.79999995</v>
      </c>
      <c r="N10" s="16">
        <v>914545626.79999995</v>
      </c>
      <c r="O10" s="16">
        <v>856785376.79999995</v>
      </c>
      <c r="P10" s="16">
        <v>1190991774.8</v>
      </c>
      <c r="Q10" s="16">
        <v>639206927</v>
      </c>
      <c r="R10" s="16">
        <v>641678927</v>
      </c>
      <c r="S10" s="16">
        <v>1047937698.4174365</v>
      </c>
      <c r="T10" s="16">
        <v>1075915152</v>
      </c>
      <c r="Z10" s="209"/>
      <c r="AA10" s="209"/>
      <c r="AB10" s="209"/>
      <c r="AC10" s="209"/>
    </row>
    <row r="11" spans="1:29" ht="15.75" customHeight="1">
      <c r="A11" s="14">
        <v>1.2</v>
      </c>
      <c r="B11" s="15" t="s">
        <v>9</v>
      </c>
      <c r="C11" s="14" t="s">
        <v>84</v>
      </c>
      <c r="D11" s="16"/>
      <c r="E11" s="16"/>
      <c r="F11" s="16"/>
      <c r="G11" s="16"/>
      <c r="H11" s="16"/>
      <c r="I11" s="16"/>
      <c r="J11" s="16">
        <v>542583051.54639173</v>
      </c>
      <c r="K11" s="16">
        <v>555325422.68041229</v>
      </c>
      <c r="L11" s="16">
        <v>534782123.71134019</v>
      </c>
      <c r="M11" s="16">
        <v>1863108713</v>
      </c>
      <c r="N11" s="16">
        <v>1846637067</v>
      </c>
      <c r="O11" s="16">
        <v>1774855509</v>
      </c>
      <c r="P11" s="16">
        <v>1905950663</v>
      </c>
      <c r="Q11" s="16">
        <v>2378612663</v>
      </c>
      <c r="R11" s="16">
        <v>2394997663</v>
      </c>
      <c r="S11" s="16">
        <v>1797531195.6294386</v>
      </c>
      <c r="T11" s="16">
        <v>1781945811</v>
      </c>
      <c r="Z11" s="209"/>
      <c r="AA11" s="209"/>
      <c r="AB11" s="209"/>
      <c r="AC11" s="209"/>
    </row>
    <row r="12" spans="1:29" ht="15.75" customHeight="1">
      <c r="A12" s="23">
        <v>2</v>
      </c>
      <c r="B12" s="24" t="s">
        <v>10</v>
      </c>
      <c r="C12" s="23" t="s">
        <v>84</v>
      </c>
      <c r="D12" s="34">
        <f t="shared" ref="D12:S12" si="6">SUM(D13:D16)</f>
        <v>0</v>
      </c>
      <c r="E12" s="34">
        <f t="shared" si="6"/>
        <v>0</v>
      </c>
      <c r="F12" s="34">
        <f t="shared" si="6"/>
        <v>4925000000</v>
      </c>
      <c r="G12" s="34">
        <f t="shared" si="6"/>
        <v>5915070000</v>
      </c>
      <c r="H12" s="34">
        <f t="shared" si="6"/>
        <v>12035170000</v>
      </c>
      <c r="I12" s="34">
        <f t="shared" si="6"/>
        <v>17517820000</v>
      </c>
      <c r="J12" s="34">
        <f t="shared" si="6"/>
        <v>9664834062.4634094</v>
      </c>
      <c r="K12" s="34">
        <f t="shared" si="6"/>
        <v>17114784117.690212</v>
      </c>
      <c r="L12" s="34">
        <f t="shared" si="6"/>
        <v>14879285451.447945</v>
      </c>
      <c r="M12" s="34">
        <f t="shared" si="6"/>
        <v>12555527727.437637</v>
      </c>
      <c r="N12" s="34">
        <f t="shared" si="6"/>
        <v>12468354021.437637</v>
      </c>
      <c r="O12" s="34">
        <f t="shared" si="6"/>
        <v>14795658206.071877</v>
      </c>
      <c r="P12" s="34">
        <f>SUM(P13:P16)</f>
        <v>15944237525.071877</v>
      </c>
      <c r="Q12" s="34">
        <f>SUM(Q13:Q16)</f>
        <v>16224805680</v>
      </c>
      <c r="R12" s="34">
        <v>15801450547</v>
      </c>
      <c r="S12" s="34">
        <f t="shared" si="6"/>
        <v>16794318745.479452</v>
      </c>
      <c r="T12" s="34">
        <f t="shared" ref="T12" si="7">SUM(T13:T16)</f>
        <v>18336341836</v>
      </c>
      <c r="Z12" s="209"/>
      <c r="AA12" s="209"/>
      <c r="AB12" s="209"/>
      <c r="AC12" s="209"/>
    </row>
    <row r="13" spans="1:29" ht="15.75" customHeight="1">
      <c r="A13" s="14">
        <v>2.1</v>
      </c>
      <c r="B13" s="15" t="s">
        <v>11</v>
      </c>
      <c r="C13" s="14" t="s">
        <v>84</v>
      </c>
      <c r="D13" s="16"/>
      <c r="E13" s="16"/>
      <c r="F13" s="16">
        <v>4925000000</v>
      </c>
      <c r="G13" s="16">
        <v>5915070000</v>
      </c>
      <c r="H13" s="16">
        <v>12035170000</v>
      </c>
      <c r="I13" s="16">
        <v>17517820000</v>
      </c>
      <c r="J13" s="16">
        <v>14910116.877637131</v>
      </c>
      <c r="K13" s="16">
        <v>14910116.877637131</v>
      </c>
      <c r="L13" s="16">
        <v>14910127.377637131</v>
      </c>
      <c r="M13" s="16">
        <v>14910127.377637131</v>
      </c>
      <c r="N13" s="16">
        <v>16355127.377637131</v>
      </c>
      <c r="O13" s="16">
        <v>16355127.377637131</v>
      </c>
      <c r="P13" s="16">
        <v>16355127.377637099</v>
      </c>
      <c r="Q13" s="16">
        <v>273355127</v>
      </c>
      <c r="R13" s="16">
        <v>273355127</v>
      </c>
      <c r="S13" s="16">
        <v>273355127.37763715</v>
      </c>
      <c r="T13" s="16"/>
      <c r="Z13" s="209"/>
      <c r="AA13" s="209"/>
      <c r="AB13" s="209"/>
      <c r="AC13" s="209"/>
    </row>
    <row r="14" spans="1:29" ht="15.75" customHeight="1">
      <c r="A14" s="14">
        <v>2.2000000000000002</v>
      </c>
      <c r="B14" s="15" t="s">
        <v>12</v>
      </c>
      <c r="C14" s="14" t="s">
        <v>84</v>
      </c>
      <c r="D14" s="16"/>
      <c r="E14" s="16"/>
      <c r="F14" s="16"/>
      <c r="G14" s="16"/>
      <c r="H14" s="16"/>
      <c r="I14" s="16"/>
      <c r="J14" s="16">
        <v>4413838738.2948456</v>
      </c>
      <c r="K14" s="16">
        <v>7308127030.6350517</v>
      </c>
      <c r="L14" s="16">
        <v>7289982003.3773193</v>
      </c>
      <c r="M14" s="16">
        <v>7299117636.8000002</v>
      </c>
      <c r="N14" s="16">
        <v>7294980448.8000002</v>
      </c>
      <c r="O14" s="16">
        <v>8485312249.0245571</v>
      </c>
      <c r="P14" s="16">
        <v>8593704727.0245609</v>
      </c>
      <c r="Q14" s="16">
        <v>8593704727</v>
      </c>
      <c r="R14" s="16">
        <v>8090468245</v>
      </c>
      <c r="S14" s="16">
        <v>8301960584.8000002</v>
      </c>
      <c r="T14" s="16">
        <v>9340960585</v>
      </c>
      <c r="Z14" s="209"/>
      <c r="AA14" s="209"/>
      <c r="AB14" s="209"/>
      <c r="AC14" s="209"/>
    </row>
    <row r="15" spans="1:29" ht="15.75" customHeight="1">
      <c r="A15" s="14">
        <v>2.2999999999999998</v>
      </c>
      <c r="B15" s="15" t="s">
        <v>13</v>
      </c>
      <c r="C15" s="14" t="s">
        <v>84</v>
      </c>
      <c r="D15" s="16"/>
      <c r="E15" s="16"/>
      <c r="F15" s="16"/>
      <c r="G15" s="16"/>
      <c r="H15" s="16"/>
      <c r="I15" s="16"/>
      <c r="J15" s="16">
        <v>1889625202.1672163</v>
      </c>
      <c r="K15" s="16">
        <v>3577170831.0331955</v>
      </c>
      <c r="L15" s="16">
        <v>4333651872.2703094</v>
      </c>
      <c r="M15" s="16">
        <v>4170818679.2600002</v>
      </c>
      <c r="N15" s="16">
        <v>4059948927.2600002</v>
      </c>
      <c r="O15" s="16">
        <v>5030150246.0992126</v>
      </c>
      <c r="P15" s="16">
        <v>4671929518.0992098</v>
      </c>
      <c r="Q15" s="16">
        <v>4682297302</v>
      </c>
      <c r="R15" s="16">
        <v>5057761624</v>
      </c>
      <c r="S15" s="16">
        <v>5470503489.5459995</v>
      </c>
      <c r="T15" s="16">
        <v>6182546059</v>
      </c>
      <c r="Z15" s="209"/>
      <c r="AA15" s="209"/>
      <c r="AB15" s="209"/>
      <c r="AC15" s="209"/>
    </row>
    <row r="16" spans="1:29" ht="15.75" customHeight="1">
      <c r="A16" s="14">
        <v>2.4</v>
      </c>
      <c r="B16" s="15" t="s">
        <v>14</v>
      </c>
      <c r="C16" s="14" t="s">
        <v>84</v>
      </c>
      <c r="D16" s="16"/>
      <c r="E16" s="16"/>
      <c r="F16" s="16"/>
      <c r="G16" s="16"/>
      <c r="H16" s="16"/>
      <c r="I16" s="16"/>
      <c r="J16" s="16">
        <v>3346460005.1237116</v>
      </c>
      <c r="K16" s="16">
        <v>6214576139.14433</v>
      </c>
      <c r="L16" s="16">
        <v>3240741448.4226804</v>
      </c>
      <c r="M16" s="16">
        <v>1070681284</v>
      </c>
      <c r="N16" s="16">
        <v>1097069518</v>
      </c>
      <c r="O16" s="16">
        <v>1263840583.5704679</v>
      </c>
      <c r="P16" s="16">
        <v>2662248152.5704699</v>
      </c>
      <c r="Q16" s="16">
        <v>2675448524</v>
      </c>
      <c r="R16" s="16">
        <v>2653220677</v>
      </c>
      <c r="S16" s="16">
        <v>2748499543.755815</v>
      </c>
      <c r="T16" s="16">
        <v>2812835192</v>
      </c>
      <c r="Z16" s="209"/>
      <c r="AA16" s="209"/>
      <c r="AB16" s="209"/>
      <c r="AC16" s="209"/>
    </row>
    <row r="17" spans="1:29" ht="15.75" customHeight="1">
      <c r="A17" s="17" t="s">
        <v>15</v>
      </c>
      <c r="B17" s="2"/>
      <c r="C17" s="2"/>
      <c r="D17" s="2"/>
      <c r="E17" s="2"/>
      <c r="F17" s="2"/>
      <c r="G17" s="2"/>
      <c r="H17" s="2"/>
      <c r="I17" s="2"/>
      <c r="J17" s="2"/>
      <c r="K17" s="2"/>
      <c r="L17" s="2"/>
      <c r="M17" s="2"/>
      <c r="N17" s="2"/>
      <c r="O17" s="2"/>
      <c r="P17" s="2"/>
      <c r="Q17" s="2"/>
      <c r="R17" s="2"/>
      <c r="S17" s="2"/>
      <c r="T17" s="2"/>
    </row>
    <row r="18" spans="1:29" ht="15.75" customHeight="1">
      <c r="A18" s="1"/>
      <c r="B18" s="2"/>
      <c r="C18" s="2"/>
      <c r="D18" s="2"/>
      <c r="E18" s="2"/>
      <c r="F18" s="2"/>
      <c r="G18" s="2"/>
      <c r="H18" s="2"/>
      <c r="I18" s="2"/>
      <c r="J18" s="2"/>
      <c r="K18" s="2"/>
      <c r="L18" s="2"/>
      <c r="M18" s="2"/>
      <c r="N18" s="2"/>
      <c r="O18" s="2"/>
      <c r="P18" s="2"/>
      <c r="Q18" s="2"/>
      <c r="R18" s="2"/>
      <c r="S18" s="2"/>
      <c r="T18" s="2"/>
    </row>
    <row r="19" spans="1:29" ht="15.75" customHeight="1">
      <c r="A19" s="1"/>
      <c r="B19" s="2"/>
      <c r="C19" s="2"/>
      <c r="D19" s="2"/>
      <c r="E19" s="2"/>
      <c r="F19" s="2"/>
      <c r="G19" s="2"/>
      <c r="H19" s="2"/>
      <c r="I19" s="2"/>
      <c r="J19" s="2"/>
      <c r="K19" s="2"/>
      <c r="L19" s="2"/>
      <c r="M19" s="2"/>
      <c r="N19" s="2"/>
      <c r="O19" s="2"/>
      <c r="P19" s="185"/>
      <c r="Q19" s="185"/>
      <c r="R19" s="185"/>
      <c r="S19" s="185"/>
      <c r="T19" s="185"/>
    </row>
    <row r="20" spans="1:29" ht="15.75" customHeight="1">
      <c r="A20" s="6" t="s">
        <v>90</v>
      </c>
      <c r="B20" s="2"/>
      <c r="C20" s="2"/>
      <c r="D20" s="2"/>
      <c r="E20" s="2"/>
      <c r="F20" s="2"/>
      <c r="G20" s="2"/>
      <c r="H20" s="2"/>
      <c r="I20" s="2"/>
      <c r="J20" s="2"/>
      <c r="K20" s="2"/>
      <c r="L20" s="2"/>
      <c r="M20" s="2"/>
      <c r="N20" s="2"/>
      <c r="O20" s="2"/>
      <c r="P20" s="2"/>
      <c r="Q20" s="2"/>
      <c r="R20" s="2"/>
      <c r="S20" s="2"/>
      <c r="T20" s="2"/>
    </row>
    <row r="21" spans="1:29" ht="15.75" customHeight="1" thickBot="1">
      <c r="A21" s="7"/>
      <c r="B21" s="2"/>
      <c r="C21" s="2"/>
      <c r="D21" s="2"/>
      <c r="E21" s="2"/>
      <c r="F21" s="2"/>
      <c r="G21" s="2"/>
      <c r="H21" s="2"/>
      <c r="I21" s="2"/>
      <c r="J21" s="2"/>
      <c r="K21" s="2"/>
      <c r="L21" s="2"/>
      <c r="M21" s="2"/>
      <c r="N21" s="2"/>
      <c r="O21" s="2"/>
      <c r="P21" s="192"/>
      <c r="Q21" s="192"/>
      <c r="R21" s="192"/>
      <c r="S21" s="192"/>
      <c r="T21" s="192"/>
    </row>
    <row r="22" spans="1:29" ht="15.75" customHeight="1" thickBot="1">
      <c r="A22" s="89" t="s">
        <v>3</v>
      </c>
      <c r="B22" s="87" t="s">
        <v>4</v>
      </c>
      <c r="C22" s="88" t="s">
        <v>5</v>
      </c>
      <c r="D22" s="88">
        <f t="shared" ref="D22:T22" si="8">D$3</f>
        <v>2008</v>
      </c>
      <c r="E22" s="88">
        <f t="shared" si="8"/>
        <v>2009</v>
      </c>
      <c r="F22" s="88">
        <f t="shared" si="8"/>
        <v>2010</v>
      </c>
      <c r="G22" s="88">
        <f t="shared" si="8"/>
        <v>2011</v>
      </c>
      <c r="H22" s="88">
        <f t="shared" si="8"/>
        <v>2012</v>
      </c>
      <c r="I22" s="88">
        <f t="shared" si="8"/>
        <v>2013</v>
      </c>
      <c r="J22" s="88">
        <f t="shared" si="8"/>
        <v>2014</v>
      </c>
      <c r="K22" s="88">
        <f t="shared" si="8"/>
        <v>2015</v>
      </c>
      <c r="L22" s="88">
        <f t="shared" si="8"/>
        <v>2016</v>
      </c>
      <c r="M22" s="88">
        <f t="shared" si="8"/>
        <v>2017</v>
      </c>
      <c r="N22" s="88">
        <f t="shared" si="8"/>
        <v>2018</v>
      </c>
      <c r="O22" s="88">
        <f t="shared" si="8"/>
        <v>2019</v>
      </c>
      <c r="P22" s="88">
        <f t="shared" si="8"/>
        <v>2020</v>
      </c>
      <c r="Q22" s="88">
        <f t="shared" si="8"/>
        <v>2021</v>
      </c>
      <c r="R22" s="88">
        <f t="shared" si="8"/>
        <v>2022</v>
      </c>
      <c r="S22" s="88">
        <f t="shared" si="8"/>
        <v>2023</v>
      </c>
      <c r="T22" s="88">
        <f t="shared" si="8"/>
        <v>2024</v>
      </c>
    </row>
    <row r="23" spans="1:29" ht="15.75" customHeight="1">
      <c r="A23" s="9">
        <v>-1</v>
      </c>
      <c r="B23" s="9">
        <f t="shared" ref="B23:T23" si="9">A23-1</f>
        <v>-2</v>
      </c>
      <c r="C23" s="9">
        <f t="shared" si="9"/>
        <v>-3</v>
      </c>
      <c r="D23" s="9">
        <f t="shared" si="9"/>
        <v>-4</v>
      </c>
      <c r="E23" s="9">
        <f t="shared" si="9"/>
        <v>-5</v>
      </c>
      <c r="F23" s="9">
        <f t="shared" si="9"/>
        <v>-6</v>
      </c>
      <c r="G23" s="9">
        <f t="shared" si="9"/>
        <v>-7</v>
      </c>
      <c r="H23" s="9">
        <f t="shared" si="9"/>
        <v>-8</v>
      </c>
      <c r="I23" s="9">
        <f t="shared" si="9"/>
        <v>-9</v>
      </c>
      <c r="J23" s="9">
        <f t="shared" si="9"/>
        <v>-10</v>
      </c>
      <c r="K23" s="9">
        <f t="shared" si="9"/>
        <v>-11</v>
      </c>
      <c r="L23" s="9">
        <f t="shared" si="9"/>
        <v>-12</v>
      </c>
      <c r="M23" s="9">
        <f t="shared" si="9"/>
        <v>-13</v>
      </c>
      <c r="N23" s="9">
        <f t="shared" si="9"/>
        <v>-14</v>
      </c>
      <c r="O23" s="9">
        <f t="shared" si="9"/>
        <v>-15</v>
      </c>
      <c r="P23" s="9">
        <f t="shared" si="9"/>
        <v>-16</v>
      </c>
      <c r="Q23" s="9">
        <f t="shared" si="9"/>
        <v>-17</v>
      </c>
      <c r="R23" s="9">
        <f t="shared" si="9"/>
        <v>-18</v>
      </c>
      <c r="S23" s="9">
        <f t="shared" si="9"/>
        <v>-19</v>
      </c>
      <c r="T23" s="9">
        <f t="shared" si="9"/>
        <v>-20</v>
      </c>
    </row>
    <row r="24" spans="1:29" ht="15.75" customHeight="1">
      <c r="A24" s="23">
        <v>1</v>
      </c>
      <c r="B24" s="24" t="s">
        <v>6</v>
      </c>
      <c r="C24" s="23" t="s">
        <v>84</v>
      </c>
      <c r="D24" s="34">
        <f t="shared" ref="D24:Q24" si="10">SUM(D25:D26)</f>
        <v>0</v>
      </c>
      <c r="E24" s="34">
        <f t="shared" si="10"/>
        <v>0</v>
      </c>
      <c r="F24" s="34">
        <f t="shared" si="10"/>
        <v>0</v>
      </c>
      <c r="G24" s="34">
        <f t="shared" si="10"/>
        <v>0</v>
      </c>
      <c r="H24" s="34">
        <f t="shared" si="10"/>
        <v>29295278.98690474</v>
      </c>
      <c r="I24" s="34">
        <f t="shared" si="10"/>
        <v>29267850.174533609</v>
      </c>
      <c r="J24" s="34">
        <f t="shared" si="10"/>
        <v>28675310.999275878</v>
      </c>
      <c r="K24" s="34">
        <f t="shared" si="10"/>
        <v>27731459.504430518</v>
      </c>
      <c r="L24" s="34">
        <f t="shared" si="10"/>
        <v>29166727.54566763</v>
      </c>
      <c r="M24" s="34">
        <f t="shared" si="10"/>
        <v>24216222.984266959</v>
      </c>
      <c r="N24" s="34">
        <f t="shared" si="10"/>
        <v>22781008.71011278</v>
      </c>
      <c r="O24" s="34">
        <f t="shared" si="10"/>
        <v>23794039.526079997</v>
      </c>
      <c r="P24" s="34">
        <f t="shared" si="10"/>
        <v>24200637.734800003</v>
      </c>
      <c r="Q24" s="34">
        <f t="shared" si="10"/>
        <v>19936017</v>
      </c>
      <c r="R24" s="34">
        <f t="shared" ref="R24:S24" si="11">SUM(R25:R26)</f>
        <v>20291002</v>
      </c>
      <c r="S24" s="34">
        <f t="shared" si="11"/>
        <v>21410612.54656788</v>
      </c>
      <c r="T24" s="34">
        <f t="shared" ref="T24" si="12">SUM(T25:T26)</f>
        <v>21325644</v>
      </c>
      <c r="Z24" s="209"/>
      <c r="AA24" s="209"/>
      <c r="AB24" s="209"/>
      <c r="AC24" s="209"/>
    </row>
    <row r="25" spans="1:29" ht="15.75" customHeight="1">
      <c r="A25" s="14">
        <v>1.1000000000000001</v>
      </c>
      <c r="B25" s="15" t="s">
        <v>8</v>
      </c>
      <c r="C25" s="14" t="s">
        <v>84</v>
      </c>
      <c r="D25" s="16"/>
      <c r="E25" s="16"/>
      <c r="F25" s="16">
        <v>0</v>
      </c>
      <c r="G25" s="16">
        <v>0</v>
      </c>
      <c r="H25" s="16">
        <v>26729206.821956288</v>
      </c>
      <c r="I25" s="16">
        <v>27173124.97865732</v>
      </c>
      <c r="J25" s="16">
        <v>26585967.246698558</v>
      </c>
      <c r="K25" s="16">
        <v>26052551.576595467</v>
      </c>
      <c r="L25" s="16">
        <v>26690197.968348041</v>
      </c>
      <c r="M25" s="16">
        <v>8247974.7459913604</v>
      </c>
      <c r="N25" s="16">
        <v>7396112.0085814707</v>
      </c>
      <c r="O25" s="16">
        <v>9005056.4260799997</v>
      </c>
      <c r="P25" s="16">
        <v>9545029.2188000008</v>
      </c>
      <c r="Q25" s="16">
        <v>1967173</v>
      </c>
      <c r="R25" s="16">
        <v>2041154</v>
      </c>
      <c r="S25" s="16">
        <v>7641008.3984628748</v>
      </c>
      <c r="T25" s="16">
        <v>7626600</v>
      </c>
      <c r="Z25" s="209"/>
      <c r="AA25" s="209"/>
      <c r="AB25" s="209"/>
      <c r="AC25" s="209"/>
    </row>
    <row r="26" spans="1:29" ht="15.75" customHeight="1">
      <c r="A26" s="14">
        <v>1.2</v>
      </c>
      <c r="B26" s="15" t="s">
        <v>9</v>
      </c>
      <c r="C26" s="14" t="s">
        <v>84</v>
      </c>
      <c r="D26" s="16"/>
      <c r="E26" s="16"/>
      <c r="F26" s="16">
        <v>0</v>
      </c>
      <c r="G26" s="16">
        <v>0</v>
      </c>
      <c r="H26" s="16">
        <v>2566072.1649484532</v>
      </c>
      <c r="I26" s="16">
        <v>2094725.1958762885</v>
      </c>
      <c r="J26" s="16">
        <v>2089343.7525773193</v>
      </c>
      <c r="K26" s="16">
        <v>1678907.9278350514</v>
      </c>
      <c r="L26" s="16">
        <v>2476529.5773195876</v>
      </c>
      <c r="M26" s="16">
        <v>15968248.238275601</v>
      </c>
      <c r="N26" s="16">
        <v>15384896.701531311</v>
      </c>
      <c r="O26" s="16">
        <v>14788983.1</v>
      </c>
      <c r="P26" s="16">
        <v>14655608.516000001</v>
      </c>
      <c r="Q26" s="16">
        <v>17968844</v>
      </c>
      <c r="R26" s="16">
        <v>18249848</v>
      </c>
      <c r="S26" s="16">
        <v>13769604.148105007</v>
      </c>
      <c r="T26" s="16">
        <v>13699044</v>
      </c>
      <c r="Z26" s="209"/>
      <c r="AA26" s="209"/>
      <c r="AB26" s="209"/>
      <c r="AC26" s="209"/>
    </row>
    <row r="27" spans="1:29" ht="15.75" customHeight="1">
      <c r="A27" s="23">
        <v>2</v>
      </c>
      <c r="B27" s="24" t="s">
        <v>10</v>
      </c>
      <c r="C27" s="23" t="s">
        <v>84</v>
      </c>
      <c r="D27" s="34">
        <f t="shared" ref="D27:S27" si="13">SUM(D28:D31)</f>
        <v>0</v>
      </c>
      <c r="E27" s="34">
        <f t="shared" si="13"/>
        <v>0</v>
      </c>
      <c r="F27" s="34">
        <f t="shared" si="13"/>
        <v>0</v>
      </c>
      <c r="G27" s="34">
        <f t="shared" si="13"/>
        <v>0</v>
      </c>
      <c r="H27" s="34">
        <f t="shared" si="13"/>
        <v>93526196.769754112</v>
      </c>
      <c r="I27" s="34">
        <f t="shared" si="13"/>
        <v>34225601.291815974</v>
      </c>
      <c r="J27" s="34">
        <f t="shared" si="13"/>
        <v>39930545.553671651</v>
      </c>
      <c r="K27" s="34">
        <f t="shared" si="13"/>
        <v>51626660.062319793</v>
      </c>
      <c r="L27" s="34">
        <f t="shared" si="13"/>
        <v>60953667.088768557</v>
      </c>
      <c r="M27" s="34">
        <f t="shared" si="13"/>
        <v>44881990.387048148</v>
      </c>
      <c r="N27" s="34">
        <f t="shared" si="13"/>
        <v>41978215.837587774</v>
      </c>
      <c r="O27" s="34">
        <f t="shared" si="13"/>
        <v>63691650.52814541</v>
      </c>
      <c r="P27" s="34">
        <f t="shared" si="13"/>
        <v>66037776.771203898</v>
      </c>
      <c r="Q27" s="34">
        <f t="shared" si="13"/>
        <v>66735146</v>
      </c>
      <c r="R27" s="34">
        <v>66108232</v>
      </c>
      <c r="S27" s="34">
        <f t="shared" si="13"/>
        <v>71341012.898100793</v>
      </c>
      <c r="T27" s="34">
        <f t="shared" ref="T27" si="14">SUM(T28:T31)</f>
        <v>76213563</v>
      </c>
      <c r="Z27" s="209"/>
      <c r="AA27" s="209"/>
      <c r="AB27" s="209"/>
      <c r="AC27" s="209"/>
    </row>
    <row r="28" spans="1:29" ht="15.75" customHeight="1">
      <c r="A28" s="14">
        <v>2.1</v>
      </c>
      <c r="B28" s="15" t="s">
        <v>11</v>
      </c>
      <c r="C28" s="14" t="s">
        <v>84</v>
      </c>
      <c r="D28" s="16"/>
      <c r="E28" s="16"/>
      <c r="F28" s="16">
        <v>0</v>
      </c>
      <c r="G28" s="16">
        <v>0</v>
      </c>
      <c r="H28" s="16">
        <v>203724.27</v>
      </c>
      <c r="I28" s="16">
        <v>203724.27</v>
      </c>
      <c r="J28" s="16">
        <v>203724.27</v>
      </c>
      <c r="K28" s="16">
        <v>203724.27</v>
      </c>
      <c r="L28" s="16">
        <v>203724.28469999999</v>
      </c>
      <c r="M28" s="16">
        <v>193824.28469999999</v>
      </c>
      <c r="N28" s="16">
        <v>199170.78469999999</v>
      </c>
      <c r="O28" s="16">
        <v>199170.78469999999</v>
      </c>
      <c r="P28" s="16">
        <v>199170.78469999999</v>
      </c>
      <c r="Q28" s="16">
        <v>790271</v>
      </c>
      <c r="R28" s="16">
        <v>790271</v>
      </c>
      <c r="S28" s="16">
        <v>790270.78469999996</v>
      </c>
      <c r="T28" s="16"/>
      <c r="Z28" s="209"/>
      <c r="AA28" s="209"/>
      <c r="AB28" s="209"/>
      <c r="AC28" s="209"/>
    </row>
    <row r="29" spans="1:29" ht="15.75" customHeight="1">
      <c r="A29" s="14">
        <v>2.2000000000000002</v>
      </c>
      <c r="B29" s="15" t="s">
        <v>12</v>
      </c>
      <c r="C29" s="14" t="s">
        <v>84</v>
      </c>
      <c r="D29" s="16"/>
      <c r="E29" s="16"/>
      <c r="F29" s="16">
        <v>0</v>
      </c>
      <c r="G29" s="16">
        <v>0</v>
      </c>
      <c r="H29" s="16">
        <v>72014626.631237119</v>
      </c>
      <c r="I29" s="16">
        <v>13486044.367731957</v>
      </c>
      <c r="J29" s="16">
        <v>15807203.97185567</v>
      </c>
      <c r="K29" s="16">
        <v>26792929.247937527</v>
      </c>
      <c r="L29" s="16">
        <v>28120518.419056702</v>
      </c>
      <c r="M29" s="16">
        <v>18994028.123365901</v>
      </c>
      <c r="N29" s="16">
        <v>18835983.543622196</v>
      </c>
      <c r="O29" s="16">
        <v>28846530.230064251</v>
      </c>
      <c r="P29" s="16">
        <v>28326841.143994302</v>
      </c>
      <c r="Q29" s="16">
        <v>28326841</v>
      </c>
      <c r="R29" s="16">
        <v>25992747</v>
      </c>
      <c r="S29" s="16">
        <v>26853166.822800007</v>
      </c>
      <c r="T29" s="16">
        <v>28036667</v>
      </c>
      <c r="Z29" s="209"/>
      <c r="AA29" s="209"/>
      <c r="AB29" s="209"/>
      <c r="AC29" s="209"/>
    </row>
    <row r="30" spans="1:29" ht="15.75" customHeight="1">
      <c r="A30" s="14">
        <v>2.2999999999999998</v>
      </c>
      <c r="B30" s="15" t="s">
        <v>13</v>
      </c>
      <c r="C30" s="14" t="s">
        <v>84</v>
      </c>
      <c r="D30" s="16"/>
      <c r="E30" s="16"/>
      <c r="F30" s="16">
        <v>0</v>
      </c>
      <c r="G30" s="16">
        <v>0</v>
      </c>
      <c r="H30" s="16">
        <v>3007478.8321649483</v>
      </c>
      <c r="I30" s="16">
        <v>1881652.009484536</v>
      </c>
      <c r="J30" s="16">
        <v>6872260.8940206189</v>
      </c>
      <c r="K30" s="16">
        <v>7737794.7871738141</v>
      </c>
      <c r="L30" s="16">
        <v>16183787.297113402</v>
      </c>
      <c r="M30" s="16">
        <v>19752604.033881299</v>
      </c>
      <c r="N30" s="16">
        <v>17619340.643568691</v>
      </c>
      <c r="O30" s="16">
        <v>28251107.49424617</v>
      </c>
      <c r="P30" s="16">
        <v>26026097.089806199</v>
      </c>
      <c r="Q30" s="16">
        <v>26034304</v>
      </c>
      <c r="R30" s="16">
        <v>28431363</v>
      </c>
      <c r="S30" s="16">
        <v>31900963.140316278</v>
      </c>
      <c r="T30" s="16">
        <v>36256649</v>
      </c>
      <c r="Z30" s="209"/>
      <c r="AA30" s="209"/>
      <c r="AB30" s="209"/>
      <c r="AC30" s="209"/>
    </row>
    <row r="31" spans="1:29" ht="15.75" customHeight="1">
      <c r="A31" s="14">
        <v>2.4</v>
      </c>
      <c r="B31" s="15" t="s">
        <v>14</v>
      </c>
      <c r="C31" s="14" t="s">
        <v>84</v>
      </c>
      <c r="D31" s="16"/>
      <c r="E31" s="16"/>
      <c r="F31" s="16">
        <v>0</v>
      </c>
      <c r="G31" s="16">
        <v>0</v>
      </c>
      <c r="H31" s="16">
        <v>18300367.036352061</v>
      </c>
      <c r="I31" s="16">
        <v>18654180.644599482</v>
      </c>
      <c r="J31" s="16">
        <v>17047356.41779536</v>
      </c>
      <c r="K31" s="16">
        <v>16892211.757208452</v>
      </c>
      <c r="L31" s="16">
        <v>16445637.087898452</v>
      </c>
      <c r="M31" s="16">
        <v>5941533.9451009501</v>
      </c>
      <c r="N31" s="16">
        <v>5323720.8656968893</v>
      </c>
      <c r="O31" s="16">
        <v>6394842.0191349899</v>
      </c>
      <c r="P31" s="16">
        <v>11485667.7527034</v>
      </c>
      <c r="Q31" s="16">
        <v>11583730</v>
      </c>
      <c r="R31" s="16">
        <v>11684122</v>
      </c>
      <c r="S31" s="16">
        <v>11796612.150284519</v>
      </c>
      <c r="T31" s="16">
        <v>11920247</v>
      </c>
      <c r="Z31" s="209"/>
      <c r="AA31" s="209"/>
      <c r="AB31" s="209"/>
      <c r="AC31" s="209"/>
    </row>
    <row r="32" spans="1:29" ht="15.75" customHeight="1">
      <c r="A32" s="17" t="s">
        <v>15</v>
      </c>
      <c r="B32" s="2"/>
      <c r="C32" s="2"/>
      <c r="D32" s="2"/>
      <c r="E32" s="2"/>
      <c r="F32" s="2"/>
      <c r="G32" s="2"/>
      <c r="H32" s="2"/>
      <c r="I32" s="2"/>
      <c r="J32" s="2"/>
      <c r="K32" s="2"/>
      <c r="L32" s="2"/>
      <c r="M32" s="2"/>
      <c r="N32" s="2"/>
      <c r="O32" s="2"/>
      <c r="P32" s="2"/>
      <c r="Q32" s="2"/>
      <c r="R32" s="2"/>
      <c r="S32" s="2"/>
      <c r="T32" s="2"/>
    </row>
    <row r="33" spans="1:29" ht="15.75" customHeight="1">
      <c r="A33" s="1"/>
      <c r="B33" s="2"/>
      <c r="C33" s="2"/>
      <c r="D33" s="2"/>
      <c r="E33" s="2"/>
      <c r="F33" s="2"/>
      <c r="G33" s="2"/>
      <c r="H33" s="2"/>
      <c r="I33" s="2"/>
      <c r="J33" s="2"/>
      <c r="K33" s="2"/>
      <c r="L33" s="2"/>
      <c r="M33" s="2"/>
      <c r="N33" s="2"/>
      <c r="O33" s="2"/>
      <c r="P33" s="2"/>
      <c r="Q33" s="2"/>
      <c r="R33" s="2"/>
      <c r="S33" s="2"/>
      <c r="T33" s="2"/>
    </row>
    <row r="34" spans="1:29" ht="15.75" customHeight="1">
      <c r="A34" s="1"/>
      <c r="B34" s="2"/>
      <c r="C34" s="2"/>
      <c r="D34" s="2"/>
      <c r="E34" s="2"/>
      <c r="F34" s="2"/>
      <c r="G34" s="2"/>
      <c r="H34" s="2"/>
      <c r="I34" s="2"/>
      <c r="J34" s="2"/>
      <c r="K34" s="2"/>
      <c r="L34" s="2"/>
      <c r="M34" s="2"/>
      <c r="N34" s="2"/>
      <c r="O34" s="2"/>
      <c r="P34" s="192"/>
      <c r="Q34" s="192"/>
      <c r="R34" s="192"/>
      <c r="S34" s="192"/>
      <c r="T34" s="192"/>
    </row>
    <row r="35" spans="1:29" ht="15.75" customHeight="1">
      <c r="A35" s="6" t="s">
        <v>91</v>
      </c>
      <c r="B35" s="2"/>
      <c r="C35" s="2"/>
      <c r="D35" s="2"/>
      <c r="E35" s="2"/>
      <c r="F35" s="2"/>
      <c r="G35" s="2"/>
      <c r="H35" s="2"/>
      <c r="I35" s="2"/>
      <c r="J35" s="2"/>
      <c r="K35" s="2"/>
      <c r="L35" s="2"/>
      <c r="M35" s="2"/>
      <c r="N35" s="2"/>
      <c r="O35" s="2"/>
      <c r="P35" s="192"/>
      <c r="Q35" s="192"/>
      <c r="R35" s="192"/>
      <c r="S35" s="192"/>
      <c r="T35" s="192"/>
    </row>
    <row r="36" spans="1:29" ht="7.5" customHeight="1" thickBot="1">
      <c r="A36" s="7"/>
      <c r="B36" s="2"/>
      <c r="C36" s="2"/>
      <c r="D36" s="2"/>
      <c r="E36" s="2"/>
      <c r="F36" s="2"/>
      <c r="G36" s="2"/>
      <c r="H36" s="2"/>
      <c r="I36" s="2"/>
      <c r="J36" s="2"/>
      <c r="K36" s="2"/>
      <c r="L36" s="2"/>
      <c r="M36" s="2"/>
      <c r="N36" s="2"/>
      <c r="O36" s="2"/>
      <c r="P36" s="2"/>
      <c r="Q36" s="2"/>
      <c r="R36" s="2"/>
      <c r="S36" s="2"/>
      <c r="T36" s="2"/>
    </row>
    <row r="37" spans="1:29" ht="15.75" customHeight="1" thickBot="1">
      <c r="A37" s="89" t="s">
        <v>3</v>
      </c>
      <c r="B37" s="87" t="s">
        <v>4</v>
      </c>
      <c r="C37" s="88" t="s">
        <v>5</v>
      </c>
      <c r="D37" s="88">
        <f t="shared" ref="D37:T37" si="15">D$3</f>
        <v>2008</v>
      </c>
      <c r="E37" s="88">
        <f t="shared" si="15"/>
        <v>2009</v>
      </c>
      <c r="F37" s="88">
        <f t="shared" si="15"/>
        <v>2010</v>
      </c>
      <c r="G37" s="88">
        <f t="shared" si="15"/>
        <v>2011</v>
      </c>
      <c r="H37" s="88">
        <f t="shared" si="15"/>
        <v>2012</v>
      </c>
      <c r="I37" s="88">
        <f t="shared" si="15"/>
        <v>2013</v>
      </c>
      <c r="J37" s="88">
        <f t="shared" si="15"/>
        <v>2014</v>
      </c>
      <c r="K37" s="88">
        <f t="shared" si="15"/>
        <v>2015</v>
      </c>
      <c r="L37" s="88">
        <f t="shared" si="15"/>
        <v>2016</v>
      </c>
      <c r="M37" s="88">
        <f t="shared" si="15"/>
        <v>2017</v>
      </c>
      <c r="N37" s="88">
        <f t="shared" si="15"/>
        <v>2018</v>
      </c>
      <c r="O37" s="88">
        <f t="shared" si="15"/>
        <v>2019</v>
      </c>
      <c r="P37" s="88">
        <f t="shared" si="15"/>
        <v>2020</v>
      </c>
      <c r="Q37" s="88">
        <f t="shared" si="15"/>
        <v>2021</v>
      </c>
      <c r="R37" s="88">
        <f t="shared" si="15"/>
        <v>2022</v>
      </c>
      <c r="S37" s="88">
        <f t="shared" si="15"/>
        <v>2023</v>
      </c>
      <c r="T37" s="88">
        <f t="shared" si="15"/>
        <v>2024</v>
      </c>
    </row>
    <row r="38" spans="1:29" ht="15.75" customHeight="1">
      <c r="A38" s="9">
        <v>-1</v>
      </c>
      <c r="B38" s="9">
        <f t="shared" ref="B38:T38" si="16">A38-1</f>
        <v>-2</v>
      </c>
      <c r="C38" s="9">
        <f t="shared" si="16"/>
        <v>-3</v>
      </c>
      <c r="D38" s="9">
        <f t="shared" si="16"/>
        <v>-4</v>
      </c>
      <c r="E38" s="9">
        <f t="shared" si="16"/>
        <v>-5</v>
      </c>
      <c r="F38" s="9">
        <f t="shared" si="16"/>
        <v>-6</v>
      </c>
      <c r="G38" s="9">
        <f t="shared" si="16"/>
        <v>-7</v>
      </c>
      <c r="H38" s="9">
        <f t="shared" si="16"/>
        <v>-8</v>
      </c>
      <c r="I38" s="9">
        <f t="shared" si="16"/>
        <v>-9</v>
      </c>
      <c r="J38" s="9">
        <f t="shared" si="16"/>
        <v>-10</v>
      </c>
      <c r="K38" s="9">
        <f t="shared" si="16"/>
        <v>-11</v>
      </c>
      <c r="L38" s="9">
        <f t="shared" si="16"/>
        <v>-12</v>
      </c>
      <c r="M38" s="9">
        <f t="shared" si="16"/>
        <v>-13</v>
      </c>
      <c r="N38" s="9">
        <f t="shared" si="16"/>
        <v>-14</v>
      </c>
      <c r="O38" s="9">
        <f t="shared" si="16"/>
        <v>-15</v>
      </c>
      <c r="P38" s="9">
        <f t="shared" si="16"/>
        <v>-16</v>
      </c>
      <c r="Q38" s="9">
        <f t="shared" si="16"/>
        <v>-17</v>
      </c>
      <c r="R38" s="9">
        <f t="shared" si="16"/>
        <v>-18</v>
      </c>
      <c r="S38" s="9">
        <f t="shared" si="16"/>
        <v>-19</v>
      </c>
      <c r="T38" s="9">
        <f t="shared" si="16"/>
        <v>-20</v>
      </c>
    </row>
    <row r="39" spans="1:29" ht="15.75" customHeight="1">
      <c r="A39" s="14">
        <v>1</v>
      </c>
      <c r="B39" s="15" t="s">
        <v>92</v>
      </c>
      <c r="C39" s="14"/>
      <c r="D39" s="18"/>
      <c r="E39" s="18"/>
      <c r="F39" s="18"/>
      <c r="G39" s="18"/>
      <c r="H39" s="18"/>
      <c r="I39" s="18"/>
      <c r="J39" s="18"/>
      <c r="K39" s="18"/>
      <c r="L39" s="18"/>
      <c r="M39" s="18"/>
      <c r="N39" s="18"/>
      <c r="O39" s="18"/>
      <c r="P39" s="18"/>
      <c r="Q39" s="18"/>
      <c r="R39" s="18"/>
      <c r="S39" s="18"/>
      <c r="T39" s="18"/>
    </row>
    <row r="40" spans="1:29" ht="15.75" customHeight="1">
      <c r="A40" s="14"/>
      <c r="B40" s="15" t="s">
        <v>110</v>
      </c>
      <c r="C40" s="14" t="s">
        <v>84</v>
      </c>
      <c r="D40" s="18"/>
      <c r="E40" s="18"/>
      <c r="F40" s="18"/>
      <c r="G40" s="18"/>
      <c r="H40" s="18"/>
      <c r="I40" s="18">
        <v>25.73</v>
      </c>
      <c r="J40" s="18">
        <v>21.1</v>
      </c>
      <c r="K40" s="18"/>
      <c r="L40" s="18"/>
      <c r="M40" s="18"/>
      <c r="N40" s="18"/>
      <c r="O40" s="18"/>
      <c r="P40" s="18"/>
      <c r="Q40" s="18">
        <v>75786962</v>
      </c>
      <c r="R40" s="18">
        <v>132873289</v>
      </c>
      <c r="S40" s="169">
        <f>([3]Update!$T$72/[3]Update!$S$72)*R46</f>
        <v>128338180.93357091</v>
      </c>
      <c r="T40" s="169">
        <f>S40*[2]Update!$U$74/[2]Update!$T$74</f>
        <v>139161882.94001666</v>
      </c>
      <c r="Z40" s="209"/>
      <c r="AA40" s="209"/>
      <c r="AB40" s="209"/>
      <c r="AC40" s="209"/>
    </row>
    <row r="41" spans="1:29" ht="15.75" customHeight="1">
      <c r="A41" s="14"/>
      <c r="B41" s="15" t="s">
        <v>111</v>
      </c>
      <c r="C41" s="14" t="s">
        <v>84</v>
      </c>
      <c r="D41" s="18">
        <v>254305.05100000004</v>
      </c>
      <c r="E41" s="18">
        <v>287846.85399999999</v>
      </c>
      <c r="F41" s="18">
        <v>277068.12199999997</v>
      </c>
      <c r="G41" s="18">
        <v>256937.27499999999</v>
      </c>
      <c r="H41" s="18">
        <v>207354.39299999998</v>
      </c>
      <c r="I41" s="18"/>
      <c r="J41" s="18"/>
      <c r="K41" s="18"/>
      <c r="L41" s="18"/>
      <c r="M41" s="18"/>
      <c r="N41" s="18"/>
      <c r="O41" s="18"/>
      <c r="P41" s="18"/>
      <c r="Q41" s="18"/>
      <c r="R41" s="18"/>
      <c r="S41" s="18"/>
      <c r="T41" s="18"/>
      <c r="Z41" s="209"/>
      <c r="AA41" s="209"/>
      <c r="AB41" s="209"/>
      <c r="AC41" s="209"/>
    </row>
    <row r="42" spans="1:29" ht="15.75" customHeight="1">
      <c r="A42" s="14"/>
      <c r="B42" s="15" t="s">
        <v>112</v>
      </c>
      <c r="C42" s="14" t="s">
        <v>84</v>
      </c>
      <c r="D42" s="18">
        <v>1509919.2665009</v>
      </c>
      <c r="E42" s="18">
        <v>2447222.6888192003</v>
      </c>
      <c r="F42" s="18">
        <v>2322644.0007879999</v>
      </c>
      <c r="G42" s="18">
        <v>1020031.664</v>
      </c>
      <c r="H42" s="18">
        <v>1927239</v>
      </c>
      <c r="I42" s="18">
        <v>2351978</v>
      </c>
      <c r="J42" s="18">
        <v>1516902.0683383807</v>
      </c>
      <c r="K42" s="18">
        <v>2419950</v>
      </c>
      <c r="L42" s="18">
        <v>2666053</v>
      </c>
      <c r="M42" s="18">
        <v>2299449</v>
      </c>
      <c r="N42" s="18">
        <f>2309262-N43*100/'Conversion Factor'!D6</f>
        <v>1569862.473</v>
      </c>
      <c r="O42" s="18">
        <f>1697725-O43*100/'Conversion Factor'!D6</f>
        <v>1120726.1981730768</v>
      </c>
      <c r="P42" s="18">
        <v>1274512</v>
      </c>
      <c r="Q42" s="18"/>
      <c r="R42" s="18"/>
      <c r="S42" s="18"/>
      <c r="T42" s="18"/>
      <c r="Z42" s="209"/>
      <c r="AA42" s="209"/>
      <c r="AB42" s="209"/>
      <c r="AC42" s="209"/>
    </row>
    <row r="43" spans="1:29" ht="15.75" customHeight="1">
      <c r="A43" s="14"/>
      <c r="B43" s="15" t="s">
        <v>113</v>
      </c>
      <c r="C43" s="14" t="s">
        <v>84</v>
      </c>
      <c r="D43" s="18"/>
      <c r="E43" s="18"/>
      <c r="F43" s="18">
        <v>878376.01</v>
      </c>
      <c r="G43" s="18">
        <v>543941.85600000003</v>
      </c>
      <c r="H43" s="18">
        <v>410228.49</v>
      </c>
      <c r="I43" s="18">
        <v>521025</v>
      </c>
      <c r="J43" s="18">
        <v>617839.81605085509</v>
      </c>
      <c r="K43" s="18">
        <v>197633.712</v>
      </c>
      <c r="L43" s="18">
        <v>246155.65699999998</v>
      </c>
      <c r="M43" s="18">
        <v>247175.92499999996</v>
      </c>
      <c r="N43" s="18">
        <v>230923.576</v>
      </c>
      <c r="O43" s="18">
        <v>180203.83</v>
      </c>
      <c r="P43" s="18">
        <v>269031.53999999998</v>
      </c>
      <c r="Q43" s="18"/>
      <c r="R43" s="18"/>
      <c r="S43" s="18"/>
      <c r="T43" s="18"/>
      <c r="Z43" s="209"/>
      <c r="AA43" s="209"/>
      <c r="AB43" s="209"/>
      <c r="AC43" s="209"/>
    </row>
    <row r="44" spans="1:29" ht="15.75" customHeight="1">
      <c r="A44" s="14"/>
      <c r="B44" s="15"/>
      <c r="C44" s="14"/>
      <c r="D44" s="18"/>
      <c r="E44" s="18"/>
      <c r="F44" s="18"/>
      <c r="G44" s="18"/>
      <c r="H44" s="18"/>
      <c r="I44" s="18"/>
      <c r="J44" s="18"/>
      <c r="K44" s="18"/>
      <c r="L44" s="18"/>
      <c r="M44" s="18"/>
      <c r="N44" s="18"/>
      <c r="O44" s="18"/>
      <c r="P44" s="18"/>
      <c r="Q44" s="18"/>
      <c r="R44" s="18"/>
      <c r="S44" s="18"/>
      <c r="T44" s="18"/>
      <c r="Z44" s="209"/>
      <c r="AA44" s="209"/>
      <c r="AB44" s="209"/>
      <c r="AC44" s="209"/>
    </row>
    <row r="45" spans="1:29" ht="13.5" customHeight="1">
      <c r="A45" s="31">
        <v>2</v>
      </c>
      <c r="B45" s="32" t="s">
        <v>94</v>
      </c>
      <c r="C45" s="31" t="s">
        <v>84</v>
      </c>
      <c r="D45" s="35">
        <f>D40*'Conversion Factor'!$B$6/100+D41+D42*'Conversion Factor'!$D$6/100+Copper!D43</f>
        <v>725871.42852580664</v>
      </c>
      <c r="E45" s="35">
        <f>E40*'Conversion Factor'!$B$6/100+E41+E42*'Conversion Factor'!$D$6/100+Copper!E43</f>
        <v>1052144.6306882787</v>
      </c>
      <c r="F45" s="35">
        <f>F40*'Conversion Factor'!$B$6/100+F41+F42*'Conversion Factor'!$D$6/100+Copper!F43</f>
        <v>1880834.4505644203</v>
      </c>
      <c r="G45" s="35">
        <f>G40*'Conversion Factor'!$B$6/100+G41+G42*'Conversion Factor'!$D$6/100+Copper!G43</f>
        <v>1119447.5786156156</v>
      </c>
      <c r="H45" s="35">
        <f>H40*'Conversion Factor'!$B$6/100+H41+H42*'Conversion Factor'!$D$6/100+Copper!H43</f>
        <v>1219483.3514684686</v>
      </c>
      <c r="I45" s="35">
        <f>I40*'Conversion Factor'!$B$6/100+I41+I42*'Conversion Factor'!$D$6/100+Copper!I43</f>
        <v>1255576.9552796877</v>
      </c>
      <c r="J45" s="35">
        <f>J40*'Conversion Factor'!$B$6/100+J41+J42*'Conversion Factor'!$D$6/100+Copper!J43</f>
        <v>1091587.228004944</v>
      </c>
      <c r="K45" s="35">
        <f>K40*'Conversion Factor'!$B$6/100+K41+K42*'Conversion Factor'!$D$6/100+Copper!K43</f>
        <v>953413.89218018018</v>
      </c>
      <c r="L45" s="35">
        <f>L40*'Conversion Factor'!$B$6/100+L41+L42*'Conversion Factor'!$D$6/100+Copper!L43</f>
        <v>1078796.8341771772</v>
      </c>
      <c r="M45" s="35">
        <f>M40*'Conversion Factor'!$B$6/100+M41+M42*'Conversion Factor'!$D$6/100+Copper!M43</f>
        <v>965322.15923423413</v>
      </c>
      <c r="N45" s="35">
        <f>N40*'Conversion Factor'!$B$6/100+N41+N42*'Conversion Factor'!$D$6/100+Copper!N43</f>
        <v>721210.95495495503</v>
      </c>
      <c r="O45" s="35">
        <f>O40*'Conversion Factor'!$B$6/100+O41+O42*'Conversion Factor'!$D$6/100+Copper!O43</f>
        <v>530220.42042042036</v>
      </c>
      <c r="P45" s="35">
        <f>P40*'Conversion Factor'!$B$6/100+P41+P42*'Conversion Factor'!$D$6/100+Copper!P43</f>
        <v>667077.32978978974</v>
      </c>
      <c r="Q45" s="35">
        <f>Q40*'Conversion Factor'!$B$6/100+Q41+Q42*'Conversion Factor'!$D$6/100+Copper!Q43</f>
        <v>788184.40480000002</v>
      </c>
      <c r="R45" s="35">
        <f>R40*'Conversion Factor'!$B$6/100+R41+R42*'Conversion Factor'!$D$6/100+Copper!R43</f>
        <v>1381882.2056</v>
      </c>
      <c r="S45" s="35">
        <f>S40*'Conversion Factor'!$B$6/100+S41+S42*'Conversion Factor'!$D$6/100+Copper!S43</f>
        <v>1334717.0817091374</v>
      </c>
      <c r="T45" s="35">
        <f>T40*'Conversion Factor'!$B$6/100+T41+T42*'Conversion Factor'!$D$6/100+Copper!T43</f>
        <v>1447283.5825761734</v>
      </c>
      <c r="Z45" s="209"/>
      <c r="AA45" s="209"/>
      <c r="AB45" s="209"/>
      <c r="AC45" s="209"/>
    </row>
    <row r="46" spans="1:29" ht="15.75" customHeight="1">
      <c r="A46" s="31">
        <v>3</v>
      </c>
      <c r="B46" s="32" t="s">
        <v>95</v>
      </c>
      <c r="C46" s="31" t="s">
        <v>84</v>
      </c>
      <c r="D46" s="35">
        <f>D40+D41/'Conversion Factor'!$B$6*100+Copper!D42/'Conversion Factor'!$C$6*100+D43/'Conversion Factor'!$B$6*100</f>
        <v>69795329.665942952</v>
      </c>
      <c r="E46" s="35">
        <f>E40+E41/'Conversion Factor'!$B$6*100+Copper!E42/'Conversion Factor'!$C$6*100+E43/'Conversion Factor'!$B$6*100</f>
        <v>101167752.95079604</v>
      </c>
      <c r="F46" s="35">
        <f>F40+F41/'Conversion Factor'!$B$6*100+Copper!F42/'Conversion Factor'!$C$6*100+F43/'Conversion Factor'!$B$6*100</f>
        <v>180849466.40042502</v>
      </c>
      <c r="G46" s="35">
        <f>G40+G41/'Conversion Factor'!$B$6*100+Copper!G42/'Conversion Factor'!$C$6*100+G43/'Conversion Factor'!$B$6*100</f>
        <v>107639190.2515015</v>
      </c>
      <c r="H46" s="35">
        <f>H40+H41/'Conversion Factor'!$B$6*100+Copper!H42/'Conversion Factor'!$C$6*100+H43/'Conversion Factor'!$B$6*100</f>
        <v>117258014.5642758</v>
      </c>
      <c r="I46" s="35">
        <f>I40+I41/'Conversion Factor'!$B$6*100+Copper!I42/'Conversion Factor'!$C$6*100+I43/'Conversion Factor'!$B$6*100</f>
        <v>120728553.39227766</v>
      </c>
      <c r="J46" s="35">
        <f>J40+J41/'Conversion Factor'!$B$6*100+Copper!J42/'Conversion Factor'!$C$6*100+J43/'Conversion Factor'!$B$6*100</f>
        <v>104960310.38509075</v>
      </c>
      <c r="K46" s="35">
        <f>K40+K41/'Conversion Factor'!$B$6*100+Copper!K42/'Conversion Factor'!$C$6*100+K43/'Conversion Factor'!$B$6*100</f>
        <v>91674412.70963271</v>
      </c>
      <c r="L46" s="35">
        <f>L40+L41/'Conversion Factor'!$B$6*100+Copper!L42/'Conversion Factor'!$C$6*100+L43/'Conversion Factor'!$B$6*100</f>
        <v>103730464.82472858</v>
      </c>
      <c r="M46" s="35">
        <f>M40+M41/'Conversion Factor'!$B$6*100+Copper!M42/'Conversion Factor'!$C$6*100+M43/'Conversion Factor'!$B$6*100</f>
        <v>92819438.387907133</v>
      </c>
      <c r="N46" s="35">
        <f>N40+N41/'Conversion Factor'!$B$6*100+Copper!N42/'Conversion Factor'!$C$6*100+N43/'Conversion Factor'!$B$6*100</f>
        <v>69347207.207207203</v>
      </c>
      <c r="O46" s="35">
        <f>O40+O41/'Conversion Factor'!$B$6*100+Copper!O42/'Conversion Factor'!$C$6*100+O43/'Conversion Factor'!$B$6*100</f>
        <v>50982732.732732728</v>
      </c>
      <c r="P46" s="35">
        <f>P40+P41/'Conversion Factor'!$B$6*100+Copper!P42/'Conversion Factor'!$C$6*100+P43/'Conversion Factor'!$B$6*100</f>
        <v>64142050.94132594</v>
      </c>
      <c r="Q46" s="35">
        <f>Q40+Q41/'Conversion Factor'!$B$6*100+Copper!Q42/'Conversion Factor'!$C$6*100+Q43/'Conversion Factor'!$B$6*100</f>
        <v>75786962</v>
      </c>
      <c r="R46" s="35">
        <f>R40+R41/'Conversion Factor'!$B$6*100+Copper!R42/'Conversion Factor'!$C$6*100+R43/'Conversion Factor'!$B$6*100</f>
        <v>132873289</v>
      </c>
      <c r="S46" s="35">
        <f>S40+S41/'Conversion Factor'!$B$6*100+Copper!S42/'Conversion Factor'!$C$6*100+S43/'Conversion Factor'!$B$6*100</f>
        <v>128338180.93357091</v>
      </c>
      <c r="T46" s="35">
        <f>T40+T41/'Conversion Factor'!$B$6*100+Copper!T42/'Conversion Factor'!$C$6*100+T43/'Conversion Factor'!$B$6*100</f>
        <v>139161882.94001666</v>
      </c>
      <c r="Z46" s="209"/>
      <c r="AA46" s="209"/>
      <c r="AB46" s="209"/>
      <c r="AC46" s="209"/>
    </row>
    <row r="47" spans="1:29" ht="15.75" customHeight="1">
      <c r="A47" s="14">
        <v>4</v>
      </c>
      <c r="B47" s="15" t="s">
        <v>19</v>
      </c>
      <c r="C47" s="14" t="s">
        <v>114</v>
      </c>
      <c r="D47" s="18">
        <v>85655.822116817159</v>
      </c>
      <c r="E47" s="18">
        <v>83538.242925915969</v>
      </c>
      <c r="F47" s="18">
        <v>42356.963850457454</v>
      </c>
      <c r="G47" s="18">
        <v>55961.963235776551</v>
      </c>
      <c r="H47" s="18">
        <v>41383.156945999901</v>
      </c>
      <c r="I47" s="18">
        <v>44986.477797491556</v>
      </c>
      <c r="J47" s="18">
        <v>32603.904565397406</v>
      </c>
      <c r="K47" s="18">
        <v>27987.258759857323</v>
      </c>
      <c r="L47" s="18">
        <v>27141.929453760153</v>
      </c>
      <c r="M47" s="18">
        <v>35389.887330442267</v>
      </c>
      <c r="N47" s="18">
        <f t="shared" ref="N47:Q47" si="17">N48/N45*1000</f>
        <v>52758.311115405333</v>
      </c>
      <c r="O47" s="18">
        <f t="shared" si="17"/>
        <v>48704.678420257485</v>
      </c>
      <c r="P47" s="18">
        <f t="shared" si="17"/>
        <v>111916.54813148688</v>
      </c>
      <c r="Q47" s="18">
        <f t="shared" si="17"/>
        <v>154936.2835337299</v>
      </c>
      <c r="R47" s="18">
        <f t="shared" ref="R47:S47" si="18">R48/R45*1000</f>
        <v>99465.13801566507</v>
      </c>
      <c r="S47" s="18">
        <f t="shared" si="18"/>
        <v>115413.39896562924</v>
      </c>
      <c r="T47" s="18">
        <f t="shared" ref="T47" si="19">T48/T45*1000</f>
        <v>134405.50838775406</v>
      </c>
      <c r="Z47" s="209"/>
      <c r="AA47" s="209"/>
      <c r="AB47" s="209"/>
      <c r="AC47" s="209"/>
    </row>
    <row r="48" spans="1:29" ht="15.75" customHeight="1">
      <c r="A48" s="14">
        <v>5</v>
      </c>
      <c r="B48" s="15" t="s">
        <v>21</v>
      </c>
      <c r="C48" s="14" t="s">
        <v>22</v>
      </c>
      <c r="D48" s="18">
        <f t="shared" ref="D48:M48" si="20">D45*D47/1000</f>
        <v>62175113.961486451</v>
      </c>
      <c r="E48" s="18">
        <f t="shared" si="20"/>
        <v>87894313.751635581</v>
      </c>
      <c r="F48" s="18">
        <f t="shared" si="20"/>
        <v>79666436.831252158</v>
      </c>
      <c r="G48" s="18">
        <f t="shared" si="20"/>
        <v>62646484.238866165</v>
      </c>
      <c r="H48" s="18">
        <f t="shared" si="20"/>
        <v>50466070.92685359</v>
      </c>
      <c r="I48" s="18">
        <f t="shared" si="20"/>
        <v>56483984.821731716</v>
      </c>
      <c r="J48" s="18">
        <f t="shared" si="20"/>
        <v>35590005.806679897</v>
      </c>
      <c r="K48" s="18">
        <f t="shared" si="20"/>
        <v>26683441.305689409</v>
      </c>
      <c r="L48" s="18">
        <f t="shared" si="20"/>
        <v>29280627.568176731</v>
      </c>
      <c r="M48" s="18">
        <f t="shared" si="20"/>
        <v>34162642.452878796</v>
      </c>
      <c r="N48" s="18">
        <v>38049871.941352099</v>
      </c>
      <c r="O48" s="18">
        <v>25824215.068430301</v>
      </c>
      <c r="P48" s="18">
        <v>74656992.086842746</v>
      </c>
      <c r="Q48" s="18">
        <v>122118362.41895694</v>
      </c>
      <c r="R48" s="200">
        <v>137449104.30139565</v>
      </c>
      <c r="S48" s="200">
        <v>154044235.05753705</v>
      </c>
      <c r="T48" s="200">
        <v>194522885.6974006</v>
      </c>
      <c r="Z48" s="209"/>
      <c r="AA48" s="209"/>
      <c r="AB48" s="209"/>
      <c r="AC48" s="209"/>
    </row>
    <row r="49" spans="1:29" ht="15.75" customHeight="1">
      <c r="A49" s="17" t="s">
        <v>23</v>
      </c>
      <c r="B49" s="2"/>
      <c r="C49" s="2"/>
      <c r="D49" s="2"/>
      <c r="E49" s="2"/>
      <c r="F49" s="2"/>
      <c r="G49" s="2"/>
      <c r="H49" s="2"/>
      <c r="I49" s="2"/>
      <c r="J49" s="2"/>
      <c r="K49" s="2"/>
      <c r="L49" s="2"/>
      <c r="M49" s="2"/>
      <c r="N49" s="2"/>
      <c r="O49" s="2"/>
      <c r="P49" s="2"/>
      <c r="Q49" s="2"/>
      <c r="R49" s="207"/>
      <c r="S49" s="207"/>
      <c r="T49" s="207"/>
      <c r="Z49" s="209"/>
      <c r="AA49" s="209"/>
      <c r="AB49" s="209"/>
      <c r="AC49" s="209"/>
    </row>
    <row r="50" spans="1:29" ht="15.75" customHeight="1">
      <c r="A50" s="19"/>
      <c r="B50" s="2"/>
      <c r="C50" s="2"/>
      <c r="D50" s="2"/>
      <c r="E50" s="2"/>
      <c r="F50" s="2"/>
      <c r="G50" s="2"/>
      <c r="H50" s="2"/>
      <c r="I50" s="2"/>
      <c r="J50" s="2"/>
      <c r="K50" s="2"/>
      <c r="L50" s="2"/>
      <c r="M50" s="2"/>
      <c r="N50" s="60"/>
      <c r="O50" s="2"/>
      <c r="P50" s="2"/>
      <c r="Q50" s="2"/>
      <c r="R50" s="206"/>
      <c r="S50" s="206"/>
      <c r="T50" s="206"/>
      <c r="Z50" s="209"/>
      <c r="AA50" s="209"/>
      <c r="AB50" s="209"/>
      <c r="AC50" s="209"/>
    </row>
    <row r="51" spans="1:29" ht="15.75" customHeight="1">
      <c r="A51" s="19"/>
      <c r="B51" s="2"/>
      <c r="C51" s="2"/>
      <c r="D51" s="2"/>
      <c r="E51" s="2"/>
      <c r="F51" s="2"/>
      <c r="G51" s="2"/>
      <c r="H51" s="2"/>
      <c r="I51" s="2"/>
      <c r="J51" s="2"/>
      <c r="K51" s="2"/>
      <c r="L51" s="2"/>
      <c r="M51" s="2"/>
      <c r="N51" s="2"/>
      <c r="O51" s="2"/>
      <c r="P51" s="2"/>
      <c r="Q51" s="2"/>
      <c r="R51" s="2"/>
      <c r="S51" s="2"/>
      <c r="T51" s="2"/>
      <c r="Z51" s="209"/>
      <c r="AA51" s="209"/>
      <c r="AB51" s="209"/>
      <c r="AC51" s="209"/>
    </row>
    <row r="52" spans="1:29" ht="15.75" customHeight="1">
      <c r="A52" s="6" t="s">
        <v>97</v>
      </c>
      <c r="B52" s="2"/>
      <c r="C52" s="2"/>
      <c r="D52" s="2"/>
      <c r="E52" s="2"/>
      <c r="F52" s="2"/>
      <c r="G52" s="2"/>
      <c r="H52" s="2"/>
      <c r="I52" s="2"/>
      <c r="J52" s="2"/>
      <c r="K52" s="2"/>
      <c r="L52" s="2"/>
      <c r="M52" s="2"/>
      <c r="N52" s="2"/>
      <c r="O52" s="2"/>
      <c r="P52" s="2"/>
      <c r="Q52" s="2"/>
      <c r="R52" s="2"/>
      <c r="S52" s="2"/>
      <c r="T52" s="2"/>
      <c r="Z52" s="209"/>
      <c r="AA52" s="209"/>
      <c r="AB52" s="209"/>
      <c r="AC52" s="209"/>
    </row>
    <row r="53" spans="1:29" ht="7.5" customHeight="1" thickBot="1">
      <c r="A53" s="19"/>
      <c r="B53" s="2"/>
      <c r="C53" s="2"/>
      <c r="D53" s="2"/>
      <c r="E53" s="2"/>
      <c r="F53" s="2"/>
      <c r="G53" s="2"/>
      <c r="H53" s="2"/>
      <c r="I53" s="2"/>
      <c r="J53" s="2"/>
      <c r="K53" s="2"/>
      <c r="L53" s="2"/>
      <c r="M53" s="2"/>
      <c r="N53" s="2"/>
      <c r="O53" s="2"/>
      <c r="P53" s="2"/>
      <c r="Q53" s="2"/>
      <c r="R53" s="2"/>
      <c r="S53" s="2"/>
      <c r="T53" s="2"/>
      <c r="Z53" s="209"/>
      <c r="AA53" s="209"/>
      <c r="AB53" s="209"/>
      <c r="AC53" s="209"/>
    </row>
    <row r="54" spans="1:29" ht="15.75" customHeight="1" thickBot="1">
      <c r="A54" s="89" t="s">
        <v>3</v>
      </c>
      <c r="B54" s="87" t="s">
        <v>4</v>
      </c>
      <c r="C54" s="88" t="s">
        <v>5</v>
      </c>
      <c r="D54" s="88">
        <f t="shared" ref="D54:T54" si="21">D$3</f>
        <v>2008</v>
      </c>
      <c r="E54" s="88">
        <f t="shared" si="21"/>
        <v>2009</v>
      </c>
      <c r="F54" s="88">
        <f t="shared" si="21"/>
        <v>2010</v>
      </c>
      <c r="G54" s="88">
        <f t="shared" si="21"/>
        <v>2011</v>
      </c>
      <c r="H54" s="88">
        <f t="shared" si="21"/>
        <v>2012</v>
      </c>
      <c r="I54" s="88">
        <f t="shared" si="21"/>
        <v>2013</v>
      </c>
      <c r="J54" s="88">
        <f t="shared" si="21"/>
        <v>2014</v>
      </c>
      <c r="K54" s="88">
        <f t="shared" si="21"/>
        <v>2015</v>
      </c>
      <c r="L54" s="88">
        <f t="shared" si="21"/>
        <v>2016</v>
      </c>
      <c r="M54" s="88">
        <f t="shared" si="21"/>
        <v>2017</v>
      </c>
      <c r="N54" s="88">
        <f t="shared" si="21"/>
        <v>2018</v>
      </c>
      <c r="O54" s="88">
        <f t="shared" si="21"/>
        <v>2019</v>
      </c>
      <c r="P54" s="88">
        <f t="shared" si="21"/>
        <v>2020</v>
      </c>
      <c r="Q54" s="88">
        <f t="shared" si="21"/>
        <v>2021</v>
      </c>
      <c r="R54" s="88">
        <f t="shared" si="21"/>
        <v>2022</v>
      </c>
      <c r="S54" s="88">
        <f t="shared" si="21"/>
        <v>2023</v>
      </c>
      <c r="T54" s="88">
        <f t="shared" si="21"/>
        <v>2024</v>
      </c>
      <c r="Z54" s="209"/>
      <c r="AA54" s="209"/>
      <c r="AB54" s="209"/>
      <c r="AC54" s="209"/>
    </row>
    <row r="55" spans="1:29" ht="15.75" customHeight="1">
      <c r="A55" s="9">
        <v>-1</v>
      </c>
      <c r="B55" s="9">
        <f t="shared" ref="B55:T55" si="22">A55-1</f>
        <v>-2</v>
      </c>
      <c r="C55" s="9">
        <f t="shared" si="22"/>
        <v>-3</v>
      </c>
      <c r="D55" s="9">
        <f t="shared" si="22"/>
        <v>-4</v>
      </c>
      <c r="E55" s="9">
        <f t="shared" si="22"/>
        <v>-5</v>
      </c>
      <c r="F55" s="9">
        <f t="shared" si="22"/>
        <v>-6</v>
      </c>
      <c r="G55" s="9">
        <f t="shared" si="22"/>
        <v>-7</v>
      </c>
      <c r="H55" s="9">
        <f t="shared" si="22"/>
        <v>-8</v>
      </c>
      <c r="I55" s="9">
        <f t="shared" si="22"/>
        <v>-9</v>
      </c>
      <c r="J55" s="9">
        <f t="shared" si="22"/>
        <v>-10</v>
      </c>
      <c r="K55" s="9">
        <f t="shared" si="22"/>
        <v>-11</v>
      </c>
      <c r="L55" s="9">
        <f t="shared" si="22"/>
        <v>-12</v>
      </c>
      <c r="M55" s="9">
        <f t="shared" si="22"/>
        <v>-13</v>
      </c>
      <c r="N55" s="9">
        <f t="shared" si="22"/>
        <v>-14</v>
      </c>
      <c r="O55" s="9">
        <f t="shared" si="22"/>
        <v>-15</v>
      </c>
      <c r="P55" s="9">
        <f t="shared" si="22"/>
        <v>-16</v>
      </c>
      <c r="Q55" s="9">
        <f t="shared" si="22"/>
        <v>-17</v>
      </c>
      <c r="R55" s="9">
        <f t="shared" si="22"/>
        <v>-18</v>
      </c>
      <c r="S55" s="9">
        <f t="shared" si="22"/>
        <v>-19</v>
      </c>
      <c r="T55" s="9">
        <f t="shared" si="22"/>
        <v>-20</v>
      </c>
      <c r="Z55" s="209"/>
      <c r="AA55" s="209"/>
      <c r="AB55" s="209"/>
      <c r="AC55" s="209"/>
    </row>
    <row r="56" spans="1:29" ht="15.75" customHeight="1">
      <c r="A56" s="14">
        <v>1</v>
      </c>
      <c r="B56" s="21" t="s">
        <v>25</v>
      </c>
      <c r="C56" s="14" t="s">
        <v>22</v>
      </c>
      <c r="D56" s="18"/>
      <c r="E56" s="18"/>
      <c r="F56" s="22">
        <v>79145788</v>
      </c>
      <c r="G56" s="18"/>
      <c r="H56" s="18"/>
      <c r="I56" s="18"/>
      <c r="J56" s="18"/>
      <c r="K56" s="18"/>
      <c r="L56" s="18">
        <v>14050526</v>
      </c>
      <c r="M56" s="18"/>
      <c r="N56" s="18"/>
      <c r="O56" s="18"/>
      <c r="P56" s="18"/>
      <c r="Q56" s="18"/>
      <c r="R56" s="18"/>
      <c r="S56" s="18"/>
      <c r="T56" s="18"/>
      <c r="Z56" s="209"/>
      <c r="AA56" s="209"/>
      <c r="AB56" s="209"/>
      <c r="AC56" s="209"/>
    </row>
    <row r="57" spans="1:29" ht="15.75" customHeight="1">
      <c r="A57" s="14">
        <v>2</v>
      </c>
      <c r="B57" s="15" t="s">
        <v>26</v>
      </c>
      <c r="C57" s="14" t="s">
        <v>22</v>
      </c>
      <c r="D57" s="18"/>
      <c r="E57" s="18"/>
      <c r="F57" s="22">
        <v>18280023</v>
      </c>
      <c r="G57" s="18"/>
      <c r="H57" s="18"/>
      <c r="I57" s="18"/>
      <c r="J57" s="18"/>
      <c r="K57" s="18"/>
      <c r="L57" s="18">
        <v>8298912</v>
      </c>
      <c r="M57" s="18"/>
      <c r="N57" s="18"/>
      <c r="O57" s="18"/>
      <c r="P57" s="18"/>
      <c r="Q57" s="18"/>
      <c r="R57" s="18"/>
      <c r="S57" s="18"/>
      <c r="T57" s="18"/>
    </row>
    <row r="58" spans="1:29" ht="15.75" customHeight="1">
      <c r="A58" s="14">
        <v>3</v>
      </c>
      <c r="B58" s="21" t="s">
        <v>27</v>
      </c>
      <c r="C58" s="14" t="s">
        <v>22</v>
      </c>
      <c r="D58" s="18"/>
      <c r="E58" s="18"/>
      <c r="F58" s="22">
        <v>1506374</v>
      </c>
      <c r="G58" s="18"/>
      <c r="H58" s="18"/>
      <c r="I58" s="18"/>
      <c r="J58" s="18"/>
      <c r="K58" s="18"/>
      <c r="L58" s="18">
        <v>249439</v>
      </c>
      <c r="M58" s="18"/>
      <c r="N58" s="18"/>
      <c r="O58" s="18"/>
      <c r="P58" s="18"/>
      <c r="Q58" s="18"/>
      <c r="R58" s="18"/>
      <c r="S58" s="18"/>
      <c r="T58" s="18"/>
    </row>
    <row r="59" spans="1:29" ht="15.75" customHeight="1">
      <c r="A59" s="14">
        <v>4</v>
      </c>
      <c r="B59" s="21" t="s">
        <v>28</v>
      </c>
      <c r="C59" s="14" t="s">
        <v>22</v>
      </c>
      <c r="D59" s="18"/>
      <c r="E59" s="18"/>
      <c r="F59" s="22">
        <v>151748081</v>
      </c>
      <c r="G59" s="18"/>
      <c r="H59" s="18"/>
      <c r="I59" s="18"/>
      <c r="J59" s="18"/>
      <c r="K59" s="18"/>
      <c r="L59" s="18">
        <v>33778806</v>
      </c>
      <c r="M59" s="18"/>
      <c r="N59" s="18"/>
      <c r="O59" s="18"/>
      <c r="P59" s="18"/>
      <c r="Q59" s="18"/>
      <c r="R59" s="18"/>
      <c r="S59" s="18"/>
      <c r="T59" s="18"/>
    </row>
    <row r="60" spans="1:29" ht="15.75" customHeight="1">
      <c r="A60" s="14">
        <v>5</v>
      </c>
      <c r="B60" s="21" t="s">
        <v>29</v>
      </c>
      <c r="C60" s="14" t="s">
        <v>22</v>
      </c>
      <c r="D60" s="18"/>
      <c r="E60" s="18"/>
      <c r="F60" s="22">
        <v>250680266</v>
      </c>
      <c r="G60" s="18"/>
      <c r="H60" s="18"/>
      <c r="I60" s="18"/>
      <c r="J60" s="18"/>
      <c r="K60" s="18"/>
      <c r="L60" s="18">
        <v>56377683</v>
      </c>
      <c r="M60" s="18"/>
      <c r="N60" s="18"/>
      <c r="O60" s="18"/>
      <c r="P60" s="18"/>
      <c r="Q60" s="18"/>
      <c r="R60" s="18"/>
      <c r="S60" s="18"/>
      <c r="T60" s="18"/>
    </row>
    <row r="61" spans="1:29" ht="15.75" customHeight="1">
      <c r="A61" s="17" t="s">
        <v>30</v>
      </c>
      <c r="B61" s="2"/>
      <c r="C61" s="2"/>
      <c r="D61" s="2"/>
      <c r="E61" s="2"/>
      <c r="F61" s="2"/>
      <c r="G61" s="2"/>
      <c r="H61" s="2"/>
      <c r="I61" s="2"/>
      <c r="J61" s="2"/>
      <c r="K61" s="2"/>
      <c r="L61" s="2"/>
      <c r="M61" s="2"/>
      <c r="N61" s="2"/>
      <c r="O61" s="2"/>
      <c r="P61" s="2"/>
      <c r="Q61" s="2"/>
      <c r="R61" s="2"/>
      <c r="S61" s="2"/>
      <c r="T61" s="2"/>
    </row>
    <row r="62" spans="1:29" ht="15.75" customHeight="1">
      <c r="A62" s="19"/>
      <c r="B62" s="2"/>
      <c r="C62" s="2"/>
      <c r="D62" s="2"/>
      <c r="E62" s="2"/>
      <c r="F62" s="2"/>
      <c r="G62" s="2"/>
      <c r="H62" s="2"/>
      <c r="I62" s="2"/>
      <c r="J62" s="2"/>
      <c r="K62" s="2"/>
      <c r="L62" s="2"/>
      <c r="M62" s="2"/>
      <c r="N62" s="2"/>
      <c r="O62" s="2"/>
      <c r="P62" s="2"/>
      <c r="Q62" s="2"/>
      <c r="R62" s="2"/>
      <c r="S62" s="2"/>
      <c r="T62" s="2"/>
    </row>
    <row r="63" spans="1:29" ht="15.75" customHeight="1">
      <c r="A63" s="19"/>
      <c r="B63" s="2"/>
      <c r="C63" s="2"/>
      <c r="D63" s="2"/>
      <c r="E63" s="2"/>
      <c r="F63" s="2"/>
      <c r="G63" s="2"/>
      <c r="H63" s="2"/>
      <c r="I63" s="2"/>
      <c r="J63" s="2"/>
      <c r="K63" s="2"/>
      <c r="L63" s="2"/>
      <c r="M63" s="2"/>
      <c r="N63" s="2"/>
      <c r="O63" s="2"/>
      <c r="P63" s="2"/>
      <c r="Q63" s="2"/>
      <c r="R63" s="2"/>
      <c r="S63" s="2"/>
      <c r="T63" s="2"/>
    </row>
    <row r="64" spans="1:29" ht="15.75" customHeight="1">
      <c r="A64" s="6" t="s">
        <v>98</v>
      </c>
      <c r="B64" s="2"/>
      <c r="C64" s="2"/>
      <c r="D64" s="2"/>
      <c r="E64" s="2"/>
      <c r="F64" s="2"/>
      <c r="G64" s="2"/>
      <c r="H64" s="2"/>
      <c r="I64" s="2"/>
      <c r="J64" s="2"/>
      <c r="K64" s="2"/>
      <c r="L64" s="2"/>
      <c r="M64" s="2"/>
      <c r="N64" s="2"/>
      <c r="O64" s="2"/>
      <c r="P64" s="2"/>
      <c r="Q64" s="2"/>
      <c r="R64" s="2"/>
      <c r="S64" s="2"/>
      <c r="T64" s="2"/>
    </row>
    <row r="65" spans="1:29" ht="7.5" customHeight="1" thickBot="1">
      <c r="A65" s="7"/>
      <c r="B65" s="2"/>
      <c r="C65" s="2"/>
      <c r="D65" s="2"/>
      <c r="E65" s="2"/>
      <c r="F65" s="2"/>
      <c r="G65" s="2"/>
      <c r="H65" s="2"/>
      <c r="I65" s="2"/>
      <c r="J65" s="2"/>
      <c r="K65" s="2"/>
      <c r="L65" s="2"/>
      <c r="M65" s="2"/>
      <c r="N65" s="2"/>
      <c r="O65" s="2"/>
      <c r="P65" s="2"/>
      <c r="Q65" s="2"/>
      <c r="R65" s="2"/>
      <c r="S65" s="2"/>
      <c r="T65" s="2"/>
    </row>
    <row r="66" spans="1:29" ht="15.75" customHeight="1" thickBot="1">
      <c r="A66" s="89" t="s">
        <v>3</v>
      </c>
      <c r="B66" s="87" t="s">
        <v>4</v>
      </c>
      <c r="C66" s="88" t="s">
        <v>5</v>
      </c>
      <c r="D66" s="88">
        <f t="shared" ref="D66:T66" si="23">D$3</f>
        <v>2008</v>
      </c>
      <c r="E66" s="88">
        <f t="shared" si="23"/>
        <v>2009</v>
      </c>
      <c r="F66" s="88">
        <f t="shared" si="23"/>
        <v>2010</v>
      </c>
      <c r="G66" s="88">
        <f t="shared" si="23"/>
        <v>2011</v>
      </c>
      <c r="H66" s="88">
        <f t="shared" si="23"/>
        <v>2012</v>
      </c>
      <c r="I66" s="88">
        <f t="shared" si="23"/>
        <v>2013</v>
      </c>
      <c r="J66" s="88">
        <f t="shared" si="23"/>
        <v>2014</v>
      </c>
      <c r="K66" s="88">
        <f t="shared" si="23"/>
        <v>2015</v>
      </c>
      <c r="L66" s="88">
        <f t="shared" si="23"/>
        <v>2016</v>
      </c>
      <c r="M66" s="88">
        <f t="shared" si="23"/>
        <v>2017</v>
      </c>
      <c r="N66" s="88">
        <f t="shared" si="23"/>
        <v>2018</v>
      </c>
      <c r="O66" s="88">
        <f t="shared" si="23"/>
        <v>2019</v>
      </c>
      <c r="P66" s="88">
        <f t="shared" si="23"/>
        <v>2020</v>
      </c>
      <c r="Q66" s="88">
        <f t="shared" si="23"/>
        <v>2021</v>
      </c>
      <c r="R66" s="88">
        <f t="shared" si="23"/>
        <v>2022</v>
      </c>
      <c r="S66" s="88">
        <f t="shared" si="23"/>
        <v>2023</v>
      </c>
      <c r="T66" s="88">
        <f t="shared" si="23"/>
        <v>2024</v>
      </c>
    </row>
    <row r="67" spans="1:29" ht="15.75" customHeight="1">
      <c r="A67" s="9">
        <v>-1</v>
      </c>
      <c r="B67" s="9">
        <f t="shared" ref="B67:T67" si="24">A67-1</f>
        <v>-2</v>
      </c>
      <c r="C67" s="9">
        <f t="shared" si="24"/>
        <v>-3</v>
      </c>
      <c r="D67" s="9">
        <f t="shared" si="24"/>
        <v>-4</v>
      </c>
      <c r="E67" s="9">
        <f t="shared" si="24"/>
        <v>-5</v>
      </c>
      <c r="F67" s="9">
        <f t="shared" si="24"/>
        <v>-6</v>
      </c>
      <c r="G67" s="9">
        <f t="shared" si="24"/>
        <v>-7</v>
      </c>
      <c r="H67" s="9">
        <f t="shared" si="24"/>
        <v>-8</v>
      </c>
      <c r="I67" s="9">
        <f t="shared" si="24"/>
        <v>-9</v>
      </c>
      <c r="J67" s="9">
        <f t="shared" si="24"/>
        <v>-10</v>
      </c>
      <c r="K67" s="9">
        <f t="shared" si="24"/>
        <v>-11</v>
      </c>
      <c r="L67" s="9">
        <f t="shared" si="24"/>
        <v>-12</v>
      </c>
      <c r="M67" s="9">
        <f t="shared" si="24"/>
        <v>-13</v>
      </c>
      <c r="N67" s="9">
        <f t="shared" si="24"/>
        <v>-14</v>
      </c>
      <c r="O67" s="9">
        <f t="shared" si="24"/>
        <v>-15</v>
      </c>
      <c r="P67" s="9">
        <f t="shared" si="24"/>
        <v>-16</v>
      </c>
      <c r="Q67" s="9">
        <f t="shared" si="24"/>
        <v>-17</v>
      </c>
      <c r="R67" s="9">
        <f t="shared" si="24"/>
        <v>-18</v>
      </c>
      <c r="S67" s="9">
        <f t="shared" si="24"/>
        <v>-19</v>
      </c>
      <c r="T67" s="9">
        <f t="shared" si="24"/>
        <v>-20</v>
      </c>
    </row>
    <row r="68" spans="1:29" ht="15.75" customHeight="1">
      <c r="A68" s="14">
        <v>1</v>
      </c>
      <c r="B68" s="15" t="s">
        <v>21</v>
      </c>
      <c r="C68" s="14" t="s">
        <v>22</v>
      </c>
      <c r="D68" s="18">
        <f t="shared" ref="D68:Q68" si="25">D48</f>
        <v>62175113.961486451</v>
      </c>
      <c r="E68" s="18">
        <f t="shared" si="25"/>
        <v>87894313.751635581</v>
      </c>
      <c r="F68" s="18">
        <f t="shared" si="25"/>
        <v>79666436.831252158</v>
      </c>
      <c r="G68" s="18">
        <f t="shared" si="25"/>
        <v>62646484.238866165</v>
      </c>
      <c r="H68" s="18">
        <f t="shared" si="25"/>
        <v>50466070.92685359</v>
      </c>
      <c r="I68" s="18">
        <f t="shared" si="25"/>
        <v>56483984.821731716</v>
      </c>
      <c r="J68" s="18">
        <f t="shared" si="25"/>
        <v>35590005.806679897</v>
      </c>
      <c r="K68" s="18">
        <f t="shared" si="25"/>
        <v>26683441.305689409</v>
      </c>
      <c r="L68" s="18">
        <f t="shared" si="25"/>
        <v>29280627.568176731</v>
      </c>
      <c r="M68" s="18">
        <f t="shared" si="25"/>
        <v>34162642.452878796</v>
      </c>
      <c r="N68" s="18">
        <f t="shared" si="25"/>
        <v>38049871.941352099</v>
      </c>
      <c r="O68" s="18">
        <f t="shared" si="25"/>
        <v>25824215.068430301</v>
      </c>
      <c r="P68" s="18">
        <f t="shared" si="25"/>
        <v>74656992.086842746</v>
      </c>
      <c r="Q68" s="18">
        <f t="shared" si="25"/>
        <v>122118362.41895694</v>
      </c>
      <c r="R68" s="18">
        <f t="shared" ref="R68:S68" si="26">R48</f>
        <v>137449104.30139565</v>
      </c>
      <c r="S68" s="18">
        <f t="shared" si="26"/>
        <v>154044235.05753705</v>
      </c>
      <c r="T68" s="18">
        <f t="shared" ref="T68" si="27">T48</f>
        <v>194522885.6974006</v>
      </c>
      <c r="Z68" s="209"/>
      <c r="AA68" s="209"/>
      <c r="AB68" s="209"/>
      <c r="AC68" s="209"/>
    </row>
    <row r="69" spans="1:29" ht="15.75" customHeight="1">
      <c r="A69" s="14">
        <f t="shared" ref="A69:A78" si="28">A68+1</f>
        <v>2</v>
      </c>
      <c r="B69" s="15" t="s">
        <v>32</v>
      </c>
      <c r="C69" s="14" t="s">
        <v>22</v>
      </c>
      <c r="D69" s="18">
        <f t="shared" ref="D69:M69" si="29">$F56/$F$60*D$68</f>
        <v>19630178.581634529</v>
      </c>
      <c r="E69" s="18">
        <f t="shared" si="29"/>
        <v>27750348.416306667</v>
      </c>
      <c r="F69" s="18">
        <f t="shared" si="29"/>
        <v>25152609.819560647</v>
      </c>
      <c r="G69" s="18">
        <f t="shared" si="29"/>
        <v>19779001.513085369</v>
      </c>
      <c r="H69" s="18">
        <f t="shared" si="29"/>
        <v>15933352.132192638</v>
      </c>
      <c r="I69" s="18">
        <f t="shared" si="29"/>
        <v>17833352.259551201</v>
      </c>
      <c r="J69" s="18">
        <f t="shared" si="29"/>
        <v>11236620.654033678</v>
      </c>
      <c r="K69" s="18">
        <f t="shared" si="29"/>
        <v>8424604.0679186825</v>
      </c>
      <c r="L69" s="18">
        <f t="shared" si="29"/>
        <v>9244598.2246479318</v>
      </c>
      <c r="M69" s="18">
        <f t="shared" si="29"/>
        <v>10785967.719913561</v>
      </c>
      <c r="N69" s="18">
        <f t="shared" ref="N69:Q69" si="30">$L56/$L$60*N$68</f>
        <v>9482842.971901454</v>
      </c>
      <c r="O69" s="18">
        <f t="shared" si="30"/>
        <v>6435947.4519123407</v>
      </c>
      <c r="P69" s="18">
        <f t="shared" si="30"/>
        <v>18606121.297996197</v>
      </c>
      <c r="Q69" s="18">
        <f t="shared" si="30"/>
        <v>30434511.227518469</v>
      </c>
      <c r="R69" s="18">
        <f t="shared" ref="R69:S69" si="31">$L56/$L$60*R$68</f>
        <v>34255260.431037426</v>
      </c>
      <c r="S69" s="18">
        <f t="shared" si="31"/>
        <v>38391122.420303009</v>
      </c>
      <c r="T69" s="18">
        <f t="shared" ref="T69" si="32">$L56/$L$60*T$68</f>
        <v>48479269.059112541</v>
      </c>
      <c r="Z69" s="209"/>
      <c r="AA69" s="209"/>
      <c r="AB69" s="209"/>
      <c r="AC69" s="209"/>
    </row>
    <row r="70" spans="1:29" ht="15.75" customHeight="1">
      <c r="A70" s="14">
        <f t="shared" si="28"/>
        <v>3</v>
      </c>
      <c r="B70" s="15" t="s">
        <v>26</v>
      </c>
      <c r="C70" s="14" t="s">
        <v>22</v>
      </c>
      <c r="D70" s="18">
        <f t="shared" ref="D70:M70" si="33">$F57/$F$60*D$68</f>
        <v>4533912.9855702063</v>
      </c>
      <c r="E70" s="18">
        <f t="shared" si="33"/>
        <v>6409399.9204114238</v>
      </c>
      <c r="F70" s="18">
        <f t="shared" si="33"/>
        <v>5809409.4155913191</v>
      </c>
      <c r="G70" s="18">
        <f t="shared" si="33"/>
        <v>4568286.0921952706</v>
      </c>
      <c r="H70" s="18">
        <f t="shared" si="33"/>
        <v>3680070.0429387405</v>
      </c>
      <c r="I70" s="18">
        <f t="shared" si="33"/>
        <v>4118906.3588791094</v>
      </c>
      <c r="J70" s="18">
        <f t="shared" si="33"/>
        <v>2595282.5688969153</v>
      </c>
      <c r="K70" s="18">
        <f t="shared" si="33"/>
        <v>1945801.0340038191</v>
      </c>
      <c r="L70" s="18">
        <f t="shared" si="33"/>
        <v>2135192.1870096656</v>
      </c>
      <c r="M70" s="18">
        <f t="shared" si="33"/>
        <v>2491196.8530438719</v>
      </c>
      <c r="N70" s="18">
        <f t="shared" ref="N70:Q70" si="34">$L57/$L$60*N$68</f>
        <v>5601020.1563719856</v>
      </c>
      <c r="O70" s="18">
        <f t="shared" si="34"/>
        <v>3801378.0793718863</v>
      </c>
      <c r="P70" s="18">
        <f t="shared" si="34"/>
        <v>10989664.252668992</v>
      </c>
      <c r="Q70" s="18">
        <f t="shared" si="34"/>
        <v>17976076.514159527</v>
      </c>
      <c r="R70" s="18">
        <f t="shared" ref="R70:S70" si="35">$L57/$L$60*R$68</f>
        <v>20232793.55194686</v>
      </c>
      <c r="S70" s="18">
        <f t="shared" si="35"/>
        <v>22675631.257315326</v>
      </c>
      <c r="T70" s="18">
        <f t="shared" ref="T70" si="36">$L57/$L$60*T$68</f>
        <v>28634172.681214768</v>
      </c>
      <c r="Z70" s="209"/>
      <c r="AA70" s="209"/>
      <c r="AB70" s="209"/>
      <c r="AC70" s="209"/>
    </row>
    <row r="71" spans="1:29" ht="15.75" customHeight="1">
      <c r="A71" s="14">
        <f t="shared" si="28"/>
        <v>4</v>
      </c>
      <c r="B71" s="21" t="s">
        <v>27</v>
      </c>
      <c r="C71" s="14" t="s">
        <v>22</v>
      </c>
      <c r="D71" s="18">
        <f t="shared" ref="D71:M71" si="37">$F58/$F$60*D$68</f>
        <v>373619.25856030564</v>
      </c>
      <c r="E71" s="18">
        <f t="shared" si="37"/>
        <v>528169.65250589885</v>
      </c>
      <c r="F71" s="18">
        <f t="shared" si="37"/>
        <v>478727.14924931759</v>
      </c>
      <c r="G71" s="18">
        <f t="shared" si="37"/>
        <v>376451.79077972489</v>
      </c>
      <c r="H71" s="18">
        <f t="shared" si="37"/>
        <v>303257.92428498599</v>
      </c>
      <c r="I71" s="18">
        <f t="shared" si="37"/>
        <v>339420.43986761721</v>
      </c>
      <c r="J71" s="18">
        <f t="shared" si="37"/>
        <v>213865.49592631924</v>
      </c>
      <c r="K71" s="18">
        <f t="shared" si="37"/>
        <v>160344.6607696538</v>
      </c>
      <c r="L71" s="18">
        <f t="shared" si="37"/>
        <v>175951.52891845367</v>
      </c>
      <c r="M71" s="18">
        <f t="shared" si="37"/>
        <v>205288.26294732289</v>
      </c>
      <c r="N71" s="18">
        <f t="shared" ref="N71:Q71" si="38">$L58/$L$60*N$68</f>
        <v>168348.91932644564</v>
      </c>
      <c r="O71" s="18">
        <f t="shared" si="38"/>
        <v>114257.38057476014</v>
      </c>
      <c r="P71" s="18">
        <f t="shared" si="38"/>
        <v>330314.48719079082</v>
      </c>
      <c r="Q71" s="18">
        <f t="shared" si="38"/>
        <v>540303.90364609694</v>
      </c>
      <c r="R71" s="18">
        <f t="shared" ref="R71:S71" si="39">$L58/$L$60*R$68</f>
        <v>608133.66749810963</v>
      </c>
      <c r="S71" s="18">
        <f t="shared" si="39"/>
        <v>681557.62890285824</v>
      </c>
      <c r="T71" s="18">
        <f t="shared" ref="T71" si="40">$L58/$L$60*T$68</f>
        <v>860652.50474152877</v>
      </c>
      <c r="Z71" s="209"/>
      <c r="AA71" s="209"/>
      <c r="AB71" s="209"/>
      <c r="AC71" s="209"/>
    </row>
    <row r="72" spans="1:29" ht="15.75" customHeight="1">
      <c r="A72" s="23">
        <f t="shared" si="28"/>
        <v>5</v>
      </c>
      <c r="B72" s="24" t="s">
        <v>33</v>
      </c>
      <c r="C72" s="23" t="s">
        <v>22</v>
      </c>
      <c r="D72" s="25">
        <f t="shared" ref="D72:M72" si="41">$F59/$F$60*D$68</f>
        <v>37637403.135721408</v>
      </c>
      <c r="E72" s="25">
        <f t="shared" si="41"/>
        <v>53206395.762411594</v>
      </c>
      <c r="F72" s="25">
        <f t="shared" si="41"/>
        <v>48225690.446850874</v>
      </c>
      <c r="G72" s="25">
        <f t="shared" si="41"/>
        <v>37922744.842805803</v>
      </c>
      <c r="H72" s="25">
        <f t="shared" si="41"/>
        <v>30549390.827437226</v>
      </c>
      <c r="I72" s="25">
        <f t="shared" si="41"/>
        <v>34192305.763433792</v>
      </c>
      <c r="J72" s="25">
        <f t="shared" si="41"/>
        <v>21544237.087822985</v>
      </c>
      <c r="K72" s="25">
        <f t="shared" si="41"/>
        <v>16152691.542997256</v>
      </c>
      <c r="L72" s="25">
        <f t="shared" si="41"/>
        <v>17724885.627600681</v>
      </c>
      <c r="M72" s="25">
        <f t="shared" si="41"/>
        <v>20680189.616974041</v>
      </c>
      <c r="N72" s="25">
        <f t="shared" ref="N72:Q72" si="42">$L59/$L$60*N$68</f>
        <v>22797659.89375221</v>
      </c>
      <c r="O72" s="25">
        <f t="shared" si="42"/>
        <v>15472632.156571312</v>
      </c>
      <c r="P72" s="25">
        <f t="shared" si="42"/>
        <v>44730892.048986763</v>
      </c>
      <c r="Q72" s="25">
        <f t="shared" si="42"/>
        <v>73167470.773632839</v>
      </c>
      <c r="R72" s="25">
        <f t="shared" ref="R72:S72" si="43">$L59/$L$60*R$68</f>
        <v>82352916.650913253</v>
      </c>
      <c r="S72" s="25">
        <f t="shared" si="43"/>
        <v>92295923.751015842</v>
      </c>
      <c r="T72" s="25">
        <f t="shared" ref="T72" si="44">$L59/$L$60*T$68</f>
        <v>116548791.45233175</v>
      </c>
      <c r="Z72" s="209"/>
      <c r="AA72" s="209"/>
      <c r="AB72" s="209"/>
      <c r="AC72" s="209"/>
    </row>
    <row r="73" spans="1:29" ht="15.75" customHeight="1">
      <c r="A73" s="14">
        <f t="shared" si="28"/>
        <v>6</v>
      </c>
      <c r="B73" s="21" t="s">
        <v>34</v>
      </c>
      <c r="C73" s="14" t="s">
        <v>22</v>
      </c>
      <c r="D73" s="18"/>
      <c r="E73" s="18"/>
      <c r="F73" s="18"/>
      <c r="G73" s="18"/>
      <c r="H73" s="18"/>
      <c r="I73" s="18"/>
      <c r="J73" s="18"/>
      <c r="K73" s="18"/>
      <c r="L73" s="18"/>
      <c r="M73" s="18"/>
      <c r="N73" s="18"/>
      <c r="O73" s="18"/>
      <c r="P73" s="18"/>
      <c r="Q73" s="18"/>
      <c r="R73" s="18"/>
      <c r="S73" s="18"/>
      <c r="T73" s="18"/>
      <c r="Z73" s="209"/>
      <c r="AA73" s="209"/>
      <c r="AB73" s="209"/>
      <c r="AC73" s="209"/>
    </row>
    <row r="74" spans="1:29" ht="15.75" customHeight="1">
      <c r="A74" s="14">
        <f t="shared" si="28"/>
        <v>7</v>
      </c>
      <c r="B74" s="15" t="s">
        <v>35</v>
      </c>
      <c r="C74" s="14" t="s">
        <v>22</v>
      </c>
      <c r="D74" s="18"/>
      <c r="E74" s="18"/>
      <c r="F74" s="18"/>
      <c r="G74" s="18"/>
      <c r="H74" s="18"/>
      <c r="I74" s="18"/>
      <c r="J74" s="18"/>
      <c r="K74" s="18"/>
      <c r="L74" s="18"/>
      <c r="M74" s="18"/>
      <c r="N74" s="18"/>
      <c r="O74" s="18"/>
      <c r="P74" s="18"/>
      <c r="Q74" s="18"/>
      <c r="R74" s="18"/>
      <c r="S74" s="18"/>
      <c r="T74" s="18"/>
      <c r="Z74" s="209"/>
      <c r="AA74" s="209"/>
      <c r="AB74" s="209"/>
      <c r="AC74" s="209"/>
    </row>
    <row r="75" spans="1:29" ht="15.75" customHeight="1">
      <c r="A75" s="14">
        <f t="shared" si="28"/>
        <v>8</v>
      </c>
      <c r="B75" s="21" t="s">
        <v>36</v>
      </c>
      <c r="C75" s="14" t="s">
        <v>22</v>
      </c>
      <c r="D75" s="18"/>
      <c r="E75" s="18"/>
      <c r="F75" s="18"/>
      <c r="G75" s="18"/>
      <c r="H75" s="18"/>
      <c r="I75" s="18"/>
      <c r="J75" s="18"/>
      <c r="K75" s="18"/>
      <c r="L75" s="18"/>
      <c r="M75" s="18"/>
      <c r="N75" s="18"/>
      <c r="O75" s="18"/>
      <c r="P75" s="18"/>
      <c r="Q75" s="18"/>
      <c r="R75" s="18"/>
      <c r="S75" s="18"/>
      <c r="T75" s="18"/>
      <c r="Z75" s="209"/>
      <c r="AA75" s="209"/>
      <c r="AB75" s="209"/>
      <c r="AC75" s="209"/>
    </row>
    <row r="76" spans="1:29" ht="15.75" customHeight="1">
      <c r="A76" s="23">
        <f t="shared" si="28"/>
        <v>9</v>
      </c>
      <c r="B76" s="24" t="s">
        <v>37</v>
      </c>
      <c r="C76" s="23" t="s">
        <v>22</v>
      </c>
      <c r="D76" s="25">
        <f t="shared" ref="D76:Q76" si="45">D72+D73-D74-D75</f>
        <v>37637403.135721408</v>
      </c>
      <c r="E76" s="25">
        <f t="shared" si="45"/>
        <v>53206395.762411594</v>
      </c>
      <c r="F76" s="25">
        <f t="shared" si="45"/>
        <v>48225690.446850874</v>
      </c>
      <c r="G76" s="25">
        <f t="shared" si="45"/>
        <v>37922744.842805803</v>
      </c>
      <c r="H76" s="25">
        <f t="shared" si="45"/>
        <v>30549390.827437226</v>
      </c>
      <c r="I76" s="25">
        <f t="shared" si="45"/>
        <v>34192305.763433792</v>
      </c>
      <c r="J76" s="25">
        <f t="shared" si="45"/>
        <v>21544237.087822985</v>
      </c>
      <c r="K76" s="25">
        <f t="shared" si="45"/>
        <v>16152691.542997256</v>
      </c>
      <c r="L76" s="25">
        <f t="shared" si="45"/>
        <v>17724885.627600681</v>
      </c>
      <c r="M76" s="25">
        <f t="shared" si="45"/>
        <v>20680189.616974041</v>
      </c>
      <c r="N76" s="25">
        <f t="shared" si="45"/>
        <v>22797659.89375221</v>
      </c>
      <c r="O76" s="25">
        <f t="shared" si="45"/>
        <v>15472632.156571312</v>
      </c>
      <c r="P76" s="25">
        <f t="shared" si="45"/>
        <v>44730892.048986763</v>
      </c>
      <c r="Q76" s="25">
        <f t="shared" si="45"/>
        <v>73167470.773632839</v>
      </c>
      <c r="R76" s="25">
        <f t="shared" ref="R76:S76" si="46">R72+R73-R74-R75</f>
        <v>82352916.650913253</v>
      </c>
      <c r="S76" s="25">
        <f t="shared" si="46"/>
        <v>92295923.751015842</v>
      </c>
      <c r="T76" s="25">
        <f t="shared" ref="T76" si="47">T72+T73-T74-T75</f>
        <v>116548791.45233175</v>
      </c>
    </row>
    <row r="77" spans="1:29" ht="15.75" customHeight="1">
      <c r="A77" s="14">
        <f t="shared" si="28"/>
        <v>10</v>
      </c>
      <c r="B77" s="21" t="s">
        <v>38</v>
      </c>
      <c r="C77" s="26" t="s">
        <v>84</v>
      </c>
      <c r="D77" s="18">
        <f t="shared" ref="D77:Q77" si="48">D45</f>
        <v>725871.42852580664</v>
      </c>
      <c r="E77" s="18">
        <f t="shared" si="48"/>
        <v>1052144.6306882787</v>
      </c>
      <c r="F77" s="18">
        <f t="shared" si="48"/>
        <v>1880834.4505644203</v>
      </c>
      <c r="G77" s="18">
        <f t="shared" si="48"/>
        <v>1119447.5786156156</v>
      </c>
      <c r="H77" s="18">
        <f t="shared" si="48"/>
        <v>1219483.3514684686</v>
      </c>
      <c r="I77" s="18">
        <f t="shared" si="48"/>
        <v>1255576.9552796877</v>
      </c>
      <c r="J77" s="18">
        <f t="shared" si="48"/>
        <v>1091587.228004944</v>
      </c>
      <c r="K77" s="18">
        <f t="shared" si="48"/>
        <v>953413.89218018018</v>
      </c>
      <c r="L77" s="18">
        <f t="shared" si="48"/>
        <v>1078796.8341771772</v>
      </c>
      <c r="M77" s="18">
        <f t="shared" si="48"/>
        <v>965322.15923423413</v>
      </c>
      <c r="N77" s="18">
        <f t="shared" si="48"/>
        <v>721210.95495495503</v>
      </c>
      <c r="O77" s="18">
        <f t="shared" si="48"/>
        <v>530220.42042042036</v>
      </c>
      <c r="P77" s="18">
        <f t="shared" si="48"/>
        <v>667077.32978978974</v>
      </c>
      <c r="Q77" s="18">
        <f t="shared" si="48"/>
        <v>788184.40480000002</v>
      </c>
      <c r="R77" s="18">
        <f t="shared" ref="R77:S77" si="49">R45</f>
        <v>1381882.2056</v>
      </c>
      <c r="S77" s="18">
        <f t="shared" si="49"/>
        <v>1334717.0817091374</v>
      </c>
      <c r="T77" s="18">
        <f t="shared" ref="T77" si="50">T45</f>
        <v>1447283.5825761734</v>
      </c>
    </row>
    <row r="78" spans="1:29" ht="15.75" customHeight="1">
      <c r="A78" s="23">
        <f t="shared" si="28"/>
        <v>11</v>
      </c>
      <c r="B78" s="24" t="s">
        <v>39</v>
      </c>
      <c r="C78" s="23" t="s">
        <v>114</v>
      </c>
      <c r="D78" s="25">
        <f t="shared" ref="D78:Q78" si="51">D76/D77*1000</f>
        <v>51851.335727816571</v>
      </c>
      <c r="E78" s="25">
        <f t="shared" si="51"/>
        <v>50569.469453648882</v>
      </c>
      <c r="F78" s="25">
        <f t="shared" si="51"/>
        <v>25640.582259846851</v>
      </c>
      <c r="G78" s="25">
        <f t="shared" si="51"/>
        <v>33876.302532811431</v>
      </c>
      <c r="H78" s="25">
        <f t="shared" si="51"/>
        <v>25051.092981835693</v>
      </c>
      <c r="I78" s="25">
        <f t="shared" si="51"/>
        <v>27232.34575121462</v>
      </c>
      <c r="J78" s="25">
        <f t="shared" si="51"/>
        <v>19736.615210493655</v>
      </c>
      <c r="K78" s="25">
        <f t="shared" si="51"/>
        <v>16941.951103796851</v>
      </c>
      <c r="L78" s="25">
        <f t="shared" si="51"/>
        <v>16430.235115697065</v>
      </c>
      <c r="M78" s="25">
        <f t="shared" si="51"/>
        <v>21423.096340582419</v>
      </c>
      <c r="N78" s="25">
        <f t="shared" si="51"/>
        <v>31610.251809300502</v>
      </c>
      <c r="O78" s="25">
        <f t="shared" si="51"/>
        <v>29181.509350965418</v>
      </c>
      <c r="P78" s="25">
        <f t="shared" si="51"/>
        <v>67055.0325298604</v>
      </c>
      <c r="Q78" s="25">
        <f t="shared" si="51"/>
        <v>92830.396450433342</v>
      </c>
      <c r="R78" s="25">
        <f t="shared" ref="R78:S78" si="52">R76/R77*1000</f>
        <v>59594.744267769485</v>
      </c>
      <c r="S78" s="25">
        <f t="shared" si="52"/>
        <v>69150.177978413732</v>
      </c>
      <c r="T78" s="25">
        <f t="shared" ref="T78" si="53">T76/T77*1000</f>
        <v>80529.339830466546</v>
      </c>
    </row>
    <row r="79" spans="1:29" ht="15.75" customHeight="1">
      <c r="A79" s="19"/>
      <c r="B79" s="2"/>
      <c r="C79" s="2"/>
      <c r="D79" s="2"/>
      <c r="E79" s="2"/>
      <c r="F79" s="2"/>
      <c r="G79" s="2"/>
      <c r="H79" s="2"/>
      <c r="I79" s="2"/>
      <c r="J79" s="2"/>
      <c r="K79" s="2"/>
      <c r="L79" s="2"/>
      <c r="M79" s="2"/>
      <c r="N79" s="2"/>
      <c r="O79" s="2"/>
      <c r="P79" s="2"/>
      <c r="Q79" s="2"/>
      <c r="R79" s="2"/>
      <c r="S79" s="2"/>
      <c r="T79" s="2"/>
    </row>
    <row r="80" spans="1:29" ht="15.75" customHeight="1">
      <c r="A80" s="19"/>
      <c r="B80" s="2"/>
      <c r="C80" s="2"/>
      <c r="D80" s="2"/>
      <c r="E80" s="2"/>
      <c r="F80" s="2"/>
      <c r="G80" s="2"/>
      <c r="H80" s="2"/>
      <c r="I80" s="2"/>
      <c r="J80" s="2"/>
      <c r="K80" s="2"/>
      <c r="L80" s="2"/>
      <c r="M80" s="2"/>
      <c r="N80" s="2"/>
      <c r="O80" s="2"/>
      <c r="P80" s="2"/>
      <c r="Q80" s="2"/>
      <c r="R80" s="2"/>
      <c r="S80" s="2"/>
      <c r="T80" s="2"/>
    </row>
    <row r="81" spans="1:20" ht="15.75" customHeight="1">
      <c r="A81" s="6" t="s">
        <v>100</v>
      </c>
      <c r="B81" s="2"/>
      <c r="C81" s="2"/>
      <c r="D81" s="2"/>
      <c r="E81" s="2"/>
      <c r="F81" s="2"/>
      <c r="G81" s="2"/>
      <c r="H81" s="2"/>
      <c r="I81" s="2"/>
      <c r="J81" s="2"/>
      <c r="K81" s="2"/>
      <c r="L81" s="2"/>
      <c r="M81" s="2"/>
      <c r="N81" s="2"/>
      <c r="O81" s="2"/>
      <c r="P81" s="2"/>
      <c r="Q81" s="2"/>
      <c r="R81" s="2"/>
      <c r="S81" s="2"/>
      <c r="T81" s="2"/>
    </row>
    <row r="82" spans="1:20" ht="15.75" customHeight="1" thickBot="1">
      <c r="A82" s="19"/>
      <c r="B82" s="2"/>
      <c r="C82" s="2"/>
      <c r="D82" s="2"/>
      <c r="E82" s="2"/>
      <c r="F82" s="2"/>
      <c r="G82" s="2"/>
      <c r="H82" s="2"/>
      <c r="I82" s="2"/>
      <c r="J82" s="2"/>
      <c r="K82" s="2"/>
      <c r="L82" s="2"/>
      <c r="M82" s="2"/>
      <c r="N82" s="2"/>
      <c r="O82" s="2"/>
      <c r="P82" s="2"/>
      <c r="Q82" s="2"/>
      <c r="R82" s="2"/>
      <c r="S82" s="2"/>
      <c r="T82" s="2"/>
    </row>
    <row r="83" spans="1:20" ht="15.75" customHeight="1" thickBot="1">
      <c r="A83" s="89" t="s">
        <v>3</v>
      </c>
      <c r="B83" s="87" t="s">
        <v>4</v>
      </c>
      <c r="C83" s="88" t="s">
        <v>5</v>
      </c>
      <c r="D83" s="88">
        <f t="shared" ref="D83:T83" si="54">D$3</f>
        <v>2008</v>
      </c>
      <c r="E83" s="88">
        <f t="shared" si="54"/>
        <v>2009</v>
      </c>
      <c r="F83" s="88">
        <f t="shared" si="54"/>
        <v>2010</v>
      </c>
      <c r="G83" s="88">
        <f t="shared" si="54"/>
        <v>2011</v>
      </c>
      <c r="H83" s="88">
        <f t="shared" si="54"/>
        <v>2012</v>
      </c>
      <c r="I83" s="88">
        <f t="shared" si="54"/>
        <v>2013</v>
      </c>
      <c r="J83" s="88">
        <f t="shared" si="54"/>
        <v>2014</v>
      </c>
      <c r="K83" s="88">
        <f t="shared" si="54"/>
        <v>2015</v>
      </c>
      <c r="L83" s="88">
        <f t="shared" si="54"/>
        <v>2016</v>
      </c>
      <c r="M83" s="88">
        <f t="shared" si="54"/>
        <v>2017</v>
      </c>
      <c r="N83" s="88">
        <f t="shared" si="54"/>
        <v>2018</v>
      </c>
      <c r="O83" s="88">
        <f t="shared" si="54"/>
        <v>2019</v>
      </c>
      <c r="P83" s="88">
        <f t="shared" si="54"/>
        <v>2020</v>
      </c>
      <c r="Q83" s="88">
        <f t="shared" si="54"/>
        <v>2021</v>
      </c>
      <c r="R83" s="88">
        <f t="shared" si="54"/>
        <v>2022</v>
      </c>
      <c r="S83" s="88">
        <f t="shared" si="54"/>
        <v>2023</v>
      </c>
      <c r="T83" s="88">
        <f t="shared" si="54"/>
        <v>2024</v>
      </c>
    </row>
    <row r="84" spans="1:20" ht="15.75" customHeight="1">
      <c r="A84" s="9">
        <v>-1</v>
      </c>
      <c r="B84" s="9">
        <f t="shared" ref="B84:T84" si="55">A84-1</f>
        <v>-2</v>
      </c>
      <c r="C84" s="9">
        <f t="shared" si="55"/>
        <v>-3</v>
      </c>
      <c r="D84" s="9">
        <f t="shared" si="55"/>
        <v>-4</v>
      </c>
      <c r="E84" s="9">
        <f t="shared" si="55"/>
        <v>-5</v>
      </c>
      <c r="F84" s="9">
        <f t="shared" si="55"/>
        <v>-6</v>
      </c>
      <c r="G84" s="9">
        <f t="shared" si="55"/>
        <v>-7</v>
      </c>
      <c r="H84" s="9">
        <f t="shared" si="55"/>
        <v>-8</v>
      </c>
      <c r="I84" s="9">
        <f t="shared" si="55"/>
        <v>-9</v>
      </c>
      <c r="J84" s="9">
        <f t="shared" si="55"/>
        <v>-10</v>
      </c>
      <c r="K84" s="9">
        <f t="shared" si="55"/>
        <v>-11</v>
      </c>
      <c r="L84" s="9">
        <f t="shared" si="55"/>
        <v>-12</v>
      </c>
      <c r="M84" s="9">
        <f t="shared" si="55"/>
        <v>-13</v>
      </c>
      <c r="N84" s="9">
        <f t="shared" si="55"/>
        <v>-14</v>
      </c>
      <c r="O84" s="9">
        <f t="shared" si="55"/>
        <v>-15</v>
      </c>
      <c r="P84" s="9">
        <f t="shared" si="55"/>
        <v>-16</v>
      </c>
      <c r="Q84" s="9">
        <f t="shared" si="55"/>
        <v>-17</v>
      </c>
      <c r="R84" s="9">
        <f t="shared" si="55"/>
        <v>-18</v>
      </c>
      <c r="S84" s="9">
        <f t="shared" si="55"/>
        <v>-19</v>
      </c>
      <c r="T84" s="9">
        <f t="shared" si="55"/>
        <v>-20</v>
      </c>
    </row>
    <row r="85" spans="1:20" ht="15.75" customHeight="1">
      <c r="A85" s="23">
        <v>1</v>
      </c>
      <c r="B85" s="24" t="s">
        <v>41</v>
      </c>
      <c r="C85" s="23" t="s">
        <v>86</v>
      </c>
      <c r="D85" s="25"/>
      <c r="E85" s="25">
        <f t="shared" ref="E85:T85" si="56">D9/1000000</f>
        <v>0</v>
      </c>
      <c r="F85" s="25">
        <f t="shared" si="56"/>
        <v>0</v>
      </c>
      <c r="G85" s="25">
        <f t="shared" si="56"/>
        <v>4161</v>
      </c>
      <c r="H85" s="25">
        <f t="shared" si="56"/>
        <v>3044.92</v>
      </c>
      <c r="I85" s="25">
        <f t="shared" si="56"/>
        <v>3078.67</v>
      </c>
      <c r="J85" s="25">
        <f t="shared" si="56"/>
        <v>3134</v>
      </c>
      <c r="K85" s="25">
        <f t="shared" si="56"/>
        <v>3469.3388407175253</v>
      </c>
      <c r="L85" s="25">
        <f t="shared" si="56"/>
        <v>3451.0193561814431</v>
      </c>
      <c r="M85" s="25">
        <f t="shared" si="56"/>
        <v>3383.9791499958765</v>
      </c>
      <c r="N85" s="25">
        <f t="shared" si="56"/>
        <v>2857.8158288000004</v>
      </c>
      <c r="O85" s="25">
        <f t="shared" si="56"/>
        <v>2761.1826938000004</v>
      </c>
      <c r="P85" s="25">
        <f t="shared" si="56"/>
        <v>2631.6408858</v>
      </c>
      <c r="Q85" s="25">
        <f t="shared" si="56"/>
        <v>3096.9424378000003</v>
      </c>
      <c r="R85" s="25">
        <f t="shared" si="56"/>
        <v>3017.8195900000001</v>
      </c>
      <c r="S85" s="25">
        <f t="shared" si="56"/>
        <v>3036.67659</v>
      </c>
      <c r="T85" s="25">
        <f t="shared" si="56"/>
        <v>2845.468894046875</v>
      </c>
    </row>
    <row r="86" spans="1:20" ht="15.75" customHeight="1">
      <c r="A86" s="23">
        <v>2</v>
      </c>
      <c r="B86" s="24" t="s">
        <v>43</v>
      </c>
      <c r="C86" s="23" t="s">
        <v>86</v>
      </c>
      <c r="D86" s="25">
        <f t="shared" ref="D86:Q86" si="57">SUM(D87:D89)</f>
        <v>0</v>
      </c>
      <c r="E86" s="25">
        <f t="shared" si="57"/>
        <v>0</v>
      </c>
      <c r="F86" s="25">
        <f t="shared" si="57"/>
        <v>0</v>
      </c>
      <c r="G86" s="25">
        <f t="shared" si="57"/>
        <v>0</v>
      </c>
      <c r="H86" s="25">
        <f t="shared" si="57"/>
        <v>0</v>
      </c>
      <c r="I86" s="25">
        <f t="shared" si="57"/>
        <v>0</v>
      </c>
      <c r="J86" s="25">
        <f t="shared" si="57"/>
        <v>0</v>
      </c>
      <c r="K86" s="25">
        <f t="shared" si="57"/>
        <v>0</v>
      </c>
      <c r="L86" s="25">
        <f t="shared" si="57"/>
        <v>0</v>
      </c>
      <c r="M86" s="25">
        <f t="shared" si="57"/>
        <v>0</v>
      </c>
      <c r="N86" s="25">
        <f t="shared" si="57"/>
        <v>0</v>
      </c>
      <c r="O86" s="25">
        <f t="shared" si="57"/>
        <v>0</v>
      </c>
      <c r="P86" s="25">
        <f t="shared" si="57"/>
        <v>0</v>
      </c>
      <c r="Q86" s="25">
        <f t="shared" si="57"/>
        <v>0</v>
      </c>
      <c r="R86" s="25">
        <f t="shared" ref="R86:S86" si="58">SUM(R87:R89)</f>
        <v>0</v>
      </c>
      <c r="S86" s="25">
        <f t="shared" si="58"/>
        <v>0</v>
      </c>
      <c r="T86" s="25">
        <f t="shared" ref="T86" si="59">SUM(T87:T89)</f>
        <v>0</v>
      </c>
    </row>
    <row r="87" spans="1:20" ht="15.75" customHeight="1">
      <c r="A87" s="14">
        <v>2.1</v>
      </c>
      <c r="B87" s="15" t="s">
        <v>44</v>
      </c>
      <c r="C87" s="14" t="s">
        <v>86</v>
      </c>
      <c r="D87" s="18"/>
      <c r="E87" s="18"/>
      <c r="F87" s="18"/>
      <c r="G87" s="18"/>
      <c r="H87" s="18"/>
      <c r="I87" s="18"/>
      <c r="J87" s="18"/>
      <c r="K87" s="18"/>
      <c r="L87" s="18"/>
      <c r="M87" s="18"/>
      <c r="N87" s="18"/>
      <c r="O87" s="18"/>
      <c r="P87" s="18"/>
      <c r="Q87" s="18"/>
      <c r="R87" s="18"/>
      <c r="S87" s="18"/>
      <c r="T87" s="18"/>
    </row>
    <row r="88" spans="1:20" ht="15.75" customHeight="1">
      <c r="A88" s="14">
        <v>2.2000000000000002</v>
      </c>
      <c r="B88" s="15" t="s">
        <v>45</v>
      </c>
      <c r="C88" s="14" t="s">
        <v>86</v>
      </c>
      <c r="D88" s="18"/>
      <c r="E88" s="18"/>
      <c r="F88" s="18"/>
      <c r="G88" s="18"/>
      <c r="H88" s="18"/>
      <c r="I88" s="18"/>
      <c r="J88" s="18"/>
      <c r="K88" s="18"/>
      <c r="L88" s="18"/>
      <c r="M88" s="18"/>
      <c r="N88" s="18"/>
      <c r="O88" s="18"/>
      <c r="P88" s="18"/>
      <c r="Q88" s="18"/>
      <c r="R88" s="18"/>
      <c r="S88" s="18"/>
      <c r="T88" s="18"/>
    </row>
    <row r="89" spans="1:20" ht="15.75" customHeight="1">
      <c r="A89" s="14">
        <v>2.2999999999999998</v>
      </c>
      <c r="B89" s="15" t="s">
        <v>46</v>
      </c>
      <c r="C89" s="14" t="s">
        <v>86</v>
      </c>
      <c r="D89" s="18"/>
      <c r="E89" s="18"/>
      <c r="F89" s="18"/>
      <c r="G89" s="18"/>
      <c r="H89" s="18"/>
      <c r="I89" s="18"/>
      <c r="J89" s="18"/>
      <c r="K89" s="18"/>
      <c r="L89" s="18"/>
      <c r="M89" s="18"/>
      <c r="N89" s="18"/>
      <c r="O89" s="18"/>
      <c r="P89" s="18"/>
      <c r="Q89" s="18"/>
      <c r="R89" s="18"/>
      <c r="S89" s="18"/>
      <c r="T89" s="18"/>
    </row>
    <row r="90" spans="1:20" ht="15.75" customHeight="1">
      <c r="A90" s="23">
        <v>3</v>
      </c>
      <c r="B90" s="24" t="s">
        <v>47</v>
      </c>
      <c r="C90" s="23" t="s">
        <v>86</v>
      </c>
      <c r="D90" s="25">
        <f t="shared" ref="D90:Q90" si="60">SUM(D91:D94)</f>
        <v>69.795329665942958</v>
      </c>
      <c r="E90" s="25">
        <f t="shared" si="60"/>
        <v>101.16775295079604</v>
      </c>
      <c r="F90" s="25">
        <f t="shared" si="60"/>
        <v>180.84946640042503</v>
      </c>
      <c r="G90" s="25">
        <f t="shared" si="60"/>
        <v>107.6391902515015</v>
      </c>
      <c r="H90" s="25">
        <f t="shared" si="60"/>
        <v>117.2580145642758</v>
      </c>
      <c r="I90" s="25">
        <f t="shared" si="60"/>
        <v>120.72855339227766</v>
      </c>
      <c r="J90" s="25">
        <f t="shared" si="60"/>
        <v>104.96031038509075</v>
      </c>
      <c r="K90" s="25">
        <f t="shared" si="60"/>
        <v>91.674412709632705</v>
      </c>
      <c r="L90" s="25">
        <f t="shared" si="60"/>
        <v>103.73046482472859</v>
      </c>
      <c r="M90" s="25">
        <f t="shared" si="60"/>
        <v>92.819438387907127</v>
      </c>
      <c r="N90" s="25">
        <f t="shared" si="60"/>
        <v>69.347207207207205</v>
      </c>
      <c r="O90" s="25">
        <f t="shared" si="60"/>
        <v>50.982732732732728</v>
      </c>
      <c r="P90" s="25">
        <f t="shared" si="60"/>
        <v>64.142050941325934</v>
      </c>
      <c r="Q90" s="25">
        <f t="shared" si="60"/>
        <v>75.786962000000003</v>
      </c>
      <c r="R90" s="25">
        <f t="shared" ref="R90:S90" si="61">SUM(R91:R94)</f>
        <v>132.873289</v>
      </c>
      <c r="S90" s="25">
        <f t="shared" si="61"/>
        <v>128.3381809335709</v>
      </c>
      <c r="T90" s="25">
        <f t="shared" ref="T90" si="62">SUM(T91:T94)</f>
        <v>139.16188294001665</v>
      </c>
    </row>
    <row r="91" spans="1:20" ht="15.75" customHeight="1">
      <c r="A91" s="14">
        <v>3.1</v>
      </c>
      <c r="B91" s="15" t="s">
        <v>48</v>
      </c>
      <c r="C91" s="14" t="s">
        <v>86</v>
      </c>
      <c r="D91" s="18">
        <f t="shared" ref="D91:Q91" si="63">D46/1000000</f>
        <v>69.795329665942958</v>
      </c>
      <c r="E91" s="18">
        <f t="shared" si="63"/>
        <v>101.16775295079604</v>
      </c>
      <c r="F91" s="18">
        <f t="shared" si="63"/>
        <v>180.84946640042503</v>
      </c>
      <c r="G91" s="18">
        <f t="shared" si="63"/>
        <v>107.6391902515015</v>
      </c>
      <c r="H91" s="18">
        <f t="shared" si="63"/>
        <v>117.2580145642758</v>
      </c>
      <c r="I91" s="18">
        <f t="shared" si="63"/>
        <v>120.72855339227766</v>
      </c>
      <c r="J91" s="18">
        <f t="shared" si="63"/>
        <v>104.96031038509075</v>
      </c>
      <c r="K91" s="18">
        <f t="shared" si="63"/>
        <v>91.674412709632705</v>
      </c>
      <c r="L91" s="18">
        <f t="shared" si="63"/>
        <v>103.73046482472859</v>
      </c>
      <c r="M91" s="18">
        <f t="shared" si="63"/>
        <v>92.819438387907127</v>
      </c>
      <c r="N91" s="18">
        <f t="shared" si="63"/>
        <v>69.347207207207205</v>
      </c>
      <c r="O91" s="18">
        <f t="shared" si="63"/>
        <v>50.982732732732728</v>
      </c>
      <c r="P91" s="18">
        <f t="shared" si="63"/>
        <v>64.142050941325934</v>
      </c>
      <c r="Q91" s="18">
        <f t="shared" si="63"/>
        <v>75.786962000000003</v>
      </c>
      <c r="R91" s="18">
        <f t="shared" ref="R91:S91" si="64">R46/1000000</f>
        <v>132.873289</v>
      </c>
      <c r="S91" s="18">
        <f t="shared" si="64"/>
        <v>128.3381809335709</v>
      </c>
      <c r="T91" s="18">
        <f t="shared" ref="T91" si="65">T46/1000000</f>
        <v>139.16188294001665</v>
      </c>
    </row>
    <row r="92" spans="1:20" ht="15.75" customHeight="1">
      <c r="A92" s="14">
        <v>3.2</v>
      </c>
      <c r="B92" s="15" t="s">
        <v>49</v>
      </c>
      <c r="C92" s="14" t="s">
        <v>86</v>
      </c>
      <c r="D92" s="18"/>
      <c r="E92" s="18"/>
      <c r="F92" s="18"/>
      <c r="G92" s="18"/>
      <c r="H92" s="18"/>
      <c r="I92" s="18"/>
      <c r="J92" s="18"/>
      <c r="K92" s="18"/>
      <c r="L92" s="18"/>
      <c r="M92" s="18"/>
      <c r="N92" s="18"/>
      <c r="O92" s="18"/>
      <c r="P92" s="18"/>
      <c r="Q92" s="18"/>
      <c r="R92" s="18"/>
      <c r="S92" s="18"/>
      <c r="T92" s="18"/>
    </row>
    <row r="93" spans="1:20" ht="15.75" customHeight="1">
      <c r="A93" s="14">
        <v>3.3</v>
      </c>
      <c r="B93" s="15" t="s">
        <v>50</v>
      </c>
      <c r="C93" s="14" t="s">
        <v>86</v>
      </c>
      <c r="D93" s="18"/>
      <c r="E93" s="18"/>
      <c r="F93" s="18"/>
      <c r="G93" s="18"/>
      <c r="H93" s="18"/>
      <c r="I93" s="18"/>
      <c r="J93" s="18"/>
      <c r="K93" s="18"/>
      <c r="L93" s="18"/>
      <c r="M93" s="18"/>
      <c r="N93" s="18"/>
      <c r="O93" s="18"/>
      <c r="P93" s="18"/>
      <c r="Q93" s="18"/>
      <c r="R93" s="18"/>
      <c r="S93" s="18"/>
      <c r="T93" s="18"/>
    </row>
    <row r="94" spans="1:20" ht="15.75" customHeight="1">
      <c r="A94" s="14">
        <v>3.4</v>
      </c>
      <c r="B94" s="15" t="s">
        <v>46</v>
      </c>
      <c r="C94" s="14" t="s">
        <v>86</v>
      </c>
      <c r="D94" s="18"/>
      <c r="E94" s="18"/>
      <c r="F94" s="18"/>
      <c r="G94" s="18"/>
      <c r="H94" s="18"/>
      <c r="I94" s="18"/>
      <c r="J94" s="18"/>
      <c r="K94" s="18"/>
      <c r="L94" s="18"/>
      <c r="M94" s="18"/>
      <c r="N94" s="18"/>
      <c r="O94" s="18"/>
      <c r="P94" s="18"/>
      <c r="Q94" s="18"/>
      <c r="R94" s="18"/>
      <c r="S94" s="18"/>
      <c r="T94" s="18"/>
    </row>
    <row r="95" spans="1:20" ht="15.75" customHeight="1">
      <c r="A95" s="23">
        <v>4</v>
      </c>
      <c r="B95" s="24" t="s">
        <v>51</v>
      </c>
      <c r="C95" s="23" t="s">
        <v>86</v>
      </c>
      <c r="D95" s="25">
        <f t="shared" ref="D95:Q95" si="66">D96-D85-D86+D90</f>
        <v>69.795329665942958</v>
      </c>
      <c r="E95" s="25">
        <f t="shared" si="66"/>
        <v>101.16775295079604</v>
      </c>
      <c r="F95" s="25">
        <f t="shared" si="66"/>
        <v>4341.8494664004247</v>
      </c>
      <c r="G95" s="25">
        <f t="shared" si="66"/>
        <v>-1008.4408097484984</v>
      </c>
      <c r="H95" s="25">
        <f t="shared" si="66"/>
        <v>151.00801456427581</v>
      </c>
      <c r="I95" s="25">
        <f t="shared" si="66"/>
        <v>176.05855339227759</v>
      </c>
      <c r="J95" s="25">
        <f t="shared" si="66"/>
        <v>440.29915110261601</v>
      </c>
      <c r="K95" s="25">
        <f t="shared" si="66"/>
        <v>73.354928173550505</v>
      </c>
      <c r="L95" s="25">
        <f t="shared" si="66"/>
        <v>36.690258639161982</v>
      </c>
      <c r="M95" s="25">
        <f t="shared" si="66"/>
        <v>-433.34388280796895</v>
      </c>
      <c r="N95" s="25">
        <f t="shared" si="66"/>
        <v>-27.285927792792833</v>
      </c>
      <c r="O95" s="25">
        <f t="shared" si="66"/>
        <v>-78.559075267267673</v>
      </c>
      <c r="P95" s="25">
        <f t="shared" si="66"/>
        <v>529.44360294132628</v>
      </c>
      <c r="Q95" s="25">
        <f t="shared" si="66"/>
        <v>-3.3358858000002698</v>
      </c>
      <c r="R95" s="25">
        <f t="shared" ref="R95:S95" si="67">R96-R85-R86+R90</f>
        <v>151.73028899999997</v>
      </c>
      <c r="S95" s="25">
        <f t="shared" si="67"/>
        <v>-62.869515019554143</v>
      </c>
      <c r="T95" s="25">
        <f t="shared" ref="T95" si="68">T96-T85-T86+T90</f>
        <v>151.55395189314174</v>
      </c>
    </row>
    <row r="96" spans="1:20" ht="15.75" customHeight="1">
      <c r="A96" s="23">
        <v>5</v>
      </c>
      <c r="B96" s="24" t="s">
        <v>52</v>
      </c>
      <c r="C96" s="23" t="s">
        <v>86</v>
      </c>
      <c r="D96" s="25">
        <f t="shared" ref="D96:Q96" si="69">D9/1000000</f>
        <v>0</v>
      </c>
      <c r="E96" s="25">
        <f t="shared" si="69"/>
        <v>0</v>
      </c>
      <c r="F96" s="25">
        <f t="shared" si="69"/>
        <v>4161</v>
      </c>
      <c r="G96" s="25">
        <f t="shared" si="69"/>
        <v>3044.92</v>
      </c>
      <c r="H96" s="25">
        <f t="shared" si="69"/>
        <v>3078.67</v>
      </c>
      <c r="I96" s="25">
        <f t="shared" si="69"/>
        <v>3134</v>
      </c>
      <c r="J96" s="25">
        <f t="shared" si="69"/>
        <v>3469.3388407175253</v>
      </c>
      <c r="K96" s="25">
        <f t="shared" si="69"/>
        <v>3451.0193561814431</v>
      </c>
      <c r="L96" s="25">
        <f t="shared" si="69"/>
        <v>3383.9791499958765</v>
      </c>
      <c r="M96" s="25">
        <f t="shared" si="69"/>
        <v>2857.8158288000004</v>
      </c>
      <c r="N96" s="25">
        <f t="shared" si="69"/>
        <v>2761.1826938000004</v>
      </c>
      <c r="O96" s="25">
        <f t="shared" si="69"/>
        <v>2631.6408858</v>
      </c>
      <c r="P96" s="25">
        <f t="shared" si="69"/>
        <v>3096.9424378000003</v>
      </c>
      <c r="Q96" s="25">
        <f t="shared" si="69"/>
        <v>3017.8195900000001</v>
      </c>
      <c r="R96" s="25">
        <f t="shared" ref="R96:S96" si="70">R9/1000000</f>
        <v>3036.67659</v>
      </c>
      <c r="S96" s="25">
        <f t="shared" si="70"/>
        <v>2845.468894046875</v>
      </c>
      <c r="T96" s="25">
        <f t="shared" ref="T96" si="71">T9/1000000</f>
        <v>2857.8609630000001</v>
      </c>
    </row>
    <row r="97" spans="1:20" ht="15.75" customHeight="1">
      <c r="A97" s="1"/>
      <c r="B97" s="2"/>
      <c r="C97" s="2"/>
      <c r="D97" s="20"/>
      <c r="E97" s="2"/>
      <c r="F97" s="2"/>
      <c r="G97" s="2"/>
      <c r="H97" s="2"/>
      <c r="I97" s="2"/>
      <c r="J97" s="2"/>
      <c r="K97" s="2"/>
      <c r="L97" s="2"/>
      <c r="M97" s="2"/>
      <c r="N97" s="2"/>
      <c r="O97" s="2"/>
      <c r="P97" s="2"/>
      <c r="Q97" s="2"/>
      <c r="R97" s="2"/>
      <c r="S97" s="2"/>
      <c r="T97" s="2"/>
    </row>
    <row r="98" spans="1:20" ht="15.75" customHeight="1">
      <c r="A98" s="28"/>
      <c r="B98" s="29" t="s">
        <v>53</v>
      </c>
      <c r="C98" s="30"/>
      <c r="D98" s="2"/>
      <c r="E98" s="2" t="b">
        <f t="shared" ref="E98:Q98" si="72">E85+E86-E90+E95=E96</f>
        <v>1</v>
      </c>
      <c r="F98" s="2" t="b">
        <f t="shared" si="72"/>
        <v>1</v>
      </c>
      <c r="G98" s="2" t="b">
        <f t="shared" si="72"/>
        <v>1</v>
      </c>
      <c r="H98" s="2" t="b">
        <f t="shared" si="72"/>
        <v>1</v>
      </c>
      <c r="I98" s="2" t="b">
        <f t="shared" si="72"/>
        <v>1</v>
      </c>
      <c r="J98" s="2" t="b">
        <f t="shared" si="72"/>
        <v>1</v>
      </c>
      <c r="K98" s="2" t="b">
        <f t="shared" si="72"/>
        <v>1</v>
      </c>
      <c r="L98" s="2" t="b">
        <f t="shared" si="72"/>
        <v>1</v>
      </c>
      <c r="M98" s="2" t="b">
        <f t="shared" si="72"/>
        <v>1</v>
      </c>
      <c r="N98" s="2" t="b">
        <f t="shared" si="72"/>
        <v>1</v>
      </c>
      <c r="O98" s="2" t="b">
        <f t="shared" si="72"/>
        <v>1</v>
      </c>
      <c r="P98" s="2" t="b">
        <f t="shared" si="72"/>
        <v>1</v>
      </c>
      <c r="Q98" s="2" t="b">
        <f t="shared" si="72"/>
        <v>1</v>
      </c>
      <c r="R98" s="2" t="b">
        <f t="shared" ref="R98:S98" si="73">R85+R86-R90+R95=R96</f>
        <v>1</v>
      </c>
      <c r="S98" s="2" t="b">
        <f t="shared" si="73"/>
        <v>1</v>
      </c>
      <c r="T98" s="2" t="b">
        <f t="shared" ref="T98" si="74">T85+T86-T90+T95=T96</f>
        <v>1</v>
      </c>
    </row>
    <row r="99" spans="1:20" ht="15.75" customHeight="1">
      <c r="A99" s="19"/>
      <c r="B99" s="2"/>
      <c r="C99" s="2"/>
      <c r="D99" s="2"/>
      <c r="E99" s="2"/>
      <c r="F99" s="2"/>
      <c r="G99" s="2"/>
      <c r="H99" s="2"/>
      <c r="I99" s="2"/>
      <c r="J99" s="2"/>
      <c r="K99" s="2"/>
      <c r="L99" s="2"/>
      <c r="M99" s="2"/>
      <c r="N99" s="2"/>
      <c r="O99" s="2"/>
      <c r="P99" s="2"/>
      <c r="Q99" s="2"/>
      <c r="R99" s="2"/>
      <c r="S99" s="2"/>
      <c r="T99" s="2"/>
    </row>
    <row r="100" spans="1:20" ht="15.75" customHeight="1">
      <c r="A100" s="19"/>
      <c r="B100" s="2"/>
      <c r="C100" s="2"/>
      <c r="D100" s="2"/>
      <c r="E100" s="2"/>
      <c r="F100" s="2"/>
      <c r="G100" s="2"/>
      <c r="H100" s="2"/>
      <c r="I100" s="2"/>
      <c r="J100" s="2"/>
      <c r="K100" s="2"/>
      <c r="L100" s="2"/>
      <c r="M100" s="2"/>
      <c r="N100" s="2"/>
      <c r="O100" s="2"/>
      <c r="P100" s="2"/>
      <c r="Q100" s="2"/>
      <c r="R100" s="2"/>
      <c r="S100" s="2"/>
      <c r="T100" s="2"/>
    </row>
    <row r="101" spans="1:20" ht="15.75" customHeight="1">
      <c r="A101" s="6" t="s">
        <v>101</v>
      </c>
      <c r="B101" s="2"/>
      <c r="C101" s="2"/>
      <c r="D101" s="2"/>
      <c r="E101" s="2"/>
      <c r="F101" s="2"/>
      <c r="G101" s="2"/>
      <c r="H101" s="2"/>
      <c r="I101" s="2"/>
      <c r="J101" s="2"/>
      <c r="K101" s="2"/>
      <c r="L101" s="2"/>
      <c r="M101" s="2"/>
      <c r="N101" s="2"/>
      <c r="O101" s="2"/>
      <c r="P101" s="2"/>
      <c r="Q101" s="2"/>
      <c r="R101" s="2"/>
      <c r="S101" s="2"/>
      <c r="T101" s="2"/>
    </row>
    <row r="102" spans="1:20" ht="15.75" customHeight="1" thickBot="1">
      <c r="A102" s="19"/>
      <c r="B102" s="2"/>
      <c r="C102" s="2"/>
      <c r="D102" s="2"/>
      <c r="E102" s="2"/>
      <c r="F102" s="2"/>
      <c r="G102" s="2"/>
      <c r="H102" s="2"/>
      <c r="I102" s="2"/>
      <c r="J102" s="2"/>
      <c r="K102" s="2"/>
      <c r="L102" s="2"/>
      <c r="M102" s="2"/>
      <c r="N102" s="2"/>
      <c r="O102" s="2"/>
      <c r="P102" s="2"/>
      <c r="Q102" s="2"/>
      <c r="R102" s="2"/>
      <c r="S102" s="2"/>
      <c r="T102" s="2"/>
    </row>
    <row r="103" spans="1:20" ht="15.75" customHeight="1" thickBot="1">
      <c r="A103" s="89" t="s">
        <v>3</v>
      </c>
      <c r="B103" s="87" t="s">
        <v>4</v>
      </c>
      <c r="C103" s="88" t="s">
        <v>5</v>
      </c>
      <c r="D103" s="88">
        <f t="shared" ref="D103:T103" si="75">D$3</f>
        <v>2008</v>
      </c>
      <c r="E103" s="88">
        <f t="shared" si="75"/>
        <v>2009</v>
      </c>
      <c r="F103" s="88">
        <f t="shared" si="75"/>
        <v>2010</v>
      </c>
      <c r="G103" s="88">
        <f t="shared" si="75"/>
        <v>2011</v>
      </c>
      <c r="H103" s="88">
        <f t="shared" si="75"/>
        <v>2012</v>
      </c>
      <c r="I103" s="88">
        <f t="shared" si="75"/>
        <v>2013</v>
      </c>
      <c r="J103" s="88">
        <f t="shared" si="75"/>
        <v>2014</v>
      </c>
      <c r="K103" s="88">
        <f t="shared" si="75"/>
        <v>2015</v>
      </c>
      <c r="L103" s="88">
        <f t="shared" si="75"/>
        <v>2016</v>
      </c>
      <c r="M103" s="88">
        <f t="shared" si="75"/>
        <v>2017</v>
      </c>
      <c r="N103" s="88">
        <f t="shared" si="75"/>
        <v>2018</v>
      </c>
      <c r="O103" s="88">
        <f t="shared" si="75"/>
        <v>2019</v>
      </c>
      <c r="P103" s="88">
        <f t="shared" si="75"/>
        <v>2020</v>
      </c>
      <c r="Q103" s="88">
        <f t="shared" si="75"/>
        <v>2021</v>
      </c>
      <c r="R103" s="88">
        <f t="shared" si="75"/>
        <v>2022</v>
      </c>
      <c r="S103" s="88">
        <f t="shared" si="75"/>
        <v>2023</v>
      </c>
      <c r="T103" s="88">
        <f t="shared" si="75"/>
        <v>2024</v>
      </c>
    </row>
    <row r="104" spans="1:20" ht="15.75" customHeight="1">
      <c r="A104" s="9">
        <v>-1</v>
      </c>
      <c r="B104" s="9">
        <f t="shared" ref="B104:T104" si="76">A104-1</f>
        <v>-2</v>
      </c>
      <c r="C104" s="9">
        <f t="shared" si="76"/>
        <v>-3</v>
      </c>
      <c r="D104" s="9">
        <f t="shared" si="76"/>
        <v>-4</v>
      </c>
      <c r="E104" s="9">
        <f t="shared" si="76"/>
        <v>-5</v>
      </c>
      <c r="F104" s="9">
        <f t="shared" si="76"/>
        <v>-6</v>
      </c>
      <c r="G104" s="9">
        <f t="shared" si="76"/>
        <v>-7</v>
      </c>
      <c r="H104" s="9">
        <f t="shared" si="76"/>
        <v>-8</v>
      </c>
      <c r="I104" s="9">
        <f t="shared" si="76"/>
        <v>-9</v>
      </c>
      <c r="J104" s="9">
        <f t="shared" si="76"/>
        <v>-10</v>
      </c>
      <c r="K104" s="9">
        <f t="shared" si="76"/>
        <v>-11</v>
      </c>
      <c r="L104" s="9">
        <f t="shared" si="76"/>
        <v>-12</v>
      </c>
      <c r="M104" s="9">
        <f t="shared" si="76"/>
        <v>-13</v>
      </c>
      <c r="N104" s="9">
        <f t="shared" si="76"/>
        <v>-14</v>
      </c>
      <c r="O104" s="9">
        <f t="shared" si="76"/>
        <v>-15</v>
      </c>
      <c r="P104" s="9">
        <f t="shared" si="76"/>
        <v>-16</v>
      </c>
      <c r="Q104" s="9">
        <f t="shared" si="76"/>
        <v>-17</v>
      </c>
      <c r="R104" s="9">
        <f t="shared" si="76"/>
        <v>-18</v>
      </c>
      <c r="S104" s="9">
        <f t="shared" si="76"/>
        <v>-19</v>
      </c>
      <c r="T104" s="9">
        <f t="shared" si="76"/>
        <v>-20</v>
      </c>
    </row>
    <row r="105" spans="1:20" ht="15.75" customHeight="1">
      <c r="A105" s="23">
        <v>1</v>
      </c>
      <c r="B105" s="24" t="s">
        <v>41</v>
      </c>
      <c r="C105" s="23" t="s">
        <v>107</v>
      </c>
      <c r="D105" s="25"/>
      <c r="E105" s="25">
        <f t="shared" ref="E105:T105" si="77">D24/1000</f>
        <v>0</v>
      </c>
      <c r="F105" s="25">
        <f t="shared" si="77"/>
        <v>0</v>
      </c>
      <c r="G105" s="25">
        <f t="shared" si="77"/>
        <v>0</v>
      </c>
      <c r="H105" s="25">
        <f t="shared" si="77"/>
        <v>0</v>
      </c>
      <c r="I105" s="25">
        <f t="shared" si="77"/>
        <v>29295.278986904741</v>
      </c>
      <c r="J105" s="25">
        <f t="shared" si="77"/>
        <v>29267.850174533611</v>
      </c>
      <c r="K105" s="25">
        <f t="shared" si="77"/>
        <v>28675.310999275876</v>
      </c>
      <c r="L105" s="25">
        <f t="shared" si="77"/>
        <v>27731.459504430517</v>
      </c>
      <c r="M105" s="25">
        <f t="shared" si="77"/>
        <v>29166.727545667629</v>
      </c>
      <c r="N105" s="25">
        <f t="shared" si="77"/>
        <v>24216.222984266959</v>
      </c>
      <c r="O105" s="25">
        <f t="shared" si="77"/>
        <v>22781.008710112779</v>
      </c>
      <c r="P105" s="25">
        <f t="shared" si="77"/>
        <v>23794.039526079996</v>
      </c>
      <c r="Q105" s="25">
        <f t="shared" si="77"/>
        <v>24200.637734800002</v>
      </c>
      <c r="R105" s="25">
        <f t="shared" si="77"/>
        <v>19936.017</v>
      </c>
      <c r="S105" s="25">
        <f t="shared" si="77"/>
        <v>20291.002</v>
      </c>
      <c r="T105" s="25">
        <f t="shared" si="77"/>
        <v>21410.612546567878</v>
      </c>
    </row>
    <row r="106" spans="1:20" ht="15.75" customHeight="1">
      <c r="A106" s="23">
        <v>2</v>
      </c>
      <c r="B106" s="24" t="s">
        <v>43</v>
      </c>
      <c r="C106" s="23" t="s">
        <v>107</v>
      </c>
      <c r="D106" s="25">
        <f t="shared" ref="D106:Q106" si="78">SUM(D107:D109)</f>
        <v>0</v>
      </c>
      <c r="E106" s="25">
        <f t="shared" si="78"/>
        <v>0</v>
      </c>
      <c r="F106" s="25">
        <f t="shared" si="78"/>
        <v>0</v>
      </c>
      <c r="G106" s="25">
        <f t="shared" si="78"/>
        <v>0</v>
      </c>
      <c r="H106" s="25">
        <f t="shared" si="78"/>
        <v>0</v>
      </c>
      <c r="I106" s="25">
        <f t="shared" si="78"/>
        <v>0</v>
      </c>
      <c r="J106" s="25">
        <f t="shared" si="78"/>
        <v>0</v>
      </c>
      <c r="K106" s="25">
        <f t="shared" si="78"/>
        <v>0</v>
      </c>
      <c r="L106" s="25">
        <f t="shared" si="78"/>
        <v>0</v>
      </c>
      <c r="M106" s="25">
        <f t="shared" si="78"/>
        <v>0</v>
      </c>
      <c r="N106" s="25">
        <f t="shared" si="78"/>
        <v>0</v>
      </c>
      <c r="O106" s="25">
        <f t="shared" si="78"/>
        <v>0</v>
      </c>
      <c r="P106" s="25">
        <f t="shared" si="78"/>
        <v>0</v>
      </c>
      <c r="Q106" s="25">
        <f t="shared" si="78"/>
        <v>0</v>
      </c>
      <c r="R106" s="25">
        <f t="shared" ref="R106:S106" si="79">SUM(R107:R109)</f>
        <v>0</v>
      </c>
      <c r="S106" s="25">
        <f t="shared" si="79"/>
        <v>0</v>
      </c>
      <c r="T106" s="25">
        <f t="shared" ref="T106" si="80">SUM(T107:T109)</f>
        <v>0</v>
      </c>
    </row>
    <row r="107" spans="1:20" ht="15.75" customHeight="1">
      <c r="A107" s="14">
        <v>2.1</v>
      </c>
      <c r="B107" s="15" t="s">
        <v>44</v>
      </c>
      <c r="C107" s="14" t="s">
        <v>107</v>
      </c>
      <c r="D107" s="18"/>
      <c r="E107" s="18"/>
      <c r="F107" s="18"/>
      <c r="G107" s="18"/>
      <c r="H107" s="18"/>
      <c r="I107" s="18"/>
      <c r="J107" s="18"/>
      <c r="K107" s="18"/>
      <c r="L107" s="18"/>
      <c r="M107" s="18"/>
      <c r="N107" s="18"/>
      <c r="O107" s="18"/>
      <c r="P107" s="18"/>
      <c r="Q107" s="18"/>
      <c r="R107" s="18"/>
      <c r="S107" s="18"/>
      <c r="T107" s="18"/>
    </row>
    <row r="108" spans="1:20" ht="15.75" customHeight="1">
      <c r="A108" s="14">
        <v>2.2000000000000002</v>
      </c>
      <c r="B108" s="15" t="s">
        <v>45</v>
      </c>
      <c r="C108" s="14" t="s">
        <v>107</v>
      </c>
      <c r="D108" s="18"/>
      <c r="E108" s="18"/>
      <c r="F108" s="18"/>
      <c r="G108" s="18"/>
      <c r="H108" s="18"/>
      <c r="I108" s="18"/>
      <c r="J108" s="18"/>
      <c r="K108" s="18"/>
      <c r="L108" s="18"/>
      <c r="M108" s="18"/>
      <c r="N108" s="18"/>
      <c r="O108" s="18"/>
      <c r="P108" s="18"/>
      <c r="Q108" s="18"/>
      <c r="R108" s="18"/>
      <c r="S108" s="18"/>
      <c r="T108" s="18"/>
    </row>
    <row r="109" spans="1:20" ht="15.75" customHeight="1">
      <c r="A109" s="14">
        <v>2.2999999999999998</v>
      </c>
      <c r="B109" s="15" t="s">
        <v>46</v>
      </c>
      <c r="C109" s="14" t="s">
        <v>107</v>
      </c>
      <c r="D109" s="18"/>
      <c r="E109" s="18"/>
      <c r="F109" s="18"/>
      <c r="G109" s="18"/>
      <c r="H109" s="18"/>
      <c r="I109" s="18"/>
      <c r="J109" s="18"/>
      <c r="K109" s="18"/>
      <c r="L109" s="18"/>
      <c r="M109" s="18"/>
      <c r="N109" s="18"/>
      <c r="O109" s="18"/>
      <c r="P109" s="18"/>
      <c r="Q109" s="18"/>
      <c r="R109" s="18"/>
      <c r="S109" s="18"/>
      <c r="T109" s="18"/>
    </row>
    <row r="110" spans="1:20" ht="15.75" customHeight="1">
      <c r="A110" s="23">
        <v>3</v>
      </c>
      <c r="B110" s="24" t="s">
        <v>47</v>
      </c>
      <c r="C110" s="23" t="s">
        <v>107</v>
      </c>
      <c r="D110" s="25">
        <f t="shared" ref="D110:Q110" si="81">SUM(D111:D114)</f>
        <v>725.87142852580666</v>
      </c>
      <c r="E110" s="25">
        <f t="shared" si="81"/>
        <v>1052.1446306882788</v>
      </c>
      <c r="F110" s="25">
        <f t="shared" si="81"/>
        <v>1880.8344505644204</v>
      </c>
      <c r="G110" s="25">
        <f t="shared" si="81"/>
        <v>1119.4475786156156</v>
      </c>
      <c r="H110" s="25">
        <f t="shared" si="81"/>
        <v>1219.4833514684685</v>
      </c>
      <c r="I110" s="25">
        <f t="shared" si="81"/>
        <v>1255.5769552796876</v>
      </c>
      <c r="J110" s="25">
        <f t="shared" si="81"/>
        <v>1091.5872280049441</v>
      </c>
      <c r="K110" s="25">
        <f t="shared" si="81"/>
        <v>953.41389218018014</v>
      </c>
      <c r="L110" s="25">
        <f t="shared" si="81"/>
        <v>1078.7968341771771</v>
      </c>
      <c r="M110" s="25">
        <f t="shared" si="81"/>
        <v>965.32215923423416</v>
      </c>
      <c r="N110" s="25">
        <f t="shared" si="81"/>
        <v>721.21095495495501</v>
      </c>
      <c r="O110" s="25">
        <f t="shared" si="81"/>
        <v>530.2204204204204</v>
      </c>
      <c r="P110" s="25">
        <f t="shared" si="81"/>
        <v>667.0773297897897</v>
      </c>
      <c r="Q110" s="25">
        <f t="shared" si="81"/>
        <v>788.18440480000004</v>
      </c>
      <c r="R110" s="25">
        <f t="shared" ref="R110:S110" si="82">SUM(R111:R114)</f>
        <v>1381.8822055999999</v>
      </c>
      <c r="S110" s="25">
        <f t="shared" si="82"/>
        <v>1334.7170817091373</v>
      </c>
      <c r="T110" s="25">
        <f t="shared" ref="T110" si="83">SUM(T111:T114)</f>
        <v>1447.2835825761733</v>
      </c>
    </row>
    <row r="111" spans="1:20" ht="15.75" customHeight="1">
      <c r="A111" s="14">
        <v>3.1</v>
      </c>
      <c r="B111" s="15" t="s">
        <v>48</v>
      </c>
      <c r="C111" s="14" t="s">
        <v>107</v>
      </c>
      <c r="D111" s="18">
        <f t="shared" ref="D111:Q111" si="84">D45/1000</f>
        <v>725.87142852580666</v>
      </c>
      <c r="E111" s="18">
        <f t="shared" si="84"/>
        <v>1052.1446306882788</v>
      </c>
      <c r="F111" s="18">
        <f t="shared" si="84"/>
        <v>1880.8344505644204</v>
      </c>
      <c r="G111" s="18">
        <f t="shared" si="84"/>
        <v>1119.4475786156156</v>
      </c>
      <c r="H111" s="18">
        <f t="shared" si="84"/>
        <v>1219.4833514684685</v>
      </c>
      <c r="I111" s="18">
        <f t="shared" si="84"/>
        <v>1255.5769552796876</v>
      </c>
      <c r="J111" s="18">
        <f t="shared" si="84"/>
        <v>1091.5872280049441</v>
      </c>
      <c r="K111" s="18">
        <f t="shared" si="84"/>
        <v>953.41389218018014</v>
      </c>
      <c r="L111" s="18">
        <f t="shared" si="84"/>
        <v>1078.7968341771771</v>
      </c>
      <c r="M111" s="18">
        <f t="shared" si="84"/>
        <v>965.32215923423416</v>
      </c>
      <c r="N111" s="18">
        <f t="shared" si="84"/>
        <v>721.21095495495501</v>
      </c>
      <c r="O111" s="18">
        <f t="shared" si="84"/>
        <v>530.2204204204204</v>
      </c>
      <c r="P111" s="18">
        <f t="shared" si="84"/>
        <v>667.0773297897897</v>
      </c>
      <c r="Q111" s="18">
        <f t="shared" si="84"/>
        <v>788.18440480000004</v>
      </c>
      <c r="R111" s="18">
        <f t="shared" ref="R111:S111" si="85">R45/1000</f>
        <v>1381.8822055999999</v>
      </c>
      <c r="S111" s="18">
        <f t="shared" si="85"/>
        <v>1334.7170817091373</v>
      </c>
      <c r="T111" s="18">
        <f t="shared" ref="T111" si="86">T45/1000</f>
        <v>1447.2835825761733</v>
      </c>
    </row>
    <row r="112" spans="1:20" ht="15.75" customHeight="1">
      <c r="A112" s="14">
        <v>3.2</v>
      </c>
      <c r="B112" s="15" t="s">
        <v>49</v>
      </c>
      <c r="C112" s="14" t="s">
        <v>107</v>
      </c>
      <c r="D112" s="18"/>
      <c r="E112" s="18"/>
      <c r="F112" s="18"/>
      <c r="G112" s="18"/>
      <c r="H112" s="18"/>
      <c r="I112" s="18"/>
      <c r="J112" s="18"/>
      <c r="K112" s="18"/>
      <c r="L112" s="18"/>
      <c r="M112" s="18"/>
      <c r="N112" s="18"/>
      <c r="O112" s="18"/>
      <c r="P112" s="18"/>
      <c r="Q112" s="18"/>
      <c r="R112" s="18"/>
      <c r="S112" s="18"/>
      <c r="T112" s="18"/>
    </row>
    <row r="113" spans="1:20" ht="15.75" customHeight="1">
      <c r="A113" s="14">
        <v>3.3</v>
      </c>
      <c r="B113" s="15" t="s">
        <v>50</v>
      </c>
      <c r="C113" s="14" t="s">
        <v>107</v>
      </c>
      <c r="D113" s="18"/>
      <c r="E113" s="18"/>
      <c r="F113" s="18"/>
      <c r="G113" s="18"/>
      <c r="H113" s="18"/>
      <c r="I113" s="18"/>
      <c r="J113" s="18"/>
      <c r="K113" s="18"/>
      <c r="L113" s="18"/>
      <c r="M113" s="18"/>
      <c r="N113" s="18"/>
      <c r="O113" s="18"/>
      <c r="P113" s="18"/>
      <c r="Q113" s="18"/>
      <c r="R113" s="18"/>
      <c r="S113" s="18"/>
      <c r="T113" s="18"/>
    </row>
    <row r="114" spans="1:20" ht="15.75" customHeight="1">
      <c r="A114" s="14">
        <v>3.4</v>
      </c>
      <c r="B114" s="15" t="s">
        <v>46</v>
      </c>
      <c r="C114" s="14" t="s">
        <v>107</v>
      </c>
      <c r="D114" s="18"/>
      <c r="E114" s="18"/>
      <c r="F114" s="18"/>
      <c r="G114" s="18"/>
      <c r="H114" s="18"/>
      <c r="I114" s="18"/>
      <c r="J114" s="18"/>
      <c r="K114" s="18"/>
      <c r="L114" s="18"/>
      <c r="M114" s="18"/>
      <c r="N114" s="18"/>
      <c r="O114" s="18"/>
      <c r="P114" s="18"/>
      <c r="Q114" s="18"/>
      <c r="R114" s="18"/>
      <c r="S114" s="18"/>
      <c r="T114" s="18"/>
    </row>
    <row r="115" spans="1:20" ht="15.75" customHeight="1">
      <c r="A115" s="23">
        <v>4</v>
      </c>
      <c r="B115" s="24" t="s">
        <v>51</v>
      </c>
      <c r="C115" s="23" t="s">
        <v>107</v>
      </c>
      <c r="D115" s="25">
        <f t="shared" ref="D115:Q115" si="87">D116-D105-D106+D110</f>
        <v>725.87142852580666</v>
      </c>
      <c r="E115" s="25">
        <f t="shared" si="87"/>
        <v>1052.1446306882788</v>
      </c>
      <c r="F115" s="25">
        <f t="shared" si="87"/>
        <v>1880.8344505644204</v>
      </c>
      <c r="G115" s="25">
        <f t="shared" si="87"/>
        <v>1119.4475786156156</v>
      </c>
      <c r="H115" s="25">
        <f t="shared" si="87"/>
        <v>30514.76233837321</v>
      </c>
      <c r="I115" s="25">
        <f t="shared" si="87"/>
        <v>1228.1481429085572</v>
      </c>
      <c r="J115" s="25">
        <f t="shared" si="87"/>
        <v>499.04805274720979</v>
      </c>
      <c r="K115" s="25">
        <f t="shared" si="87"/>
        <v>9.5623973348207301</v>
      </c>
      <c r="L115" s="25">
        <f t="shared" si="87"/>
        <v>2514.064875414289</v>
      </c>
      <c r="M115" s="25">
        <f t="shared" si="87"/>
        <v>-3985.1824021664361</v>
      </c>
      <c r="N115" s="25">
        <f t="shared" si="87"/>
        <v>-714.00331919922428</v>
      </c>
      <c r="O115" s="25">
        <f t="shared" si="87"/>
        <v>1543.2512363876372</v>
      </c>
      <c r="P115" s="25">
        <f t="shared" si="87"/>
        <v>1073.6755385097961</v>
      </c>
      <c r="Q115" s="25">
        <f t="shared" si="87"/>
        <v>-3476.4363300000023</v>
      </c>
      <c r="R115" s="25">
        <f t="shared" ref="R115:S115" si="88">R116-R105-R106+R110</f>
        <v>1736.8672056000005</v>
      </c>
      <c r="S115" s="25">
        <f t="shared" si="88"/>
        <v>2454.3276282770148</v>
      </c>
      <c r="T115" s="25">
        <f t="shared" ref="T115" si="89">T116-T105-T106+T110</f>
        <v>1362.3150360082957</v>
      </c>
    </row>
    <row r="116" spans="1:20" ht="15.75" customHeight="1">
      <c r="A116" s="23">
        <v>5</v>
      </c>
      <c r="B116" s="24" t="s">
        <v>52</v>
      </c>
      <c r="C116" s="23" t="s">
        <v>107</v>
      </c>
      <c r="D116" s="25">
        <f t="shared" ref="D116:Q116" si="90">D24/1000</f>
        <v>0</v>
      </c>
      <c r="E116" s="25">
        <f t="shared" si="90"/>
        <v>0</v>
      </c>
      <c r="F116" s="25">
        <f t="shared" si="90"/>
        <v>0</v>
      </c>
      <c r="G116" s="25">
        <f t="shared" si="90"/>
        <v>0</v>
      </c>
      <c r="H116" s="25">
        <f t="shared" si="90"/>
        <v>29295.278986904741</v>
      </c>
      <c r="I116" s="25">
        <f t="shared" si="90"/>
        <v>29267.850174533611</v>
      </c>
      <c r="J116" s="25">
        <f t="shared" si="90"/>
        <v>28675.310999275876</v>
      </c>
      <c r="K116" s="25">
        <f t="shared" si="90"/>
        <v>27731.459504430517</v>
      </c>
      <c r="L116" s="25">
        <f t="shared" si="90"/>
        <v>29166.727545667629</v>
      </c>
      <c r="M116" s="25">
        <f t="shared" si="90"/>
        <v>24216.222984266959</v>
      </c>
      <c r="N116" s="25">
        <f t="shared" si="90"/>
        <v>22781.008710112779</v>
      </c>
      <c r="O116" s="25">
        <f t="shared" si="90"/>
        <v>23794.039526079996</v>
      </c>
      <c r="P116" s="25">
        <f t="shared" si="90"/>
        <v>24200.637734800002</v>
      </c>
      <c r="Q116" s="25">
        <f t="shared" si="90"/>
        <v>19936.017</v>
      </c>
      <c r="R116" s="25">
        <f t="shared" ref="R116:S116" si="91">R24/1000</f>
        <v>20291.002</v>
      </c>
      <c r="S116" s="25">
        <f t="shared" si="91"/>
        <v>21410.612546567878</v>
      </c>
      <c r="T116" s="25">
        <f t="shared" ref="T116" si="92">T24/1000</f>
        <v>21325.644</v>
      </c>
    </row>
    <row r="117" spans="1:20" ht="15.75" customHeight="1">
      <c r="A117" s="1"/>
      <c r="B117" s="2"/>
      <c r="C117" s="2"/>
      <c r="D117" s="20"/>
      <c r="E117" s="2"/>
      <c r="F117" s="2"/>
      <c r="G117" s="2"/>
      <c r="H117" s="2"/>
      <c r="I117" s="2"/>
      <c r="J117" s="2"/>
      <c r="K117" s="2"/>
      <c r="L117" s="2"/>
      <c r="M117" s="2"/>
      <c r="N117" s="2"/>
      <c r="O117" s="2"/>
      <c r="P117" s="2"/>
      <c r="Q117" s="2"/>
      <c r="R117" s="2"/>
      <c r="S117" s="2"/>
      <c r="T117" s="2"/>
    </row>
    <row r="118" spans="1:20" ht="15.75" customHeight="1">
      <c r="A118" s="28"/>
      <c r="B118" s="29" t="s">
        <v>53</v>
      </c>
      <c r="C118" s="30"/>
      <c r="D118" s="2"/>
      <c r="E118" s="2" t="b">
        <f t="shared" ref="E118:Q118" si="93">E105+E106-E110+E115=E116</f>
        <v>1</v>
      </c>
      <c r="F118" s="2" t="b">
        <f t="shared" si="93"/>
        <v>1</v>
      </c>
      <c r="G118" s="2" t="b">
        <f t="shared" si="93"/>
        <v>1</v>
      </c>
      <c r="H118" s="2" t="b">
        <f t="shared" si="93"/>
        <v>1</v>
      </c>
      <c r="I118" s="2" t="b">
        <f t="shared" si="93"/>
        <v>1</v>
      </c>
      <c r="J118" s="2" t="b">
        <f t="shared" si="93"/>
        <v>1</v>
      </c>
      <c r="K118" s="2" t="b">
        <f t="shared" si="93"/>
        <v>1</v>
      </c>
      <c r="L118" s="2" t="b">
        <f t="shared" si="93"/>
        <v>1</v>
      </c>
      <c r="M118" s="2" t="b">
        <f t="shared" si="93"/>
        <v>1</v>
      </c>
      <c r="N118" s="2" t="b">
        <f t="shared" si="93"/>
        <v>1</v>
      </c>
      <c r="O118" s="2" t="b">
        <f t="shared" si="93"/>
        <v>1</v>
      </c>
      <c r="P118" s="2" t="b">
        <f t="shared" si="93"/>
        <v>1</v>
      </c>
      <c r="Q118" s="2" t="b">
        <f t="shared" si="93"/>
        <v>1</v>
      </c>
      <c r="R118" s="2" t="b">
        <f t="shared" ref="R118:S118" si="94">R105+R106-R110+R115=R116</f>
        <v>1</v>
      </c>
      <c r="S118" s="2" t="b">
        <f t="shared" si="94"/>
        <v>1</v>
      </c>
      <c r="T118" s="2" t="b">
        <f t="shared" ref="T118" si="95">T105+T106-T110+T115=T116</f>
        <v>1</v>
      </c>
    </row>
    <row r="119" spans="1:20" ht="15.75" customHeight="1">
      <c r="A119" s="1"/>
      <c r="B119" s="2"/>
      <c r="C119" s="2"/>
      <c r="D119" s="20"/>
      <c r="E119" s="2"/>
      <c r="F119" s="2"/>
      <c r="G119" s="2"/>
      <c r="H119" s="2"/>
      <c r="I119" s="2"/>
      <c r="J119" s="2"/>
      <c r="K119" s="2"/>
      <c r="L119" s="2"/>
      <c r="M119" s="2"/>
      <c r="N119" s="2"/>
      <c r="O119" s="2"/>
      <c r="P119" s="2"/>
      <c r="Q119" s="2"/>
      <c r="R119" s="2"/>
      <c r="S119" s="2"/>
      <c r="T119" s="2"/>
    </row>
    <row r="120" spans="1:20" ht="15.75" customHeight="1">
      <c r="A120" s="6" t="s">
        <v>102</v>
      </c>
      <c r="B120" s="2"/>
      <c r="C120" s="2"/>
      <c r="D120" s="2"/>
      <c r="E120" s="2"/>
      <c r="F120" s="2"/>
      <c r="G120" s="2"/>
      <c r="H120" s="2"/>
      <c r="I120" s="2"/>
      <c r="J120" s="2"/>
      <c r="K120" s="2"/>
      <c r="L120" s="2"/>
      <c r="M120" s="2"/>
      <c r="N120" s="2"/>
      <c r="O120" s="2"/>
      <c r="P120" s="2"/>
      <c r="Q120" s="2"/>
      <c r="R120" s="2"/>
      <c r="S120" s="2"/>
      <c r="T120" s="2"/>
    </row>
    <row r="121" spans="1:20" ht="15.75" customHeight="1" thickBot="1">
      <c r="A121" s="7"/>
      <c r="B121" s="2"/>
      <c r="C121" s="2"/>
      <c r="D121" s="2"/>
      <c r="E121" s="2"/>
      <c r="F121" s="2"/>
      <c r="G121" s="2"/>
      <c r="H121" s="2"/>
      <c r="I121" s="2"/>
      <c r="J121" s="2"/>
      <c r="K121" s="2"/>
      <c r="L121" s="2"/>
      <c r="M121" s="2"/>
      <c r="N121" s="2"/>
      <c r="O121" s="2"/>
      <c r="P121" s="2"/>
      <c r="Q121" s="2"/>
      <c r="R121" s="2"/>
      <c r="S121" s="2"/>
      <c r="T121" s="2"/>
    </row>
    <row r="122" spans="1:20" ht="15.75" customHeight="1" thickBot="1">
      <c r="A122" s="89" t="s">
        <v>3</v>
      </c>
      <c r="B122" s="87" t="s">
        <v>4</v>
      </c>
      <c r="C122" s="88" t="s">
        <v>5</v>
      </c>
      <c r="D122" s="88">
        <f t="shared" ref="D122:T122" si="96">D$3</f>
        <v>2008</v>
      </c>
      <c r="E122" s="88">
        <f t="shared" si="96"/>
        <v>2009</v>
      </c>
      <c r="F122" s="88">
        <f t="shared" si="96"/>
        <v>2010</v>
      </c>
      <c r="G122" s="88">
        <f t="shared" si="96"/>
        <v>2011</v>
      </c>
      <c r="H122" s="88">
        <f t="shared" si="96"/>
        <v>2012</v>
      </c>
      <c r="I122" s="88">
        <f t="shared" si="96"/>
        <v>2013</v>
      </c>
      <c r="J122" s="88">
        <f t="shared" si="96"/>
        <v>2014</v>
      </c>
      <c r="K122" s="88">
        <f t="shared" si="96"/>
        <v>2015</v>
      </c>
      <c r="L122" s="88">
        <f t="shared" si="96"/>
        <v>2016</v>
      </c>
      <c r="M122" s="88">
        <f t="shared" si="96"/>
        <v>2017</v>
      </c>
      <c r="N122" s="88">
        <f t="shared" si="96"/>
        <v>2018</v>
      </c>
      <c r="O122" s="88">
        <f t="shared" si="96"/>
        <v>2019</v>
      </c>
      <c r="P122" s="88">
        <f t="shared" si="96"/>
        <v>2020</v>
      </c>
      <c r="Q122" s="88">
        <f t="shared" si="96"/>
        <v>2021</v>
      </c>
      <c r="R122" s="88">
        <f t="shared" si="96"/>
        <v>2022</v>
      </c>
      <c r="S122" s="88">
        <f t="shared" si="96"/>
        <v>2023</v>
      </c>
      <c r="T122" s="88">
        <f t="shared" si="96"/>
        <v>2024</v>
      </c>
    </row>
    <row r="123" spans="1:20" ht="15.75" customHeight="1">
      <c r="A123" s="9">
        <v>-1</v>
      </c>
      <c r="B123" s="9">
        <f t="shared" ref="B123:T123" si="97">A123-1</f>
        <v>-2</v>
      </c>
      <c r="C123" s="9">
        <f t="shared" si="97"/>
        <v>-3</v>
      </c>
      <c r="D123" s="9">
        <f t="shared" si="97"/>
        <v>-4</v>
      </c>
      <c r="E123" s="9">
        <f t="shared" si="97"/>
        <v>-5</v>
      </c>
      <c r="F123" s="9">
        <f t="shared" si="97"/>
        <v>-6</v>
      </c>
      <c r="G123" s="9">
        <f t="shared" si="97"/>
        <v>-7</v>
      </c>
      <c r="H123" s="9">
        <f t="shared" si="97"/>
        <v>-8</v>
      </c>
      <c r="I123" s="9">
        <f t="shared" si="97"/>
        <v>-9</v>
      </c>
      <c r="J123" s="9">
        <f t="shared" si="97"/>
        <v>-10</v>
      </c>
      <c r="K123" s="9">
        <f t="shared" si="97"/>
        <v>-11</v>
      </c>
      <c r="L123" s="9">
        <f t="shared" si="97"/>
        <v>-12</v>
      </c>
      <c r="M123" s="9">
        <f t="shared" si="97"/>
        <v>-13</v>
      </c>
      <c r="N123" s="9">
        <f t="shared" si="97"/>
        <v>-14</v>
      </c>
      <c r="O123" s="9">
        <f t="shared" si="97"/>
        <v>-15</v>
      </c>
      <c r="P123" s="9">
        <f t="shared" si="97"/>
        <v>-16</v>
      </c>
      <c r="Q123" s="9">
        <f t="shared" si="97"/>
        <v>-17</v>
      </c>
      <c r="R123" s="9">
        <f t="shared" si="97"/>
        <v>-18</v>
      </c>
      <c r="S123" s="9">
        <f t="shared" si="97"/>
        <v>-19</v>
      </c>
      <c r="T123" s="9">
        <f t="shared" si="97"/>
        <v>-20</v>
      </c>
    </row>
    <row r="124" spans="1:20" ht="15.75" customHeight="1">
      <c r="A124" s="14">
        <v>1</v>
      </c>
      <c r="B124" s="15" t="s">
        <v>55</v>
      </c>
      <c r="C124" s="14" t="s">
        <v>115</v>
      </c>
      <c r="D124" s="18">
        <f t="shared" ref="D124:Q124" si="98">D78</f>
        <v>51851.335727816571</v>
      </c>
      <c r="E124" s="18">
        <f t="shared" si="98"/>
        <v>50569.469453648882</v>
      </c>
      <c r="F124" s="18">
        <f t="shared" si="98"/>
        <v>25640.582259846851</v>
      </c>
      <c r="G124" s="18">
        <f t="shared" si="98"/>
        <v>33876.302532811431</v>
      </c>
      <c r="H124" s="18">
        <f t="shared" si="98"/>
        <v>25051.092981835693</v>
      </c>
      <c r="I124" s="18">
        <f t="shared" si="98"/>
        <v>27232.34575121462</v>
      </c>
      <c r="J124" s="18">
        <f t="shared" si="98"/>
        <v>19736.615210493655</v>
      </c>
      <c r="K124" s="18">
        <f t="shared" si="98"/>
        <v>16941.951103796851</v>
      </c>
      <c r="L124" s="18">
        <f t="shared" si="98"/>
        <v>16430.235115697065</v>
      </c>
      <c r="M124" s="18">
        <f t="shared" si="98"/>
        <v>21423.096340582419</v>
      </c>
      <c r="N124" s="18">
        <f t="shared" si="98"/>
        <v>31610.251809300502</v>
      </c>
      <c r="O124" s="18">
        <f t="shared" si="98"/>
        <v>29181.509350965418</v>
      </c>
      <c r="P124" s="18">
        <f t="shared" si="98"/>
        <v>67055.0325298604</v>
      </c>
      <c r="Q124" s="18">
        <f t="shared" si="98"/>
        <v>92830.396450433342</v>
      </c>
      <c r="R124" s="18">
        <f t="shared" ref="R124:S124" si="99">R78</f>
        <v>59594.744267769485</v>
      </c>
      <c r="S124" s="18">
        <f t="shared" si="99"/>
        <v>69150.177978413732</v>
      </c>
      <c r="T124" s="18">
        <f t="shared" ref="T124" si="100">T78</f>
        <v>80529.339830466546</v>
      </c>
    </row>
    <row r="125" spans="1:20" ht="15.75" customHeight="1">
      <c r="A125" s="14">
        <f t="shared" ref="A125:A132" si="101">A124+1</f>
        <v>2</v>
      </c>
      <c r="B125" s="15" t="s">
        <v>56</v>
      </c>
      <c r="C125" s="14" t="s">
        <v>84</v>
      </c>
      <c r="D125" s="18">
        <f t="shared" ref="D125:Q125" si="102">D77</f>
        <v>725871.42852580664</v>
      </c>
      <c r="E125" s="18">
        <f t="shared" si="102"/>
        <v>1052144.6306882787</v>
      </c>
      <c r="F125" s="18">
        <f t="shared" si="102"/>
        <v>1880834.4505644203</v>
      </c>
      <c r="G125" s="18">
        <f t="shared" si="102"/>
        <v>1119447.5786156156</v>
      </c>
      <c r="H125" s="18">
        <f t="shared" si="102"/>
        <v>1219483.3514684686</v>
      </c>
      <c r="I125" s="18">
        <f t="shared" si="102"/>
        <v>1255576.9552796877</v>
      </c>
      <c r="J125" s="18">
        <f t="shared" si="102"/>
        <v>1091587.228004944</v>
      </c>
      <c r="K125" s="18">
        <f t="shared" si="102"/>
        <v>953413.89218018018</v>
      </c>
      <c r="L125" s="18">
        <f t="shared" si="102"/>
        <v>1078796.8341771772</v>
      </c>
      <c r="M125" s="18">
        <f t="shared" si="102"/>
        <v>965322.15923423413</v>
      </c>
      <c r="N125" s="18">
        <f t="shared" si="102"/>
        <v>721210.95495495503</v>
      </c>
      <c r="O125" s="18">
        <f t="shared" si="102"/>
        <v>530220.42042042036</v>
      </c>
      <c r="P125" s="18">
        <f t="shared" si="102"/>
        <v>667077.32978978974</v>
      </c>
      <c r="Q125" s="18">
        <f t="shared" si="102"/>
        <v>788184.40480000002</v>
      </c>
      <c r="R125" s="18">
        <f t="shared" ref="R125:S125" si="103">R77</f>
        <v>1381882.2056</v>
      </c>
      <c r="S125" s="18">
        <f t="shared" si="103"/>
        <v>1334717.0817091374</v>
      </c>
      <c r="T125" s="18">
        <f t="shared" ref="T125" si="104">T77</f>
        <v>1447283.5825761734</v>
      </c>
    </row>
    <row r="126" spans="1:20" ht="15.75" customHeight="1">
      <c r="A126" s="14">
        <f t="shared" si="101"/>
        <v>3</v>
      </c>
      <c r="B126" s="15" t="s">
        <v>57</v>
      </c>
      <c r="C126" s="14" t="s">
        <v>58</v>
      </c>
      <c r="D126" s="18">
        <f t="shared" ref="D126:Q126" si="105">D124*D125/1000000</f>
        <v>37637.403135721412</v>
      </c>
      <c r="E126" s="18">
        <f t="shared" si="105"/>
        <v>53206.395762411594</v>
      </c>
      <c r="F126" s="18">
        <f t="shared" si="105"/>
        <v>48225.690446850873</v>
      </c>
      <c r="G126" s="18">
        <f t="shared" si="105"/>
        <v>37922.744842805798</v>
      </c>
      <c r="H126" s="18">
        <f t="shared" si="105"/>
        <v>30549.390827437222</v>
      </c>
      <c r="I126" s="18">
        <f t="shared" si="105"/>
        <v>34192.305763433789</v>
      </c>
      <c r="J126" s="18">
        <f t="shared" si="105"/>
        <v>21544.237087822981</v>
      </c>
      <c r="K126" s="18">
        <f t="shared" si="105"/>
        <v>16152.691542997256</v>
      </c>
      <c r="L126" s="18">
        <f t="shared" si="105"/>
        <v>17724.885627600681</v>
      </c>
      <c r="M126" s="18">
        <f t="shared" si="105"/>
        <v>20680.189616974039</v>
      </c>
      <c r="N126" s="18">
        <f t="shared" si="105"/>
        <v>22797.65989375221</v>
      </c>
      <c r="O126" s="18">
        <f t="shared" si="105"/>
        <v>15472.632156571311</v>
      </c>
      <c r="P126" s="18">
        <f t="shared" si="105"/>
        <v>44730.89204898676</v>
      </c>
      <c r="Q126" s="18">
        <f t="shared" si="105"/>
        <v>73167.470773632842</v>
      </c>
      <c r="R126" s="18">
        <f t="shared" ref="R126:S126" si="106">R124*R125/1000000</f>
        <v>82352.916650913248</v>
      </c>
      <c r="S126" s="18">
        <f t="shared" si="106"/>
        <v>92295.923751015842</v>
      </c>
      <c r="T126" s="18">
        <f t="shared" ref="T126" si="107">T124*T125/1000000</f>
        <v>116548.79145233176</v>
      </c>
    </row>
    <row r="127" spans="1:20" ht="15.75" customHeight="1">
      <c r="A127" s="14">
        <f t="shared" si="101"/>
        <v>4</v>
      </c>
      <c r="B127" s="21" t="s">
        <v>59</v>
      </c>
      <c r="C127" s="14" t="s">
        <v>60</v>
      </c>
      <c r="D127" s="18">
        <f t="shared" ref="D127:M127" si="108">D116/D125*1000</f>
        <v>0</v>
      </c>
      <c r="E127" s="18">
        <f t="shared" si="108"/>
        <v>0</v>
      </c>
      <c r="F127" s="18">
        <f t="shared" si="108"/>
        <v>0</v>
      </c>
      <c r="G127" s="18">
        <f t="shared" si="108"/>
        <v>0</v>
      </c>
      <c r="H127" s="18">
        <f t="shared" si="108"/>
        <v>24.022696949186034</v>
      </c>
      <c r="I127" s="18">
        <f t="shared" si="108"/>
        <v>23.310279829095791</v>
      </c>
      <c r="J127" s="18">
        <f t="shared" si="108"/>
        <v>26.269372033314042</v>
      </c>
      <c r="K127" s="18">
        <f t="shared" si="108"/>
        <v>29.086485661559575</v>
      </c>
      <c r="L127" s="18">
        <f t="shared" si="108"/>
        <v>27.036348848681737</v>
      </c>
      <c r="M127" s="18">
        <f t="shared" si="108"/>
        <v>25.086156732874631</v>
      </c>
      <c r="N127" s="18">
        <f t="shared" ref="N127:T127" si="109">AVERAGE(J116/J125,K116/K125,L116/L125,M116/M125,N116/N125)*1000</f>
        <v>27.813105454552232</v>
      </c>
      <c r="O127" s="18">
        <f t="shared" si="109"/>
        <v>31.534381234377268</v>
      </c>
      <c r="P127" s="18">
        <f t="shared" si="109"/>
        <v>32.972805936421835</v>
      </c>
      <c r="Q127" s="18">
        <f t="shared" si="109"/>
        <v>32.624255136152726</v>
      </c>
      <c r="R127" s="18">
        <f t="shared" si="109"/>
        <v>30.543743275185452</v>
      </c>
      <c r="S127" s="18">
        <f t="shared" si="109"/>
        <v>27.434572787082729</v>
      </c>
      <c r="T127" s="18">
        <f t="shared" si="109"/>
        <v>21.406411602161562</v>
      </c>
    </row>
    <row r="128" spans="1:20" ht="15.75" customHeight="1">
      <c r="A128" s="31">
        <f t="shared" si="101"/>
        <v>5</v>
      </c>
      <c r="B128" s="32" t="s">
        <v>61</v>
      </c>
      <c r="C128" s="31"/>
      <c r="D128" s="33">
        <v>0.1318648305084745</v>
      </c>
      <c r="E128" s="33">
        <v>0.11456120218579237</v>
      </c>
      <c r="F128" s="33">
        <v>9.6083870967741916E-2</v>
      </c>
      <c r="G128" s="33">
        <v>8.4860816326530641E-2</v>
      </c>
      <c r="H128" s="33">
        <v>6.6462195121951215E-2</v>
      </c>
      <c r="I128" s="33">
        <v>7.5548571428571409E-2</v>
      </c>
      <c r="J128" s="33">
        <v>8.6841975308642003E-2</v>
      </c>
      <c r="K128" s="33">
        <v>8.4721074380165282E-2</v>
      </c>
      <c r="L128" s="33">
        <v>7.9230487804878069E-2</v>
      </c>
      <c r="M128" s="33">
        <v>7.6071308016877698E-2</v>
      </c>
      <c r="N128" s="33">
        <f>Bond!M26</f>
        <v>8.3599999999999994E-2</v>
      </c>
      <c r="O128" s="33">
        <f>Bond!N26</f>
        <v>7.6499999999999999E-2</v>
      </c>
      <c r="P128" s="33">
        <f>Bond!O26</f>
        <v>6.4799999999999996E-2</v>
      </c>
      <c r="Q128" s="33">
        <f>Bond!P26</f>
        <v>7.0499999999999993E-2</v>
      </c>
      <c r="R128" s="33">
        <f>Bond!Q26</f>
        <v>7.0900000000000005E-2</v>
      </c>
      <c r="S128" s="33">
        <f>Bond!R26</f>
        <v>6.7699999999999996E-2</v>
      </c>
      <c r="T128" s="33">
        <f>Bond!S26</f>
        <v>7.0900000000000005E-2</v>
      </c>
    </row>
    <row r="129" spans="1:20" ht="15.75" customHeight="1">
      <c r="A129" s="14">
        <f t="shared" si="101"/>
        <v>6</v>
      </c>
      <c r="B129" s="21" t="s">
        <v>62</v>
      </c>
      <c r="C129" s="14"/>
      <c r="D129" s="16" t="e">
        <f t="shared" ref="D129:Q129" si="110">PV(D128,D127,-1/D127)</f>
        <v>#DIV/0!</v>
      </c>
      <c r="E129" s="16" t="e">
        <f t="shared" si="110"/>
        <v>#DIV/0!</v>
      </c>
      <c r="F129" s="16" t="e">
        <f t="shared" si="110"/>
        <v>#DIV/0!</v>
      </c>
      <c r="G129" s="16" t="e">
        <f t="shared" si="110"/>
        <v>#DIV/0!</v>
      </c>
      <c r="H129" s="16">
        <f t="shared" si="110"/>
        <v>0.49283145924668759</v>
      </c>
      <c r="I129" s="16">
        <f t="shared" si="110"/>
        <v>0.46386714736780477</v>
      </c>
      <c r="J129" s="16">
        <f t="shared" si="110"/>
        <v>0.38917374619169798</v>
      </c>
      <c r="K129" s="16">
        <f t="shared" si="110"/>
        <v>0.3676949437715753</v>
      </c>
      <c r="L129" s="16">
        <f t="shared" si="110"/>
        <v>0.40741917660122129</v>
      </c>
      <c r="M129" s="16">
        <f t="shared" si="110"/>
        <v>0.4407298816964661</v>
      </c>
      <c r="N129" s="16">
        <f t="shared" si="110"/>
        <v>0.38397204374973193</v>
      </c>
      <c r="O129" s="16">
        <f t="shared" si="110"/>
        <v>0.37397643610491432</v>
      </c>
      <c r="P129" s="16">
        <f t="shared" si="110"/>
        <v>0.40898247360300949</v>
      </c>
      <c r="Q129" s="16">
        <f t="shared" si="110"/>
        <v>0.38768004326364414</v>
      </c>
      <c r="R129" s="16">
        <f t="shared" ref="R129:S129" si="111">PV(R128,R127,-1/R127)</f>
        <v>0.40478753165043829</v>
      </c>
      <c r="S129" s="16">
        <f t="shared" si="111"/>
        <v>0.44915753146758841</v>
      </c>
      <c r="T129" s="16">
        <f t="shared" ref="T129" si="112">PV(T128,T127,-1/T127)</f>
        <v>0.50683335708698818</v>
      </c>
    </row>
    <row r="130" spans="1:20" ht="15.75" customHeight="1">
      <c r="A130" s="23">
        <f t="shared" si="101"/>
        <v>7</v>
      </c>
      <c r="B130" s="24" t="s">
        <v>63</v>
      </c>
      <c r="C130" s="23" t="s">
        <v>58</v>
      </c>
      <c r="D130" s="25" t="e">
        <f t="shared" ref="D130:Q130" si="113">D126*D127*D129</f>
        <v>#DIV/0!</v>
      </c>
      <c r="E130" s="25" t="e">
        <f t="shared" si="113"/>
        <v>#DIV/0!</v>
      </c>
      <c r="F130" s="25" t="e">
        <f t="shared" si="113"/>
        <v>#DIV/0!</v>
      </c>
      <c r="G130" s="25" t="e">
        <f t="shared" si="113"/>
        <v>#DIV/0!</v>
      </c>
      <c r="H130" s="25">
        <f t="shared" si="113"/>
        <v>361678.53913139104</v>
      </c>
      <c r="I130" s="25">
        <f t="shared" si="113"/>
        <v>369717.06009355461</v>
      </c>
      <c r="J130" s="25">
        <f t="shared" si="113"/>
        <v>220254.27460107402</v>
      </c>
      <c r="K130" s="25">
        <f t="shared" si="113"/>
        <v>172752.28834167775</v>
      </c>
      <c r="L130" s="25">
        <f t="shared" si="113"/>
        <v>195241.86600448284</v>
      </c>
      <c r="M130" s="25">
        <f t="shared" si="113"/>
        <v>228644.70307333412</v>
      </c>
      <c r="N130" s="25">
        <f t="shared" si="113"/>
        <v>243466.58167333782</v>
      </c>
      <c r="O130" s="25">
        <f t="shared" si="113"/>
        <v>182470.53824771309</v>
      </c>
      <c r="P130" s="25">
        <f t="shared" si="113"/>
        <v>603209.48662785674</v>
      </c>
      <c r="Q130" s="25">
        <f t="shared" si="113"/>
        <v>925405.53518102644</v>
      </c>
      <c r="R130" s="25">
        <f t="shared" ref="R130:S130" si="114">R126*R127*R129</f>
        <v>1018188.9336443528</v>
      </c>
      <c r="S130" s="25">
        <f t="shared" si="114"/>
        <v>1137311.4432151858</v>
      </c>
      <c r="T130" s="25">
        <f t="shared" ref="T130" si="115">T126*T127*T129</f>
        <v>1264494.1846216884</v>
      </c>
    </row>
    <row r="131" spans="1:20" ht="15.75" customHeight="1">
      <c r="A131" s="14">
        <f t="shared" si="101"/>
        <v>8</v>
      </c>
      <c r="B131" s="21" t="s">
        <v>64</v>
      </c>
      <c r="C131" s="14" t="s">
        <v>107</v>
      </c>
      <c r="D131" s="18">
        <f t="shared" ref="D131:Q131" si="116">D116</f>
        <v>0</v>
      </c>
      <c r="E131" s="18">
        <f t="shared" si="116"/>
        <v>0</v>
      </c>
      <c r="F131" s="18">
        <f t="shared" si="116"/>
        <v>0</v>
      </c>
      <c r="G131" s="18">
        <f t="shared" si="116"/>
        <v>0</v>
      </c>
      <c r="H131" s="18">
        <f t="shared" si="116"/>
        <v>29295.278986904741</v>
      </c>
      <c r="I131" s="18">
        <f t="shared" si="116"/>
        <v>29267.850174533611</v>
      </c>
      <c r="J131" s="18">
        <f t="shared" si="116"/>
        <v>28675.310999275876</v>
      </c>
      <c r="K131" s="18">
        <f t="shared" si="116"/>
        <v>27731.459504430517</v>
      </c>
      <c r="L131" s="18">
        <f t="shared" si="116"/>
        <v>29166.727545667629</v>
      </c>
      <c r="M131" s="18">
        <f t="shared" si="116"/>
        <v>24216.222984266959</v>
      </c>
      <c r="N131" s="18">
        <f t="shared" si="116"/>
        <v>22781.008710112779</v>
      </c>
      <c r="O131" s="18">
        <f t="shared" si="116"/>
        <v>23794.039526079996</v>
      </c>
      <c r="P131" s="18">
        <f t="shared" si="116"/>
        <v>24200.637734800002</v>
      </c>
      <c r="Q131" s="18">
        <f t="shared" si="116"/>
        <v>19936.017</v>
      </c>
      <c r="R131" s="18">
        <f t="shared" ref="R131:S131" si="117">R116</f>
        <v>20291.002</v>
      </c>
      <c r="S131" s="18">
        <f t="shared" si="117"/>
        <v>21410.612546567878</v>
      </c>
      <c r="T131" s="18">
        <f t="shared" ref="T131" si="118">T116</f>
        <v>21325.644</v>
      </c>
    </row>
    <row r="132" spans="1:20" ht="15.75" customHeight="1">
      <c r="A132" s="14">
        <f t="shared" si="101"/>
        <v>9</v>
      </c>
      <c r="B132" s="15" t="s">
        <v>65</v>
      </c>
      <c r="C132" s="14" t="s">
        <v>115</v>
      </c>
      <c r="D132" s="18" t="e">
        <f t="shared" ref="D132:Q132" si="119">D130/D131*1000</f>
        <v>#DIV/0!</v>
      </c>
      <c r="E132" s="18" t="e">
        <f t="shared" si="119"/>
        <v>#DIV/0!</v>
      </c>
      <c r="F132" s="18" t="e">
        <f t="shared" si="119"/>
        <v>#DIV/0!</v>
      </c>
      <c r="G132" s="18" t="e">
        <f t="shared" si="119"/>
        <v>#DIV/0!</v>
      </c>
      <c r="H132" s="18">
        <f t="shared" si="119"/>
        <v>12345.966709962539</v>
      </c>
      <c r="I132" s="18">
        <f t="shared" si="119"/>
        <v>12632.190539749685</v>
      </c>
      <c r="J132" s="18">
        <f t="shared" si="119"/>
        <v>7680.9724786118622</v>
      </c>
      <c r="K132" s="18">
        <f t="shared" si="119"/>
        <v>6229.4697584913611</v>
      </c>
      <c r="L132" s="18">
        <f t="shared" si="119"/>
        <v>6693.9928622017696</v>
      </c>
      <c r="M132" s="18">
        <f t="shared" si="119"/>
        <v>9441.7987157568859</v>
      </c>
      <c r="N132" s="18">
        <f t="shared" si="119"/>
        <v>10687.260813225532</v>
      </c>
      <c r="O132" s="18">
        <f t="shared" si="119"/>
        <v>7668.7499004829388</v>
      </c>
      <c r="P132" s="18">
        <f t="shared" si="119"/>
        <v>24925.354994279936</v>
      </c>
      <c r="Q132" s="18">
        <f t="shared" si="119"/>
        <v>46418.777390740914</v>
      </c>
      <c r="R132" s="18">
        <f t="shared" ref="R132:S132" si="120">R130/R131*1000</f>
        <v>50179.332378181854</v>
      </c>
      <c r="S132" s="18">
        <f t="shared" si="120"/>
        <v>53119.052093514103</v>
      </c>
      <c r="T132" s="18">
        <f t="shared" ref="T132" si="121">T130/T131*1000</f>
        <v>59294.536878777893</v>
      </c>
    </row>
    <row r="133" spans="1:20" ht="15.75" customHeight="1">
      <c r="A133" s="1"/>
      <c r="B133" s="2"/>
      <c r="C133" s="2"/>
      <c r="D133" s="2"/>
      <c r="E133" s="2"/>
      <c r="F133" s="2"/>
      <c r="G133" s="2"/>
      <c r="H133" s="2"/>
      <c r="I133" s="2"/>
      <c r="J133" s="2"/>
      <c r="K133" s="2"/>
      <c r="L133" s="2"/>
      <c r="M133" s="2"/>
      <c r="N133" s="2"/>
      <c r="O133" s="2"/>
      <c r="P133" s="2"/>
      <c r="Q133" s="2"/>
      <c r="R133" s="2"/>
      <c r="S133" s="2"/>
      <c r="T133" s="2"/>
    </row>
    <row r="134" spans="1:20" ht="15.75" customHeight="1">
      <c r="A134" s="1"/>
      <c r="B134" s="2"/>
      <c r="C134" s="2"/>
      <c r="D134" s="2"/>
      <c r="E134" s="2"/>
      <c r="F134" s="2"/>
      <c r="G134" s="2"/>
      <c r="H134" s="2"/>
      <c r="I134" s="2"/>
      <c r="J134" s="2"/>
      <c r="K134" s="2"/>
      <c r="L134" s="2"/>
      <c r="M134" s="2"/>
      <c r="N134" s="2"/>
      <c r="O134" s="2"/>
      <c r="P134" s="2"/>
      <c r="Q134" s="2"/>
      <c r="R134" s="2"/>
      <c r="S134" s="2"/>
      <c r="T134" s="2"/>
    </row>
    <row r="135" spans="1:20" ht="15.75" customHeight="1">
      <c r="A135" s="6" t="s">
        <v>103</v>
      </c>
      <c r="B135" s="2"/>
      <c r="C135" s="2"/>
      <c r="D135" s="2"/>
      <c r="E135" s="2"/>
      <c r="F135" s="2"/>
      <c r="G135" s="2"/>
      <c r="H135" s="2"/>
      <c r="I135" s="2"/>
      <c r="J135" s="2"/>
      <c r="K135" s="2"/>
      <c r="L135" s="2"/>
      <c r="M135" s="2"/>
      <c r="N135" s="2"/>
      <c r="O135" s="2"/>
      <c r="P135" s="2"/>
      <c r="Q135" s="2"/>
      <c r="R135" s="2"/>
      <c r="S135" s="2"/>
      <c r="T135" s="2"/>
    </row>
    <row r="136" spans="1:20" ht="15.75" customHeight="1" thickBot="1">
      <c r="A136" s="19"/>
      <c r="B136" s="2"/>
      <c r="C136" s="2"/>
      <c r="D136" s="2"/>
      <c r="E136" s="2"/>
      <c r="F136" s="2"/>
      <c r="G136" s="2"/>
      <c r="H136" s="2"/>
      <c r="I136" s="2"/>
      <c r="J136" s="2"/>
      <c r="K136" s="2"/>
      <c r="L136" s="2"/>
      <c r="M136" s="2"/>
      <c r="N136" s="2"/>
      <c r="O136" s="2"/>
      <c r="P136" s="2"/>
      <c r="Q136" s="2"/>
      <c r="R136" s="2"/>
      <c r="S136" s="2"/>
      <c r="T136" s="2"/>
    </row>
    <row r="137" spans="1:20" ht="15.75" customHeight="1" thickBot="1">
      <c r="A137" s="89" t="s">
        <v>3</v>
      </c>
      <c r="B137" s="87" t="s">
        <v>4</v>
      </c>
      <c r="C137" s="88" t="s">
        <v>5</v>
      </c>
      <c r="D137" s="88">
        <f t="shared" ref="D137:T137" si="122">D$3</f>
        <v>2008</v>
      </c>
      <c r="E137" s="88">
        <f t="shared" si="122"/>
        <v>2009</v>
      </c>
      <c r="F137" s="88">
        <f t="shared" si="122"/>
        <v>2010</v>
      </c>
      <c r="G137" s="88">
        <f t="shared" si="122"/>
        <v>2011</v>
      </c>
      <c r="H137" s="88">
        <f t="shared" si="122"/>
        <v>2012</v>
      </c>
      <c r="I137" s="88">
        <f t="shared" si="122"/>
        <v>2013</v>
      </c>
      <c r="J137" s="88">
        <f t="shared" si="122"/>
        <v>2014</v>
      </c>
      <c r="K137" s="88">
        <f t="shared" si="122"/>
        <v>2015</v>
      </c>
      <c r="L137" s="88">
        <f t="shared" si="122"/>
        <v>2016</v>
      </c>
      <c r="M137" s="88">
        <f t="shared" si="122"/>
        <v>2017</v>
      </c>
      <c r="N137" s="88">
        <f t="shared" si="122"/>
        <v>2018</v>
      </c>
      <c r="O137" s="88">
        <f t="shared" si="122"/>
        <v>2019</v>
      </c>
      <c r="P137" s="88">
        <f t="shared" si="122"/>
        <v>2020</v>
      </c>
      <c r="Q137" s="88">
        <f t="shared" si="122"/>
        <v>2021</v>
      </c>
      <c r="R137" s="88">
        <f t="shared" si="122"/>
        <v>2022</v>
      </c>
      <c r="S137" s="88">
        <f t="shared" si="122"/>
        <v>2023</v>
      </c>
      <c r="T137" s="88">
        <f t="shared" si="122"/>
        <v>2024</v>
      </c>
    </row>
    <row r="138" spans="1:20" ht="15.75" customHeight="1">
      <c r="A138" s="9">
        <v>-1</v>
      </c>
      <c r="B138" s="9">
        <f t="shared" ref="B138:T138" si="123">A138-1</f>
        <v>-2</v>
      </c>
      <c r="C138" s="9">
        <f t="shared" si="123"/>
        <v>-3</v>
      </c>
      <c r="D138" s="9">
        <f t="shared" si="123"/>
        <v>-4</v>
      </c>
      <c r="E138" s="9">
        <f t="shared" si="123"/>
        <v>-5</v>
      </c>
      <c r="F138" s="9">
        <f t="shared" si="123"/>
        <v>-6</v>
      </c>
      <c r="G138" s="9">
        <f t="shared" si="123"/>
        <v>-7</v>
      </c>
      <c r="H138" s="9">
        <f t="shared" si="123"/>
        <v>-8</v>
      </c>
      <c r="I138" s="9">
        <f t="shared" si="123"/>
        <v>-9</v>
      </c>
      <c r="J138" s="9">
        <f t="shared" si="123"/>
        <v>-10</v>
      </c>
      <c r="K138" s="9">
        <f t="shared" si="123"/>
        <v>-11</v>
      </c>
      <c r="L138" s="9">
        <f t="shared" si="123"/>
        <v>-12</v>
      </c>
      <c r="M138" s="9">
        <f t="shared" si="123"/>
        <v>-13</v>
      </c>
      <c r="N138" s="9">
        <f t="shared" si="123"/>
        <v>-14</v>
      </c>
      <c r="O138" s="9">
        <f t="shared" si="123"/>
        <v>-15</v>
      </c>
      <c r="P138" s="9">
        <f t="shared" si="123"/>
        <v>-16</v>
      </c>
      <c r="Q138" s="9">
        <f t="shared" si="123"/>
        <v>-17</v>
      </c>
      <c r="R138" s="9">
        <f t="shared" si="123"/>
        <v>-18</v>
      </c>
      <c r="S138" s="9">
        <f t="shared" si="123"/>
        <v>-19</v>
      </c>
      <c r="T138" s="9">
        <f t="shared" si="123"/>
        <v>-20</v>
      </c>
    </row>
    <row r="139" spans="1:20" ht="15.75" customHeight="1">
      <c r="A139" s="31">
        <v>1</v>
      </c>
      <c r="B139" s="32" t="s">
        <v>41</v>
      </c>
      <c r="C139" s="31" t="s">
        <v>58</v>
      </c>
      <c r="D139" s="35"/>
      <c r="E139" s="35" t="e">
        <f t="shared" ref="E139:T139" si="124">D151</f>
        <v>#DIV/0!</v>
      </c>
      <c r="F139" s="35" t="e">
        <f t="shared" si="124"/>
        <v>#DIV/0!</v>
      </c>
      <c r="G139" s="35" t="e">
        <f t="shared" si="124"/>
        <v>#DIV/0!</v>
      </c>
      <c r="H139" s="35" t="e">
        <f t="shared" si="124"/>
        <v>#DIV/0!</v>
      </c>
      <c r="I139" s="35">
        <f t="shared" si="124"/>
        <v>361678.53913139104</v>
      </c>
      <c r="J139" s="35">
        <f t="shared" si="124"/>
        <v>369717.06009355461</v>
      </c>
      <c r="K139" s="35">
        <f t="shared" si="124"/>
        <v>220254.27460107402</v>
      </c>
      <c r="L139" s="35">
        <f t="shared" si="124"/>
        <v>172752.28834167775</v>
      </c>
      <c r="M139" s="35">
        <f t="shared" si="124"/>
        <v>195241.86600448284</v>
      </c>
      <c r="N139" s="35">
        <f t="shared" si="124"/>
        <v>228644.70307333412</v>
      </c>
      <c r="O139" s="35">
        <f t="shared" si="124"/>
        <v>243466.58167333782</v>
      </c>
      <c r="P139" s="35">
        <f t="shared" si="124"/>
        <v>182470.53824771309</v>
      </c>
      <c r="Q139" s="35">
        <f t="shared" si="124"/>
        <v>603209.48662785674</v>
      </c>
      <c r="R139" s="35">
        <f t="shared" si="124"/>
        <v>925405.53518102644</v>
      </c>
      <c r="S139" s="35">
        <f t="shared" si="124"/>
        <v>1018188.9336443528</v>
      </c>
      <c r="T139" s="35">
        <f t="shared" si="124"/>
        <v>1137311.4432151858</v>
      </c>
    </row>
    <row r="140" spans="1:20" ht="15.75" customHeight="1">
      <c r="A140" s="31">
        <v>2</v>
      </c>
      <c r="B140" s="32" t="s">
        <v>43</v>
      </c>
      <c r="C140" s="31" t="s">
        <v>58</v>
      </c>
      <c r="D140" s="35">
        <f t="shared" ref="D140:Q140" si="125">SUM(D141:D143)</f>
        <v>0</v>
      </c>
      <c r="E140" s="35" t="e">
        <f t="shared" si="125"/>
        <v>#DIV/0!</v>
      </c>
      <c r="F140" s="35" t="e">
        <f t="shared" si="125"/>
        <v>#DIV/0!</v>
      </c>
      <c r="G140" s="35" t="e">
        <f t="shared" si="125"/>
        <v>#DIV/0!</v>
      </c>
      <c r="H140" s="35" t="e">
        <f t="shared" si="125"/>
        <v>#DIV/0!</v>
      </c>
      <c r="I140" s="35">
        <f t="shared" si="125"/>
        <v>0</v>
      </c>
      <c r="J140" s="35">
        <f t="shared" si="125"/>
        <v>0</v>
      </c>
      <c r="K140" s="35">
        <f t="shared" si="125"/>
        <v>0</v>
      </c>
      <c r="L140" s="35">
        <f t="shared" si="125"/>
        <v>0</v>
      </c>
      <c r="M140" s="35">
        <f t="shared" si="125"/>
        <v>0</v>
      </c>
      <c r="N140" s="35">
        <f t="shared" si="125"/>
        <v>0</v>
      </c>
      <c r="O140" s="35">
        <f t="shared" si="125"/>
        <v>0</v>
      </c>
      <c r="P140" s="35">
        <f t="shared" si="125"/>
        <v>0</v>
      </c>
      <c r="Q140" s="35">
        <f t="shared" si="125"/>
        <v>0</v>
      </c>
      <c r="R140" s="35">
        <f t="shared" ref="R140:S140" si="126">SUM(R141:R143)</f>
        <v>0</v>
      </c>
      <c r="S140" s="35">
        <f t="shared" si="126"/>
        <v>0</v>
      </c>
      <c r="T140" s="35">
        <f t="shared" ref="T140" si="127">SUM(T141:T143)</f>
        <v>0</v>
      </c>
    </row>
    <row r="141" spans="1:20" ht="15.75" customHeight="1">
      <c r="A141" s="14">
        <v>2.1</v>
      </c>
      <c r="B141" s="15" t="s">
        <v>44</v>
      </c>
      <c r="C141" s="14" t="s">
        <v>58</v>
      </c>
      <c r="D141" s="18"/>
      <c r="E141" s="18" t="e">
        <f t="shared" ref="E141:T141" si="128">0.5*(D$132+E$132)*E107/1000</f>
        <v>#DIV/0!</v>
      </c>
      <c r="F141" s="18" t="e">
        <f t="shared" si="128"/>
        <v>#DIV/0!</v>
      </c>
      <c r="G141" s="18" t="e">
        <f t="shared" si="128"/>
        <v>#DIV/0!</v>
      </c>
      <c r="H141" s="18" t="e">
        <f t="shared" si="128"/>
        <v>#DIV/0!</v>
      </c>
      <c r="I141" s="18">
        <f t="shared" si="128"/>
        <v>0</v>
      </c>
      <c r="J141" s="18">
        <f t="shared" si="128"/>
        <v>0</v>
      </c>
      <c r="K141" s="18">
        <f t="shared" si="128"/>
        <v>0</v>
      </c>
      <c r="L141" s="18">
        <f t="shared" si="128"/>
        <v>0</v>
      </c>
      <c r="M141" s="18">
        <f t="shared" si="128"/>
        <v>0</v>
      </c>
      <c r="N141" s="18">
        <f t="shared" si="128"/>
        <v>0</v>
      </c>
      <c r="O141" s="18">
        <f t="shared" si="128"/>
        <v>0</v>
      </c>
      <c r="P141" s="18">
        <f t="shared" si="128"/>
        <v>0</v>
      </c>
      <c r="Q141" s="18">
        <f t="shared" si="128"/>
        <v>0</v>
      </c>
      <c r="R141" s="18">
        <f t="shared" si="128"/>
        <v>0</v>
      </c>
      <c r="S141" s="18">
        <f t="shared" si="128"/>
        <v>0</v>
      </c>
      <c r="T141" s="18">
        <f t="shared" si="128"/>
        <v>0</v>
      </c>
    </row>
    <row r="142" spans="1:20" ht="15.75" customHeight="1">
      <c r="A142" s="14">
        <v>2.2000000000000002</v>
      </c>
      <c r="B142" s="15" t="s">
        <v>45</v>
      </c>
      <c r="C142" s="14" t="s">
        <v>58</v>
      </c>
      <c r="D142" s="18"/>
      <c r="E142" s="18" t="e">
        <f t="shared" ref="E142:T142" si="129">0.5*(D$132+E$132)*E108/1000</f>
        <v>#DIV/0!</v>
      </c>
      <c r="F142" s="18" t="e">
        <f t="shared" si="129"/>
        <v>#DIV/0!</v>
      </c>
      <c r="G142" s="18" t="e">
        <f t="shared" si="129"/>
        <v>#DIV/0!</v>
      </c>
      <c r="H142" s="18" t="e">
        <f t="shared" si="129"/>
        <v>#DIV/0!</v>
      </c>
      <c r="I142" s="18">
        <f t="shared" si="129"/>
        <v>0</v>
      </c>
      <c r="J142" s="18">
        <f t="shared" si="129"/>
        <v>0</v>
      </c>
      <c r="K142" s="18">
        <f t="shared" si="129"/>
        <v>0</v>
      </c>
      <c r="L142" s="18">
        <f t="shared" si="129"/>
        <v>0</v>
      </c>
      <c r="M142" s="18">
        <f t="shared" si="129"/>
        <v>0</v>
      </c>
      <c r="N142" s="18">
        <f t="shared" si="129"/>
        <v>0</v>
      </c>
      <c r="O142" s="18">
        <f t="shared" si="129"/>
        <v>0</v>
      </c>
      <c r="P142" s="18">
        <f t="shared" si="129"/>
        <v>0</v>
      </c>
      <c r="Q142" s="18">
        <f t="shared" si="129"/>
        <v>0</v>
      </c>
      <c r="R142" s="18">
        <f t="shared" si="129"/>
        <v>0</v>
      </c>
      <c r="S142" s="18">
        <f t="shared" si="129"/>
        <v>0</v>
      </c>
      <c r="T142" s="18">
        <f t="shared" si="129"/>
        <v>0</v>
      </c>
    </row>
    <row r="143" spans="1:20" ht="15.75" customHeight="1">
      <c r="A143" s="14">
        <v>2.2999999999999998</v>
      </c>
      <c r="B143" s="15" t="s">
        <v>46</v>
      </c>
      <c r="C143" s="14" t="s">
        <v>58</v>
      </c>
      <c r="D143" s="18"/>
      <c r="E143" s="18" t="e">
        <f t="shared" ref="E143:T143" si="130">0.5*(D$132+E$132)*E109/1000</f>
        <v>#DIV/0!</v>
      </c>
      <c r="F143" s="18" t="e">
        <f t="shared" si="130"/>
        <v>#DIV/0!</v>
      </c>
      <c r="G143" s="18" t="e">
        <f t="shared" si="130"/>
        <v>#DIV/0!</v>
      </c>
      <c r="H143" s="18" t="e">
        <f t="shared" si="130"/>
        <v>#DIV/0!</v>
      </c>
      <c r="I143" s="18">
        <f t="shared" si="130"/>
        <v>0</v>
      </c>
      <c r="J143" s="18">
        <f t="shared" si="130"/>
        <v>0</v>
      </c>
      <c r="K143" s="18">
        <f t="shared" si="130"/>
        <v>0</v>
      </c>
      <c r="L143" s="18">
        <f t="shared" si="130"/>
        <v>0</v>
      </c>
      <c r="M143" s="18">
        <f t="shared" si="130"/>
        <v>0</v>
      </c>
      <c r="N143" s="18">
        <f t="shared" si="130"/>
        <v>0</v>
      </c>
      <c r="O143" s="18">
        <f t="shared" si="130"/>
        <v>0</v>
      </c>
      <c r="P143" s="18">
        <f t="shared" si="130"/>
        <v>0</v>
      </c>
      <c r="Q143" s="18">
        <f t="shared" si="130"/>
        <v>0</v>
      </c>
      <c r="R143" s="18">
        <f t="shared" si="130"/>
        <v>0</v>
      </c>
      <c r="S143" s="18">
        <f t="shared" si="130"/>
        <v>0</v>
      </c>
      <c r="T143" s="18">
        <f t="shared" si="130"/>
        <v>0</v>
      </c>
    </row>
    <row r="144" spans="1:20" ht="15.75" customHeight="1">
      <c r="A144" s="31">
        <v>3</v>
      </c>
      <c r="B144" s="32" t="s">
        <v>47</v>
      </c>
      <c r="C144" s="31" t="s">
        <v>58</v>
      </c>
      <c r="D144" s="35">
        <f t="shared" ref="D144:Q144" si="131">SUM(D145:D148)</f>
        <v>0</v>
      </c>
      <c r="E144" s="35" t="e">
        <f t="shared" si="131"/>
        <v>#DIV/0!</v>
      </c>
      <c r="F144" s="35" t="e">
        <f t="shared" si="131"/>
        <v>#DIV/0!</v>
      </c>
      <c r="G144" s="35" t="e">
        <f t="shared" si="131"/>
        <v>#DIV/0!</v>
      </c>
      <c r="H144" s="35" t="e">
        <f t="shared" si="131"/>
        <v>#DIV/0!</v>
      </c>
      <c r="I144" s="35">
        <f t="shared" si="131"/>
        <v>15680.999314045464</v>
      </c>
      <c r="J144" s="35">
        <f t="shared" si="131"/>
        <v>11086.794655612914</v>
      </c>
      <c r="K144" s="35">
        <f t="shared" si="131"/>
        <v>6631.2044376120784</v>
      </c>
      <c r="L144" s="35">
        <f t="shared" si="131"/>
        <v>6970.8952809054172</v>
      </c>
      <c r="M144" s="35">
        <f t="shared" si="131"/>
        <v>7788.118583494309</v>
      </c>
      <c r="N144" s="35">
        <f t="shared" si="131"/>
        <v>7258.6491226212738</v>
      </c>
      <c r="O144" s="35">
        <f t="shared" si="131"/>
        <v>4866.365858932124</v>
      </c>
      <c r="P144" s="35">
        <f t="shared" si="131"/>
        <v>10871.394230043366</v>
      </c>
      <c r="Q144" s="35">
        <f t="shared" si="131"/>
        <v>28116.166259930029</v>
      </c>
      <c r="R144" s="35">
        <f t="shared" ref="R144:S144" si="132">SUM(R145:R148)</f>
        <v>66743.604492134938</v>
      </c>
      <c r="S144" s="35">
        <f t="shared" si="132"/>
        <v>68937.059133665243</v>
      </c>
      <c r="T144" s="35">
        <f t="shared" ref="T144" si="133">SUM(T145:T148)</f>
        <v>81347.170889032088</v>
      </c>
    </row>
    <row r="145" spans="1:20" ht="15.75" customHeight="1">
      <c r="A145" s="14">
        <v>3.1</v>
      </c>
      <c r="B145" s="15" t="s">
        <v>67</v>
      </c>
      <c r="C145" s="14" t="s">
        <v>58</v>
      </c>
      <c r="D145" s="18"/>
      <c r="E145" s="18" t="e">
        <f t="shared" ref="E145:T145" si="134">0.5*(D$132+E$132)*E111/1000</f>
        <v>#DIV/0!</v>
      </c>
      <c r="F145" s="18" t="e">
        <f t="shared" si="134"/>
        <v>#DIV/0!</v>
      </c>
      <c r="G145" s="18" t="e">
        <f t="shared" si="134"/>
        <v>#DIV/0!</v>
      </c>
      <c r="H145" s="18" t="e">
        <f t="shared" si="134"/>
        <v>#DIV/0!</v>
      </c>
      <c r="I145" s="18">
        <f t="shared" si="134"/>
        <v>15680.999314045464</v>
      </c>
      <c r="J145" s="18">
        <f t="shared" si="134"/>
        <v>11086.794655612914</v>
      </c>
      <c r="K145" s="18">
        <f t="shared" si="134"/>
        <v>6631.2044376120784</v>
      </c>
      <c r="L145" s="18">
        <f t="shared" si="134"/>
        <v>6970.8952809054172</v>
      </c>
      <c r="M145" s="18">
        <f t="shared" si="134"/>
        <v>7788.118583494309</v>
      </c>
      <c r="N145" s="18">
        <f t="shared" si="134"/>
        <v>7258.6491226212738</v>
      </c>
      <c r="O145" s="18">
        <f t="shared" si="134"/>
        <v>4866.365858932124</v>
      </c>
      <c r="P145" s="18">
        <f t="shared" si="134"/>
        <v>10871.394230043366</v>
      </c>
      <c r="Q145" s="18">
        <f t="shared" si="134"/>
        <v>28116.166259930029</v>
      </c>
      <c r="R145" s="18">
        <f t="shared" si="134"/>
        <v>66743.604492134938</v>
      </c>
      <c r="S145" s="18">
        <f t="shared" si="134"/>
        <v>68937.059133665243</v>
      </c>
      <c r="T145" s="18">
        <f t="shared" si="134"/>
        <v>81347.170889032088</v>
      </c>
    </row>
    <row r="146" spans="1:20" ht="15.75" customHeight="1">
      <c r="A146" s="14">
        <v>3.2</v>
      </c>
      <c r="B146" s="15" t="s">
        <v>49</v>
      </c>
      <c r="C146" s="14" t="s">
        <v>58</v>
      </c>
      <c r="D146" s="18"/>
      <c r="E146" s="18" t="e">
        <f t="shared" ref="E146:T146" si="135">0.5*(D$132+E$132)*E112/1000</f>
        <v>#DIV/0!</v>
      </c>
      <c r="F146" s="18" t="e">
        <f t="shared" si="135"/>
        <v>#DIV/0!</v>
      </c>
      <c r="G146" s="18" t="e">
        <f t="shared" si="135"/>
        <v>#DIV/0!</v>
      </c>
      <c r="H146" s="18" t="e">
        <f t="shared" si="135"/>
        <v>#DIV/0!</v>
      </c>
      <c r="I146" s="18">
        <f t="shared" si="135"/>
        <v>0</v>
      </c>
      <c r="J146" s="18">
        <f t="shared" si="135"/>
        <v>0</v>
      </c>
      <c r="K146" s="18">
        <f t="shared" si="135"/>
        <v>0</v>
      </c>
      <c r="L146" s="18">
        <f t="shared" si="135"/>
        <v>0</v>
      </c>
      <c r="M146" s="18">
        <f t="shared" si="135"/>
        <v>0</v>
      </c>
      <c r="N146" s="18">
        <f t="shared" si="135"/>
        <v>0</v>
      </c>
      <c r="O146" s="18">
        <f t="shared" si="135"/>
        <v>0</v>
      </c>
      <c r="P146" s="18">
        <f t="shared" si="135"/>
        <v>0</v>
      </c>
      <c r="Q146" s="18">
        <f t="shared" si="135"/>
        <v>0</v>
      </c>
      <c r="R146" s="18">
        <f t="shared" si="135"/>
        <v>0</v>
      </c>
      <c r="S146" s="18">
        <f t="shared" si="135"/>
        <v>0</v>
      </c>
      <c r="T146" s="18">
        <f t="shared" si="135"/>
        <v>0</v>
      </c>
    </row>
    <row r="147" spans="1:20" ht="15.75" customHeight="1">
      <c r="A147" s="14">
        <v>3.3</v>
      </c>
      <c r="B147" s="15" t="s">
        <v>50</v>
      </c>
      <c r="C147" s="14" t="s">
        <v>58</v>
      </c>
      <c r="D147" s="18"/>
      <c r="E147" s="18" t="e">
        <f t="shared" ref="E147:T147" si="136">0.5*(D$132+E$132)*E113/1000</f>
        <v>#DIV/0!</v>
      </c>
      <c r="F147" s="18" t="e">
        <f t="shared" si="136"/>
        <v>#DIV/0!</v>
      </c>
      <c r="G147" s="18" t="e">
        <f t="shared" si="136"/>
        <v>#DIV/0!</v>
      </c>
      <c r="H147" s="18" t="e">
        <f t="shared" si="136"/>
        <v>#DIV/0!</v>
      </c>
      <c r="I147" s="18">
        <f t="shared" si="136"/>
        <v>0</v>
      </c>
      <c r="J147" s="18">
        <f t="shared" si="136"/>
        <v>0</v>
      </c>
      <c r="K147" s="18">
        <f t="shared" si="136"/>
        <v>0</v>
      </c>
      <c r="L147" s="18">
        <f t="shared" si="136"/>
        <v>0</v>
      </c>
      <c r="M147" s="18">
        <f t="shared" si="136"/>
        <v>0</v>
      </c>
      <c r="N147" s="18">
        <f t="shared" si="136"/>
        <v>0</v>
      </c>
      <c r="O147" s="18">
        <f t="shared" si="136"/>
        <v>0</v>
      </c>
      <c r="P147" s="18">
        <f t="shared" si="136"/>
        <v>0</v>
      </c>
      <c r="Q147" s="18">
        <f t="shared" si="136"/>
        <v>0</v>
      </c>
      <c r="R147" s="18">
        <f t="shared" si="136"/>
        <v>0</v>
      </c>
      <c r="S147" s="18">
        <f t="shared" si="136"/>
        <v>0</v>
      </c>
      <c r="T147" s="18">
        <f t="shared" si="136"/>
        <v>0</v>
      </c>
    </row>
    <row r="148" spans="1:20" ht="15.75" customHeight="1">
      <c r="A148" s="14">
        <v>3.4</v>
      </c>
      <c r="B148" s="15" t="s">
        <v>46</v>
      </c>
      <c r="C148" s="14" t="s">
        <v>58</v>
      </c>
      <c r="D148" s="18"/>
      <c r="E148" s="18" t="e">
        <f t="shared" ref="E148:T148" si="137">0.5*(D$132+E$132)*E114/1000</f>
        <v>#DIV/0!</v>
      </c>
      <c r="F148" s="18" t="e">
        <f t="shared" si="137"/>
        <v>#DIV/0!</v>
      </c>
      <c r="G148" s="18" t="e">
        <f t="shared" si="137"/>
        <v>#DIV/0!</v>
      </c>
      <c r="H148" s="18" t="e">
        <f t="shared" si="137"/>
        <v>#DIV/0!</v>
      </c>
      <c r="I148" s="18">
        <f t="shared" si="137"/>
        <v>0</v>
      </c>
      <c r="J148" s="18">
        <f t="shared" si="137"/>
        <v>0</v>
      </c>
      <c r="K148" s="18">
        <f t="shared" si="137"/>
        <v>0</v>
      </c>
      <c r="L148" s="18">
        <f t="shared" si="137"/>
        <v>0</v>
      </c>
      <c r="M148" s="18">
        <f t="shared" si="137"/>
        <v>0</v>
      </c>
      <c r="N148" s="18">
        <f t="shared" si="137"/>
        <v>0</v>
      </c>
      <c r="O148" s="18">
        <f t="shared" si="137"/>
        <v>0</v>
      </c>
      <c r="P148" s="18">
        <f t="shared" si="137"/>
        <v>0</v>
      </c>
      <c r="Q148" s="18">
        <f t="shared" si="137"/>
        <v>0</v>
      </c>
      <c r="R148" s="18">
        <f t="shared" si="137"/>
        <v>0</v>
      </c>
      <c r="S148" s="18">
        <f t="shared" si="137"/>
        <v>0</v>
      </c>
      <c r="T148" s="18">
        <f t="shared" si="137"/>
        <v>0</v>
      </c>
    </row>
    <row r="149" spans="1:20" ht="15.75" customHeight="1">
      <c r="A149" s="31">
        <v>4</v>
      </c>
      <c r="B149" s="32" t="s">
        <v>68</v>
      </c>
      <c r="C149" s="31" t="s">
        <v>58</v>
      </c>
      <c r="D149" s="35"/>
      <c r="E149" s="35" t="e">
        <f t="shared" ref="E149:T149" si="138">0.5*(D$132+E$132)*E115/1000</f>
        <v>#DIV/0!</v>
      </c>
      <c r="F149" s="35" t="e">
        <f t="shared" si="138"/>
        <v>#DIV/0!</v>
      </c>
      <c r="G149" s="35" t="e">
        <f t="shared" si="138"/>
        <v>#DIV/0!</v>
      </c>
      <c r="H149" s="35" t="e">
        <f t="shared" si="138"/>
        <v>#DIV/0!</v>
      </c>
      <c r="I149" s="35">
        <f t="shared" si="138"/>
        <v>15338.438719755992</v>
      </c>
      <c r="J149" s="35">
        <f t="shared" si="138"/>
        <v>5068.6222247249825</v>
      </c>
      <c r="K149" s="35">
        <f t="shared" si="138"/>
        <v>66.508587887126794</v>
      </c>
      <c r="L149" s="35">
        <f t="shared" si="138"/>
        <v>16245.21172170705</v>
      </c>
      <c r="M149" s="35">
        <f t="shared" si="138"/>
        <v>-32152.036320753108</v>
      </c>
      <c r="N149" s="35">
        <f t="shared" si="138"/>
        <v>-7186.1076580261106</v>
      </c>
      <c r="O149" s="35">
        <f t="shared" si="138"/>
        <v>14163.968114537656</v>
      </c>
      <c r="P149" s="35">
        <f t="shared" si="138"/>
        <v>17497.746562564651</v>
      </c>
      <c r="Q149" s="35">
        <f t="shared" si="138"/>
        <v>-124011.66687780808</v>
      </c>
      <c r="R149" s="35">
        <f t="shared" si="138"/>
        <v>83889.044490295506</v>
      </c>
      <c r="S149" s="35">
        <f t="shared" si="138"/>
        <v>126764.03948263239</v>
      </c>
      <c r="T149" s="35">
        <f t="shared" si="138"/>
        <v>76571.361254304851</v>
      </c>
    </row>
    <row r="150" spans="1:20" ht="15.75" customHeight="1">
      <c r="A150" s="31">
        <v>5</v>
      </c>
      <c r="B150" s="32" t="s">
        <v>69</v>
      </c>
      <c r="C150" s="31" t="s">
        <v>58</v>
      </c>
      <c r="D150" s="35"/>
      <c r="E150" s="35" t="e">
        <f t="shared" ref="E150:T150" si="139">0.5*(D131+E131)*(E132-D132)/1000</f>
        <v>#DIV/0!</v>
      </c>
      <c r="F150" s="35" t="e">
        <f t="shared" si="139"/>
        <v>#DIV/0!</v>
      </c>
      <c r="G150" s="35" t="e">
        <f t="shared" si="139"/>
        <v>#DIV/0!</v>
      </c>
      <c r="H150" s="35" t="e">
        <f t="shared" si="139"/>
        <v>#DIV/0!</v>
      </c>
      <c r="I150" s="35">
        <f t="shared" si="139"/>
        <v>8381.0815564530967</v>
      </c>
      <c r="J150" s="35">
        <f t="shared" si="139"/>
        <v>-143444.61306159271</v>
      </c>
      <c r="K150" s="35">
        <f t="shared" si="139"/>
        <v>-40937.290409671346</v>
      </c>
      <c r="L150" s="35">
        <f t="shared" si="139"/>
        <v>13215.261222003484</v>
      </c>
      <c r="M150" s="35">
        <f t="shared" si="139"/>
        <v>73342.991973098746</v>
      </c>
      <c r="N150" s="35">
        <f t="shared" si="139"/>
        <v>29266.635380651052</v>
      </c>
      <c r="O150" s="35">
        <f t="shared" si="139"/>
        <v>-70293.645681230279</v>
      </c>
      <c r="P150" s="35">
        <f t="shared" si="139"/>
        <v>414112.59604762238</v>
      </c>
      <c r="Q150" s="35">
        <f t="shared" si="139"/>
        <v>474323.88169090787</v>
      </c>
      <c r="R150" s="35">
        <f t="shared" si="139"/>
        <v>75637.95846516575</v>
      </c>
      <c r="S150" s="35">
        <f t="shared" si="139"/>
        <v>61295.529221865843</v>
      </c>
      <c r="T150" s="35">
        <f t="shared" si="139"/>
        <v>131958.55104123001</v>
      </c>
    </row>
    <row r="151" spans="1:20" ht="15.75" customHeight="1">
      <c r="A151" s="31">
        <v>6</v>
      </c>
      <c r="B151" s="32" t="s">
        <v>52</v>
      </c>
      <c r="C151" s="31" t="s">
        <v>58</v>
      </c>
      <c r="D151" s="35" t="e">
        <f t="shared" ref="D151:Q151" si="140">D130</f>
        <v>#DIV/0!</v>
      </c>
      <c r="E151" s="35" t="e">
        <f t="shared" si="140"/>
        <v>#DIV/0!</v>
      </c>
      <c r="F151" s="35" t="e">
        <f t="shared" si="140"/>
        <v>#DIV/0!</v>
      </c>
      <c r="G151" s="35" t="e">
        <f t="shared" si="140"/>
        <v>#DIV/0!</v>
      </c>
      <c r="H151" s="35">
        <f t="shared" si="140"/>
        <v>361678.53913139104</v>
      </c>
      <c r="I151" s="35">
        <f t="shared" si="140"/>
        <v>369717.06009355461</v>
      </c>
      <c r="J151" s="35">
        <f t="shared" si="140"/>
        <v>220254.27460107402</v>
      </c>
      <c r="K151" s="35">
        <f t="shared" si="140"/>
        <v>172752.28834167775</v>
      </c>
      <c r="L151" s="35">
        <f t="shared" si="140"/>
        <v>195241.86600448284</v>
      </c>
      <c r="M151" s="35">
        <f t="shared" si="140"/>
        <v>228644.70307333412</v>
      </c>
      <c r="N151" s="35">
        <f t="shared" si="140"/>
        <v>243466.58167333782</v>
      </c>
      <c r="O151" s="35">
        <f t="shared" si="140"/>
        <v>182470.53824771309</v>
      </c>
      <c r="P151" s="35">
        <f t="shared" si="140"/>
        <v>603209.48662785674</v>
      </c>
      <c r="Q151" s="35">
        <f t="shared" si="140"/>
        <v>925405.53518102644</v>
      </c>
      <c r="R151" s="35">
        <f t="shared" ref="R151:S151" si="141">R130</f>
        <v>1018188.9336443528</v>
      </c>
      <c r="S151" s="35">
        <f t="shared" si="141"/>
        <v>1137311.4432151858</v>
      </c>
      <c r="T151" s="35">
        <f t="shared" ref="T151" si="142">T130</f>
        <v>1264494.1846216884</v>
      </c>
    </row>
    <row r="152" spans="1:20" ht="15.75" customHeight="1">
      <c r="A152" s="1"/>
      <c r="B152" s="2"/>
      <c r="C152" s="2"/>
      <c r="D152" s="2"/>
      <c r="E152" s="2"/>
      <c r="F152" s="2"/>
      <c r="G152" s="2"/>
      <c r="H152" s="2"/>
      <c r="I152" s="2"/>
      <c r="J152" s="2"/>
      <c r="K152" s="2"/>
      <c r="L152" s="2"/>
      <c r="M152" s="2"/>
      <c r="N152" s="2"/>
      <c r="O152" s="2"/>
      <c r="P152" s="2"/>
      <c r="Q152" s="2"/>
      <c r="R152" s="2"/>
      <c r="S152" s="2"/>
      <c r="T152" s="2"/>
    </row>
    <row r="153" spans="1:20" ht="15.75" customHeight="1">
      <c r="A153" s="28"/>
      <c r="B153" s="29" t="s">
        <v>53</v>
      </c>
      <c r="C153" s="30"/>
      <c r="D153" s="2"/>
      <c r="E153" s="2" t="e">
        <f t="shared" ref="E153:P153" si="143">E139+E140-E144+E149+E150=E151</f>
        <v>#DIV/0!</v>
      </c>
      <c r="F153" s="2" t="e">
        <f t="shared" si="143"/>
        <v>#DIV/0!</v>
      </c>
      <c r="G153" s="2" t="e">
        <f t="shared" si="143"/>
        <v>#DIV/0!</v>
      </c>
      <c r="H153" s="2" t="e">
        <f t="shared" si="143"/>
        <v>#DIV/0!</v>
      </c>
      <c r="I153" s="2" t="b">
        <f t="shared" si="143"/>
        <v>1</v>
      </c>
      <c r="J153" s="2" t="b">
        <f t="shared" si="143"/>
        <v>1</v>
      </c>
      <c r="K153" s="2" t="b">
        <f t="shared" si="143"/>
        <v>1</v>
      </c>
      <c r="L153" s="2" t="b">
        <f t="shared" si="143"/>
        <v>1</v>
      </c>
      <c r="M153" s="2" t="b">
        <f t="shared" si="143"/>
        <v>1</v>
      </c>
      <c r="N153" s="2" t="b">
        <f t="shared" si="143"/>
        <v>1</v>
      </c>
      <c r="O153" s="2" t="b">
        <f t="shared" si="143"/>
        <v>1</v>
      </c>
      <c r="P153" s="2" t="b">
        <f t="shared" si="143"/>
        <v>1</v>
      </c>
      <c r="Q153" s="2" t="b">
        <f>Q139+Q140-Q144+Q149+Q150=Q151</f>
        <v>0</v>
      </c>
      <c r="R153" s="2" t="b">
        <f t="shared" ref="R153:S153" si="144">R139+R140-R144+R149+R150=R151</f>
        <v>1</v>
      </c>
      <c r="S153" s="2" t="b">
        <f t="shared" si="144"/>
        <v>1</v>
      </c>
      <c r="T153" s="2" t="b">
        <f t="shared" ref="T153" si="145">T139+T140-T144+T149+T150=T151</f>
        <v>1</v>
      </c>
    </row>
    <row r="154" spans="1:20" ht="15.75" customHeight="1">
      <c r="A154" s="1"/>
      <c r="B154" s="2"/>
      <c r="C154" s="2"/>
      <c r="D154" s="2"/>
      <c r="E154" s="2"/>
      <c r="F154" s="2"/>
      <c r="G154" s="2"/>
      <c r="H154" s="2"/>
      <c r="I154" s="2"/>
      <c r="J154" s="2"/>
      <c r="K154" s="2"/>
      <c r="L154" s="2"/>
      <c r="M154" s="2"/>
      <c r="N154" s="2"/>
      <c r="O154" s="2"/>
      <c r="P154" s="2"/>
      <c r="Q154" s="20"/>
      <c r="R154" s="2"/>
      <c r="S154" s="2"/>
      <c r="T154" s="2"/>
    </row>
    <row r="155" spans="1:20" ht="15.75" customHeight="1">
      <c r="A155" s="1"/>
      <c r="B155" s="2"/>
      <c r="C155" s="2"/>
      <c r="D155" s="2"/>
      <c r="E155" s="2"/>
      <c r="F155" s="2"/>
      <c r="G155" s="2"/>
      <c r="H155" s="2"/>
      <c r="I155" s="2"/>
      <c r="J155" s="2"/>
      <c r="K155" s="2"/>
      <c r="L155" s="2"/>
      <c r="M155" s="2"/>
      <c r="N155" s="2"/>
      <c r="O155" s="2"/>
      <c r="P155" s="2"/>
      <c r="Q155" s="2"/>
      <c r="R155" s="2"/>
      <c r="S155" s="2"/>
      <c r="T155" s="2"/>
    </row>
    <row r="156" spans="1:20" ht="15.75" customHeight="1">
      <c r="A156" s="1"/>
      <c r="B156" s="2"/>
      <c r="C156" s="2"/>
      <c r="D156" s="2"/>
      <c r="E156" s="2"/>
      <c r="F156" s="2"/>
      <c r="G156" s="2"/>
      <c r="H156" s="2"/>
      <c r="I156" s="2"/>
      <c r="J156" s="2"/>
      <c r="K156" s="2"/>
      <c r="L156" s="2"/>
      <c r="M156" s="2"/>
      <c r="N156" s="2"/>
      <c r="O156" s="2"/>
      <c r="P156" s="2"/>
      <c r="Q156" s="2"/>
      <c r="R156" s="2"/>
      <c r="S156" s="2"/>
      <c r="T156" s="2"/>
    </row>
    <row r="157" spans="1:20" ht="15.75" customHeight="1">
      <c r="A157" s="90"/>
      <c r="B157" s="91" t="s">
        <v>70</v>
      </c>
      <c r="C157" s="92"/>
      <c r="D157" s="93"/>
      <c r="E157" s="93"/>
      <c r="F157" s="93"/>
      <c r="G157" s="93"/>
      <c r="H157" s="93"/>
      <c r="I157" s="93"/>
      <c r="J157" s="93"/>
      <c r="K157" s="93"/>
      <c r="L157" s="93"/>
      <c r="M157" s="93"/>
      <c r="N157" s="93"/>
      <c r="O157" s="93"/>
      <c r="P157" s="93"/>
      <c r="Q157" s="93"/>
      <c r="R157" s="93"/>
      <c r="S157" s="93"/>
      <c r="T157" s="93"/>
    </row>
    <row r="158" spans="1:20" ht="15.75" customHeight="1">
      <c r="A158" s="1"/>
      <c r="B158" s="2"/>
      <c r="C158" s="2"/>
      <c r="D158" s="2"/>
      <c r="E158" s="2"/>
      <c r="F158" s="2"/>
      <c r="G158" s="2"/>
      <c r="H158" s="2"/>
      <c r="I158" s="2"/>
      <c r="J158" s="2"/>
      <c r="K158" s="2"/>
      <c r="L158" s="2"/>
      <c r="M158" s="2"/>
      <c r="N158" s="2"/>
      <c r="O158" s="2"/>
      <c r="P158" s="2"/>
      <c r="Q158" s="2"/>
      <c r="R158" s="2"/>
      <c r="S158" s="2"/>
      <c r="T158" s="2"/>
    </row>
    <row r="159" spans="1:20" ht="15.75" customHeight="1">
      <c r="A159" s="6" t="s">
        <v>116</v>
      </c>
      <c r="B159" s="2"/>
      <c r="C159" s="2"/>
      <c r="D159" s="2"/>
      <c r="E159" s="2"/>
      <c r="F159" s="2"/>
      <c r="G159" s="2"/>
      <c r="H159" s="2"/>
      <c r="I159" s="2"/>
      <c r="J159" s="2"/>
      <c r="K159" s="2"/>
      <c r="L159" s="2"/>
      <c r="M159" s="2"/>
      <c r="N159" s="2"/>
      <c r="O159" s="2"/>
      <c r="P159" s="2"/>
      <c r="Q159" s="2"/>
      <c r="R159" s="2"/>
      <c r="S159" s="2"/>
      <c r="T159" s="2"/>
    </row>
    <row r="160" spans="1:20" ht="15.75" customHeight="1">
      <c r="A160" s="1"/>
      <c r="B160" s="2"/>
      <c r="C160" s="2"/>
      <c r="D160" s="2"/>
      <c r="E160" s="2"/>
      <c r="F160" s="2"/>
      <c r="G160" s="2"/>
      <c r="H160" s="2"/>
      <c r="I160" s="2"/>
      <c r="J160" s="2"/>
      <c r="K160" s="2"/>
      <c r="L160" s="2"/>
      <c r="M160" s="2"/>
      <c r="N160" s="2"/>
      <c r="O160" s="2"/>
      <c r="P160" s="2"/>
      <c r="Q160" s="2"/>
      <c r="R160" s="2"/>
      <c r="S160" s="2"/>
      <c r="T160" s="2"/>
    </row>
    <row r="161" spans="1:20" ht="15.75" customHeight="1">
      <c r="A161" s="94" t="s">
        <v>3</v>
      </c>
      <c r="B161" s="94" t="s">
        <v>4</v>
      </c>
      <c r="C161" s="94" t="s">
        <v>5</v>
      </c>
      <c r="D161" s="94">
        <f t="shared" ref="D161:T161" si="146">D$3</f>
        <v>2008</v>
      </c>
      <c r="E161" s="94">
        <f t="shared" si="146"/>
        <v>2009</v>
      </c>
      <c r="F161" s="94">
        <f t="shared" si="146"/>
        <v>2010</v>
      </c>
      <c r="G161" s="94">
        <f t="shared" si="146"/>
        <v>2011</v>
      </c>
      <c r="H161" s="94">
        <f t="shared" si="146"/>
        <v>2012</v>
      </c>
      <c r="I161" s="94">
        <f t="shared" si="146"/>
        <v>2013</v>
      </c>
      <c r="J161" s="94">
        <f t="shared" si="146"/>
        <v>2014</v>
      </c>
      <c r="K161" s="94">
        <f t="shared" si="146"/>
        <v>2015</v>
      </c>
      <c r="L161" s="94">
        <f t="shared" si="146"/>
        <v>2016</v>
      </c>
      <c r="M161" s="94">
        <f t="shared" si="146"/>
        <v>2017</v>
      </c>
      <c r="N161" s="94">
        <f t="shared" si="146"/>
        <v>2018</v>
      </c>
      <c r="O161" s="94">
        <f t="shared" si="146"/>
        <v>2019</v>
      </c>
      <c r="P161" s="94">
        <f t="shared" si="146"/>
        <v>2020</v>
      </c>
      <c r="Q161" s="94">
        <f t="shared" si="146"/>
        <v>2021</v>
      </c>
      <c r="R161" s="94">
        <f t="shared" si="146"/>
        <v>2022</v>
      </c>
      <c r="S161" s="94">
        <f t="shared" si="146"/>
        <v>2023</v>
      </c>
      <c r="T161" s="94">
        <f t="shared" si="146"/>
        <v>2024</v>
      </c>
    </row>
    <row r="162" spans="1:20" ht="15.75" customHeight="1">
      <c r="A162" s="9">
        <v>-1</v>
      </c>
      <c r="B162" s="9">
        <f t="shared" ref="B162:T162" si="147">A162-1</f>
        <v>-2</v>
      </c>
      <c r="C162" s="9">
        <f t="shared" si="147"/>
        <v>-3</v>
      </c>
      <c r="D162" s="9">
        <f t="shared" si="147"/>
        <v>-4</v>
      </c>
      <c r="E162" s="9">
        <f t="shared" si="147"/>
        <v>-5</v>
      </c>
      <c r="F162" s="9">
        <f t="shared" si="147"/>
        <v>-6</v>
      </c>
      <c r="G162" s="9">
        <f t="shared" si="147"/>
        <v>-7</v>
      </c>
      <c r="H162" s="9">
        <f t="shared" si="147"/>
        <v>-8</v>
      </c>
      <c r="I162" s="9">
        <f t="shared" si="147"/>
        <v>-9</v>
      </c>
      <c r="J162" s="9">
        <f t="shared" si="147"/>
        <v>-10</v>
      </c>
      <c r="K162" s="9">
        <f t="shared" si="147"/>
        <v>-11</v>
      </c>
      <c r="L162" s="9">
        <f t="shared" si="147"/>
        <v>-12</v>
      </c>
      <c r="M162" s="9">
        <f t="shared" si="147"/>
        <v>-13</v>
      </c>
      <c r="N162" s="9">
        <f t="shared" si="147"/>
        <v>-14</v>
      </c>
      <c r="O162" s="9">
        <f t="shared" si="147"/>
        <v>-15</v>
      </c>
      <c r="P162" s="9">
        <f t="shared" si="147"/>
        <v>-16</v>
      </c>
      <c r="Q162" s="9">
        <f t="shared" si="147"/>
        <v>-17</v>
      </c>
      <c r="R162" s="9">
        <f t="shared" si="147"/>
        <v>-18</v>
      </c>
      <c r="S162" s="9">
        <f t="shared" si="147"/>
        <v>-19</v>
      </c>
      <c r="T162" s="9">
        <f t="shared" si="147"/>
        <v>-20</v>
      </c>
    </row>
    <row r="163" spans="1:20" ht="15.75" customHeight="1">
      <c r="A163" s="14">
        <v>1</v>
      </c>
      <c r="B163" s="21" t="s">
        <v>72</v>
      </c>
      <c r="C163" s="14" t="s">
        <v>22</v>
      </c>
      <c r="D163" s="22"/>
      <c r="E163" s="22"/>
      <c r="F163" s="22"/>
      <c r="G163" s="22"/>
      <c r="H163" s="22"/>
      <c r="I163" s="22"/>
      <c r="J163" s="22"/>
      <c r="K163" s="22"/>
      <c r="L163" s="40">
        <v>16098450.404627999</v>
      </c>
      <c r="M163" s="22"/>
      <c r="N163" s="22"/>
      <c r="O163" s="22"/>
      <c r="P163" s="22"/>
      <c r="Q163" s="22"/>
      <c r="R163" s="22"/>
      <c r="S163" s="22"/>
      <c r="T163" s="22"/>
    </row>
    <row r="164" spans="1:20" ht="15.75" customHeight="1">
      <c r="A164" s="14">
        <v>2</v>
      </c>
      <c r="B164" s="15" t="s">
        <v>26</v>
      </c>
      <c r="C164" s="14" t="s">
        <v>22</v>
      </c>
      <c r="D164" s="22"/>
      <c r="E164" s="22"/>
      <c r="F164" s="22"/>
      <c r="G164" s="22"/>
      <c r="H164" s="22"/>
      <c r="I164" s="22"/>
      <c r="J164" s="22"/>
      <c r="K164" s="22"/>
      <c r="L164" s="41">
        <v>10037342.948548101</v>
      </c>
      <c r="M164" s="22"/>
      <c r="N164" s="22"/>
      <c r="O164" s="22"/>
      <c r="P164" s="22"/>
      <c r="Q164" s="22"/>
      <c r="R164" s="22"/>
      <c r="S164" s="22"/>
      <c r="T164" s="22"/>
    </row>
    <row r="165" spans="1:20" ht="15.75" customHeight="1">
      <c r="A165" s="14">
        <v>3</v>
      </c>
      <c r="B165" s="21" t="s">
        <v>73</v>
      </c>
      <c r="C165" s="14" t="s">
        <v>22</v>
      </c>
      <c r="D165" s="22"/>
      <c r="E165" s="22"/>
      <c r="F165" s="22"/>
      <c r="G165" s="22"/>
      <c r="H165" s="22"/>
      <c r="I165" s="22"/>
      <c r="J165" s="22"/>
      <c r="K165" s="22"/>
      <c r="L165" s="41">
        <v>27579316.531192102</v>
      </c>
      <c r="M165" s="22"/>
      <c r="N165" s="22"/>
      <c r="O165" s="22"/>
      <c r="P165" s="22"/>
      <c r="Q165" s="22"/>
      <c r="R165" s="22"/>
      <c r="S165" s="22"/>
      <c r="T165" s="22"/>
    </row>
    <row r="166" spans="1:20" ht="15.75" customHeight="1">
      <c r="A166" s="14">
        <v>4</v>
      </c>
      <c r="B166" s="21" t="s">
        <v>35</v>
      </c>
      <c r="C166" s="14" t="s">
        <v>22</v>
      </c>
      <c r="D166" s="22"/>
      <c r="E166" s="22"/>
      <c r="F166" s="22"/>
      <c r="G166" s="22"/>
      <c r="H166" s="22"/>
      <c r="I166" s="22"/>
      <c r="J166" s="22"/>
      <c r="K166" s="22"/>
      <c r="L166" s="41">
        <v>13324848.400527099</v>
      </c>
      <c r="M166" s="22"/>
      <c r="N166" s="22"/>
      <c r="O166" s="22"/>
      <c r="P166" s="22"/>
      <c r="Q166" s="22"/>
      <c r="R166" s="22"/>
      <c r="S166" s="22"/>
      <c r="T166" s="22"/>
    </row>
    <row r="167" spans="1:20" ht="15.75" customHeight="1">
      <c r="A167" s="14">
        <v>5</v>
      </c>
      <c r="B167" s="21" t="s">
        <v>74</v>
      </c>
      <c r="C167" s="14" t="s">
        <v>22</v>
      </c>
      <c r="D167" s="22"/>
      <c r="E167" s="22"/>
      <c r="F167" s="22"/>
      <c r="G167" s="22"/>
      <c r="H167" s="22"/>
      <c r="I167" s="22"/>
      <c r="J167" s="22"/>
      <c r="K167" s="22"/>
      <c r="L167" s="41">
        <v>302466.131764966</v>
      </c>
      <c r="M167" s="22"/>
      <c r="N167" s="22"/>
      <c r="O167" s="22"/>
      <c r="P167" s="22"/>
      <c r="Q167" s="22"/>
      <c r="R167" s="22"/>
      <c r="S167" s="22"/>
      <c r="T167" s="22"/>
    </row>
    <row r="168" spans="1:20" ht="15.75" customHeight="1">
      <c r="A168" s="14">
        <v>6</v>
      </c>
      <c r="B168" s="21" t="s">
        <v>75</v>
      </c>
      <c r="C168" s="14" t="s">
        <v>22</v>
      </c>
      <c r="D168" s="22"/>
      <c r="E168" s="22"/>
      <c r="F168" s="22"/>
      <c r="G168" s="22"/>
      <c r="H168" s="22"/>
      <c r="I168" s="22"/>
      <c r="J168" s="22"/>
      <c r="K168" s="22"/>
      <c r="L168" s="41">
        <v>0</v>
      </c>
      <c r="M168" s="22"/>
      <c r="N168" s="22"/>
      <c r="O168" s="22"/>
      <c r="P168" s="22"/>
      <c r="Q168" s="22"/>
      <c r="R168" s="22"/>
      <c r="S168" s="22"/>
      <c r="T168" s="22"/>
    </row>
    <row r="169" spans="1:20" ht="15.75" customHeight="1">
      <c r="A169" s="31">
        <v>7</v>
      </c>
      <c r="B169" s="42" t="s">
        <v>29</v>
      </c>
      <c r="C169" s="31" t="s">
        <v>22</v>
      </c>
      <c r="D169" s="43"/>
      <c r="E169" s="43"/>
      <c r="F169" s="43"/>
      <c r="G169" s="43"/>
      <c r="H169" s="43"/>
      <c r="I169" s="43"/>
      <c r="J169" s="43"/>
      <c r="K169" s="43"/>
      <c r="L169" s="44">
        <f>SUM(L163:L168)</f>
        <v>67342424.416660264</v>
      </c>
      <c r="M169" s="43"/>
      <c r="N169" s="43"/>
      <c r="O169" s="43"/>
      <c r="P169" s="43"/>
      <c r="Q169" s="43"/>
      <c r="R169" s="43"/>
      <c r="S169" s="43"/>
      <c r="T169" s="43"/>
    </row>
    <row r="170" spans="1:20" ht="15.75" customHeight="1">
      <c r="A170" s="17" t="s">
        <v>76</v>
      </c>
      <c r="B170" s="2"/>
      <c r="C170" s="2"/>
      <c r="D170" s="2"/>
      <c r="E170" s="2"/>
      <c r="F170" s="2"/>
      <c r="G170" s="2"/>
      <c r="H170" s="2"/>
      <c r="I170" s="2"/>
      <c r="J170" s="2"/>
      <c r="K170" s="2"/>
      <c r="L170" s="2"/>
      <c r="M170" s="2"/>
      <c r="N170" s="2"/>
      <c r="O170" s="2"/>
      <c r="P170" s="2"/>
      <c r="Q170" s="2"/>
      <c r="R170" s="2"/>
      <c r="S170" s="2"/>
      <c r="T170" s="2"/>
    </row>
    <row r="171" spans="1:20" ht="15.75" customHeight="1">
      <c r="A171" s="1"/>
      <c r="B171" s="2"/>
      <c r="C171" s="2"/>
      <c r="D171" s="2"/>
      <c r="E171" s="2"/>
      <c r="F171" s="2"/>
      <c r="G171" s="2"/>
      <c r="H171" s="2"/>
      <c r="I171" s="2"/>
      <c r="J171" s="2"/>
      <c r="K171" s="2"/>
      <c r="L171" s="2"/>
      <c r="M171" s="2"/>
      <c r="N171" s="2"/>
      <c r="O171" s="2"/>
      <c r="P171" s="2"/>
      <c r="Q171" s="2"/>
      <c r="R171" s="2"/>
      <c r="S171" s="2"/>
      <c r="T171" s="2"/>
    </row>
    <row r="172" spans="1:20" ht="15.75" customHeight="1">
      <c r="A172" s="1"/>
      <c r="B172" s="2"/>
      <c r="C172" s="2"/>
      <c r="D172" s="2"/>
      <c r="E172" s="2"/>
      <c r="F172" s="2"/>
      <c r="G172" s="2"/>
      <c r="H172" s="2"/>
      <c r="I172" s="2"/>
      <c r="J172" s="2"/>
      <c r="K172" s="2"/>
      <c r="L172" s="2"/>
      <c r="M172" s="2"/>
      <c r="N172" s="2"/>
      <c r="O172" s="2"/>
      <c r="P172" s="2"/>
      <c r="Q172" s="2"/>
      <c r="R172" s="2"/>
      <c r="S172" s="2"/>
      <c r="T172" s="2"/>
    </row>
    <row r="173" spans="1:20" ht="15.75" customHeight="1">
      <c r="A173" s="1"/>
      <c r="B173" s="2"/>
      <c r="C173" s="2"/>
      <c r="D173" s="2"/>
      <c r="E173" s="2"/>
      <c r="F173" s="2"/>
      <c r="G173" s="2"/>
      <c r="H173" s="2"/>
      <c r="I173" s="2"/>
      <c r="J173" s="2"/>
      <c r="K173" s="2"/>
      <c r="L173" s="2"/>
      <c r="M173" s="2"/>
      <c r="N173" s="2"/>
      <c r="O173" s="2"/>
      <c r="P173" s="2"/>
      <c r="Q173" s="2"/>
      <c r="R173" s="2"/>
      <c r="S173" s="2"/>
      <c r="T173" s="2"/>
    </row>
    <row r="174" spans="1:20" ht="15.75" customHeight="1">
      <c r="A174" s="1"/>
      <c r="B174" s="2"/>
      <c r="C174" s="2"/>
      <c r="D174" s="2"/>
      <c r="E174" s="2"/>
      <c r="F174" s="2"/>
      <c r="G174" s="2"/>
      <c r="H174" s="2"/>
      <c r="I174" s="2"/>
      <c r="J174" s="2"/>
      <c r="K174" s="2"/>
      <c r="L174" s="2"/>
      <c r="M174" s="2"/>
      <c r="N174" s="2"/>
      <c r="O174" s="2"/>
      <c r="P174" s="2"/>
      <c r="Q174" s="2"/>
      <c r="R174" s="2"/>
      <c r="S174" s="2"/>
      <c r="T174" s="2"/>
    </row>
    <row r="175" spans="1:20" ht="15.75" customHeight="1">
      <c r="A175" s="1"/>
      <c r="B175" s="2"/>
      <c r="C175" s="2"/>
      <c r="D175" s="2"/>
      <c r="E175" s="2"/>
      <c r="F175" s="2"/>
      <c r="G175" s="2"/>
      <c r="H175" s="2"/>
      <c r="I175" s="2"/>
      <c r="J175" s="2"/>
      <c r="K175" s="2"/>
      <c r="L175" s="2"/>
      <c r="M175" s="2"/>
      <c r="N175" s="2"/>
      <c r="O175" s="2"/>
      <c r="P175" s="2"/>
      <c r="Q175" s="2"/>
      <c r="R175" s="2"/>
      <c r="S175" s="2"/>
      <c r="T175" s="2"/>
    </row>
    <row r="176" spans="1:20" ht="15.75" customHeight="1">
      <c r="A176" s="1"/>
      <c r="B176" s="2"/>
      <c r="C176" s="2"/>
      <c r="D176" s="2"/>
      <c r="E176" s="2"/>
      <c r="F176" s="2"/>
      <c r="G176" s="2"/>
      <c r="H176" s="2"/>
      <c r="I176" s="2"/>
      <c r="J176" s="2"/>
      <c r="K176" s="2"/>
      <c r="L176" s="2"/>
      <c r="M176" s="2"/>
      <c r="N176" s="2"/>
      <c r="O176" s="2"/>
      <c r="P176" s="2"/>
      <c r="Q176" s="2"/>
      <c r="R176" s="2"/>
      <c r="S176" s="2"/>
      <c r="T176" s="2"/>
    </row>
    <row r="177" spans="1:20" ht="15.75" customHeight="1">
      <c r="A177" s="1"/>
      <c r="B177" s="2"/>
      <c r="C177" s="2"/>
      <c r="D177" s="2"/>
      <c r="E177" s="2"/>
      <c r="F177" s="2"/>
      <c r="G177" s="2"/>
      <c r="H177" s="2"/>
      <c r="I177" s="2"/>
      <c r="J177" s="2"/>
      <c r="K177" s="2"/>
      <c r="L177" s="2"/>
      <c r="M177" s="2"/>
      <c r="N177" s="2"/>
      <c r="O177" s="2"/>
      <c r="P177" s="2"/>
      <c r="Q177" s="2"/>
      <c r="R177" s="2"/>
      <c r="S177" s="2"/>
      <c r="T177" s="2"/>
    </row>
    <row r="178" spans="1:20" ht="15.75" customHeight="1">
      <c r="A178" s="1"/>
      <c r="B178" s="2"/>
      <c r="C178" s="2"/>
      <c r="D178" s="2"/>
      <c r="E178" s="2"/>
      <c r="F178" s="2"/>
      <c r="G178" s="2"/>
      <c r="H178" s="2"/>
      <c r="I178" s="2"/>
      <c r="J178" s="2"/>
      <c r="K178" s="2"/>
      <c r="L178" s="2"/>
      <c r="M178" s="2"/>
      <c r="N178" s="2"/>
      <c r="O178" s="2"/>
      <c r="P178" s="2"/>
      <c r="Q178" s="2"/>
      <c r="R178" s="2"/>
      <c r="S178" s="2"/>
      <c r="T178" s="2"/>
    </row>
    <row r="179" spans="1:20" ht="15.75" customHeight="1">
      <c r="A179" s="1"/>
      <c r="B179" s="2"/>
      <c r="C179" s="2"/>
      <c r="D179" s="2"/>
      <c r="E179" s="2"/>
      <c r="F179" s="2"/>
      <c r="G179" s="2"/>
      <c r="H179" s="2"/>
      <c r="I179" s="2"/>
      <c r="J179" s="2"/>
      <c r="K179" s="2"/>
      <c r="L179" s="2"/>
      <c r="M179" s="2"/>
      <c r="N179" s="2"/>
      <c r="O179" s="2"/>
      <c r="P179" s="2"/>
      <c r="Q179" s="2"/>
      <c r="R179" s="2"/>
      <c r="S179" s="2"/>
      <c r="T179" s="2"/>
    </row>
    <row r="180" spans="1:20" ht="15.75" customHeight="1">
      <c r="A180" s="1"/>
      <c r="B180" s="2"/>
      <c r="C180" s="2"/>
      <c r="D180" s="2"/>
      <c r="E180" s="2"/>
      <c r="F180" s="2"/>
      <c r="G180" s="2"/>
      <c r="H180" s="2"/>
      <c r="I180" s="2"/>
      <c r="J180" s="2"/>
      <c r="K180" s="2"/>
      <c r="L180" s="2"/>
      <c r="M180" s="2"/>
      <c r="N180" s="2"/>
      <c r="O180" s="2"/>
      <c r="P180" s="2"/>
      <c r="Q180" s="2"/>
      <c r="R180" s="2"/>
      <c r="S180" s="2"/>
      <c r="T180" s="2"/>
    </row>
    <row r="181" spans="1:20" ht="15.75" customHeight="1">
      <c r="A181" s="1"/>
      <c r="B181" s="2"/>
      <c r="C181" s="2"/>
      <c r="D181" s="2"/>
      <c r="E181" s="2"/>
      <c r="F181" s="2"/>
      <c r="G181" s="2"/>
      <c r="H181" s="2"/>
      <c r="I181" s="2"/>
      <c r="J181" s="2"/>
      <c r="K181" s="2"/>
      <c r="L181" s="2"/>
      <c r="M181" s="2"/>
      <c r="N181" s="2"/>
      <c r="O181" s="2"/>
      <c r="P181" s="2"/>
      <c r="Q181" s="2"/>
      <c r="R181" s="2"/>
      <c r="S181" s="2"/>
      <c r="T181" s="2"/>
    </row>
    <row r="182" spans="1:20" ht="15.75" customHeight="1">
      <c r="A182" s="1"/>
      <c r="B182" s="2"/>
      <c r="C182" s="2"/>
      <c r="D182" s="2"/>
      <c r="E182" s="2"/>
      <c r="F182" s="2"/>
      <c r="G182" s="2"/>
      <c r="H182" s="2"/>
      <c r="I182" s="2"/>
      <c r="J182" s="2"/>
      <c r="K182" s="2"/>
      <c r="L182" s="2"/>
      <c r="M182" s="2"/>
      <c r="N182" s="2"/>
      <c r="O182" s="2"/>
      <c r="P182" s="2"/>
      <c r="Q182" s="2"/>
      <c r="R182" s="2"/>
      <c r="S182" s="2"/>
      <c r="T182" s="2"/>
    </row>
    <row r="183" spans="1:20" ht="15.75" customHeight="1">
      <c r="A183" s="1"/>
      <c r="B183" s="2"/>
      <c r="C183" s="2"/>
      <c r="D183" s="2"/>
      <c r="E183" s="2"/>
      <c r="F183" s="2"/>
      <c r="G183" s="2"/>
      <c r="H183" s="2"/>
      <c r="I183" s="2"/>
      <c r="J183" s="2"/>
      <c r="K183" s="2"/>
      <c r="L183" s="2"/>
      <c r="M183" s="2"/>
      <c r="N183" s="2"/>
      <c r="O183" s="2"/>
      <c r="P183" s="2"/>
      <c r="Q183" s="2"/>
      <c r="R183" s="2"/>
      <c r="S183" s="2"/>
      <c r="T183" s="2"/>
    </row>
    <row r="184" spans="1:20" ht="15.75" customHeight="1">
      <c r="A184" s="1"/>
      <c r="B184" s="2"/>
      <c r="C184" s="2"/>
      <c r="D184" s="2"/>
      <c r="E184" s="2"/>
      <c r="F184" s="2"/>
      <c r="G184" s="2"/>
      <c r="H184" s="2"/>
      <c r="I184" s="2"/>
      <c r="J184" s="2"/>
      <c r="K184" s="2"/>
      <c r="L184" s="2"/>
      <c r="M184" s="2"/>
      <c r="N184" s="2"/>
      <c r="O184" s="2"/>
      <c r="P184" s="2"/>
      <c r="Q184" s="2"/>
      <c r="R184" s="2"/>
      <c r="S184" s="2"/>
      <c r="T184" s="2"/>
    </row>
    <row r="185" spans="1:20" ht="15.75" customHeight="1">
      <c r="A185" s="1"/>
      <c r="B185" s="2"/>
      <c r="C185" s="2"/>
      <c r="D185" s="2"/>
      <c r="E185" s="2"/>
      <c r="F185" s="2"/>
      <c r="G185" s="2"/>
      <c r="H185" s="2"/>
      <c r="I185" s="2"/>
      <c r="J185" s="2"/>
      <c r="K185" s="2"/>
      <c r="L185" s="2"/>
      <c r="M185" s="2"/>
      <c r="N185" s="2"/>
      <c r="O185" s="2"/>
      <c r="P185" s="2"/>
      <c r="Q185" s="2"/>
      <c r="R185" s="2"/>
      <c r="S185" s="2"/>
      <c r="T185" s="2"/>
    </row>
    <row r="186" spans="1:20" ht="15.75" customHeight="1">
      <c r="A186" s="1"/>
      <c r="B186" s="2"/>
      <c r="C186" s="2"/>
      <c r="D186" s="2"/>
      <c r="E186" s="2"/>
      <c r="F186" s="2"/>
      <c r="G186" s="2"/>
      <c r="H186" s="2"/>
      <c r="I186" s="2"/>
      <c r="J186" s="2"/>
      <c r="K186" s="2"/>
      <c r="L186" s="2"/>
      <c r="M186" s="2"/>
      <c r="N186" s="2"/>
      <c r="O186" s="2"/>
      <c r="P186" s="2"/>
      <c r="Q186" s="2"/>
      <c r="R186" s="2"/>
      <c r="S186" s="2"/>
      <c r="T186" s="2"/>
    </row>
    <row r="187" spans="1:20" ht="15.75" customHeight="1">
      <c r="A187" s="1"/>
      <c r="B187" s="2"/>
      <c r="C187" s="2"/>
      <c r="D187" s="2"/>
      <c r="E187" s="2"/>
      <c r="F187" s="2"/>
      <c r="G187" s="2"/>
      <c r="H187" s="2"/>
      <c r="I187" s="2"/>
      <c r="J187" s="2"/>
      <c r="K187" s="2"/>
      <c r="L187" s="2"/>
      <c r="M187" s="2"/>
      <c r="N187" s="2"/>
      <c r="O187" s="2"/>
      <c r="P187" s="2"/>
      <c r="Q187" s="2"/>
      <c r="R187" s="2"/>
      <c r="S187" s="2"/>
      <c r="T187" s="2"/>
    </row>
    <row r="188" spans="1:20" ht="15.75" customHeight="1">
      <c r="A188" s="1"/>
      <c r="B188" s="2"/>
      <c r="C188" s="2"/>
      <c r="D188" s="2"/>
      <c r="E188" s="2"/>
      <c r="F188" s="2"/>
      <c r="G188" s="2"/>
      <c r="H188" s="2"/>
      <c r="I188" s="2"/>
      <c r="J188" s="2"/>
      <c r="K188" s="2"/>
      <c r="L188" s="2"/>
      <c r="M188" s="2"/>
      <c r="N188" s="2"/>
      <c r="O188" s="2"/>
      <c r="P188" s="2"/>
      <c r="Q188" s="2"/>
      <c r="R188" s="2"/>
      <c r="S188" s="2"/>
      <c r="T188" s="2"/>
    </row>
    <row r="189" spans="1:20" ht="15.75" customHeight="1">
      <c r="A189" s="1"/>
      <c r="B189" s="2"/>
      <c r="C189" s="2"/>
      <c r="D189" s="2"/>
      <c r="E189" s="2"/>
      <c r="F189" s="2"/>
      <c r="G189" s="2"/>
      <c r="H189" s="2"/>
      <c r="I189" s="2"/>
      <c r="J189" s="2"/>
      <c r="K189" s="2"/>
      <c r="L189" s="2"/>
      <c r="M189" s="2"/>
      <c r="N189" s="2"/>
      <c r="O189" s="2"/>
      <c r="P189" s="2"/>
      <c r="Q189" s="2"/>
      <c r="R189" s="2"/>
      <c r="S189" s="2"/>
      <c r="T189" s="2"/>
    </row>
    <row r="190" spans="1:20" ht="15.75" customHeight="1">
      <c r="A190" s="1"/>
      <c r="B190" s="2"/>
      <c r="C190" s="2"/>
      <c r="D190" s="2"/>
      <c r="E190" s="2"/>
      <c r="F190" s="2"/>
      <c r="G190" s="2"/>
      <c r="H190" s="2"/>
      <c r="I190" s="2"/>
      <c r="J190" s="2"/>
      <c r="K190" s="2"/>
      <c r="L190" s="2"/>
      <c r="M190" s="2"/>
      <c r="N190" s="2"/>
      <c r="O190" s="2"/>
      <c r="P190" s="2"/>
      <c r="Q190" s="2"/>
      <c r="R190" s="2"/>
      <c r="S190" s="2"/>
      <c r="T190" s="2"/>
    </row>
    <row r="191" spans="1:20" ht="15.75" customHeight="1">
      <c r="A191" s="1"/>
      <c r="B191" s="2"/>
      <c r="C191" s="2"/>
      <c r="D191" s="2"/>
      <c r="E191" s="2"/>
      <c r="F191" s="2"/>
      <c r="G191" s="2"/>
      <c r="H191" s="2"/>
      <c r="I191" s="2"/>
      <c r="J191" s="2"/>
      <c r="K191" s="2"/>
      <c r="L191" s="2"/>
      <c r="M191" s="2"/>
      <c r="N191" s="2"/>
      <c r="O191" s="2"/>
      <c r="P191" s="2"/>
      <c r="Q191" s="2"/>
      <c r="R191" s="2"/>
      <c r="S191" s="2"/>
      <c r="T191" s="2"/>
    </row>
    <row r="192" spans="1:20" ht="15.75" customHeight="1">
      <c r="A192" s="1"/>
      <c r="B192" s="2"/>
      <c r="C192" s="2"/>
      <c r="D192" s="2"/>
      <c r="E192" s="2"/>
      <c r="F192" s="2"/>
      <c r="G192" s="2"/>
      <c r="H192" s="2"/>
      <c r="I192" s="2"/>
      <c r="J192" s="2"/>
      <c r="K192" s="2"/>
      <c r="L192" s="2"/>
      <c r="M192" s="2"/>
      <c r="N192" s="2"/>
      <c r="O192" s="2"/>
      <c r="P192" s="2"/>
      <c r="Q192" s="2"/>
      <c r="R192" s="2"/>
      <c r="S192" s="2"/>
      <c r="T192" s="2"/>
    </row>
    <row r="193" spans="1:20" ht="15.75" customHeight="1">
      <c r="A193" s="1"/>
      <c r="B193" s="2"/>
      <c r="C193" s="2"/>
      <c r="D193" s="2"/>
      <c r="E193" s="2"/>
      <c r="F193" s="2"/>
      <c r="G193" s="2"/>
      <c r="H193" s="2"/>
      <c r="I193" s="2"/>
      <c r="J193" s="2"/>
      <c r="K193" s="2"/>
      <c r="L193" s="2"/>
      <c r="M193" s="2"/>
      <c r="N193" s="2"/>
      <c r="O193" s="2"/>
      <c r="P193" s="2"/>
      <c r="Q193" s="2"/>
      <c r="R193" s="2"/>
      <c r="S193" s="2"/>
      <c r="T193" s="2"/>
    </row>
    <row r="194" spans="1:20" ht="15.75" customHeight="1">
      <c r="A194" s="1"/>
      <c r="B194" s="2"/>
      <c r="C194" s="2"/>
      <c r="D194" s="2"/>
      <c r="E194" s="2"/>
      <c r="F194" s="2"/>
      <c r="G194" s="2"/>
      <c r="H194" s="2"/>
      <c r="I194" s="2"/>
      <c r="J194" s="2"/>
      <c r="K194" s="2"/>
      <c r="L194" s="2"/>
      <c r="M194" s="2"/>
      <c r="N194" s="2"/>
      <c r="O194" s="2"/>
      <c r="P194" s="2"/>
      <c r="Q194" s="2"/>
      <c r="R194" s="2"/>
      <c r="S194" s="2"/>
      <c r="T194" s="2"/>
    </row>
    <row r="195" spans="1:20" ht="15.75" customHeight="1">
      <c r="A195" s="1"/>
      <c r="B195" s="2"/>
      <c r="C195" s="2"/>
      <c r="D195" s="2"/>
      <c r="E195" s="2"/>
      <c r="F195" s="2"/>
      <c r="G195" s="2"/>
      <c r="H195" s="2"/>
      <c r="I195" s="2"/>
      <c r="J195" s="2"/>
      <c r="K195" s="2"/>
      <c r="L195" s="2"/>
      <c r="M195" s="2"/>
      <c r="N195" s="2"/>
      <c r="O195" s="2"/>
      <c r="P195" s="2"/>
      <c r="Q195" s="2"/>
      <c r="R195" s="2"/>
      <c r="S195" s="2"/>
      <c r="T195" s="2"/>
    </row>
    <row r="196" spans="1:20" ht="15.75" customHeight="1">
      <c r="A196" s="1"/>
      <c r="B196" s="2"/>
      <c r="C196" s="2"/>
      <c r="D196" s="2"/>
      <c r="E196" s="2"/>
      <c r="F196" s="2"/>
      <c r="G196" s="2"/>
      <c r="H196" s="2"/>
      <c r="I196" s="2"/>
      <c r="J196" s="2"/>
      <c r="K196" s="2"/>
      <c r="L196" s="2"/>
      <c r="M196" s="2"/>
      <c r="N196" s="2"/>
      <c r="O196" s="2"/>
      <c r="P196" s="2"/>
      <c r="Q196" s="2"/>
      <c r="R196" s="2"/>
      <c r="S196" s="2"/>
      <c r="T196" s="2"/>
    </row>
    <row r="197" spans="1:20" ht="15.75" customHeight="1">
      <c r="A197" s="1"/>
      <c r="B197" s="2"/>
      <c r="C197" s="2"/>
      <c r="D197" s="2"/>
      <c r="E197" s="2"/>
      <c r="F197" s="2"/>
      <c r="G197" s="2"/>
      <c r="H197" s="2"/>
      <c r="I197" s="2"/>
      <c r="J197" s="2"/>
      <c r="K197" s="2"/>
      <c r="L197" s="2"/>
      <c r="M197" s="2"/>
      <c r="N197" s="2"/>
      <c r="O197" s="2"/>
      <c r="P197" s="2"/>
      <c r="Q197" s="2"/>
      <c r="R197" s="2"/>
      <c r="S197" s="2"/>
      <c r="T197" s="2"/>
    </row>
    <row r="198" spans="1:20" ht="15.75" customHeight="1">
      <c r="A198" s="1"/>
      <c r="B198" s="2"/>
      <c r="C198" s="2"/>
      <c r="D198" s="2"/>
      <c r="E198" s="2"/>
      <c r="F198" s="2"/>
      <c r="G198" s="2"/>
      <c r="H198" s="2"/>
      <c r="I198" s="2"/>
      <c r="J198" s="2"/>
      <c r="K198" s="2"/>
      <c r="L198" s="2"/>
      <c r="M198" s="2"/>
      <c r="N198" s="2"/>
      <c r="O198" s="2"/>
      <c r="P198" s="2"/>
      <c r="Q198" s="2"/>
      <c r="R198" s="2"/>
      <c r="S198" s="2"/>
      <c r="T198" s="2"/>
    </row>
    <row r="199" spans="1:20" ht="15.75" customHeight="1">
      <c r="A199" s="1"/>
      <c r="B199" s="2"/>
      <c r="C199" s="2"/>
      <c r="D199" s="2"/>
      <c r="E199" s="2"/>
      <c r="F199" s="2"/>
      <c r="G199" s="2"/>
      <c r="H199" s="2"/>
      <c r="I199" s="2"/>
      <c r="J199" s="2"/>
      <c r="K199" s="2"/>
      <c r="L199" s="2"/>
      <c r="M199" s="2"/>
      <c r="N199" s="2"/>
      <c r="O199" s="2"/>
      <c r="P199" s="2"/>
      <c r="Q199" s="2"/>
      <c r="R199" s="2"/>
      <c r="S199" s="2"/>
      <c r="T199" s="2"/>
    </row>
    <row r="200" spans="1:20" ht="15.75" customHeight="1">
      <c r="A200" s="1"/>
      <c r="B200" s="2"/>
      <c r="C200" s="2"/>
      <c r="D200" s="2"/>
      <c r="E200" s="2"/>
      <c r="F200" s="2"/>
      <c r="G200" s="2"/>
      <c r="H200" s="2"/>
      <c r="I200" s="2"/>
      <c r="J200" s="2"/>
      <c r="K200" s="2"/>
      <c r="L200" s="2"/>
      <c r="M200" s="2"/>
      <c r="N200" s="2"/>
      <c r="O200" s="2"/>
      <c r="P200" s="2"/>
      <c r="Q200" s="2"/>
      <c r="R200" s="2"/>
      <c r="S200" s="2"/>
      <c r="T200" s="2"/>
    </row>
    <row r="201" spans="1:20" ht="15.75" customHeight="1">
      <c r="A201" s="1"/>
      <c r="B201" s="2"/>
      <c r="C201" s="2"/>
      <c r="D201" s="2"/>
      <c r="E201" s="2"/>
      <c r="F201" s="2"/>
      <c r="G201" s="2"/>
      <c r="H201" s="2"/>
      <c r="I201" s="2"/>
      <c r="J201" s="2"/>
      <c r="K201" s="2"/>
      <c r="L201" s="2"/>
      <c r="M201" s="2"/>
      <c r="N201" s="2"/>
      <c r="O201" s="2"/>
      <c r="P201" s="2"/>
      <c r="Q201" s="2"/>
      <c r="R201" s="2"/>
      <c r="S201" s="2"/>
      <c r="T201" s="2"/>
    </row>
    <row r="202" spans="1:20" ht="15.75" customHeight="1">
      <c r="A202" s="1"/>
      <c r="B202" s="2"/>
      <c r="C202" s="2"/>
      <c r="D202" s="2"/>
      <c r="E202" s="2"/>
      <c r="F202" s="2"/>
      <c r="G202" s="2"/>
      <c r="H202" s="2"/>
      <c r="I202" s="2"/>
      <c r="J202" s="2"/>
      <c r="K202" s="2"/>
      <c r="L202" s="2"/>
      <c r="M202" s="2"/>
      <c r="N202" s="2"/>
      <c r="O202" s="2"/>
      <c r="P202" s="2"/>
      <c r="Q202" s="2"/>
      <c r="R202" s="2"/>
      <c r="S202" s="2"/>
      <c r="T202" s="2"/>
    </row>
    <row r="203" spans="1:20" ht="15.75" customHeight="1">
      <c r="A203" s="1"/>
      <c r="B203" s="2"/>
      <c r="C203" s="2"/>
      <c r="D203" s="2"/>
      <c r="E203" s="2"/>
      <c r="F203" s="2"/>
      <c r="G203" s="2"/>
      <c r="H203" s="2"/>
      <c r="I203" s="2"/>
      <c r="J203" s="2"/>
      <c r="K203" s="2"/>
      <c r="L203" s="2"/>
      <c r="M203" s="2"/>
      <c r="N203" s="2"/>
      <c r="O203" s="2"/>
      <c r="P203" s="2"/>
      <c r="Q203" s="2"/>
      <c r="R203" s="2"/>
      <c r="S203" s="2"/>
      <c r="T203" s="2"/>
    </row>
    <row r="204" spans="1:20" ht="15.75" customHeight="1">
      <c r="A204" s="1"/>
      <c r="B204" s="2"/>
      <c r="C204" s="2"/>
      <c r="D204" s="2"/>
      <c r="E204" s="2"/>
      <c r="F204" s="2"/>
      <c r="G204" s="2"/>
      <c r="H204" s="2"/>
      <c r="I204" s="2"/>
      <c r="J204" s="2"/>
      <c r="K204" s="2"/>
      <c r="L204" s="2"/>
      <c r="M204" s="2"/>
      <c r="N204" s="2"/>
      <c r="O204" s="2"/>
      <c r="P204" s="2"/>
      <c r="Q204" s="2"/>
      <c r="R204" s="2"/>
      <c r="S204" s="2"/>
      <c r="T204" s="2"/>
    </row>
    <row r="205" spans="1:20" ht="15.75" customHeight="1">
      <c r="A205" s="1"/>
      <c r="B205" s="2"/>
      <c r="C205" s="2"/>
      <c r="D205" s="2"/>
      <c r="E205" s="2"/>
      <c r="F205" s="2"/>
      <c r="G205" s="2"/>
      <c r="H205" s="2"/>
      <c r="I205" s="2"/>
      <c r="J205" s="2"/>
      <c r="K205" s="2"/>
      <c r="L205" s="2"/>
      <c r="M205" s="2"/>
      <c r="N205" s="2"/>
      <c r="O205" s="2"/>
      <c r="P205" s="2"/>
      <c r="Q205" s="2"/>
      <c r="R205" s="2"/>
      <c r="S205" s="2"/>
      <c r="T205" s="2"/>
    </row>
    <row r="206" spans="1:20" ht="15.75" customHeight="1">
      <c r="A206" s="1"/>
      <c r="B206" s="2"/>
      <c r="C206" s="2"/>
      <c r="D206" s="2"/>
      <c r="E206" s="2"/>
      <c r="F206" s="2"/>
      <c r="G206" s="2"/>
      <c r="H206" s="2"/>
      <c r="I206" s="2"/>
      <c r="J206" s="2"/>
      <c r="K206" s="2"/>
      <c r="L206" s="2"/>
      <c r="M206" s="2"/>
      <c r="N206" s="2"/>
      <c r="O206" s="2"/>
      <c r="P206" s="2"/>
      <c r="Q206" s="2"/>
      <c r="R206" s="2"/>
      <c r="S206" s="2"/>
      <c r="T206" s="2"/>
    </row>
    <row r="207" spans="1:20" ht="15.75" customHeight="1">
      <c r="A207" s="1"/>
      <c r="B207" s="2"/>
      <c r="C207" s="2"/>
      <c r="D207" s="2"/>
      <c r="E207" s="2"/>
      <c r="F207" s="2"/>
      <c r="G207" s="2"/>
      <c r="H207" s="2"/>
      <c r="I207" s="2"/>
      <c r="J207" s="2"/>
      <c r="K207" s="2"/>
      <c r="L207" s="2"/>
      <c r="M207" s="2"/>
      <c r="N207" s="2"/>
      <c r="O207" s="2"/>
      <c r="P207" s="2"/>
      <c r="Q207" s="2"/>
      <c r="R207" s="2"/>
      <c r="S207" s="2"/>
      <c r="T207" s="2"/>
    </row>
    <row r="208" spans="1:20" ht="15.75" customHeight="1">
      <c r="A208" s="1"/>
      <c r="B208" s="2"/>
      <c r="C208" s="2"/>
      <c r="D208" s="2"/>
      <c r="E208" s="2"/>
      <c r="F208" s="2"/>
      <c r="G208" s="2"/>
      <c r="H208" s="2"/>
      <c r="I208" s="2"/>
      <c r="J208" s="2"/>
      <c r="K208" s="2"/>
      <c r="L208" s="2"/>
      <c r="M208" s="2"/>
      <c r="N208" s="2"/>
      <c r="O208" s="2"/>
      <c r="P208" s="2"/>
      <c r="Q208" s="2"/>
      <c r="R208" s="2"/>
      <c r="S208" s="2"/>
      <c r="T208" s="2"/>
    </row>
    <row r="209" spans="1:20" ht="15.75" customHeight="1">
      <c r="A209" s="1"/>
      <c r="B209" s="2"/>
      <c r="C209" s="2"/>
      <c r="D209" s="2"/>
      <c r="E209" s="2"/>
      <c r="F209" s="2"/>
      <c r="G209" s="2"/>
      <c r="H209" s="2"/>
      <c r="I209" s="2"/>
      <c r="J209" s="2"/>
      <c r="K209" s="2"/>
      <c r="L209" s="2"/>
      <c r="M209" s="2"/>
      <c r="N209" s="2"/>
      <c r="O209" s="2"/>
      <c r="P209" s="2"/>
      <c r="Q209" s="2"/>
      <c r="R209" s="2"/>
      <c r="S209" s="2"/>
      <c r="T209" s="2"/>
    </row>
    <row r="210" spans="1:20" ht="15.75" customHeight="1">
      <c r="A210" s="1"/>
      <c r="B210" s="2"/>
      <c r="C210" s="2"/>
      <c r="D210" s="2"/>
      <c r="E210" s="2"/>
      <c r="F210" s="2"/>
      <c r="G210" s="2"/>
      <c r="H210" s="2"/>
      <c r="I210" s="2"/>
      <c r="J210" s="2"/>
      <c r="K210" s="2"/>
      <c r="L210" s="2"/>
      <c r="M210" s="2"/>
      <c r="N210" s="2"/>
      <c r="O210" s="2"/>
      <c r="P210" s="2"/>
      <c r="Q210" s="2"/>
      <c r="R210" s="2"/>
      <c r="S210" s="2"/>
      <c r="T210" s="2"/>
    </row>
    <row r="211" spans="1:20" ht="15.75" customHeight="1">
      <c r="A211" s="1"/>
      <c r="B211" s="2"/>
      <c r="C211" s="2"/>
      <c r="D211" s="2"/>
      <c r="E211" s="2"/>
      <c r="F211" s="2"/>
      <c r="G211" s="2"/>
      <c r="H211" s="2"/>
      <c r="I211" s="2"/>
      <c r="J211" s="2"/>
      <c r="K211" s="2"/>
      <c r="L211" s="2"/>
      <c r="M211" s="2"/>
      <c r="N211" s="2"/>
      <c r="O211" s="2"/>
      <c r="P211" s="2"/>
      <c r="Q211" s="2"/>
      <c r="R211" s="2"/>
      <c r="S211" s="2"/>
      <c r="T211" s="2"/>
    </row>
    <row r="212" spans="1:20" ht="15.75" customHeight="1">
      <c r="A212" s="1"/>
      <c r="B212" s="2"/>
      <c r="C212" s="2"/>
      <c r="D212" s="2"/>
      <c r="E212" s="2"/>
      <c r="F212" s="2"/>
      <c r="G212" s="2"/>
      <c r="H212" s="2"/>
      <c r="I212" s="2"/>
      <c r="J212" s="2"/>
      <c r="K212" s="2"/>
      <c r="L212" s="2"/>
      <c r="M212" s="2"/>
      <c r="N212" s="2"/>
      <c r="O212" s="2"/>
      <c r="P212" s="2"/>
      <c r="Q212" s="2"/>
      <c r="R212" s="2"/>
      <c r="S212" s="2"/>
      <c r="T212" s="2"/>
    </row>
    <row r="213" spans="1:20" ht="15.75" customHeight="1">
      <c r="A213" s="1"/>
      <c r="B213" s="2"/>
      <c r="C213" s="2"/>
      <c r="D213" s="2"/>
      <c r="E213" s="2"/>
      <c r="F213" s="2"/>
      <c r="G213" s="2"/>
      <c r="H213" s="2"/>
      <c r="I213" s="2"/>
      <c r="J213" s="2"/>
      <c r="K213" s="2"/>
      <c r="L213" s="2"/>
      <c r="M213" s="2"/>
      <c r="N213" s="2"/>
      <c r="O213" s="2"/>
      <c r="P213" s="2"/>
      <c r="Q213" s="2"/>
      <c r="R213" s="2"/>
      <c r="S213" s="2"/>
      <c r="T213" s="2"/>
    </row>
    <row r="214" spans="1:20" ht="15.75" customHeight="1">
      <c r="A214" s="1"/>
      <c r="B214" s="2"/>
      <c r="C214" s="2"/>
      <c r="D214" s="2"/>
      <c r="E214" s="2"/>
      <c r="F214" s="2"/>
      <c r="G214" s="2"/>
      <c r="H214" s="2"/>
      <c r="I214" s="2"/>
      <c r="J214" s="2"/>
      <c r="K214" s="2"/>
      <c r="L214" s="2"/>
      <c r="M214" s="2"/>
      <c r="N214" s="2"/>
      <c r="O214" s="2"/>
      <c r="P214" s="2"/>
      <c r="Q214" s="2"/>
      <c r="R214" s="2"/>
      <c r="S214" s="2"/>
      <c r="T214" s="2"/>
    </row>
    <row r="215" spans="1:20" ht="15.75" customHeight="1">
      <c r="A215" s="1"/>
      <c r="B215" s="2"/>
      <c r="C215" s="2"/>
      <c r="D215" s="2"/>
      <c r="E215" s="2"/>
      <c r="F215" s="2"/>
      <c r="G215" s="2"/>
      <c r="H215" s="2"/>
      <c r="I215" s="2"/>
      <c r="J215" s="2"/>
      <c r="K215" s="2"/>
      <c r="L215" s="2"/>
      <c r="M215" s="2"/>
      <c r="N215" s="2"/>
      <c r="O215" s="2"/>
      <c r="P215" s="2"/>
      <c r="Q215" s="2"/>
      <c r="R215" s="2"/>
      <c r="S215" s="2"/>
      <c r="T215" s="2"/>
    </row>
    <row r="216" spans="1:20" ht="15.75" customHeight="1">
      <c r="A216" s="1"/>
      <c r="B216" s="2"/>
      <c r="C216" s="2"/>
      <c r="D216" s="2"/>
      <c r="E216" s="2"/>
      <c r="F216" s="2"/>
      <c r="G216" s="2"/>
      <c r="H216" s="2"/>
      <c r="I216" s="2"/>
      <c r="J216" s="2"/>
      <c r="K216" s="2"/>
      <c r="L216" s="2"/>
      <c r="M216" s="2"/>
      <c r="N216" s="2"/>
      <c r="O216" s="2"/>
      <c r="P216" s="2"/>
      <c r="Q216" s="2"/>
      <c r="R216" s="2"/>
      <c r="S216" s="2"/>
      <c r="T216" s="2"/>
    </row>
    <row r="217" spans="1:20" ht="15.75" customHeight="1">
      <c r="A217" s="1"/>
      <c r="B217" s="2"/>
      <c r="C217" s="2"/>
      <c r="D217" s="2"/>
      <c r="E217" s="2"/>
      <c r="F217" s="2"/>
      <c r="G217" s="2"/>
      <c r="H217" s="2"/>
      <c r="I217" s="2"/>
      <c r="J217" s="2"/>
      <c r="K217" s="2"/>
      <c r="L217" s="2"/>
      <c r="M217" s="2"/>
      <c r="N217" s="2"/>
      <c r="O217" s="2"/>
      <c r="P217" s="2"/>
      <c r="Q217" s="2"/>
      <c r="R217" s="2"/>
      <c r="S217" s="2"/>
      <c r="T217" s="2"/>
    </row>
    <row r="218" spans="1:20" ht="15.75" customHeight="1">
      <c r="A218" s="1"/>
      <c r="B218" s="2"/>
      <c r="C218" s="2"/>
      <c r="D218" s="2"/>
      <c r="E218" s="2"/>
      <c r="F218" s="2"/>
      <c r="G218" s="2"/>
      <c r="H218" s="2"/>
      <c r="I218" s="2"/>
      <c r="J218" s="2"/>
      <c r="K218" s="2"/>
      <c r="L218" s="2"/>
      <c r="M218" s="2"/>
      <c r="N218" s="2"/>
      <c r="O218" s="2"/>
      <c r="P218" s="2"/>
      <c r="Q218" s="2"/>
      <c r="R218" s="2"/>
      <c r="S218" s="2"/>
      <c r="T218" s="2"/>
    </row>
    <row r="219" spans="1:20" ht="15.75" customHeight="1">
      <c r="A219" s="1"/>
      <c r="B219" s="2"/>
      <c r="C219" s="2"/>
      <c r="D219" s="2"/>
      <c r="E219" s="2"/>
      <c r="F219" s="2"/>
      <c r="G219" s="2"/>
      <c r="H219" s="2"/>
      <c r="I219" s="2"/>
      <c r="J219" s="2"/>
      <c r="K219" s="2"/>
      <c r="L219" s="2"/>
      <c r="M219" s="2"/>
      <c r="N219" s="2"/>
      <c r="O219" s="2"/>
      <c r="P219" s="2"/>
      <c r="Q219" s="2"/>
      <c r="R219" s="2"/>
      <c r="S219" s="2"/>
      <c r="T219" s="2"/>
    </row>
    <row r="220" spans="1:20" ht="15.75" customHeight="1">
      <c r="A220" s="1"/>
      <c r="B220" s="2"/>
      <c r="C220" s="2"/>
      <c r="D220" s="2"/>
      <c r="E220" s="2"/>
      <c r="F220" s="2"/>
      <c r="G220" s="2"/>
      <c r="H220" s="2"/>
      <c r="I220" s="2"/>
      <c r="J220" s="2"/>
      <c r="K220" s="2"/>
      <c r="L220" s="2"/>
      <c r="M220" s="2"/>
      <c r="N220" s="2"/>
      <c r="O220" s="2"/>
      <c r="P220" s="2"/>
      <c r="Q220" s="2"/>
      <c r="R220" s="2"/>
      <c r="S220" s="2"/>
      <c r="T220" s="2"/>
    </row>
    <row r="221" spans="1:20" ht="15.75" customHeight="1">
      <c r="A221" s="1"/>
      <c r="B221" s="2"/>
      <c r="C221" s="2"/>
      <c r="D221" s="2"/>
      <c r="E221" s="2"/>
      <c r="F221" s="2"/>
      <c r="G221" s="2"/>
      <c r="H221" s="2"/>
      <c r="I221" s="2"/>
      <c r="J221" s="2"/>
      <c r="K221" s="2"/>
      <c r="L221" s="2"/>
      <c r="M221" s="2"/>
      <c r="N221" s="2"/>
      <c r="O221" s="2"/>
      <c r="P221" s="2"/>
      <c r="Q221" s="2"/>
      <c r="R221" s="2"/>
      <c r="S221" s="2"/>
      <c r="T221" s="2"/>
    </row>
    <row r="222" spans="1:20" ht="15.75" customHeight="1">
      <c r="A222" s="1"/>
      <c r="B222" s="2"/>
      <c r="C222" s="2"/>
      <c r="D222" s="2"/>
      <c r="E222" s="2"/>
      <c r="F222" s="2"/>
      <c r="G222" s="2"/>
      <c r="H222" s="2"/>
      <c r="I222" s="2"/>
      <c r="J222" s="2"/>
      <c r="K222" s="2"/>
      <c r="L222" s="2"/>
      <c r="M222" s="2"/>
      <c r="N222" s="2"/>
      <c r="O222" s="2"/>
      <c r="P222" s="2"/>
      <c r="Q222" s="2"/>
      <c r="R222" s="2"/>
      <c r="S222" s="2"/>
      <c r="T222" s="2"/>
    </row>
    <row r="223" spans="1:20" ht="15.75" customHeight="1">
      <c r="A223" s="1"/>
      <c r="B223" s="2"/>
      <c r="C223" s="2"/>
      <c r="D223" s="2"/>
      <c r="E223" s="2"/>
      <c r="F223" s="2"/>
      <c r="G223" s="2"/>
      <c r="H223" s="2"/>
      <c r="I223" s="2"/>
      <c r="J223" s="2"/>
      <c r="K223" s="2"/>
      <c r="L223" s="2"/>
      <c r="M223" s="2"/>
      <c r="N223" s="2"/>
      <c r="O223" s="2"/>
      <c r="P223" s="2"/>
      <c r="Q223" s="2"/>
      <c r="R223" s="2"/>
      <c r="S223" s="2"/>
      <c r="T223" s="2"/>
    </row>
    <row r="224" spans="1:20" ht="15.75" customHeight="1">
      <c r="A224" s="1"/>
      <c r="B224" s="2"/>
      <c r="C224" s="2"/>
      <c r="D224" s="2"/>
      <c r="E224" s="2"/>
      <c r="F224" s="2"/>
      <c r="G224" s="2"/>
      <c r="H224" s="2"/>
      <c r="I224" s="2"/>
      <c r="J224" s="2"/>
      <c r="K224" s="2"/>
      <c r="L224" s="2"/>
      <c r="M224" s="2"/>
      <c r="N224" s="2"/>
      <c r="O224" s="2"/>
      <c r="P224" s="2"/>
      <c r="Q224" s="2"/>
      <c r="R224" s="2"/>
      <c r="S224" s="2"/>
      <c r="T224" s="2"/>
    </row>
    <row r="225" spans="1:20" ht="15.75" customHeight="1">
      <c r="A225" s="1"/>
      <c r="B225" s="2"/>
      <c r="C225" s="2"/>
      <c r="D225" s="2"/>
      <c r="E225" s="2"/>
      <c r="F225" s="2"/>
      <c r="G225" s="2"/>
      <c r="H225" s="2"/>
      <c r="I225" s="2"/>
      <c r="J225" s="2"/>
      <c r="K225" s="2"/>
      <c r="L225" s="2"/>
      <c r="M225" s="2"/>
      <c r="N225" s="2"/>
      <c r="O225" s="2"/>
      <c r="P225" s="2"/>
      <c r="Q225" s="2"/>
      <c r="R225" s="2"/>
      <c r="S225" s="2"/>
      <c r="T225" s="2"/>
    </row>
    <row r="226" spans="1:20" ht="15.75" customHeight="1">
      <c r="A226" s="1"/>
      <c r="B226" s="2"/>
      <c r="C226" s="2"/>
      <c r="D226" s="2"/>
      <c r="E226" s="2"/>
      <c r="F226" s="2"/>
      <c r="G226" s="2"/>
      <c r="H226" s="2"/>
      <c r="I226" s="2"/>
      <c r="J226" s="2"/>
      <c r="K226" s="2"/>
      <c r="L226" s="2"/>
      <c r="M226" s="2"/>
      <c r="N226" s="2"/>
      <c r="O226" s="2"/>
      <c r="P226" s="2"/>
      <c r="Q226" s="2"/>
      <c r="R226" s="2"/>
      <c r="S226" s="2"/>
      <c r="T226" s="2"/>
    </row>
    <row r="227" spans="1:20" ht="15.75" customHeight="1">
      <c r="A227" s="1"/>
      <c r="B227" s="2"/>
      <c r="C227" s="2"/>
      <c r="D227" s="2"/>
      <c r="E227" s="2"/>
      <c r="F227" s="2"/>
      <c r="G227" s="2"/>
      <c r="H227" s="2"/>
      <c r="I227" s="2"/>
      <c r="J227" s="2"/>
      <c r="K227" s="2"/>
      <c r="L227" s="2"/>
      <c r="M227" s="2"/>
      <c r="N227" s="2"/>
      <c r="O227" s="2"/>
      <c r="P227" s="2"/>
      <c r="Q227" s="2"/>
      <c r="R227" s="2"/>
      <c r="S227" s="2"/>
      <c r="T227" s="2"/>
    </row>
    <row r="228" spans="1:20" ht="15.75" customHeight="1">
      <c r="A228" s="1"/>
      <c r="B228" s="2"/>
      <c r="C228" s="2"/>
      <c r="D228" s="2"/>
      <c r="E228" s="2"/>
      <c r="F228" s="2"/>
      <c r="G228" s="2"/>
      <c r="H228" s="2"/>
      <c r="I228" s="2"/>
      <c r="J228" s="2"/>
      <c r="K228" s="2"/>
      <c r="L228" s="2"/>
      <c r="M228" s="2"/>
      <c r="N228" s="2"/>
      <c r="O228" s="2"/>
      <c r="P228" s="2"/>
      <c r="Q228" s="2"/>
      <c r="R228" s="2"/>
      <c r="S228" s="2"/>
      <c r="T228" s="2"/>
    </row>
    <row r="229" spans="1:20" ht="15.75" customHeight="1">
      <c r="A229" s="1"/>
      <c r="B229" s="2"/>
      <c r="C229" s="2"/>
      <c r="D229" s="2"/>
      <c r="E229" s="2"/>
      <c r="F229" s="2"/>
      <c r="G229" s="2"/>
      <c r="H229" s="2"/>
      <c r="I229" s="2"/>
      <c r="J229" s="2"/>
      <c r="K229" s="2"/>
      <c r="L229" s="2"/>
      <c r="M229" s="2"/>
      <c r="N229" s="2"/>
      <c r="O229" s="2"/>
      <c r="P229" s="2"/>
      <c r="Q229" s="2"/>
      <c r="R229" s="2"/>
      <c r="S229" s="2"/>
      <c r="T229" s="2"/>
    </row>
    <row r="230" spans="1:20" ht="15.75" customHeight="1">
      <c r="A230" s="1"/>
      <c r="B230" s="2"/>
      <c r="C230" s="2"/>
      <c r="D230" s="2"/>
      <c r="E230" s="2"/>
      <c r="F230" s="2"/>
      <c r="G230" s="2"/>
      <c r="H230" s="2"/>
      <c r="I230" s="2"/>
      <c r="J230" s="2"/>
      <c r="K230" s="2"/>
      <c r="L230" s="2"/>
      <c r="M230" s="2"/>
      <c r="N230" s="2"/>
      <c r="O230" s="2"/>
      <c r="P230" s="2"/>
      <c r="Q230" s="2"/>
      <c r="R230" s="2"/>
      <c r="S230" s="2"/>
      <c r="T230" s="2"/>
    </row>
    <row r="231" spans="1:20" ht="15.75" customHeight="1">
      <c r="A231" s="1"/>
      <c r="B231" s="2"/>
      <c r="C231" s="2"/>
      <c r="D231" s="2"/>
      <c r="E231" s="2"/>
      <c r="F231" s="2"/>
      <c r="G231" s="2"/>
      <c r="H231" s="2"/>
      <c r="I231" s="2"/>
      <c r="J231" s="2"/>
      <c r="K231" s="2"/>
      <c r="L231" s="2"/>
      <c r="M231" s="2"/>
      <c r="N231" s="2"/>
      <c r="O231" s="2"/>
      <c r="P231" s="2"/>
      <c r="Q231" s="2"/>
      <c r="R231" s="2"/>
      <c r="S231" s="2"/>
      <c r="T231" s="2"/>
    </row>
    <row r="232" spans="1:20" ht="15.75" customHeight="1">
      <c r="A232" s="1"/>
      <c r="B232" s="2"/>
      <c r="C232" s="2"/>
      <c r="D232" s="2"/>
      <c r="E232" s="2"/>
      <c r="F232" s="2"/>
      <c r="G232" s="2"/>
      <c r="H232" s="2"/>
      <c r="I232" s="2"/>
      <c r="J232" s="2"/>
      <c r="K232" s="2"/>
      <c r="L232" s="2"/>
      <c r="M232" s="2"/>
      <c r="N232" s="2"/>
      <c r="O232" s="2"/>
      <c r="P232" s="2"/>
      <c r="Q232" s="2"/>
      <c r="R232" s="2"/>
      <c r="S232" s="2"/>
      <c r="T232" s="2"/>
    </row>
    <row r="233" spans="1:20" ht="15.75" customHeight="1">
      <c r="A233" s="1"/>
      <c r="B233" s="2"/>
      <c r="C233" s="2"/>
      <c r="D233" s="2"/>
      <c r="E233" s="2"/>
      <c r="F233" s="2"/>
      <c r="G233" s="2"/>
      <c r="H233" s="2"/>
      <c r="I233" s="2"/>
      <c r="J233" s="2"/>
      <c r="K233" s="2"/>
      <c r="L233" s="2"/>
      <c r="M233" s="2"/>
      <c r="N233" s="2"/>
      <c r="O233" s="2"/>
      <c r="P233" s="2"/>
      <c r="Q233" s="2"/>
      <c r="R233" s="2"/>
      <c r="S233" s="2"/>
      <c r="T233" s="2"/>
    </row>
    <row r="234" spans="1:20" ht="15.75" customHeight="1">
      <c r="A234" s="1"/>
      <c r="B234" s="2"/>
      <c r="C234" s="2"/>
      <c r="D234" s="2"/>
      <c r="E234" s="2"/>
      <c r="F234" s="2"/>
      <c r="G234" s="2"/>
      <c r="H234" s="2"/>
      <c r="I234" s="2"/>
      <c r="J234" s="2"/>
      <c r="K234" s="2"/>
      <c r="L234" s="2"/>
      <c r="M234" s="2"/>
      <c r="N234" s="2"/>
      <c r="O234" s="2"/>
      <c r="P234" s="2"/>
      <c r="Q234" s="2"/>
      <c r="R234" s="2"/>
      <c r="S234" s="2"/>
      <c r="T234" s="2"/>
    </row>
    <row r="235" spans="1:20" ht="15.75" customHeight="1">
      <c r="A235" s="1"/>
      <c r="B235" s="2"/>
      <c r="C235" s="2"/>
      <c r="D235" s="2"/>
      <c r="E235" s="2"/>
      <c r="F235" s="2"/>
      <c r="G235" s="2"/>
      <c r="H235" s="2"/>
      <c r="I235" s="2"/>
      <c r="J235" s="2"/>
      <c r="K235" s="2"/>
      <c r="L235" s="2"/>
      <c r="M235" s="2"/>
      <c r="N235" s="2"/>
      <c r="O235" s="2"/>
      <c r="P235" s="2"/>
      <c r="Q235" s="2"/>
      <c r="R235" s="2"/>
      <c r="S235" s="2"/>
      <c r="T235" s="2"/>
    </row>
    <row r="236" spans="1:20" ht="15.75" customHeight="1">
      <c r="A236" s="1"/>
      <c r="B236" s="2"/>
      <c r="C236" s="2"/>
      <c r="D236" s="2"/>
      <c r="E236" s="2"/>
      <c r="F236" s="2"/>
      <c r="G236" s="2"/>
      <c r="H236" s="2"/>
      <c r="I236" s="2"/>
      <c r="J236" s="2"/>
      <c r="K236" s="2"/>
      <c r="L236" s="2"/>
      <c r="M236" s="2"/>
      <c r="N236" s="2"/>
      <c r="O236" s="2"/>
      <c r="P236" s="2"/>
      <c r="Q236" s="2"/>
      <c r="R236" s="2"/>
      <c r="S236" s="2"/>
      <c r="T236" s="2"/>
    </row>
    <row r="237" spans="1:20" ht="15.75" customHeight="1">
      <c r="A237" s="1"/>
      <c r="B237" s="2"/>
      <c r="C237" s="2"/>
      <c r="D237" s="2"/>
      <c r="E237" s="2"/>
      <c r="F237" s="2"/>
      <c r="G237" s="2"/>
      <c r="H237" s="2"/>
      <c r="I237" s="2"/>
      <c r="J237" s="2"/>
      <c r="K237" s="2"/>
      <c r="L237" s="2"/>
      <c r="M237" s="2"/>
      <c r="N237" s="2"/>
      <c r="O237" s="2"/>
      <c r="P237" s="2"/>
      <c r="Q237" s="2"/>
      <c r="R237" s="2"/>
      <c r="S237" s="2"/>
      <c r="T237" s="2"/>
    </row>
    <row r="238" spans="1:20" ht="15.75" customHeight="1">
      <c r="A238" s="1"/>
      <c r="B238" s="2"/>
      <c r="C238" s="2"/>
      <c r="D238" s="2"/>
      <c r="E238" s="2"/>
      <c r="F238" s="2"/>
      <c r="G238" s="2"/>
      <c r="H238" s="2"/>
      <c r="I238" s="2"/>
      <c r="J238" s="2"/>
      <c r="K238" s="2"/>
      <c r="L238" s="2"/>
      <c r="M238" s="2"/>
      <c r="N238" s="2"/>
      <c r="O238" s="2"/>
      <c r="P238" s="2"/>
      <c r="Q238" s="2"/>
      <c r="R238" s="2"/>
      <c r="S238" s="2"/>
      <c r="T238" s="2"/>
    </row>
    <row r="239" spans="1:20" ht="15.75" customHeight="1">
      <c r="A239" s="1"/>
      <c r="B239" s="2"/>
      <c r="C239" s="2"/>
      <c r="D239" s="2"/>
      <c r="E239" s="2"/>
      <c r="F239" s="2"/>
      <c r="G239" s="2"/>
      <c r="H239" s="2"/>
      <c r="I239" s="2"/>
      <c r="J239" s="2"/>
      <c r="K239" s="2"/>
      <c r="L239" s="2"/>
      <c r="M239" s="2"/>
      <c r="N239" s="2"/>
      <c r="O239" s="2"/>
      <c r="P239" s="2"/>
      <c r="Q239" s="2"/>
      <c r="R239" s="2"/>
      <c r="S239" s="2"/>
      <c r="T239" s="2"/>
    </row>
    <row r="240" spans="1:20" ht="15.75" customHeight="1">
      <c r="A240" s="1"/>
      <c r="B240" s="2"/>
      <c r="C240" s="2"/>
      <c r="D240" s="2"/>
      <c r="E240" s="2"/>
      <c r="F240" s="2"/>
      <c r="G240" s="2"/>
      <c r="H240" s="2"/>
      <c r="I240" s="2"/>
      <c r="J240" s="2"/>
      <c r="K240" s="2"/>
      <c r="L240" s="2"/>
      <c r="M240" s="2"/>
      <c r="N240" s="2"/>
      <c r="O240" s="2"/>
      <c r="P240" s="2"/>
      <c r="Q240" s="2"/>
      <c r="R240" s="2"/>
      <c r="S240" s="2"/>
      <c r="T240" s="2"/>
    </row>
    <row r="241" spans="1:20" ht="15.75" customHeight="1">
      <c r="A241" s="1"/>
      <c r="B241" s="2"/>
      <c r="C241" s="2"/>
      <c r="D241" s="2"/>
      <c r="E241" s="2"/>
      <c r="F241" s="2"/>
      <c r="G241" s="2"/>
      <c r="H241" s="2"/>
      <c r="I241" s="2"/>
      <c r="J241" s="2"/>
      <c r="K241" s="2"/>
      <c r="L241" s="2"/>
      <c r="M241" s="2"/>
      <c r="N241" s="2"/>
      <c r="O241" s="2"/>
      <c r="P241" s="2"/>
      <c r="Q241" s="2"/>
      <c r="R241" s="2"/>
      <c r="S241" s="2"/>
      <c r="T241" s="2"/>
    </row>
    <row r="242" spans="1:20" ht="15.75" customHeight="1">
      <c r="A242" s="1"/>
      <c r="B242" s="2"/>
      <c r="C242" s="2"/>
      <c r="D242" s="2"/>
      <c r="E242" s="2"/>
      <c r="F242" s="2"/>
      <c r="G242" s="2"/>
      <c r="H242" s="2"/>
      <c r="I242" s="2"/>
      <c r="J242" s="2"/>
      <c r="K242" s="2"/>
      <c r="L242" s="2"/>
      <c r="M242" s="2"/>
      <c r="N242" s="2"/>
      <c r="O242" s="2"/>
      <c r="P242" s="2"/>
      <c r="Q242" s="2"/>
      <c r="R242" s="2"/>
      <c r="S242" s="2"/>
      <c r="T242" s="2"/>
    </row>
    <row r="243" spans="1:20" ht="15.75" customHeight="1">
      <c r="A243" s="1"/>
      <c r="B243" s="2"/>
      <c r="C243" s="2"/>
      <c r="D243" s="2"/>
      <c r="E243" s="2"/>
      <c r="F243" s="2"/>
      <c r="G243" s="2"/>
      <c r="H243" s="2"/>
      <c r="I243" s="2"/>
      <c r="J243" s="2"/>
      <c r="K243" s="2"/>
      <c r="L243" s="2"/>
      <c r="M243" s="2"/>
      <c r="N243" s="2"/>
      <c r="O243" s="2"/>
      <c r="P243" s="2"/>
      <c r="Q243" s="2"/>
      <c r="R243" s="2"/>
      <c r="S243" s="2"/>
      <c r="T243" s="2"/>
    </row>
    <row r="244" spans="1:20" ht="15.75" customHeight="1">
      <c r="A244" s="1"/>
      <c r="B244" s="2"/>
      <c r="C244" s="2"/>
      <c r="D244" s="2"/>
      <c r="E244" s="2"/>
      <c r="F244" s="2"/>
      <c r="G244" s="2"/>
      <c r="H244" s="2"/>
      <c r="I244" s="2"/>
      <c r="J244" s="2"/>
      <c r="K244" s="2"/>
      <c r="L244" s="2"/>
      <c r="M244" s="2"/>
      <c r="N244" s="2"/>
      <c r="O244" s="2"/>
      <c r="P244" s="2"/>
      <c r="Q244" s="2"/>
      <c r="R244" s="2"/>
      <c r="S244" s="2"/>
      <c r="T244" s="2"/>
    </row>
    <row r="245" spans="1:20" ht="15.75" customHeight="1">
      <c r="A245" s="1"/>
      <c r="B245" s="2"/>
      <c r="C245" s="2"/>
      <c r="D245" s="2"/>
      <c r="E245" s="2"/>
      <c r="F245" s="2"/>
      <c r="G245" s="2"/>
      <c r="H245" s="2"/>
      <c r="I245" s="2"/>
      <c r="J245" s="2"/>
      <c r="K245" s="2"/>
      <c r="L245" s="2"/>
      <c r="M245" s="2"/>
      <c r="N245" s="2"/>
      <c r="O245" s="2"/>
      <c r="P245" s="2"/>
      <c r="Q245" s="2"/>
      <c r="R245" s="2"/>
      <c r="S245" s="2"/>
      <c r="T245" s="2"/>
    </row>
    <row r="246" spans="1:20" ht="15.75" customHeight="1">
      <c r="A246" s="1"/>
      <c r="B246" s="2"/>
      <c r="C246" s="2"/>
      <c r="D246" s="2"/>
      <c r="E246" s="2"/>
      <c r="F246" s="2"/>
      <c r="G246" s="2"/>
      <c r="H246" s="2"/>
      <c r="I246" s="2"/>
      <c r="J246" s="2"/>
      <c r="K246" s="2"/>
      <c r="L246" s="2"/>
      <c r="M246" s="2"/>
      <c r="N246" s="2"/>
      <c r="O246" s="2"/>
      <c r="P246" s="2"/>
      <c r="Q246" s="2"/>
      <c r="R246" s="2"/>
      <c r="S246" s="2"/>
      <c r="T246" s="2"/>
    </row>
    <row r="247" spans="1:20" ht="15.75" customHeight="1">
      <c r="A247" s="1"/>
      <c r="B247" s="2"/>
      <c r="C247" s="2"/>
      <c r="D247" s="2"/>
      <c r="E247" s="2"/>
      <c r="F247" s="2"/>
      <c r="G247" s="2"/>
      <c r="H247" s="2"/>
      <c r="I247" s="2"/>
      <c r="J247" s="2"/>
      <c r="K247" s="2"/>
      <c r="L247" s="2"/>
      <c r="M247" s="2"/>
      <c r="N247" s="2"/>
      <c r="O247" s="2"/>
      <c r="P247" s="2"/>
      <c r="Q247" s="2"/>
      <c r="R247" s="2"/>
      <c r="S247" s="2"/>
      <c r="T247" s="2"/>
    </row>
    <row r="248" spans="1:20" ht="15.75" customHeight="1">
      <c r="A248" s="1"/>
      <c r="B248" s="2"/>
      <c r="C248" s="2"/>
      <c r="D248" s="2"/>
      <c r="E248" s="2"/>
      <c r="F248" s="2"/>
      <c r="G248" s="2"/>
      <c r="H248" s="2"/>
      <c r="I248" s="2"/>
      <c r="J248" s="2"/>
      <c r="K248" s="2"/>
      <c r="L248" s="2"/>
      <c r="M248" s="2"/>
      <c r="N248" s="2"/>
      <c r="O248" s="2"/>
      <c r="P248" s="2"/>
      <c r="Q248" s="2"/>
      <c r="R248" s="2"/>
      <c r="S248" s="2"/>
      <c r="T248" s="2"/>
    </row>
    <row r="249" spans="1:20" ht="15.75" customHeight="1">
      <c r="A249" s="1"/>
      <c r="B249" s="2"/>
      <c r="C249" s="2"/>
      <c r="D249" s="2"/>
      <c r="E249" s="2"/>
      <c r="F249" s="2"/>
      <c r="G249" s="2"/>
      <c r="H249" s="2"/>
      <c r="I249" s="2"/>
      <c r="J249" s="2"/>
      <c r="K249" s="2"/>
      <c r="L249" s="2"/>
      <c r="M249" s="2"/>
      <c r="N249" s="2"/>
      <c r="O249" s="2"/>
      <c r="P249" s="2"/>
      <c r="Q249" s="2"/>
      <c r="R249" s="2"/>
      <c r="S249" s="2"/>
      <c r="T249" s="2"/>
    </row>
    <row r="250" spans="1:20" ht="15.75" customHeight="1">
      <c r="A250" s="1"/>
      <c r="B250" s="2"/>
      <c r="C250" s="2"/>
      <c r="D250" s="2"/>
      <c r="E250" s="2"/>
      <c r="F250" s="2"/>
      <c r="G250" s="2"/>
      <c r="H250" s="2"/>
      <c r="I250" s="2"/>
      <c r="J250" s="2"/>
      <c r="K250" s="2"/>
      <c r="L250" s="2"/>
      <c r="M250" s="2"/>
      <c r="N250" s="2"/>
      <c r="O250" s="2"/>
      <c r="P250" s="2"/>
      <c r="Q250" s="2"/>
      <c r="R250" s="2"/>
      <c r="S250" s="2"/>
      <c r="T250" s="2"/>
    </row>
    <row r="251" spans="1:20" ht="15.75" customHeight="1">
      <c r="A251" s="1"/>
      <c r="B251" s="2"/>
      <c r="C251" s="2"/>
      <c r="D251" s="2"/>
      <c r="E251" s="2"/>
      <c r="F251" s="2"/>
      <c r="G251" s="2"/>
      <c r="H251" s="2"/>
      <c r="I251" s="2"/>
      <c r="J251" s="2"/>
      <c r="K251" s="2"/>
      <c r="L251" s="2"/>
      <c r="M251" s="2"/>
      <c r="N251" s="2"/>
      <c r="O251" s="2"/>
      <c r="P251" s="2"/>
      <c r="Q251" s="2"/>
      <c r="R251" s="2"/>
      <c r="S251" s="2"/>
      <c r="T251" s="2"/>
    </row>
    <row r="252" spans="1:20" ht="15.75" customHeight="1">
      <c r="A252" s="1"/>
      <c r="B252" s="2"/>
      <c r="C252" s="2"/>
      <c r="D252" s="2"/>
      <c r="E252" s="2"/>
      <c r="F252" s="2"/>
      <c r="G252" s="2"/>
      <c r="H252" s="2"/>
      <c r="I252" s="2"/>
      <c r="J252" s="2"/>
      <c r="K252" s="2"/>
      <c r="L252" s="2"/>
      <c r="M252" s="2"/>
      <c r="N252" s="2"/>
      <c r="O252" s="2"/>
      <c r="P252" s="2"/>
      <c r="Q252" s="2"/>
      <c r="R252" s="2"/>
      <c r="S252" s="2"/>
      <c r="T252" s="2"/>
    </row>
    <row r="253" spans="1:20" ht="15.75" customHeight="1">
      <c r="A253" s="1"/>
      <c r="B253" s="2"/>
      <c r="C253" s="2"/>
      <c r="D253" s="2"/>
      <c r="E253" s="2"/>
      <c r="F253" s="2"/>
      <c r="G253" s="2"/>
      <c r="H253" s="2"/>
      <c r="I253" s="2"/>
      <c r="J253" s="2"/>
      <c r="K253" s="2"/>
      <c r="L253" s="2"/>
      <c r="M253" s="2"/>
      <c r="N253" s="2"/>
      <c r="O253" s="2"/>
      <c r="P253" s="2"/>
      <c r="Q253" s="2"/>
      <c r="R253" s="2"/>
      <c r="S253" s="2"/>
      <c r="T253" s="2"/>
    </row>
    <row r="254" spans="1:20" ht="15.75" customHeight="1">
      <c r="A254" s="1"/>
      <c r="B254" s="2"/>
      <c r="C254" s="2"/>
      <c r="D254" s="2"/>
      <c r="E254" s="2"/>
      <c r="F254" s="2"/>
      <c r="G254" s="2"/>
      <c r="H254" s="2"/>
      <c r="I254" s="2"/>
      <c r="J254" s="2"/>
      <c r="K254" s="2"/>
      <c r="L254" s="2"/>
      <c r="M254" s="2"/>
      <c r="N254" s="2"/>
      <c r="O254" s="2"/>
      <c r="P254" s="2"/>
      <c r="Q254" s="2"/>
      <c r="R254" s="2"/>
      <c r="S254" s="2"/>
      <c r="T254" s="2"/>
    </row>
    <row r="255" spans="1:20" ht="15.75" customHeight="1">
      <c r="A255" s="1"/>
      <c r="B255" s="2"/>
      <c r="C255" s="2"/>
      <c r="D255" s="2"/>
      <c r="E255" s="2"/>
      <c r="F255" s="2"/>
      <c r="G255" s="2"/>
      <c r="H255" s="2"/>
      <c r="I255" s="2"/>
      <c r="J255" s="2"/>
      <c r="K255" s="2"/>
      <c r="L255" s="2"/>
      <c r="M255" s="2"/>
      <c r="N255" s="2"/>
      <c r="O255" s="2"/>
      <c r="P255" s="2"/>
      <c r="Q255" s="2"/>
      <c r="R255" s="2"/>
      <c r="S255" s="2"/>
      <c r="T255" s="2"/>
    </row>
    <row r="256" spans="1:20" ht="15.75" customHeight="1">
      <c r="A256" s="1"/>
      <c r="B256" s="2"/>
      <c r="C256" s="2"/>
      <c r="D256" s="2"/>
      <c r="E256" s="2"/>
      <c r="F256" s="2"/>
      <c r="G256" s="2"/>
      <c r="H256" s="2"/>
      <c r="I256" s="2"/>
      <c r="J256" s="2"/>
      <c r="K256" s="2"/>
      <c r="L256" s="2"/>
      <c r="M256" s="2"/>
      <c r="N256" s="2"/>
      <c r="O256" s="2"/>
      <c r="P256" s="2"/>
      <c r="Q256" s="2"/>
      <c r="R256" s="2"/>
      <c r="S256" s="2"/>
      <c r="T256" s="2"/>
    </row>
    <row r="257" spans="1:20" ht="15.75" customHeight="1">
      <c r="A257" s="1"/>
      <c r="B257" s="2"/>
      <c r="C257" s="2"/>
      <c r="D257" s="2"/>
      <c r="E257" s="2"/>
      <c r="F257" s="2"/>
      <c r="G257" s="2"/>
      <c r="H257" s="2"/>
      <c r="I257" s="2"/>
      <c r="J257" s="2"/>
      <c r="K257" s="2"/>
      <c r="L257" s="2"/>
      <c r="M257" s="2"/>
      <c r="N257" s="2"/>
      <c r="O257" s="2"/>
      <c r="P257" s="2"/>
      <c r="Q257" s="2"/>
      <c r="R257" s="2"/>
      <c r="S257" s="2"/>
      <c r="T257" s="2"/>
    </row>
    <row r="258" spans="1:20" ht="15.75" customHeight="1">
      <c r="A258" s="1"/>
      <c r="B258" s="2"/>
      <c r="C258" s="2"/>
      <c r="D258" s="2"/>
      <c r="E258" s="2"/>
      <c r="F258" s="2"/>
      <c r="G258" s="2"/>
      <c r="H258" s="2"/>
      <c r="I258" s="2"/>
      <c r="J258" s="2"/>
      <c r="K258" s="2"/>
      <c r="L258" s="2"/>
      <c r="M258" s="2"/>
      <c r="N258" s="2"/>
      <c r="O258" s="2"/>
      <c r="P258" s="2"/>
      <c r="Q258" s="2"/>
      <c r="R258" s="2"/>
      <c r="S258" s="2"/>
      <c r="T258" s="2"/>
    </row>
    <row r="259" spans="1:20" ht="15.75" customHeight="1">
      <c r="A259" s="1"/>
      <c r="B259" s="2"/>
      <c r="C259" s="2"/>
      <c r="D259" s="2"/>
      <c r="E259" s="2"/>
      <c r="F259" s="2"/>
      <c r="G259" s="2"/>
      <c r="H259" s="2"/>
      <c r="I259" s="2"/>
      <c r="J259" s="2"/>
      <c r="K259" s="2"/>
      <c r="L259" s="2"/>
      <c r="M259" s="2"/>
      <c r="N259" s="2"/>
      <c r="O259" s="2"/>
      <c r="P259" s="2"/>
      <c r="Q259" s="2"/>
      <c r="R259" s="2"/>
      <c r="S259" s="2"/>
      <c r="T259" s="2"/>
    </row>
    <row r="260" spans="1:20" ht="15.75" customHeight="1">
      <c r="A260" s="1"/>
      <c r="B260" s="2"/>
      <c r="C260" s="2"/>
      <c r="D260" s="2"/>
      <c r="E260" s="2"/>
      <c r="F260" s="2"/>
      <c r="G260" s="2"/>
      <c r="H260" s="2"/>
      <c r="I260" s="2"/>
      <c r="J260" s="2"/>
      <c r="K260" s="2"/>
      <c r="L260" s="2"/>
      <c r="M260" s="2"/>
      <c r="N260" s="2"/>
      <c r="O260" s="2"/>
      <c r="P260" s="2"/>
      <c r="Q260" s="2"/>
      <c r="R260" s="2"/>
      <c r="S260" s="2"/>
      <c r="T260" s="2"/>
    </row>
    <row r="261" spans="1:20" ht="15.75" customHeight="1">
      <c r="A261" s="1"/>
      <c r="B261" s="2"/>
      <c r="C261" s="2"/>
      <c r="D261" s="2"/>
      <c r="E261" s="2"/>
      <c r="F261" s="2"/>
      <c r="G261" s="2"/>
      <c r="H261" s="2"/>
      <c r="I261" s="2"/>
      <c r="J261" s="2"/>
      <c r="K261" s="2"/>
      <c r="L261" s="2"/>
      <c r="M261" s="2"/>
      <c r="N261" s="2"/>
      <c r="O261" s="2"/>
      <c r="P261" s="2"/>
      <c r="Q261" s="2"/>
      <c r="R261" s="2"/>
      <c r="S261" s="2"/>
      <c r="T261" s="2"/>
    </row>
    <row r="262" spans="1:20" ht="15.75" customHeight="1">
      <c r="A262" s="1"/>
      <c r="B262" s="2"/>
      <c r="C262" s="2"/>
      <c r="D262" s="2"/>
      <c r="E262" s="2"/>
      <c r="F262" s="2"/>
      <c r="G262" s="2"/>
      <c r="H262" s="2"/>
      <c r="I262" s="2"/>
      <c r="J262" s="2"/>
      <c r="K262" s="2"/>
      <c r="L262" s="2"/>
      <c r="M262" s="2"/>
      <c r="N262" s="2"/>
      <c r="O262" s="2"/>
      <c r="P262" s="2"/>
      <c r="Q262" s="2"/>
      <c r="R262" s="2"/>
      <c r="S262" s="2"/>
      <c r="T262" s="2"/>
    </row>
    <row r="263" spans="1:20" ht="15.75" customHeight="1">
      <c r="A263" s="1"/>
      <c r="B263" s="2"/>
      <c r="C263" s="2"/>
      <c r="D263" s="2"/>
      <c r="E263" s="2"/>
      <c r="F263" s="2"/>
      <c r="G263" s="2"/>
      <c r="H263" s="2"/>
      <c r="I263" s="2"/>
      <c r="J263" s="2"/>
      <c r="K263" s="2"/>
      <c r="L263" s="2"/>
      <c r="M263" s="2"/>
      <c r="N263" s="2"/>
      <c r="O263" s="2"/>
      <c r="P263" s="2"/>
      <c r="Q263" s="2"/>
      <c r="R263" s="2"/>
      <c r="S263" s="2"/>
      <c r="T263" s="2"/>
    </row>
    <row r="264" spans="1:20" ht="15.75" customHeight="1">
      <c r="A264" s="1"/>
      <c r="B264" s="2"/>
      <c r="C264" s="2"/>
      <c r="D264" s="2"/>
      <c r="E264" s="2"/>
      <c r="F264" s="2"/>
      <c r="G264" s="2"/>
      <c r="H264" s="2"/>
      <c r="I264" s="2"/>
      <c r="J264" s="2"/>
      <c r="K264" s="2"/>
      <c r="L264" s="2"/>
      <c r="M264" s="2"/>
      <c r="N264" s="2"/>
      <c r="O264" s="2"/>
      <c r="P264" s="2"/>
      <c r="Q264" s="2"/>
      <c r="R264" s="2"/>
      <c r="S264" s="2"/>
      <c r="T264" s="2"/>
    </row>
    <row r="265" spans="1:20" ht="15.75" customHeight="1">
      <c r="A265" s="1"/>
      <c r="B265" s="2"/>
      <c r="C265" s="2"/>
      <c r="D265" s="2"/>
      <c r="E265" s="2"/>
      <c r="F265" s="2"/>
      <c r="G265" s="2"/>
      <c r="H265" s="2"/>
      <c r="I265" s="2"/>
      <c r="J265" s="2"/>
      <c r="K265" s="2"/>
      <c r="L265" s="2"/>
      <c r="M265" s="2"/>
      <c r="N265" s="2"/>
      <c r="O265" s="2"/>
      <c r="P265" s="2"/>
      <c r="Q265" s="2"/>
      <c r="R265" s="2"/>
      <c r="S265" s="2"/>
      <c r="T265" s="2"/>
    </row>
    <row r="266" spans="1:20" ht="15.75" customHeight="1">
      <c r="A266" s="1"/>
      <c r="B266" s="2"/>
      <c r="C266" s="2"/>
      <c r="D266" s="2"/>
      <c r="E266" s="2"/>
      <c r="F266" s="2"/>
      <c r="G266" s="2"/>
      <c r="H266" s="2"/>
      <c r="I266" s="2"/>
      <c r="J266" s="2"/>
      <c r="K266" s="2"/>
      <c r="L266" s="2"/>
      <c r="M266" s="2"/>
      <c r="N266" s="2"/>
      <c r="O266" s="2"/>
      <c r="P266" s="2"/>
      <c r="Q266" s="2"/>
      <c r="R266" s="2"/>
      <c r="S266" s="2"/>
      <c r="T266" s="2"/>
    </row>
    <row r="267" spans="1:20" ht="15.75" customHeight="1">
      <c r="A267" s="1"/>
      <c r="B267" s="2"/>
      <c r="C267" s="2"/>
      <c r="D267" s="2"/>
      <c r="E267" s="2"/>
      <c r="F267" s="2"/>
      <c r="G267" s="2"/>
      <c r="H267" s="2"/>
      <c r="I267" s="2"/>
      <c r="J267" s="2"/>
      <c r="K267" s="2"/>
      <c r="L267" s="2"/>
      <c r="M267" s="2"/>
      <c r="N267" s="2"/>
      <c r="O267" s="2"/>
      <c r="P267" s="2"/>
      <c r="Q267" s="2"/>
      <c r="R267" s="2"/>
      <c r="S267" s="2"/>
      <c r="T267" s="2"/>
    </row>
    <row r="268" spans="1:20" ht="15.75" customHeight="1">
      <c r="A268" s="1"/>
      <c r="B268" s="2"/>
      <c r="C268" s="2"/>
      <c r="D268" s="2"/>
      <c r="E268" s="2"/>
      <c r="F268" s="2"/>
      <c r="G268" s="2"/>
      <c r="H268" s="2"/>
      <c r="I268" s="2"/>
      <c r="J268" s="2"/>
      <c r="K268" s="2"/>
      <c r="L268" s="2"/>
      <c r="M268" s="2"/>
      <c r="N268" s="2"/>
      <c r="O268" s="2"/>
      <c r="P268" s="2"/>
      <c r="Q268" s="2"/>
      <c r="R268" s="2"/>
      <c r="S268" s="2"/>
      <c r="T268" s="2"/>
    </row>
    <row r="269" spans="1:20" ht="15.75" customHeight="1">
      <c r="A269" s="1"/>
      <c r="B269" s="2"/>
      <c r="C269" s="2"/>
      <c r="D269" s="2"/>
      <c r="E269" s="2"/>
      <c r="F269" s="2"/>
      <c r="G269" s="2"/>
      <c r="H269" s="2"/>
      <c r="I269" s="2"/>
      <c r="J269" s="2"/>
      <c r="K269" s="2"/>
      <c r="L269" s="2"/>
      <c r="M269" s="2"/>
      <c r="N269" s="2"/>
      <c r="O269" s="2"/>
      <c r="P269" s="2"/>
      <c r="Q269" s="2"/>
      <c r="R269" s="2"/>
      <c r="S269" s="2"/>
      <c r="T269" s="2"/>
    </row>
    <row r="270" spans="1:20" ht="15.75" customHeight="1">
      <c r="A270" s="1"/>
      <c r="B270" s="2"/>
      <c r="C270" s="2"/>
      <c r="D270" s="2"/>
      <c r="E270" s="2"/>
      <c r="F270" s="2"/>
      <c r="G270" s="2"/>
      <c r="H270" s="2"/>
      <c r="I270" s="2"/>
      <c r="J270" s="2"/>
      <c r="K270" s="2"/>
      <c r="L270" s="2"/>
      <c r="M270" s="2"/>
      <c r="N270" s="2"/>
      <c r="O270" s="2"/>
      <c r="P270" s="2"/>
      <c r="Q270" s="2"/>
      <c r="R270" s="2"/>
      <c r="S270" s="2"/>
      <c r="T270" s="2"/>
    </row>
    <row r="271" spans="1:20" ht="15.75" customHeight="1">
      <c r="A271" s="1"/>
      <c r="B271" s="2"/>
      <c r="C271" s="2"/>
      <c r="D271" s="2"/>
      <c r="E271" s="2"/>
      <c r="F271" s="2"/>
      <c r="G271" s="2"/>
      <c r="H271" s="2"/>
      <c r="I271" s="2"/>
      <c r="J271" s="2"/>
      <c r="K271" s="2"/>
      <c r="L271" s="2"/>
      <c r="M271" s="2"/>
      <c r="N271" s="2"/>
      <c r="O271" s="2"/>
      <c r="P271" s="2"/>
      <c r="Q271" s="2"/>
      <c r="R271" s="2"/>
      <c r="S271" s="2"/>
      <c r="T271" s="2"/>
    </row>
    <row r="272" spans="1:20" ht="15.75" customHeight="1">
      <c r="A272" s="1"/>
      <c r="B272" s="2"/>
      <c r="C272" s="2"/>
      <c r="D272" s="2"/>
      <c r="E272" s="2"/>
      <c r="F272" s="2"/>
      <c r="G272" s="2"/>
      <c r="H272" s="2"/>
      <c r="I272" s="2"/>
      <c r="J272" s="2"/>
      <c r="K272" s="2"/>
      <c r="L272" s="2"/>
      <c r="M272" s="2"/>
      <c r="N272" s="2"/>
      <c r="O272" s="2"/>
      <c r="P272" s="2"/>
      <c r="Q272" s="2"/>
      <c r="R272" s="2"/>
      <c r="S272" s="2"/>
      <c r="T272" s="2"/>
    </row>
    <row r="273" spans="1:20" ht="15.75" customHeight="1">
      <c r="A273" s="1"/>
      <c r="B273" s="2"/>
      <c r="C273" s="2"/>
      <c r="D273" s="2"/>
      <c r="E273" s="2"/>
      <c r="F273" s="2"/>
      <c r="G273" s="2"/>
      <c r="H273" s="2"/>
      <c r="I273" s="2"/>
      <c r="J273" s="2"/>
      <c r="K273" s="2"/>
      <c r="L273" s="2"/>
      <c r="M273" s="2"/>
      <c r="N273" s="2"/>
      <c r="O273" s="2"/>
      <c r="P273" s="2"/>
      <c r="Q273" s="2"/>
      <c r="R273" s="2"/>
      <c r="S273" s="2"/>
      <c r="T273" s="2"/>
    </row>
    <row r="274" spans="1:20" ht="15.75" customHeight="1">
      <c r="A274" s="1"/>
      <c r="B274" s="2"/>
      <c r="C274" s="2"/>
      <c r="D274" s="2"/>
      <c r="E274" s="2"/>
      <c r="F274" s="2"/>
      <c r="G274" s="2"/>
      <c r="H274" s="2"/>
      <c r="I274" s="2"/>
      <c r="J274" s="2"/>
      <c r="K274" s="2"/>
      <c r="L274" s="2"/>
      <c r="M274" s="2"/>
      <c r="N274" s="2"/>
      <c r="O274" s="2"/>
      <c r="P274" s="2"/>
      <c r="Q274" s="2"/>
      <c r="R274" s="2"/>
      <c r="S274" s="2"/>
      <c r="T274" s="2"/>
    </row>
    <row r="275" spans="1:20" ht="15.75" customHeight="1">
      <c r="A275" s="1"/>
      <c r="B275" s="2"/>
      <c r="C275" s="2"/>
      <c r="D275" s="2"/>
      <c r="E275" s="2"/>
      <c r="F275" s="2"/>
      <c r="G275" s="2"/>
      <c r="H275" s="2"/>
      <c r="I275" s="2"/>
      <c r="J275" s="2"/>
      <c r="K275" s="2"/>
      <c r="L275" s="2"/>
      <c r="M275" s="2"/>
      <c r="N275" s="2"/>
      <c r="O275" s="2"/>
      <c r="P275" s="2"/>
      <c r="Q275" s="2"/>
      <c r="R275" s="2"/>
      <c r="S275" s="2"/>
      <c r="T275" s="2"/>
    </row>
    <row r="276" spans="1:20" ht="15.75" customHeight="1">
      <c r="A276" s="1"/>
      <c r="B276" s="2"/>
      <c r="C276" s="2"/>
      <c r="D276" s="2"/>
      <c r="E276" s="2"/>
      <c r="F276" s="2"/>
      <c r="G276" s="2"/>
      <c r="H276" s="2"/>
      <c r="I276" s="2"/>
      <c r="J276" s="2"/>
      <c r="K276" s="2"/>
      <c r="L276" s="2"/>
      <c r="M276" s="2"/>
      <c r="N276" s="2"/>
      <c r="O276" s="2"/>
      <c r="P276" s="2"/>
      <c r="Q276" s="2"/>
      <c r="R276" s="2"/>
      <c r="S276" s="2"/>
      <c r="T276" s="2"/>
    </row>
    <row r="277" spans="1:20" ht="15.75" customHeight="1">
      <c r="A277" s="1"/>
      <c r="B277" s="2"/>
      <c r="C277" s="2"/>
      <c r="D277" s="2"/>
      <c r="E277" s="2"/>
      <c r="F277" s="2"/>
      <c r="G277" s="2"/>
      <c r="H277" s="2"/>
      <c r="I277" s="2"/>
      <c r="J277" s="2"/>
      <c r="K277" s="2"/>
      <c r="L277" s="2"/>
      <c r="M277" s="2"/>
      <c r="N277" s="2"/>
      <c r="O277" s="2"/>
      <c r="P277" s="2"/>
      <c r="Q277" s="2"/>
      <c r="R277" s="2"/>
      <c r="S277" s="2"/>
      <c r="T277" s="2"/>
    </row>
    <row r="278" spans="1:20" ht="15.75" customHeight="1">
      <c r="A278" s="1"/>
      <c r="B278" s="2"/>
      <c r="C278" s="2"/>
      <c r="D278" s="2"/>
      <c r="E278" s="2"/>
      <c r="F278" s="2"/>
      <c r="G278" s="2"/>
      <c r="H278" s="2"/>
      <c r="I278" s="2"/>
      <c r="J278" s="2"/>
      <c r="K278" s="2"/>
      <c r="L278" s="2"/>
      <c r="M278" s="2"/>
      <c r="N278" s="2"/>
      <c r="O278" s="2"/>
      <c r="P278" s="2"/>
      <c r="Q278" s="2"/>
      <c r="R278" s="2"/>
      <c r="S278" s="2"/>
      <c r="T278" s="2"/>
    </row>
    <row r="279" spans="1:20" ht="15.75" customHeight="1">
      <c r="A279" s="1"/>
      <c r="B279" s="2"/>
      <c r="C279" s="2"/>
      <c r="D279" s="2"/>
      <c r="E279" s="2"/>
      <c r="F279" s="2"/>
      <c r="G279" s="2"/>
      <c r="H279" s="2"/>
      <c r="I279" s="2"/>
      <c r="J279" s="2"/>
      <c r="K279" s="2"/>
      <c r="L279" s="2"/>
      <c r="M279" s="2"/>
      <c r="N279" s="2"/>
      <c r="O279" s="2"/>
      <c r="P279" s="2"/>
      <c r="Q279" s="2"/>
      <c r="R279" s="2"/>
      <c r="S279" s="2"/>
      <c r="T279" s="2"/>
    </row>
    <row r="280" spans="1:20" ht="15.75" customHeight="1">
      <c r="A280" s="1"/>
      <c r="B280" s="2"/>
      <c r="C280" s="2"/>
      <c r="D280" s="2"/>
      <c r="E280" s="2"/>
      <c r="F280" s="2"/>
      <c r="G280" s="2"/>
      <c r="H280" s="2"/>
      <c r="I280" s="2"/>
      <c r="J280" s="2"/>
      <c r="K280" s="2"/>
      <c r="L280" s="2"/>
      <c r="M280" s="2"/>
      <c r="N280" s="2"/>
      <c r="O280" s="2"/>
      <c r="P280" s="2"/>
      <c r="Q280" s="2"/>
      <c r="R280" s="2"/>
      <c r="S280" s="2"/>
      <c r="T280" s="2"/>
    </row>
    <row r="281" spans="1:20" ht="15.75" customHeight="1">
      <c r="A281" s="1"/>
      <c r="B281" s="2"/>
      <c r="C281" s="2"/>
      <c r="D281" s="2"/>
      <c r="E281" s="2"/>
      <c r="F281" s="2"/>
      <c r="G281" s="2"/>
      <c r="H281" s="2"/>
      <c r="I281" s="2"/>
      <c r="J281" s="2"/>
      <c r="K281" s="2"/>
      <c r="L281" s="2"/>
      <c r="M281" s="2"/>
      <c r="N281" s="2"/>
      <c r="O281" s="2"/>
      <c r="P281" s="2"/>
      <c r="Q281" s="2"/>
      <c r="R281" s="2"/>
      <c r="S281" s="2"/>
      <c r="T281" s="2"/>
    </row>
    <row r="282" spans="1:20" ht="15.75" customHeight="1">
      <c r="A282" s="1"/>
      <c r="B282" s="2"/>
      <c r="C282" s="2"/>
      <c r="D282" s="2"/>
      <c r="E282" s="2"/>
      <c r="F282" s="2"/>
      <c r="G282" s="2"/>
      <c r="H282" s="2"/>
      <c r="I282" s="2"/>
      <c r="J282" s="2"/>
      <c r="K282" s="2"/>
      <c r="L282" s="2"/>
      <c r="M282" s="2"/>
      <c r="N282" s="2"/>
      <c r="O282" s="2"/>
      <c r="P282" s="2"/>
      <c r="Q282" s="2"/>
      <c r="R282" s="2"/>
      <c r="S282" s="2"/>
      <c r="T282" s="2"/>
    </row>
    <row r="283" spans="1:20" ht="15.75" customHeight="1">
      <c r="A283" s="1"/>
      <c r="B283" s="2"/>
      <c r="C283" s="2"/>
      <c r="D283" s="2"/>
      <c r="E283" s="2"/>
      <c r="F283" s="2"/>
      <c r="G283" s="2"/>
      <c r="H283" s="2"/>
      <c r="I283" s="2"/>
      <c r="J283" s="2"/>
      <c r="K283" s="2"/>
      <c r="L283" s="2"/>
      <c r="M283" s="2"/>
      <c r="N283" s="2"/>
      <c r="O283" s="2"/>
      <c r="P283" s="2"/>
      <c r="Q283" s="2"/>
      <c r="R283" s="2"/>
      <c r="S283" s="2"/>
      <c r="T283" s="2"/>
    </row>
    <row r="284" spans="1:20" ht="15.75" customHeight="1">
      <c r="A284" s="1"/>
      <c r="B284" s="2"/>
      <c r="C284" s="2"/>
      <c r="D284" s="2"/>
      <c r="E284" s="2"/>
      <c r="F284" s="2"/>
      <c r="G284" s="2"/>
      <c r="H284" s="2"/>
      <c r="I284" s="2"/>
      <c r="J284" s="2"/>
      <c r="K284" s="2"/>
      <c r="L284" s="2"/>
      <c r="M284" s="2"/>
      <c r="N284" s="2"/>
      <c r="O284" s="2"/>
      <c r="P284" s="2"/>
      <c r="Q284" s="2"/>
      <c r="R284" s="2"/>
      <c r="S284" s="2"/>
      <c r="T284" s="2"/>
    </row>
    <row r="285" spans="1:20" ht="15.75" customHeight="1">
      <c r="A285" s="1"/>
      <c r="B285" s="2"/>
      <c r="C285" s="2"/>
      <c r="D285" s="2"/>
      <c r="E285" s="2"/>
      <c r="F285" s="2"/>
      <c r="G285" s="2"/>
      <c r="H285" s="2"/>
      <c r="I285" s="2"/>
      <c r="J285" s="2"/>
      <c r="K285" s="2"/>
      <c r="L285" s="2"/>
      <c r="M285" s="2"/>
      <c r="N285" s="2"/>
      <c r="O285" s="2"/>
      <c r="P285" s="2"/>
      <c r="Q285" s="2"/>
      <c r="R285" s="2"/>
      <c r="S285" s="2"/>
      <c r="T285" s="2"/>
    </row>
    <row r="286" spans="1:20" ht="15.75" customHeight="1">
      <c r="A286" s="1"/>
      <c r="B286" s="2"/>
      <c r="C286" s="2"/>
      <c r="D286" s="2"/>
      <c r="E286" s="2"/>
      <c r="F286" s="2"/>
      <c r="G286" s="2"/>
      <c r="H286" s="2"/>
      <c r="I286" s="2"/>
      <c r="J286" s="2"/>
      <c r="K286" s="2"/>
      <c r="L286" s="2"/>
      <c r="M286" s="2"/>
      <c r="N286" s="2"/>
      <c r="O286" s="2"/>
      <c r="P286" s="2"/>
      <c r="Q286" s="2"/>
      <c r="R286" s="2"/>
      <c r="S286" s="2"/>
      <c r="T286" s="2"/>
    </row>
    <row r="287" spans="1:20" ht="15.75" customHeight="1">
      <c r="A287" s="1"/>
      <c r="B287" s="2"/>
      <c r="C287" s="2"/>
      <c r="D287" s="2"/>
      <c r="E287" s="2"/>
      <c r="F287" s="2"/>
      <c r="G287" s="2"/>
      <c r="H287" s="2"/>
      <c r="I287" s="2"/>
      <c r="J287" s="2"/>
      <c r="K287" s="2"/>
      <c r="L287" s="2"/>
      <c r="M287" s="2"/>
      <c r="N287" s="2"/>
      <c r="O287" s="2"/>
      <c r="P287" s="2"/>
      <c r="Q287" s="2"/>
      <c r="R287" s="2"/>
      <c r="S287" s="2"/>
      <c r="T287" s="2"/>
    </row>
    <row r="288" spans="1:20" ht="15.75" customHeight="1">
      <c r="A288" s="1"/>
      <c r="B288" s="2"/>
      <c r="C288" s="2"/>
      <c r="D288" s="2"/>
      <c r="E288" s="2"/>
      <c r="F288" s="2"/>
      <c r="G288" s="2"/>
      <c r="H288" s="2"/>
      <c r="I288" s="2"/>
      <c r="J288" s="2"/>
      <c r="K288" s="2"/>
      <c r="L288" s="2"/>
      <c r="M288" s="2"/>
      <c r="N288" s="2"/>
      <c r="O288" s="2"/>
      <c r="P288" s="2"/>
      <c r="Q288" s="2"/>
      <c r="R288" s="2"/>
      <c r="S288" s="2"/>
      <c r="T288" s="2"/>
    </row>
    <row r="289" spans="1:20" ht="15.75" customHeight="1">
      <c r="A289" s="1"/>
      <c r="B289" s="2"/>
      <c r="C289" s="2"/>
      <c r="D289" s="2"/>
      <c r="E289" s="2"/>
      <c r="F289" s="2"/>
      <c r="G289" s="2"/>
      <c r="H289" s="2"/>
      <c r="I289" s="2"/>
      <c r="J289" s="2"/>
      <c r="K289" s="2"/>
      <c r="L289" s="2"/>
      <c r="M289" s="2"/>
      <c r="N289" s="2"/>
      <c r="O289" s="2"/>
      <c r="P289" s="2"/>
      <c r="Q289" s="2"/>
      <c r="R289" s="2"/>
      <c r="S289" s="2"/>
      <c r="T289" s="2"/>
    </row>
    <row r="290" spans="1:20" ht="15.75" customHeight="1">
      <c r="A290" s="1"/>
      <c r="B290" s="2"/>
      <c r="C290" s="2"/>
      <c r="D290" s="2"/>
      <c r="E290" s="2"/>
      <c r="F290" s="2"/>
      <c r="G290" s="2"/>
      <c r="H290" s="2"/>
      <c r="I290" s="2"/>
      <c r="J290" s="2"/>
      <c r="K290" s="2"/>
      <c r="L290" s="2"/>
      <c r="M290" s="2"/>
      <c r="N290" s="2"/>
      <c r="O290" s="2"/>
      <c r="P290" s="2"/>
      <c r="Q290" s="2"/>
      <c r="R290" s="2"/>
      <c r="S290" s="2"/>
      <c r="T290" s="2"/>
    </row>
    <row r="291" spans="1:20" ht="15.75" customHeight="1">
      <c r="A291" s="1"/>
      <c r="B291" s="2"/>
      <c r="C291" s="2"/>
      <c r="D291" s="2"/>
      <c r="E291" s="2"/>
      <c r="F291" s="2"/>
      <c r="G291" s="2"/>
      <c r="H291" s="2"/>
      <c r="I291" s="2"/>
      <c r="J291" s="2"/>
      <c r="K291" s="2"/>
      <c r="L291" s="2"/>
      <c r="M291" s="2"/>
      <c r="N291" s="2"/>
      <c r="O291" s="2"/>
      <c r="P291" s="2"/>
      <c r="Q291" s="2"/>
      <c r="R291" s="2"/>
      <c r="S291" s="2"/>
      <c r="T291" s="2"/>
    </row>
    <row r="292" spans="1:20" ht="15.75" customHeight="1">
      <c r="A292" s="1"/>
      <c r="B292" s="2"/>
      <c r="C292" s="2"/>
      <c r="D292" s="2"/>
      <c r="E292" s="2"/>
      <c r="F292" s="2"/>
      <c r="G292" s="2"/>
      <c r="H292" s="2"/>
      <c r="I292" s="2"/>
      <c r="J292" s="2"/>
      <c r="K292" s="2"/>
      <c r="L292" s="2"/>
      <c r="M292" s="2"/>
      <c r="N292" s="2"/>
      <c r="O292" s="2"/>
      <c r="P292" s="2"/>
      <c r="Q292" s="2"/>
      <c r="R292" s="2"/>
      <c r="S292" s="2"/>
      <c r="T292" s="2"/>
    </row>
    <row r="293" spans="1:20" ht="15.75" customHeight="1">
      <c r="A293" s="1"/>
      <c r="B293" s="2"/>
      <c r="C293" s="2"/>
      <c r="D293" s="2"/>
      <c r="E293" s="2"/>
      <c r="F293" s="2"/>
      <c r="G293" s="2"/>
      <c r="H293" s="2"/>
      <c r="I293" s="2"/>
      <c r="J293" s="2"/>
      <c r="K293" s="2"/>
      <c r="L293" s="2"/>
      <c r="M293" s="2"/>
      <c r="N293" s="2"/>
      <c r="O293" s="2"/>
      <c r="P293" s="2"/>
      <c r="Q293" s="2"/>
      <c r="R293" s="2"/>
      <c r="S293" s="2"/>
      <c r="T293" s="2"/>
    </row>
    <row r="294" spans="1:20" ht="15.75" customHeight="1">
      <c r="A294" s="1"/>
      <c r="B294" s="2"/>
      <c r="C294" s="2"/>
      <c r="D294" s="2"/>
      <c r="E294" s="2"/>
      <c r="F294" s="2"/>
      <c r="G294" s="2"/>
      <c r="H294" s="2"/>
      <c r="I294" s="2"/>
      <c r="J294" s="2"/>
      <c r="K294" s="2"/>
      <c r="L294" s="2"/>
      <c r="M294" s="2"/>
      <c r="N294" s="2"/>
      <c r="O294" s="2"/>
      <c r="P294" s="2"/>
      <c r="Q294" s="2"/>
      <c r="R294" s="2"/>
      <c r="S294" s="2"/>
      <c r="T294" s="2"/>
    </row>
    <row r="295" spans="1:20" ht="15.75" customHeight="1">
      <c r="A295" s="1"/>
      <c r="B295" s="2"/>
      <c r="C295" s="2"/>
      <c r="D295" s="2"/>
      <c r="E295" s="2"/>
      <c r="F295" s="2"/>
      <c r="G295" s="2"/>
      <c r="H295" s="2"/>
      <c r="I295" s="2"/>
      <c r="J295" s="2"/>
      <c r="K295" s="2"/>
      <c r="L295" s="2"/>
      <c r="M295" s="2"/>
      <c r="N295" s="2"/>
      <c r="O295" s="2"/>
      <c r="P295" s="2"/>
      <c r="Q295" s="2"/>
      <c r="R295" s="2"/>
      <c r="S295" s="2"/>
      <c r="T295" s="2"/>
    </row>
    <row r="296" spans="1:20" ht="15.75" customHeight="1">
      <c r="A296" s="1"/>
      <c r="B296" s="2"/>
      <c r="C296" s="2"/>
      <c r="D296" s="2"/>
      <c r="E296" s="2"/>
      <c r="F296" s="2"/>
      <c r="G296" s="2"/>
      <c r="H296" s="2"/>
      <c r="I296" s="2"/>
      <c r="J296" s="2"/>
      <c r="K296" s="2"/>
      <c r="L296" s="2"/>
      <c r="M296" s="2"/>
      <c r="N296" s="2"/>
      <c r="O296" s="2"/>
      <c r="P296" s="2"/>
      <c r="Q296" s="2"/>
      <c r="R296" s="2"/>
      <c r="S296" s="2"/>
      <c r="T296" s="2"/>
    </row>
    <row r="297" spans="1:20" ht="15.75" customHeight="1">
      <c r="A297" s="1"/>
      <c r="B297" s="2"/>
      <c r="C297" s="2"/>
      <c r="D297" s="2"/>
      <c r="E297" s="2"/>
      <c r="F297" s="2"/>
      <c r="G297" s="2"/>
      <c r="H297" s="2"/>
      <c r="I297" s="2"/>
      <c r="J297" s="2"/>
      <c r="K297" s="2"/>
      <c r="L297" s="2"/>
      <c r="M297" s="2"/>
      <c r="N297" s="2"/>
      <c r="O297" s="2"/>
      <c r="P297" s="2"/>
      <c r="Q297" s="2"/>
      <c r="R297" s="2"/>
      <c r="S297" s="2"/>
      <c r="T297" s="2"/>
    </row>
    <row r="298" spans="1:20" ht="15.75" customHeight="1">
      <c r="A298" s="1"/>
      <c r="B298" s="2"/>
      <c r="C298" s="2"/>
      <c r="D298" s="2"/>
      <c r="E298" s="2"/>
      <c r="F298" s="2"/>
      <c r="G298" s="2"/>
      <c r="H298" s="2"/>
      <c r="I298" s="2"/>
      <c r="J298" s="2"/>
      <c r="K298" s="2"/>
      <c r="L298" s="2"/>
      <c r="M298" s="2"/>
      <c r="N298" s="2"/>
      <c r="O298" s="2"/>
      <c r="P298" s="2"/>
      <c r="Q298" s="2"/>
      <c r="R298" s="2"/>
      <c r="S298" s="2"/>
      <c r="T298" s="2"/>
    </row>
    <row r="299" spans="1:20" ht="15.75" customHeight="1">
      <c r="A299" s="1"/>
      <c r="B299" s="2"/>
      <c r="C299" s="2"/>
      <c r="D299" s="2"/>
      <c r="E299" s="2"/>
      <c r="F299" s="2"/>
      <c r="G299" s="2"/>
      <c r="H299" s="2"/>
      <c r="I299" s="2"/>
      <c r="J299" s="2"/>
      <c r="K299" s="2"/>
      <c r="L299" s="2"/>
      <c r="M299" s="2"/>
      <c r="N299" s="2"/>
      <c r="O299" s="2"/>
      <c r="P299" s="2"/>
      <c r="Q299" s="2"/>
      <c r="R299" s="2"/>
      <c r="S299" s="2"/>
      <c r="T299" s="2"/>
    </row>
    <row r="300" spans="1:20" ht="15.75" customHeight="1">
      <c r="A300" s="1"/>
      <c r="B300" s="2"/>
      <c r="C300" s="2"/>
      <c r="D300" s="2"/>
      <c r="E300" s="2"/>
      <c r="F300" s="2"/>
      <c r="G300" s="2"/>
      <c r="H300" s="2"/>
      <c r="I300" s="2"/>
      <c r="J300" s="2"/>
      <c r="K300" s="2"/>
      <c r="L300" s="2"/>
      <c r="M300" s="2"/>
      <c r="N300" s="2"/>
      <c r="O300" s="2"/>
      <c r="P300" s="2"/>
      <c r="Q300" s="2"/>
      <c r="R300" s="2"/>
      <c r="S300" s="2"/>
      <c r="T300" s="2"/>
    </row>
    <row r="301" spans="1:20" ht="15.75" customHeight="1">
      <c r="A301" s="1"/>
      <c r="B301" s="2"/>
      <c r="C301" s="2"/>
      <c r="D301" s="2"/>
      <c r="E301" s="2"/>
      <c r="F301" s="2"/>
      <c r="G301" s="2"/>
      <c r="H301" s="2"/>
      <c r="I301" s="2"/>
      <c r="J301" s="2"/>
      <c r="K301" s="2"/>
      <c r="L301" s="2"/>
      <c r="M301" s="2"/>
      <c r="N301" s="2"/>
      <c r="O301" s="2"/>
      <c r="P301" s="2"/>
      <c r="Q301" s="2"/>
      <c r="R301" s="2"/>
      <c r="S301" s="2"/>
      <c r="T301" s="2"/>
    </row>
    <row r="302" spans="1:20" ht="15.75" customHeight="1">
      <c r="A302" s="1"/>
      <c r="B302" s="2"/>
      <c r="C302" s="2"/>
      <c r="D302" s="2"/>
      <c r="E302" s="2"/>
      <c r="F302" s="2"/>
      <c r="G302" s="2"/>
      <c r="H302" s="2"/>
      <c r="I302" s="2"/>
      <c r="J302" s="2"/>
      <c r="K302" s="2"/>
      <c r="L302" s="2"/>
      <c r="M302" s="2"/>
      <c r="N302" s="2"/>
      <c r="O302" s="2"/>
      <c r="P302" s="2"/>
      <c r="Q302" s="2"/>
      <c r="R302" s="2"/>
      <c r="S302" s="2"/>
      <c r="T302" s="2"/>
    </row>
    <row r="303" spans="1:20" ht="15.75" customHeight="1">
      <c r="A303" s="1"/>
      <c r="B303" s="2"/>
      <c r="C303" s="2"/>
      <c r="D303" s="2"/>
      <c r="E303" s="2"/>
      <c r="F303" s="2"/>
      <c r="G303" s="2"/>
      <c r="H303" s="2"/>
      <c r="I303" s="2"/>
      <c r="J303" s="2"/>
      <c r="K303" s="2"/>
      <c r="L303" s="2"/>
      <c r="M303" s="2"/>
      <c r="N303" s="2"/>
      <c r="O303" s="2"/>
      <c r="P303" s="2"/>
      <c r="Q303" s="2"/>
      <c r="R303" s="2"/>
      <c r="S303" s="2"/>
      <c r="T303" s="2"/>
    </row>
    <row r="304" spans="1:20" ht="15.75" customHeight="1">
      <c r="A304" s="1"/>
      <c r="B304" s="2"/>
      <c r="C304" s="2"/>
      <c r="D304" s="2"/>
      <c r="E304" s="2"/>
      <c r="F304" s="2"/>
      <c r="G304" s="2"/>
      <c r="H304" s="2"/>
      <c r="I304" s="2"/>
      <c r="J304" s="2"/>
      <c r="K304" s="2"/>
      <c r="L304" s="2"/>
      <c r="M304" s="2"/>
      <c r="N304" s="2"/>
      <c r="O304" s="2"/>
      <c r="P304" s="2"/>
      <c r="Q304" s="2"/>
      <c r="R304" s="2"/>
      <c r="S304" s="2"/>
      <c r="T304" s="2"/>
    </row>
    <row r="305" spans="1:20" ht="15.75" customHeight="1">
      <c r="A305" s="1"/>
      <c r="B305" s="2"/>
      <c r="C305" s="2"/>
      <c r="D305" s="2"/>
      <c r="E305" s="2"/>
      <c r="F305" s="2"/>
      <c r="G305" s="2"/>
      <c r="H305" s="2"/>
      <c r="I305" s="2"/>
      <c r="J305" s="2"/>
      <c r="K305" s="2"/>
      <c r="L305" s="2"/>
      <c r="M305" s="2"/>
      <c r="N305" s="2"/>
      <c r="O305" s="2"/>
      <c r="P305" s="2"/>
      <c r="Q305" s="2"/>
      <c r="R305" s="2"/>
      <c r="S305" s="2"/>
      <c r="T305" s="2"/>
    </row>
    <row r="306" spans="1:20" ht="15.75" customHeight="1">
      <c r="A306" s="1"/>
      <c r="B306" s="2"/>
      <c r="C306" s="2"/>
      <c r="D306" s="2"/>
      <c r="E306" s="2"/>
      <c r="F306" s="2"/>
      <c r="G306" s="2"/>
      <c r="H306" s="2"/>
      <c r="I306" s="2"/>
      <c r="J306" s="2"/>
      <c r="K306" s="2"/>
      <c r="L306" s="2"/>
      <c r="M306" s="2"/>
      <c r="N306" s="2"/>
      <c r="O306" s="2"/>
      <c r="P306" s="2"/>
      <c r="Q306" s="2"/>
      <c r="R306" s="2"/>
      <c r="S306" s="2"/>
      <c r="T306" s="2"/>
    </row>
    <row r="307" spans="1:20" ht="15.75" customHeight="1">
      <c r="A307" s="1"/>
      <c r="B307" s="2"/>
      <c r="C307" s="2"/>
      <c r="D307" s="2"/>
      <c r="E307" s="2"/>
      <c r="F307" s="2"/>
      <c r="G307" s="2"/>
      <c r="H307" s="2"/>
      <c r="I307" s="2"/>
      <c r="J307" s="2"/>
      <c r="K307" s="2"/>
      <c r="L307" s="2"/>
      <c r="M307" s="2"/>
      <c r="N307" s="2"/>
      <c r="O307" s="2"/>
      <c r="P307" s="2"/>
      <c r="Q307" s="2"/>
      <c r="R307" s="2"/>
      <c r="S307" s="2"/>
      <c r="T307" s="2"/>
    </row>
    <row r="308" spans="1:20" ht="15.75" customHeight="1">
      <c r="A308" s="1"/>
      <c r="B308" s="2"/>
      <c r="C308" s="2"/>
      <c r="D308" s="2"/>
      <c r="E308" s="2"/>
      <c r="F308" s="2"/>
      <c r="G308" s="2"/>
      <c r="H308" s="2"/>
      <c r="I308" s="2"/>
      <c r="J308" s="2"/>
      <c r="K308" s="2"/>
      <c r="L308" s="2"/>
      <c r="M308" s="2"/>
      <c r="N308" s="2"/>
      <c r="O308" s="2"/>
      <c r="P308" s="2"/>
      <c r="Q308" s="2"/>
      <c r="R308" s="2"/>
      <c r="S308" s="2"/>
      <c r="T308" s="2"/>
    </row>
    <row r="309" spans="1:20" ht="15.75" customHeight="1">
      <c r="A309" s="1"/>
      <c r="B309" s="2"/>
      <c r="C309" s="2"/>
      <c r="D309" s="2"/>
      <c r="E309" s="2"/>
      <c r="F309" s="2"/>
      <c r="G309" s="2"/>
      <c r="H309" s="2"/>
      <c r="I309" s="2"/>
      <c r="J309" s="2"/>
      <c r="K309" s="2"/>
      <c r="L309" s="2"/>
      <c r="M309" s="2"/>
      <c r="N309" s="2"/>
      <c r="O309" s="2"/>
      <c r="P309" s="2"/>
      <c r="Q309" s="2"/>
      <c r="R309" s="2"/>
      <c r="S309" s="2"/>
      <c r="T309" s="2"/>
    </row>
    <row r="310" spans="1:20" ht="15.75" customHeight="1">
      <c r="A310" s="1"/>
      <c r="B310" s="2"/>
      <c r="C310" s="2"/>
      <c r="D310" s="2"/>
      <c r="E310" s="2"/>
      <c r="F310" s="2"/>
      <c r="G310" s="2"/>
      <c r="H310" s="2"/>
      <c r="I310" s="2"/>
      <c r="J310" s="2"/>
      <c r="K310" s="2"/>
      <c r="L310" s="2"/>
      <c r="M310" s="2"/>
      <c r="N310" s="2"/>
      <c r="O310" s="2"/>
      <c r="P310" s="2"/>
      <c r="Q310" s="2"/>
      <c r="R310" s="2"/>
      <c r="S310" s="2"/>
      <c r="T310" s="2"/>
    </row>
    <row r="311" spans="1:20" ht="15.75" customHeight="1">
      <c r="A311" s="1"/>
      <c r="B311" s="2"/>
      <c r="C311" s="2"/>
      <c r="D311" s="2"/>
      <c r="E311" s="2"/>
      <c r="F311" s="2"/>
      <c r="G311" s="2"/>
      <c r="H311" s="2"/>
      <c r="I311" s="2"/>
      <c r="J311" s="2"/>
      <c r="K311" s="2"/>
      <c r="L311" s="2"/>
      <c r="M311" s="2"/>
      <c r="N311" s="2"/>
      <c r="O311" s="2"/>
      <c r="P311" s="2"/>
      <c r="Q311" s="2"/>
      <c r="R311" s="2"/>
      <c r="S311" s="2"/>
      <c r="T311" s="2"/>
    </row>
    <row r="312" spans="1:20" ht="15.75" customHeight="1">
      <c r="A312" s="1"/>
      <c r="B312" s="2"/>
      <c r="C312" s="2"/>
      <c r="D312" s="2"/>
      <c r="E312" s="2"/>
      <c r="F312" s="2"/>
      <c r="G312" s="2"/>
      <c r="H312" s="2"/>
      <c r="I312" s="2"/>
      <c r="J312" s="2"/>
      <c r="K312" s="2"/>
      <c r="L312" s="2"/>
      <c r="M312" s="2"/>
      <c r="N312" s="2"/>
      <c r="O312" s="2"/>
      <c r="P312" s="2"/>
      <c r="Q312" s="2"/>
      <c r="R312" s="2"/>
      <c r="S312" s="2"/>
      <c r="T312" s="2"/>
    </row>
    <row r="313" spans="1:20" ht="15.75" customHeight="1">
      <c r="A313" s="1"/>
      <c r="B313" s="2"/>
      <c r="C313" s="2"/>
      <c r="D313" s="2"/>
      <c r="E313" s="2"/>
      <c r="F313" s="2"/>
      <c r="G313" s="2"/>
      <c r="H313" s="2"/>
      <c r="I313" s="2"/>
      <c r="J313" s="2"/>
      <c r="K313" s="2"/>
      <c r="L313" s="2"/>
      <c r="M313" s="2"/>
      <c r="N313" s="2"/>
      <c r="O313" s="2"/>
      <c r="P313" s="2"/>
      <c r="Q313" s="2"/>
      <c r="R313" s="2"/>
      <c r="S313" s="2"/>
      <c r="T313" s="2"/>
    </row>
    <row r="314" spans="1:20" ht="15.75" customHeight="1">
      <c r="A314" s="1"/>
      <c r="B314" s="2"/>
      <c r="C314" s="2"/>
      <c r="D314" s="2"/>
      <c r="E314" s="2"/>
      <c r="F314" s="2"/>
      <c r="G314" s="2"/>
      <c r="H314" s="2"/>
      <c r="I314" s="2"/>
      <c r="J314" s="2"/>
      <c r="K314" s="2"/>
      <c r="L314" s="2"/>
      <c r="M314" s="2"/>
      <c r="N314" s="2"/>
      <c r="O314" s="2"/>
      <c r="P314" s="2"/>
      <c r="Q314" s="2"/>
      <c r="R314" s="2"/>
      <c r="S314" s="2"/>
      <c r="T314" s="2"/>
    </row>
    <row r="315" spans="1:20" ht="15.75" customHeight="1">
      <c r="A315" s="1"/>
      <c r="B315" s="2"/>
      <c r="C315" s="2"/>
      <c r="D315" s="2"/>
      <c r="E315" s="2"/>
      <c r="F315" s="2"/>
      <c r="G315" s="2"/>
      <c r="H315" s="2"/>
      <c r="I315" s="2"/>
      <c r="J315" s="2"/>
      <c r="K315" s="2"/>
      <c r="L315" s="2"/>
      <c r="M315" s="2"/>
      <c r="N315" s="2"/>
      <c r="O315" s="2"/>
      <c r="P315" s="2"/>
      <c r="Q315" s="2"/>
      <c r="R315" s="2"/>
      <c r="S315" s="2"/>
      <c r="T315" s="2"/>
    </row>
    <row r="316" spans="1:20" ht="15.75" customHeight="1">
      <c r="A316" s="1"/>
      <c r="B316" s="2"/>
      <c r="C316" s="2"/>
      <c r="D316" s="2"/>
      <c r="E316" s="2"/>
      <c r="F316" s="2"/>
      <c r="G316" s="2"/>
      <c r="H316" s="2"/>
      <c r="I316" s="2"/>
      <c r="J316" s="2"/>
      <c r="K316" s="2"/>
      <c r="L316" s="2"/>
      <c r="M316" s="2"/>
      <c r="N316" s="2"/>
      <c r="O316" s="2"/>
      <c r="P316" s="2"/>
      <c r="Q316" s="2"/>
      <c r="R316" s="2"/>
      <c r="S316" s="2"/>
      <c r="T316" s="2"/>
    </row>
    <row r="317" spans="1:20" ht="15.75" customHeight="1">
      <c r="A317" s="1"/>
      <c r="B317" s="2"/>
      <c r="C317" s="2"/>
      <c r="D317" s="2"/>
      <c r="E317" s="2"/>
      <c r="F317" s="2"/>
      <c r="G317" s="2"/>
      <c r="H317" s="2"/>
      <c r="I317" s="2"/>
      <c r="J317" s="2"/>
      <c r="K317" s="2"/>
      <c r="L317" s="2"/>
      <c r="M317" s="2"/>
      <c r="N317" s="2"/>
      <c r="O317" s="2"/>
      <c r="P317" s="2"/>
      <c r="Q317" s="2"/>
      <c r="R317" s="2"/>
      <c r="S317" s="2"/>
      <c r="T317" s="2"/>
    </row>
    <row r="318" spans="1:20" ht="15.75" customHeight="1">
      <c r="A318" s="1"/>
      <c r="B318" s="2"/>
      <c r="C318" s="2"/>
      <c r="D318" s="2"/>
      <c r="E318" s="2"/>
      <c r="F318" s="2"/>
      <c r="G318" s="2"/>
      <c r="H318" s="2"/>
      <c r="I318" s="2"/>
      <c r="J318" s="2"/>
      <c r="K318" s="2"/>
      <c r="L318" s="2"/>
      <c r="M318" s="2"/>
      <c r="N318" s="2"/>
      <c r="O318" s="2"/>
      <c r="P318" s="2"/>
      <c r="Q318" s="2"/>
      <c r="R318" s="2"/>
      <c r="S318" s="2"/>
      <c r="T318" s="2"/>
    </row>
    <row r="319" spans="1:20" ht="15.75" customHeight="1">
      <c r="A319" s="1"/>
      <c r="B319" s="2"/>
      <c r="C319" s="2"/>
      <c r="D319" s="2"/>
      <c r="E319" s="2"/>
      <c r="F319" s="2"/>
      <c r="G319" s="2"/>
      <c r="H319" s="2"/>
      <c r="I319" s="2"/>
      <c r="J319" s="2"/>
      <c r="K319" s="2"/>
      <c r="L319" s="2"/>
      <c r="M319" s="2"/>
      <c r="N319" s="2"/>
      <c r="O319" s="2"/>
      <c r="P319" s="2"/>
      <c r="Q319" s="2"/>
      <c r="R319" s="2"/>
      <c r="S319" s="2"/>
      <c r="T319" s="2"/>
    </row>
    <row r="320" spans="1:20" ht="15.75" customHeight="1">
      <c r="A320" s="1"/>
      <c r="B320" s="2"/>
      <c r="C320" s="2"/>
      <c r="D320" s="2"/>
      <c r="E320" s="2"/>
      <c r="F320" s="2"/>
      <c r="G320" s="2"/>
      <c r="H320" s="2"/>
      <c r="I320" s="2"/>
      <c r="J320" s="2"/>
      <c r="K320" s="2"/>
      <c r="L320" s="2"/>
      <c r="M320" s="2"/>
      <c r="N320" s="2"/>
      <c r="O320" s="2"/>
      <c r="P320" s="2"/>
      <c r="Q320" s="2"/>
      <c r="R320" s="2"/>
      <c r="S320" s="2"/>
      <c r="T320" s="2"/>
    </row>
    <row r="321" spans="1:20" ht="15.75" customHeight="1">
      <c r="A321" s="1"/>
      <c r="B321" s="2"/>
      <c r="C321" s="2"/>
      <c r="D321" s="2"/>
      <c r="E321" s="2"/>
      <c r="F321" s="2"/>
      <c r="G321" s="2"/>
      <c r="H321" s="2"/>
      <c r="I321" s="2"/>
      <c r="J321" s="2"/>
      <c r="K321" s="2"/>
      <c r="L321" s="2"/>
      <c r="M321" s="2"/>
      <c r="N321" s="2"/>
      <c r="O321" s="2"/>
      <c r="P321" s="2"/>
      <c r="Q321" s="2"/>
      <c r="R321" s="2"/>
      <c r="S321" s="2"/>
      <c r="T321" s="2"/>
    </row>
    <row r="322" spans="1:20" ht="15.75" customHeight="1">
      <c r="A322" s="1"/>
      <c r="B322" s="2"/>
      <c r="C322" s="2"/>
      <c r="D322" s="2"/>
      <c r="E322" s="2"/>
      <c r="F322" s="2"/>
      <c r="G322" s="2"/>
      <c r="H322" s="2"/>
      <c r="I322" s="2"/>
      <c r="J322" s="2"/>
      <c r="K322" s="2"/>
      <c r="L322" s="2"/>
      <c r="M322" s="2"/>
      <c r="N322" s="2"/>
      <c r="O322" s="2"/>
      <c r="P322" s="2"/>
      <c r="Q322" s="2"/>
      <c r="R322" s="2"/>
      <c r="S322" s="2"/>
      <c r="T322" s="2"/>
    </row>
    <row r="323" spans="1:20" ht="15.75" customHeight="1">
      <c r="A323" s="1"/>
      <c r="B323" s="2"/>
      <c r="C323" s="2"/>
      <c r="D323" s="2"/>
      <c r="E323" s="2"/>
      <c r="F323" s="2"/>
      <c r="G323" s="2"/>
      <c r="H323" s="2"/>
      <c r="I323" s="2"/>
      <c r="J323" s="2"/>
      <c r="K323" s="2"/>
      <c r="L323" s="2"/>
      <c r="M323" s="2"/>
      <c r="N323" s="2"/>
      <c r="O323" s="2"/>
      <c r="P323" s="2"/>
      <c r="Q323" s="2"/>
      <c r="R323" s="2"/>
      <c r="S323" s="2"/>
      <c r="T323" s="2"/>
    </row>
    <row r="324" spans="1:20" ht="15.75" customHeight="1">
      <c r="A324" s="1"/>
      <c r="B324" s="2"/>
      <c r="C324" s="2"/>
      <c r="D324" s="2"/>
      <c r="E324" s="2"/>
      <c r="F324" s="2"/>
      <c r="G324" s="2"/>
      <c r="H324" s="2"/>
      <c r="I324" s="2"/>
      <c r="J324" s="2"/>
      <c r="K324" s="2"/>
      <c r="L324" s="2"/>
      <c r="M324" s="2"/>
      <c r="N324" s="2"/>
      <c r="O324" s="2"/>
      <c r="P324" s="2"/>
      <c r="Q324" s="2"/>
      <c r="R324" s="2"/>
      <c r="S324" s="2"/>
      <c r="T324" s="2"/>
    </row>
    <row r="325" spans="1:20" ht="15.75" customHeight="1">
      <c r="A325" s="1"/>
      <c r="B325" s="2"/>
      <c r="C325" s="2"/>
      <c r="D325" s="2"/>
      <c r="E325" s="2"/>
      <c r="F325" s="2"/>
      <c r="G325" s="2"/>
      <c r="H325" s="2"/>
      <c r="I325" s="2"/>
      <c r="J325" s="2"/>
      <c r="K325" s="2"/>
      <c r="L325" s="2"/>
      <c r="M325" s="2"/>
      <c r="N325" s="2"/>
      <c r="O325" s="2"/>
      <c r="P325" s="2"/>
      <c r="Q325" s="2"/>
      <c r="R325" s="2"/>
      <c r="S325" s="2"/>
      <c r="T325" s="2"/>
    </row>
    <row r="326" spans="1:20" ht="15.75" customHeight="1">
      <c r="A326" s="1"/>
      <c r="B326" s="2"/>
      <c r="C326" s="2"/>
      <c r="D326" s="2"/>
      <c r="E326" s="2"/>
      <c r="F326" s="2"/>
      <c r="G326" s="2"/>
      <c r="H326" s="2"/>
      <c r="I326" s="2"/>
      <c r="J326" s="2"/>
      <c r="K326" s="2"/>
      <c r="L326" s="2"/>
      <c r="M326" s="2"/>
      <c r="N326" s="2"/>
      <c r="O326" s="2"/>
      <c r="P326" s="2"/>
      <c r="Q326" s="2"/>
      <c r="R326" s="2"/>
      <c r="S326" s="2"/>
      <c r="T326" s="2"/>
    </row>
    <row r="327" spans="1:20" ht="15.75" customHeight="1">
      <c r="A327" s="1"/>
      <c r="B327" s="2"/>
      <c r="C327" s="2"/>
      <c r="D327" s="2"/>
      <c r="E327" s="2"/>
      <c r="F327" s="2"/>
      <c r="G327" s="2"/>
      <c r="H327" s="2"/>
      <c r="I327" s="2"/>
      <c r="J327" s="2"/>
      <c r="K327" s="2"/>
      <c r="L327" s="2"/>
      <c r="M327" s="2"/>
      <c r="N327" s="2"/>
      <c r="O327" s="2"/>
      <c r="P327" s="2"/>
      <c r="Q327" s="2"/>
      <c r="R327" s="2"/>
      <c r="S327" s="2"/>
      <c r="T327" s="2"/>
    </row>
    <row r="328" spans="1:20" ht="15.75" customHeight="1">
      <c r="A328" s="1"/>
      <c r="B328" s="2"/>
      <c r="C328" s="2"/>
      <c r="D328" s="2"/>
      <c r="E328" s="2"/>
      <c r="F328" s="2"/>
      <c r="G328" s="2"/>
      <c r="H328" s="2"/>
      <c r="I328" s="2"/>
      <c r="J328" s="2"/>
      <c r="K328" s="2"/>
      <c r="L328" s="2"/>
      <c r="M328" s="2"/>
      <c r="N328" s="2"/>
      <c r="O328" s="2"/>
      <c r="P328" s="2"/>
      <c r="Q328" s="2"/>
      <c r="R328" s="2"/>
      <c r="S328" s="2"/>
      <c r="T328" s="2"/>
    </row>
    <row r="329" spans="1:20" ht="15.75" customHeight="1">
      <c r="A329" s="1"/>
      <c r="B329" s="2"/>
      <c r="C329" s="2"/>
      <c r="D329" s="2"/>
      <c r="E329" s="2"/>
      <c r="F329" s="2"/>
      <c r="G329" s="2"/>
      <c r="H329" s="2"/>
      <c r="I329" s="2"/>
      <c r="J329" s="2"/>
      <c r="K329" s="2"/>
      <c r="L329" s="2"/>
      <c r="M329" s="2"/>
      <c r="N329" s="2"/>
      <c r="O329" s="2"/>
      <c r="P329" s="2"/>
      <c r="Q329" s="2"/>
      <c r="R329" s="2"/>
      <c r="S329" s="2"/>
      <c r="T329" s="2"/>
    </row>
    <row r="330" spans="1:20" ht="15.75" customHeight="1">
      <c r="A330" s="1"/>
      <c r="B330" s="2"/>
      <c r="C330" s="2"/>
      <c r="D330" s="2"/>
      <c r="E330" s="2"/>
      <c r="F330" s="2"/>
      <c r="G330" s="2"/>
      <c r="H330" s="2"/>
      <c r="I330" s="2"/>
      <c r="J330" s="2"/>
      <c r="K330" s="2"/>
      <c r="L330" s="2"/>
      <c r="M330" s="2"/>
      <c r="N330" s="2"/>
      <c r="O330" s="2"/>
      <c r="P330" s="2"/>
      <c r="Q330" s="2"/>
      <c r="R330" s="2"/>
      <c r="S330" s="2"/>
      <c r="T330" s="2"/>
    </row>
    <row r="331" spans="1:20" ht="15.75" customHeight="1">
      <c r="A331" s="1"/>
      <c r="B331" s="2"/>
      <c r="C331" s="2"/>
      <c r="D331" s="2"/>
      <c r="E331" s="2"/>
      <c r="F331" s="2"/>
      <c r="G331" s="2"/>
      <c r="H331" s="2"/>
      <c r="I331" s="2"/>
      <c r="J331" s="2"/>
      <c r="K331" s="2"/>
      <c r="L331" s="2"/>
      <c r="M331" s="2"/>
      <c r="N331" s="2"/>
      <c r="O331" s="2"/>
      <c r="P331" s="2"/>
      <c r="Q331" s="2"/>
      <c r="R331" s="2"/>
      <c r="S331" s="2"/>
      <c r="T331" s="2"/>
    </row>
    <row r="332" spans="1:20" ht="15.75" customHeight="1">
      <c r="A332" s="1"/>
      <c r="B332" s="2"/>
      <c r="C332" s="2"/>
      <c r="D332" s="2"/>
      <c r="E332" s="2"/>
      <c r="F332" s="2"/>
      <c r="G332" s="2"/>
      <c r="H332" s="2"/>
      <c r="I332" s="2"/>
      <c r="J332" s="2"/>
      <c r="K332" s="2"/>
      <c r="L332" s="2"/>
      <c r="M332" s="2"/>
      <c r="N332" s="2"/>
      <c r="O332" s="2"/>
      <c r="P332" s="2"/>
      <c r="Q332" s="2"/>
      <c r="R332" s="2"/>
      <c r="S332" s="2"/>
      <c r="T332" s="2"/>
    </row>
    <row r="333" spans="1:20" ht="15.75" customHeight="1">
      <c r="A333" s="1"/>
      <c r="B333" s="2"/>
      <c r="C333" s="2"/>
      <c r="D333" s="2"/>
      <c r="E333" s="2"/>
      <c r="F333" s="2"/>
      <c r="G333" s="2"/>
      <c r="H333" s="2"/>
      <c r="I333" s="2"/>
      <c r="J333" s="2"/>
      <c r="K333" s="2"/>
      <c r="L333" s="2"/>
      <c r="M333" s="2"/>
      <c r="N333" s="2"/>
      <c r="O333" s="2"/>
      <c r="P333" s="2"/>
      <c r="Q333" s="2"/>
      <c r="R333" s="2"/>
      <c r="S333" s="2"/>
      <c r="T333" s="2"/>
    </row>
    <row r="334" spans="1:20" ht="15.75" customHeight="1">
      <c r="A334" s="1"/>
      <c r="B334" s="2"/>
      <c r="C334" s="2"/>
      <c r="D334" s="2"/>
      <c r="E334" s="2"/>
      <c r="F334" s="2"/>
      <c r="G334" s="2"/>
      <c r="H334" s="2"/>
      <c r="I334" s="2"/>
      <c r="J334" s="2"/>
      <c r="K334" s="2"/>
      <c r="L334" s="2"/>
      <c r="M334" s="2"/>
      <c r="N334" s="2"/>
      <c r="O334" s="2"/>
      <c r="P334" s="2"/>
      <c r="Q334" s="2"/>
      <c r="R334" s="2"/>
      <c r="S334" s="2"/>
      <c r="T334" s="2"/>
    </row>
    <row r="335" spans="1:20" ht="15.75" customHeight="1">
      <c r="A335" s="1"/>
      <c r="B335" s="2"/>
      <c r="C335" s="2"/>
      <c r="D335" s="2"/>
      <c r="E335" s="2"/>
      <c r="F335" s="2"/>
      <c r="G335" s="2"/>
      <c r="H335" s="2"/>
      <c r="I335" s="2"/>
      <c r="J335" s="2"/>
      <c r="K335" s="2"/>
      <c r="L335" s="2"/>
      <c r="M335" s="2"/>
      <c r="N335" s="2"/>
      <c r="O335" s="2"/>
      <c r="P335" s="2"/>
      <c r="Q335" s="2"/>
      <c r="R335" s="2"/>
      <c r="S335" s="2"/>
      <c r="T335" s="2"/>
    </row>
    <row r="336" spans="1:20" ht="15.75" customHeight="1">
      <c r="A336" s="1"/>
      <c r="B336" s="2"/>
      <c r="C336" s="2"/>
      <c r="D336" s="2"/>
      <c r="E336" s="2"/>
      <c r="F336" s="2"/>
      <c r="G336" s="2"/>
      <c r="H336" s="2"/>
      <c r="I336" s="2"/>
      <c r="J336" s="2"/>
      <c r="K336" s="2"/>
      <c r="L336" s="2"/>
      <c r="M336" s="2"/>
      <c r="N336" s="2"/>
      <c r="O336" s="2"/>
      <c r="P336" s="2"/>
      <c r="Q336" s="2"/>
      <c r="R336" s="2"/>
      <c r="S336" s="2"/>
      <c r="T336" s="2"/>
    </row>
    <row r="337" spans="1:20" ht="15.75" customHeight="1">
      <c r="A337" s="1"/>
      <c r="B337" s="2"/>
      <c r="C337" s="2"/>
      <c r="D337" s="2"/>
      <c r="E337" s="2"/>
      <c r="F337" s="2"/>
      <c r="G337" s="2"/>
      <c r="H337" s="2"/>
      <c r="I337" s="2"/>
      <c r="J337" s="2"/>
      <c r="K337" s="2"/>
      <c r="L337" s="2"/>
      <c r="M337" s="2"/>
      <c r="N337" s="2"/>
      <c r="O337" s="2"/>
      <c r="P337" s="2"/>
      <c r="Q337" s="2"/>
      <c r="R337" s="2"/>
      <c r="S337" s="2"/>
      <c r="T337" s="2"/>
    </row>
    <row r="338" spans="1:20" ht="15.75" customHeight="1">
      <c r="A338" s="1"/>
      <c r="B338" s="2"/>
      <c r="C338" s="2"/>
      <c r="D338" s="2"/>
      <c r="E338" s="2"/>
      <c r="F338" s="2"/>
      <c r="G338" s="2"/>
      <c r="H338" s="2"/>
      <c r="I338" s="2"/>
      <c r="J338" s="2"/>
      <c r="K338" s="2"/>
      <c r="L338" s="2"/>
      <c r="M338" s="2"/>
      <c r="N338" s="2"/>
      <c r="O338" s="2"/>
      <c r="P338" s="2"/>
      <c r="Q338" s="2"/>
      <c r="R338" s="2"/>
      <c r="S338" s="2"/>
      <c r="T338" s="2"/>
    </row>
    <row r="339" spans="1:20" ht="15.75" customHeight="1">
      <c r="A339" s="1"/>
      <c r="B339" s="2"/>
      <c r="C339" s="2"/>
      <c r="D339" s="2"/>
      <c r="E339" s="2"/>
      <c r="F339" s="2"/>
      <c r="G339" s="2"/>
      <c r="H339" s="2"/>
      <c r="I339" s="2"/>
      <c r="J339" s="2"/>
      <c r="K339" s="2"/>
      <c r="L339" s="2"/>
      <c r="M339" s="2"/>
      <c r="N339" s="2"/>
      <c r="O339" s="2"/>
      <c r="P339" s="2"/>
      <c r="Q339" s="2"/>
      <c r="R339" s="2"/>
      <c r="S339" s="2"/>
      <c r="T339" s="2"/>
    </row>
    <row r="340" spans="1:20" ht="15.75" customHeight="1">
      <c r="A340" s="1"/>
      <c r="B340" s="2"/>
      <c r="C340" s="2"/>
      <c r="D340" s="2"/>
      <c r="E340" s="2"/>
      <c r="F340" s="2"/>
      <c r="G340" s="2"/>
      <c r="H340" s="2"/>
      <c r="I340" s="2"/>
      <c r="J340" s="2"/>
      <c r="K340" s="2"/>
      <c r="L340" s="2"/>
      <c r="M340" s="2"/>
      <c r="N340" s="2"/>
      <c r="O340" s="2"/>
      <c r="P340" s="2"/>
      <c r="Q340" s="2"/>
      <c r="R340" s="2"/>
      <c r="S340" s="2"/>
      <c r="T340" s="2"/>
    </row>
    <row r="341" spans="1:20" ht="15.75" customHeight="1">
      <c r="A341" s="1"/>
      <c r="B341" s="2"/>
      <c r="C341" s="2"/>
      <c r="D341" s="2"/>
      <c r="E341" s="2"/>
      <c r="F341" s="2"/>
      <c r="G341" s="2"/>
      <c r="H341" s="2"/>
      <c r="I341" s="2"/>
      <c r="J341" s="2"/>
      <c r="K341" s="2"/>
      <c r="L341" s="2"/>
      <c r="M341" s="2"/>
      <c r="N341" s="2"/>
      <c r="O341" s="2"/>
      <c r="P341" s="2"/>
      <c r="Q341" s="2"/>
      <c r="R341" s="2"/>
      <c r="S341" s="2"/>
      <c r="T341" s="2"/>
    </row>
    <row r="342" spans="1:20" ht="15.75" customHeight="1">
      <c r="A342" s="1"/>
      <c r="B342" s="2"/>
      <c r="C342" s="2"/>
      <c r="D342" s="2"/>
      <c r="E342" s="2"/>
      <c r="F342" s="2"/>
      <c r="G342" s="2"/>
      <c r="H342" s="2"/>
      <c r="I342" s="2"/>
      <c r="J342" s="2"/>
      <c r="K342" s="2"/>
      <c r="L342" s="2"/>
      <c r="M342" s="2"/>
      <c r="N342" s="2"/>
      <c r="O342" s="2"/>
      <c r="P342" s="2"/>
      <c r="Q342" s="2"/>
      <c r="R342" s="2"/>
      <c r="S342" s="2"/>
      <c r="T342" s="2"/>
    </row>
    <row r="343" spans="1:20" ht="15.75" customHeight="1">
      <c r="A343" s="1"/>
      <c r="B343" s="2"/>
      <c r="C343" s="2"/>
      <c r="D343" s="2"/>
      <c r="E343" s="2"/>
      <c r="F343" s="2"/>
      <c r="G343" s="2"/>
      <c r="H343" s="2"/>
      <c r="I343" s="2"/>
      <c r="J343" s="2"/>
      <c r="K343" s="2"/>
      <c r="L343" s="2"/>
      <c r="M343" s="2"/>
      <c r="N343" s="2"/>
      <c r="O343" s="2"/>
      <c r="P343" s="2"/>
      <c r="Q343" s="2"/>
      <c r="R343" s="2"/>
      <c r="S343" s="2"/>
      <c r="T343" s="2"/>
    </row>
    <row r="344" spans="1:20" ht="15.75" customHeight="1">
      <c r="A344" s="1"/>
      <c r="B344" s="2"/>
      <c r="C344" s="2"/>
      <c r="D344" s="2"/>
      <c r="E344" s="2"/>
      <c r="F344" s="2"/>
      <c r="G344" s="2"/>
      <c r="H344" s="2"/>
      <c r="I344" s="2"/>
      <c r="J344" s="2"/>
      <c r="K344" s="2"/>
      <c r="L344" s="2"/>
      <c r="M344" s="2"/>
      <c r="N344" s="2"/>
      <c r="O344" s="2"/>
      <c r="P344" s="2"/>
      <c r="Q344" s="2"/>
      <c r="R344" s="2"/>
      <c r="S344" s="2"/>
      <c r="T344" s="2"/>
    </row>
    <row r="345" spans="1:20" ht="15.75" customHeight="1">
      <c r="A345" s="1"/>
      <c r="B345" s="2"/>
      <c r="C345" s="2"/>
      <c r="D345" s="2"/>
      <c r="E345" s="2"/>
      <c r="F345" s="2"/>
      <c r="G345" s="2"/>
      <c r="H345" s="2"/>
      <c r="I345" s="2"/>
      <c r="J345" s="2"/>
      <c r="K345" s="2"/>
      <c r="L345" s="2"/>
      <c r="M345" s="2"/>
      <c r="N345" s="2"/>
      <c r="O345" s="2"/>
      <c r="P345" s="2"/>
      <c r="Q345" s="2"/>
      <c r="R345" s="2"/>
      <c r="S345" s="2"/>
      <c r="T345" s="2"/>
    </row>
    <row r="346" spans="1:20" ht="15.75" customHeight="1">
      <c r="A346" s="1"/>
      <c r="B346" s="2"/>
      <c r="C346" s="2"/>
      <c r="D346" s="2"/>
      <c r="E346" s="2"/>
      <c r="F346" s="2"/>
      <c r="G346" s="2"/>
      <c r="H346" s="2"/>
      <c r="I346" s="2"/>
      <c r="J346" s="2"/>
      <c r="K346" s="2"/>
      <c r="L346" s="2"/>
      <c r="M346" s="2"/>
      <c r="N346" s="2"/>
      <c r="O346" s="2"/>
      <c r="P346" s="2"/>
      <c r="Q346" s="2"/>
      <c r="R346" s="2"/>
      <c r="S346" s="2"/>
      <c r="T346" s="2"/>
    </row>
    <row r="347" spans="1:20" ht="15.75" customHeight="1">
      <c r="A347" s="1"/>
      <c r="B347" s="2"/>
      <c r="C347" s="2"/>
      <c r="D347" s="2"/>
      <c r="E347" s="2"/>
      <c r="F347" s="2"/>
      <c r="G347" s="2"/>
      <c r="H347" s="2"/>
      <c r="I347" s="2"/>
      <c r="J347" s="2"/>
      <c r="K347" s="2"/>
      <c r="L347" s="2"/>
      <c r="M347" s="2"/>
      <c r="N347" s="2"/>
      <c r="O347" s="2"/>
      <c r="P347" s="2"/>
      <c r="Q347" s="2"/>
      <c r="R347" s="2"/>
      <c r="S347" s="2"/>
      <c r="T347" s="2"/>
    </row>
    <row r="348" spans="1:20" ht="15.75" customHeight="1">
      <c r="A348" s="1"/>
      <c r="B348" s="2"/>
      <c r="C348" s="2"/>
      <c r="D348" s="2"/>
      <c r="E348" s="2"/>
      <c r="F348" s="2"/>
      <c r="G348" s="2"/>
      <c r="H348" s="2"/>
      <c r="I348" s="2"/>
      <c r="J348" s="2"/>
      <c r="K348" s="2"/>
      <c r="L348" s="2"/>
      <c r="M348" s="2"/>
      <c r="N348" s="2"/>
      <c r="O348" s="2"/>
      <c r="P348" s="2"/>
      <c r="Q348" s="2"/>
      <c r="R348" s="2"/>
      <c r="S348" s="2"/>
      <c r="T348" s="2"/>
    </row>
    <row r="349" spans="1:20" ht="15.75" customHeight="1">
      <c r="A349" s="1"/>
      <c r="B349" s="2"/>
      <c r="C349" s="2"/>
      <c r="D349" s="2"/>
      <c r="E349" s="2"/>
      <c r="F349" s="2"/>
      <c r="G349" s="2"/>
      <c r="H349" s="2"/>
      <c r="I349" s="2"/>
      <c r="J349" s="2"/>
      <c r="K349" s="2"/>
      <c r="L349" s="2"/>
      <c r="M349" s="2"/>
      <c r="N349" s="2"/>
      <c r="O349" s="2"/>
      <c r="P349" s="2"/>
      <c r="Q349" s="2"/>
      <c r="R349" s="2"/>
      <c r="S349" s="2"/>
      <c r="T349" s="2"/>
    </row>
    <row r="350" spans="1:20" ht="15.75" customHeight="1">
      <c r="A350" s="1"/>
      <c r="B350" s="2"/>
      <c r="C350" s="2"/>
      <c r="D350" s="2"/>
      <c r="E350" s="2"/>
      <c r="F350" s="2"/>
      <c r="G350" s="2"/>
      <c r="H350" s="2"/>
      <c r="I350" s="2"/>
      <c r="J350" s="2"/>
      <c r="K350" s="2"/>
      <c r="L350" s="2"/>
      <c r="M350" s="2"/>
      <c r="N350" s="2"/>
      <c r="O350" s="2"/>
      <c r="P350" s="2"/>
      <c r="Q350" s="2"/>
      <c r="R350" s="2"/>
      <c r="S350" s="2"/>
      <c r="T350" s="2"/>
    </row>
    <row r="351" spans="1:20" ht="15.75" customHeight="1">
      <c r="A351" s="1"/>
      <c r="B351" s="2"/>
      <c r="C351" s="2"/>
      <c r="D351" s="2"/>
      <c r="E351" s="2"/>
      <c r="F351" s="2"/>
      <c r="G351" s="2"/>
      <c r="H351" s="2"/>
      <c r="I351" s="2"/>
      <c r="J351" s="2"/>
      <c r="K351" s="2"/>
      <c r="L351" s="2"/>
      <c r="M351" s="2"/>
      <c r="N351" s="2"/>
      <c r="O351" s="2"/>
      <c r="P351" s="2"/>
      <c r="Q351" s="2"/>
      <c r="R351" s="2"/>
      <c r="S351" s="2"/>
      <c r="T351" s="2"/>
    </row>
    <row r="352" spans="1:20" ht="15.75" customHeight="1">
      <c r="A352" s="1"/>
      <c r="B352" s="2"/>
      <c r="C352" s="2"/>
      <c r="D352" s="2"/>
      <c r="E352" s="2"/>
      <c r="F352" s="2"/>
      <c r="G352" s="2"/>
      <c r="H352" s="2"/>
      <c r="I352" s="2"/>
      <c r="J352" s="2"/>
      <c r="K352" s="2"/>
      <c r="L352" s="2"/>
      <c r="M352" s="2"/>
      <c r="N352" s="2"/>
      <c r="O352" s="2"/>
      <c r="P352" s="2"/>
      <c r="Q352" s="2"/>
      <c r="R352" s="2"/>
      <c r="S352" s="2"/>
      <c r="T352" s="2"/>
    </row>
    <row r="353" spans="1:20" ht="15.75" customHeight="1">
      <c r="A353" s="1"/>
      <c r="B353" s="2"/>
      <c r="C353" s="2"/>
      <c r="D353" s="2"/>
      <c r="E353" s="2"/>
      <c r="F353" s="2"/>
      <c r="G353" s="2"/>
      <c r="H353" s="2"/>
      <c r="I353" s="2"/>
      <c r="J353" s="2"/>
      <c r="K353" s="2"/>
      <c r="L353" s="2"/>
      <c r="M353" s="2"/>
      <c r="N353" s="2"/>
      <c r="O353" s="2"/>
      <c r="P353" s="2"/>
      <c r="Q353" s="2"/>
      <c r="R353" s="2"/>
      <c r="S353" s="2"/>
      <c r="T353" s="2"/>
    </row>
    <row r="354" spans="1:20" ht="15.75" customHeight="1">
      <c r="A354" s="1"/>
      <c r="B354" s="2"/>
      <c r="C354" s="2"/>
      <c r="D354" s="2"/>
      <c r="E354" s="2"/>
      <c r="F354" s="2"/>
      <c r="G354" s="2"/>
      <c r="H354" s="2"/>
      <c r="I354" s="2"/>
      <c r="J354" s="2"/>
      <c r="K354" s="2"/>
      <c r="L354" s="2"/>
      <c r="M354" s="2"/>
      <c r="N354" s="2"/>
      <c r="O354" s="2"/>
      <c r="P354" s="2"/>
      <c r="Q354" s="2"/>
      <c r="R354" s="2"/>
      <c r="S354" s="2"/>
      <c r="T354" s="2"/>
    </row>
    <row r="355" spans="1:20" ht="15.75" customHeight="1">
      <c r="A355" s="1"/>
      <c r="B355" s="2"/>
      <c r="C355" s="2"/>
      <c r="D355" s="2"/>
      <c r="E355" s="2"/>
      <c r="F355" s="2"/>
      <c r="G355" s="2"/>
      <c r="H355" s="2"/>
      <c r="I355" s="2"/>
      <c r="J355" s="2"/>
      <c r="K355" s="2"/>
      <c r="L355" s="2"/>
      <c r="M355" s="2"/>
      <c r="N355" s="2"/>
      <c r="O355" s="2"/>
      <c r="P355" s="2"/>
      <c r="Q355" s="2"/>
      <c r="R355" s="2"/>
      <c r="S355" s="2"/>
      <c r="T355" s="2"/>
    </row>
    <row r="356" spans="1:20" ht="15.75" customHeight="1">
      <c r="A356" s="1"/>
      <c r="B356" s="2"/>
      <c r="C356" s="2"/>
      <c r="D356" s="2"/>
      <c r="E356" s="2"/>
      <c r="F356" s="2"/>
      <c r="G356" s="2"/>
      <c r="H356" s="2"/>
      <c r="I356" s="2"/>
      <c r="J356" s="2"/>
      <c r="K356" s="2"/>
      <c r="L356" s="2"/>
      <c r="M356" s="2"/>
      <c r="N356" s="2"/>
      <c r="O356" s="2"/>
      <c r="P356" s="2"/>
      <c r="Q356" s="2"/>
      <c r="R356" s="2"/>
      <c r="S356" s="2"/>
      <c r="T356" s="2"/>
    </row>
    <row r="357" spans="1:20" ht="15.75" customHeight="1">
      <c r="A357" s="1"/>
      <c r="B357" s="2"/>
      <c r="C357" s="2"/>
      <c r="D357" s="2"/>
      <c r="E357" s="2"/>
      <c r="F357" s="2"/>
      <c r="G357" s="2"/>
      <c r="H357" s="2"/>
      <c r="I357" s="2"/>
      <c r="J357" s="2"/>
      <c r="K357" s="2"/>
      <c r="L357" s="2"/>
      <c r="M357" s="2"/>
      <c r="N357" s="2"/>
      <c r="O357" s="2"/>
      <c r="P357" s="2"/>
      <c r="Q357" s="2"/>
      <c r="R357" s="2"/>
      <c r="S357" s="2"/>
      <c r="T357" s="2"/>
    </row>
    <row r="358" spans="1:20" ht="15.75" customHeight="1">
      <c r="A358" s="1"/>
      <c r="B358" s="2"/>
      <c r="C358" s="2"/>
      <c r="D358" s="2"/>
      <c r="E358" s="2"/>
      <c r="F358" s="2"/>
      <c r="G358" s="2"/>
      <c r="H358" s="2"/>
      <c r="I358" s="2"/>
      <c r="J358" s="2"/>
      <c r="K358" s="2"/>
      <c r="L358" s="2"/>
      <c r="M358" s="2"/>
      <c r="N358" s="2"/>
      <c r="O358" s="2"/>
      <c r="P358" s="2"/>
      <c r="Q358" s="2"/>
      <c r="R358" s="2"/>
      <c r="S358" s="2"/>
      <c r="T358" s="2"/>
    </row>
    <row r="359" spans="1:20" ht="15.75" customHeight="1">
      <c r="A359" s="1"/>
      <c r="B359" s="2"/>
      <c r="C359" s="2"/>
      <c r="D359" s="2"/>
      <c r="E359" s="2"/>
      <c r="F359" s="2"/>
      <c r="G359" s="2"/>
      <c r="H359" s="2"/>
      <c r="I359" s="2"/>
      <c r="J359" s="2"/>
      <c r="K359" s="2"/>
      <c r="L359" s="2"/>
      <c r="M359" s="2"/>
      <c r="N359" s="2"/>
      <c r="O359" s="2"/>
      <c r="P359" s="2"/>
      <c r="Q359" s="2"/>
      <c r="R359" s="2"/>
      <c r="S359" s="2"/>
      <c r="T359" s="2"/>
    </row>
    <row r="360" spans="1:20" ht="15.75" customHeight="1">
      <c r="A360" s="1"/>
      <c r="B360" s="2"/>
      <c r="C360" s="2"/>
      <c r="D360" s="2"/>
      <c r="E360" s="2"/>
      <c r="F360" s="2"/>
      <c r="G360" s="2"/>
      <c r="H360" s="2"/>
      <c r="I360" s="2"/>
      <c r="J360" s="2"/>
      <c r="K360" s="2"/>
      <c r="L360" s="2"/>
      <c r="M360" s="2"/>
      <c r="N360" s="2"/>
      <c r="O360" s="2"/>
      <c r="P360" s="2"/>
      <c r="Q360" s="2"/>
      <c r="R360" s="2"/>
      <c r="S360" s="2"/>
      <c r="T360" s="2"/>
    </row>
    <row r="361" spans="1:20" ht="15.75" customHeight="1">
      <c r="A361" s="1"/>
      <c r="B361" s="2"/>
      <c r="C361" s="2"/>
      <c r="D361" s="2"/>
      <c r="E361" s="2"/>
      <c r="F361" s="2"/>
      <c r="G361" s="2"/>
      <c r="H361" s="2"/>
      <c r="I361" s="2"/>
      <c r="J361" s="2"/>
      <c r="K361" s="2"/>
      <c r="L361" s="2"/>
      <c r="M361" s="2"/>
      <c r="N361" s="2"/>
      <c r="O361" s="2"/>
      <c r="P361" s="2"/>
      <c r="Q361" s="2"/>
      <c r="R361" s="2"/>
      <c r="S361" s="2"/>
      <c r="T361" s="2"/>
    </row>
    <row r="362" spans="1:20" ht="15.75" customHeight="1">
      <c r="A362" s="1"/>
      <c r="B362" s="2"/>
      <c r="C362" s="2"/>
      <c r="D362" s="2"/>
      <c r="E362" s="2"/>
      <c r="F362" s="2"/>
      <c r="G362" s="2"/>
      <c r="H362" s="2"/>
      <c r="I362" s="2"/>
      <c r="J362" s="2"/>
      <c r="K362" s="2"/>
      <c r="L362" s="2"/>
      <c r="M362" s="2"/>
      <c r="N362" s="2"/>
      <c r="O362" s="2"/>
      <c r="P362" s="2"/>
      <c r="Q362" s="2"/>
      <c r="R362" s="2"/>
      <c r="S362" s="2"/>
      <c r="T362" s="2"/>
    </row>
    <row r="363" spans="1:20" ht="15.75" customHeight="1">
      <c r="A363" s="1"/>
      <c r="B363" s="2"/>
      <c r="C363" s="2"/>
      <c r="D363" s="2"/>
      <c r="E363" s="2"/>
      <c r="F363" s="2"/>
      <c r="G363" s="2"/>
      <c r="H363" s="2"/>
      <c r="I363" s="2"/>
      <c r="J363" s="2"/>
      <c r="K363" s="2"/>
      <c r="L363" s="2"/>
      <c r="M363" s="2"/>
      <c r="N363" s="2"/>
      <c r="O363" s="2"/>
      <c r="P363" s="2"/>
      <c r="Q363" s="2"/>
      <c r="R363" s="2"/>
      <c r="S363" s="2"/>
      <c r="T363" s="2"/>
    </row>
    <row r="364" spans="1:20" ht="15.75" customHeight="1">
      <c r="A364" s="1"/>
      <c r="B364" s="2"/>
      <c r="C364" s="2"/>
      <c r="D364" s="2"/>
      <c r="E364" s="2"/>
      <c r="F364" s="2"/>
      <c r="G364" s="2"/>
      <c r="H364" s="2"/>
      <c r="I364" s="2"/>
      <c r="J364" s="2"/>
      <c r="K364" s="2"/>
      <c r="L364" s="2"/>
      <c r="M364" s="2"/>
      <c r="N364" s="2"/>
      <c r="O364" s="2"/>
      <c r="P364" s="2"/>
      <c r="Q364" s="2"/>
      <c r="R364" s="2"/>
      <c r="S364" s="2"/>
      <c r="T364" s="2"/>
    </row>
    <row r="365" spans="1:20" ht="15.75" customHeight="1">
      <c r="A365" s="1"/>
      <c r="B365" s="2"/>
      <c r="C365" s="2"/>
      <c r="D365" s="2"/>
      <c r="E365" s="2"/>
      <c r="F365" s="2"/>
      <c r="G365" s="2"/>
      <c r="H365" s="2"/>
      <c r="I365" s="2"/>
      <c r="J365" s="2"/>
      <c r="K365" s="2"/>
      <c r="L365" s="2"/>
      <c r="M365" s="2"/>
      <c r="N365" s="2"/>
      <c r="O365" s="2"/>
      <c r="P365" s="2"/>
      <c r="Q365" s="2"/>
      <c r="R365" s="2"/>
      <c r="S365" s="2"/>
      <c r="T365" s="2"/>
    </row>
    <row r="366" spans="1:20" ht="15.75" customHeight="1">
      <c r="A366" s="1"/>
      <c r="B366" s="2"/>
      <c r="C366" s="2"/>
      <c r="D366" s="2"/>
      <c r="E366" s="2"/>
      <c r="F366" s="2"/>
      <c r="G366" s="2"/>
      <c r="H366" s="2"/>
      <c r="I366" s="2"/>
      <c r="J366" s="2"/>
      <c r="K366" s="2"/>
      <c r="L366" s="2"/>
      <c r="M366" s="2"/>
      <c r="N366" s="2"/>
      <c r="O366" s="2"/>
      <c r="P366" s="2"/>
      <c r="Q366" s="2"/>
      <c r="R366" s="2"/>
      <c r="S366" s="2"/>
      <c r="T366" s="2"/>
    </row>
    <row r="367" spans="1:20" ht="15.75" customHeight="1">
      <c r="A367" s="1"/>
      <c r="B367" s="2"/>
      <c r="C367" s="2"/>
      <c r="D367" s="2"/>
      <c r="E367" s="2"/>
      <c r="F367" s="2"/>
      <c r="G367" s="2"/>
      <c r="H367" s="2"/>
      <c r="I367" s="2"/>
      <c r="J367" s="2"/>
      <c r="K367" s="2"/>
      <c r="L367" s="2"/>
      <c r="M367" s="2"/>
      <c r="N367" s="2"/>
      <c r="O367" s="2"/>
      <c r="P367" s="2"/>
      <c r="Q367" s="2"/>
      <c r="R367" s="2"/>
      <c r="S367" s="2"/>
      <c r="T367" s="2"/>
    </row>
    <row r="368" spans="1:20" ht="15.75" customHeight="1">
      <c r="A368" s="1"/>
      <c r="B368" s="2"/>
      <c r="C368" s="2"/>
      <c r="D368" s="2"/>
      <c r="E368" s="2"/>
      <c r="F368" s="2"/>
      <c r="G368" s="2"/>
      <c r="H368" s="2"/>
      <c r="I368" s="2"/>
      <c r="J368" s="2"/>
      <c r="K368" s="2"/>
      <c r="L368" s="2"/>
      <c r="M368" s="2"/>
      <c r="N368" s="2"/>
      <c r="O368" s="2"/>
      <c r="P368" s="2"/>
      <c r="Q368" s="2"/>
      <c r="R368" s="2"/>
      <c r="S368" s="2"/>
      <c r="T368" s="2"/>
    </row>
    <row r="369" spans="1:20" ht="15.75" customHeight="1">
      <c r="A369" s="1"/>
      <c r="B369" s="2"/>
      <c r="C369" s="2"/>
      <c r="D369" s="2"/>
      <c r="E369" s="2"/>
      <c r="F369" s="2"/>
      <c r="G369" s="2"/>
      <c r="H369" s="2"/>
      <c r="I369" s="2"/>
      <c r="J369" s="2"/>
      <c r="K369" s="2"/>
      <c r="L369" s="2"/>
      <c r="M369" s="2"/>
      <c r="N369" s="2"/>
      <c r="O369" s="2"/>
      <c r="P369" s="2"/>
      <c r="Q369" s="2"/>
      <c r="R369" s="2"/>
      <c r="S369" s="2"/>
      <c r="T369" s="2"/>
    </row>
    <row r="370" spans="1:20" ht="15.75" customHeight="1">
      <c r="A370" s="1"/>
      <c r="B370" s="2"/>
      <c r="C370" s="2"/>
      <c r="D370" s="2"/>
      <c r="E370" s="2"/>
      <c r="F370" s="2"/>
      <c r="G370" s="2"/>
      <c r="H370" s="2"/>
      <c r="I370" s="2"/>
      <c r="J370" s="2"/>
      <c r="K370" s="2"/>
      <c r="L370" s="2"/>
      <c r="M370" s="2"/>
      <c r="N370" s="2"/>
      <c r="O370" s="2"/>
      <c r="P370" s="2"/>
      <c r="Q370" s="2"/>
      <c r="R370" s="2"/>
      <c r="S370" s="2"/>
      <c r="T370" s="2"/>
    </row>
    <row r="371" spans="1:20" ht="15.75" customHeight="1">
      <c r="A371" s="1"/>
      <c r="B371" s="2"/>
      <c r="C371" s="2"/>
      <c r="D371" s="2"/>
      <c r="E371" s="2"/>
      <c r="F371" s="2"/>
      <c r="G371" s="2"/>
      <c r="H371" s="2"/>
      <c r="I371" s="2"/>
      <c r="J371" s="2"/>
      <c r="K371" s="2"/>
      <c r="L371" s="2"/>
      <c r="M371" s="2"/>
      <c r="N371" s="2"/>
      <c r="O371" s="2"/>
      <c r="P371" s="2"/>
      <c r="Q371" s="2"/>
      <c r="R371" s="2"/>
      <c r="S371" s="2"/>
      <c r="T371" s="2"/>
    </row>
    <row r="372" spans="1:20" ht="15.75" customHeight="1">
      <c r="A372" s="1"/>
      <c r="B372" s="2"/>
      <c r="C372" s="2"/>
      <c r="D372" s="2"/>
      <c r="E372" s="2"/>
      <c r="F372" s="2"/>
      <c r="G372" s="2"/>
      <c r="H372" s="2"/>
      <c r="I372" s="2"/>
      <c r="J372" s="2"/>
      <c r="K372" s="2"/>
      <c r="L372" s="2"/>
      <c r="M372" s="2"/>
      <c r="N372" s="2"/>
      <c r="O372" s="2"/>
      <c r="P372" s="2"/>
      <c r="Q372" s="2"/>
      <c r="R372" s="2"/>
      <c r="S372" s="2"/>
      <c r="T372" s="2"/>
    </row>
    <row r="373" spans="1:20" ht="15.75" customHeight="1">
      <c r="A373" s="1"/>
      <c r="B373" s="2"/>
      <c r="C373" s="2"/>
      <c r="D373" s="2"/>
      <c r="E373" s="2"/>
      <c r="F373" s="2"/>
      <c r="G373" s="2"/>
      <c r="H373" s="2"/>
      <c r="I373" s="2"/>
      <c r="J373" s="2"/>
      <c r="K373" s="2"/>
      <c r="L373" s="2"/>
      <c r="M373" s="2"/>
      <c r="N373" s="2"/>
      <c r="O373" s="2"/>
      <c r="P373" s="2"/>
      <c r="Q373" s="2"/>
      <c r="R373" s="2"/>
      <c r="S373" s="2"/>
      <c r="T373" s="2"/>
    </row>
    <row r="374" spans="1:20" ht="15.75" customHeight="1">
      <c r="A374" s="1"/>
      <c r="B374" s="2"/>
      <c r="C374" s="2"/>
      <c r="D374" s="2"/>
      <c r="E374" s="2"/>
      <c r="F374" s="2"/>
      <c r="G374" s="2"/>
      <c r="H374" s="2"/>
      <c r="I374" s="2"/>
      <c r="J374" s="2"/>
      <c r="K374" s="2"/>
      <c r="L374" s="2"/>
      <c r="M374" s="2"/>
      <c r="N374" s="2"/>
      <c r="O374" s="2"/>
      <c r="P374" s="2"/>
      <c r="Q374" s="2"/>
      <c r="R374" s="2"/>
      <c r="S374" s="2"/>
      <c r="T374" s="2"/>
    </row>
    <row r="375" spans="1:20" ht="15.75" customHeight="1">
      <c r="A375" s="1"/>
      <c r="B375" s="2"/>
      <c r="C375" s="2"/>
      <c r="D375" s="2"/>
      <c r="E375" s="2"/>
      <c r="F375" s="2"/>
      <c r="G375" s="2"/>
      <c r="H375" s="2"/>
      <c r="I375" s="2"/>
      <c r="J375" s="2"/>
      <c r="K375" s="2"/>
      <c r="L375" s="2"/>
      <c r="M375" s="2"/>
      <c r="N375" s="2"/>
      <c r="O375" s="2"/>
      <c r="P375" s="2"/>
      <c r="Q375" s="2"/>
      <c r="R375" s="2"/>
      <c r="S375" s="2"/>
      <c r="T375" s="2"/>
    </row>
    <row r="376" spans="1:20" ht="15.75" customHeight="1">
      <c r="A376" s="1"/>
      <c r="B376" s="2"/>
      <c r="C376" s="2"/>
      <c r="D376" s="2"/>
      <c r="E376" s="2"/>
      <c r="F376" s="2"/>
      <c r="G376" s="2"/>
      <c r="H376" s="2"/>
      <c r="I376" s="2"/>
      <c r="J376" s="2"/>
      <c r="K376" s="2"/>
      <c r="L376" s="2"/>
      <c r="M376" s="2"/>
      <c r="N376" s="2"/>
      <c r="O376" s="2"/>
      <c r="P376" s="2"/>
      <c r="Q376" s="2"/>
      <c r="R376" s="2"/>
      <c r="S376" s="2"/>
      <c r="T376" s="2"/>
    </row>
    <row r="377" spans="1:20" ht="15.75" customHeight="1">
      <c r="A377" s="1"/>
      <c r="B377" s="2"/>
      <c r="C377" s="2"/>
      <c r="D377" s="2"/>
      <c r="E377" s="2"/>
      <c r="F377" s="2"/>
      <c r="G377" s="2"/>
      <c r="H377" s="2"/>
      <c r="I377" s="2"/>
      <c r="J377" s="2"/>
      <c r="K377" s="2"/>
      <c r="L377" s="2"/>
      <c r="M377" s="2"/>
      <c r="N377" s="2"/>
      <c r="O377" s="2"/>
      <c r="P377" s="2"/>
      <c r="Q377" s="2"/>
      <c r="R377" s="2"/>
      <c r="S377" s="2"/>
      <c r="T377" s="2"/>
    </row>
    <row r="378" spans="1:20" ht="15.75" customHeight="1">
      <c r="A378" s="1"/>
      <c r="B378" s="2"/>
      <c r="C378" s="2"/>
      <c r="D378" s="2"/>
      <c r="E378" s="2"/>
      <c r="F378" s="2"/>
      <c r="G378" s="2"/>
      <c r="H378" s="2"/>
      <c r="I378" s="2"/>
      <c r="J378" s="2"/>
      <c r="K378" s="2"/>
      <c r="L378" s="2"/>
      <c r="M378" s="2"/>
      <c r="N378" s="2"/>
      <c r="O378" s="2"/>
      <c r="P378" s="2"/>
      <c r="Q378" s="2"/>
      <c r="R378" s="2"/>
      <c r="S378" s="2"/>
      <c r="T378" s="2"/>
    </row>
    <row r="379" spans="1:20" ht="15.75" customHeight="1">
      <c r="A379" s="1"/>
      <c r="B379" s="2"/>
      <c r="C379" s="2"/>
      <c r="D379" s="2"/>
      <c r="E379" s="2"/>
      <c r="F379" s="2"/>
      <c r="G379" s="2"/>
      <c r="H379" s="2"/>
      <c r="I379" s="2"/>
      <c r="J379" s="2"/>
      <c r="K379" s="2"/>
      <c r="L379" s="2"/>
      <c r="M379" s="2"/>
      <c r="N379" s="2"/>
      <c r="O379" s="2"/>
      <c r="P379" s="2"/>
      <c r="Q379" s="2"/>
      <c r="R379" s="2"/>
      <c r="S379" s="2"/>
      <c r="T379" s="2"/>
    </row>
    <row r="380" spans="1:20" ht="15.75" customHeight="1">
      <c r="A380" s="1"/>
      <c r="B380" s="2"/>
      <c r="C380" s="2"/>
      <c r="D380" s="2"/>
      <c r="E380" s="2"/>
      <c r="F380" s="2"/>
      <c r="G380" s="2"/>
      <c r="H380" s="2"/>
      <c r="I380" s="2"/>
      <c r="J380" s="2"/>
      <c r="K380" s="2"/>
      <c r="L380" s="2"/>
      <c r="M380" s="2"/>
      <c r="N380" s="2"/>
      <c r="O380" s="2"/>
      <c r="P380" s="2"/>
      <c r="Q380" s="2"/>
      <c r="R380" s="2"/>
      <c r="S380" s="2"/>
      <c r="T380" s="2"/>
    </row>
    <row r="381" spans="1:20" ht="15.75" customHeight="1">
      <c r="A381" s="1"/>
      <c r="B381" s="2"/>
      <c r="C381" s="2"/>
      <c r="D381" s="2"/>
      <c r="E381" s="2"/>
      <c r="F381" s="2"/>
      <c r="G381" s="2"/>
      <c r="H381" s="2"/>
      <c r="I381" s="2"/>
      <c r="J381" s="2"/>
      <c r="K381" s="2"/>
      <c r="L381" s="2"/>
      <c r="M381" s="2"/>
      <c r="N381" s="2"/>
      <c r="O381" s="2"/>
      <c r="P381" s="2"/>
      <c r="Q381" s="2"/>
      <c r="R381" s="2"/>
      <c r="S381" s="2"/>
      <c r="T381" s="2"/>
    </row>
    <row r="382" spans="1:20" ht="15.75" customHeight="1">
      <c r="A382" s="1"/>
      <c r="B382" s="2"/>
      <c r="C382" s="2"/>
      <c r="D382" s="2"/>
      <c r="E382" s="2"/>
      <c r="F382" s="2"/>
      <c r="G382" s="2"/>
      <c r="H382" s="2"/>
      <c r="I382" s="2"/>
      <c r="J382" s="2"/>
      <c r="K382" s="2"/>
      <c r="L382" s="2"/>
      <c r="M382" s="2"/>
      <c r="N382" s="2"/>
      <c r="O382" s="2"/>
      <c r="P382" s="2"/>
      <c r="Q382" s="2"/>
      <c r="R382" s="2"/>
      <c r="S382" s="2"/>
      <c r="T382" s="2"/>
    </row>
    <row r="383" spans="1:20" ht="15.75" customHeight="1">
      <c r="A383" s="1"/>
      <c r="B383" s="2"/>
      <c r="C383" s="2"/>
      <c r="D383" s="2"/>
      <c r="E383" s="2"/>
      <c r="F383" s="2"/>
      <c r="G383" s="2"/>
      <c r="H383" s="2"/>
      <c r="I383" s="2"/>
      <c r="J383" s="2"/>
      <c r="K383" s="2"/>
      <c r="L383" s="2"/>
      <c r="M383" s="2"/>
      <c r="N383" s="2"/>
      <c r="O383" s="2"/>
      <c r="P383" s="2"/>
      <c r="Q383" s="2"/>
      <c r="R383" s="2"/>
      <c r="S383" s="2"/>
      <c r="T383" s="2"/>
    </row>
    <row r="384" spans="1:20" ht="15.75" customHeight="1">
      <c r="A384" s="1"/>
      <c r="B384" s="2"/>
      <c r="C384" s="2"/>
      <c r="D384" s="2"/>
      <c r="E384" s="2"/>
      <c r="F384" s="2"/>
      <c r="G384" s="2"/>
      <c r="H384" s="2"/>
      <c r="I384" s="2"/>
      <c r="J384" s="2"/>
      <c r="K384" s="2"/>
      <c r="L384" s="2"/>
      <c r="M384" s="2"/>
      <c r="N384" s="2"/>
      <c r="O384" s="2"/>
      <c r="P384" s="2"/>
      <c r="Q384" s="2"/>
      <c r="R384" s="2"/>
      <c r="S384" s="2"/>
      <c r="T384" s="2"/>
    </row>
    <row r="385" spans="1:20" ht="15.75" customHeight="1">
      <c r="A385" s="1"/>
      <c r="B385" s="2"/>
      <c r="C385" s="2"/>
      <c r="D385" s="2"/>
      <c r="E385" s="2"/>
      <c r="F385" s="2"/>
      <c r="G385" s="2"/>
      <c r="H385" s="2"/>
      <c r="I385" s="2"/>
      <c r="J385" s="2"/>
      <c r="K385" s="2"/>
      <c r="L385" s="2"/>
      <c r="M385" s="2"/>
      <c r="N385" s="2"/>
      <c r="O385" s="2"/>
      <c r="P385" s="2"/>
      <c r="Q385" s="2"/>
      <c r="R385" s="2"/>
      <c r="S385" s="2"/>
      <c r="T385" s="2"/>
    </row>
    <row r="386" spans="1:20" ht="15.75" customHeight="1">
      <c r="A386" s="1"/>
      <c r="B386" s="2"/>
      <c r="C386" s="2"/>
      <c r="D386" s="2"/>
      <c r="E386" s="2"/>
      <c r="F386" s="2"/>
      <c r="G386" s="2"/>
      <c r="H386" s="2"/>
      <c r="I386" s="2"/>
      <c r="J386" s="2"/>
      <c r="K386" s="2"/>
      <c r="L386" s="2"/>
      <c r="M386" s="2"/>
      <c r="N386" s="2"/>
      <c r="O386" s="2"/>
      <c r="P386" s="2"/>
      <c r="Q386" s="2"/>
      <c r="R386" s="2"/>
      <c r="S386" s="2"/>
      <c r="T386" s="2"/>
    </row>
    <row r="387" spans="1:20" ht="15.75" customHeight="1">
      <c r="A387" s="1"/>
      <c r="B387" s="2"/>
      <c r="C387" s="2"/>
      <c r="D387" s="2"/>
      <c r="E387" s="2"/>
      <c r="F387" s="2"/>
      <c r="G387" s="2"/>
      <c r="H387" s="2"/>
      <c r="I387" s="2"/>
      <c r="J387" s="2"/>
      <c r="K387" s="2"/>
      <c r="L387" s="2"/>
      <c r="M387" s="2"/>
      <c r="N387" s="2"/>
      <c r="O387" s="2"/>
      <c r="P387" s="2"/>
      <c r="Q387" s="2"/>
      <c r="R387" s="2"/>
      <c r="S387" s="2"/>
      <c r="T387" s="2"/>
    </row>
    <row r="388" spans="1:20" ht="15.75" customHeight="1">
      <c r="A388" s="1"/>
      <c r="B388" s="2"/>
      <c r="C388" s="2"/>
      <c r="D388" s="2"/>
      <c r="E388" s="2"/>
      <c r="F388" s="2"/>
      <c r="G388" s="2"/>
      <c r="H388" s="2"/>
      <c r="I388" s="2"/>
      <c r="J388" s="2"/>
      <c r="K388" s="2"/>
      <c r="L388" s="2"/>
      <c r="M388" s="2"/>
      <c r="N388" s="2"/>
      <c r="O388" s="2"/>
      <c r="P388" s="2"/>
      <c r="Q388" s="2"/>
      <c r="R388" s="2"/>
      <c r="S388" s="2"/>
      <c r="T388" s="2"/>
    </row>
    <row r="389" spans="1:20" ht="15.75" customHeight="1">
      <c r="A389" s="1"/>
      <c r="B389" s="2"/>
      <c r="C389" s="2"/>
      <c r="D389" s="2"/>
      <c r="E389" s="2"/>
      <c r="F389" s="2"/>
      <c r="G389" s="2"/>
      <c r="H389" s="2"/>
      <c r="I389" s="2"/>
      <c r="J389" s="2"/>
      <c r="K389" s="2"/>
      <c r="L389" s="2"/>
      <c r="M389" s="2"/>
      <c r="N389" s="2"/>
      <c r="O389" s="2"/>
      <c r="P389" s="2"/>
      <c r="Q389" s="2"/>
      <c r="R389" s="2"/>
      <c r="S389" s="2"/>
      <c r="T389" s="2"/>
    </row>
    <row r="390" spans="1:20" ht="15.75" customHeight="1">
      <c r="A390" s="1"/>
      <c r="B390" s="2"/>
      <c r="C390" s="2"/>
      <c r="D390" s="2"/>
      <c r="E390" s="2"/>
      <c r="F390" s="2"/>
      <c r="G390" s="2"/>
      <c r="H390" s="2"/>
      <c r="I390" s="2"/>
      <c r="J390" s="2"/>
      <c r="K390" s="2"/>
      <c r="L390" s="2"/>
      <c r="M390" s="2"/>
      <c r="N390" s="2"/>
      <c r="O390" s="2"/>
      <c r="P390" s="2"/>
      <c r="Q390" s="2"/>
      <c r="R390" s="2"/>
      <c r="S390" s="2"/>
      <c r="T390" s="2"/>
    </row>
    <row r="391" spans="1:20" ht="15.75" customHeight="1">
      <c r="A391" s="1"/>
      <c r="B391" s="2"/>
      <c r="C391" s="2"/>
      <c r="D391" s="2"/>
      <c r="E391" s="2"/>
      <c r="F391" s="2"/>
      <c r="G391" s="2"/>
      <c r="H391" s="2"/>
      <c r="I391" s="2"/>
      <c r="J391" s="2"/>
      <c r="K391" s="2"/>
      <c r="L391" s="2"/>
      <c r="M391" s="2"/>
      <c r="N391" s="2"/>
      <c r="O391" s="2"/>
      <c r="P391" s="2"/>
      <c r="Q391" s="2"/>
      <c r="R391" s="2"/>
      <c r="S391" s="2"/>
      <c r="T391" s="2"/>
    </row>
    <row r="392" spans="1:20" ht="15.75" customHeight="1">
      <c r="A392" s="1"/>
      <c r="B392" s="2"/>
      <c r="C392" s="2"/>
      <c r="D392" s="2"/>
      <c r="E392" s="2"/>
      <c r="F392" s="2"/>
      <c r="G392" s="2"/>
      <c r="H392" s="2"/>
      <c r="I392" s="2"/>
      <c r="J392" s="2"/>
      <c r="K392" s="2"/>
      <c r="L392" s="2"/>
      <c r="M392" s="2"/>
      <c r="N392" s="2"/>
      <c r="O392" s="2"/>
      <c r="P392" s="2"/>
      <c r="Q392" s="2"/>
      <c r="R392" s="2"/>
      <c r="S392" s="2"/>
      <c r="T392" s="2"/>
    </row>
    <row r="393" spans="1:20" ht="15.75" customHeight="1">
      <c r="A393" s="1"/>
      <c r="B393" s="2"/>
      <c r="C393" s="2"/>
      <c r="D393" s="2"/>
      <c r="E393" s="2"/>
      <c r="F393" s="2"/>
      <c r="G393" s="2"/>
      <c r="H393" s="2"/>
      <c r="I393" s="2"/>
      <c r="J393" s="2"/>
      <c r="K393" s="2"/>
      <c r="L393" s="2"/>
      <c r="M393" s="2"/>
      <c r="N393" s="2"/>
      <c r="O393" s="2"/>
      <c r="P393" s="2"/>
      <c r="Q393" s="2"/>
      <c r="R393" s="2"/>
      <c r="S393" s="2"/>
      <c r="T393" s="2"/>
    </row>
    <row r="394" spans="1:20" ht="15.75" customHeight="1">
      <c r="A394" s="1"/>
      <c r="B394" s="2"/>
      <c r="C394" s="2"/>
      <c r="D394" s="2"/>
      <c r="E394" s="2"/>
      <c r="F394" s="2"/>
      <c r="G394" s="2"/>
      <c r="H394" s="2"/>
      <c r="I394" s="2"/>
      <c r="J394" s="2"/>
      <c r="K394" s="2"/>
      <c r="L394" s="2"/>
      <c r="M394" s="2"/>
      <c r="N394" s="2"/>
      <c r="O394" s="2"/>
      <c r="P394" s="2"/>
      <c r="Q394" s="2"/>
      <c r="R394" s="2"/>
      <c r="S394" s="2"/>
      <c r="T394" s="2"/>
    </row>
    <row r="395" spans="1:20" ht="15.75" customHeight="1">
      <c r="A395" s="1"/>
      <c r="B395" s="2"/>
      <c r="C395" s="2"/>
      <c r="D395" s="2"/>
      <c r="E395" s="2"/>
      <c r="F395" s="2"/>
      <c r="G395" s="2"/>
      <c r="H395" s="2"/>
      <c r="I395" s="2"/>
      <c r="J395" s="2"/>
      <c r="K395" s="2"/>
      <c r="L395" s="2"/>
      <c r="M395" s="2"/>
      <c r="N395" s="2"/>
      <c r="O395" s="2"/>
      <c r="P395" s="2"/>
      <c r="Q395" s="2"/>
      <c r="R395" s="2"/>
      <c r="S395" s="2"/>
      <c r="T395" s="2"/>
    </row>
    <row r="396" spans="1:20" ht="15.75" customHeight="1">
      <c r="A396" s="1"/>
      <c r="B396" s="2"/>
      <c r="C396" s="2"/>
      <c r="D396" s="2"/>
      <c r="E396" s="2"/>
      <c r="F396" s="2"/>
      <c r="G396" s="2"/>
      <c r="H396" s="2"/>
      <c r="I396" s="2"/>
      <c r="J396" s="2"/>
      <c r="K396" s="2"/>
      <c r="L396" s="2"/>
      <c r="M396" s="2"/>
      <c r="N396" s="2"/>
      <c r="O396" s="2"/>
      <c r="P396" s="2"/>
      <c r="Q396" s="2"/>
      <c r="R396" s="2"/>
      <c r="S396" s="2"/>
      <c r="T396" s="2"/>
    </row>
    <row r="397" spans="1:20" ht="15.75" customHeight="1">
      <c r="A397" s="1"/>
      <c r="B397" s="2"/>
      <c r="C397" s="2"/>
      <c r="D397" s="2"/>
      <c r="E397" s="2"/>
      <c r="F397" s="2"/>
      <c r="G397" s="2"/>
      <c r="H397" s="2"/>
      <c r="I397" s="2"/>
      <c r="J397" s="2"/>
      <c r="K397" s="2"/>
      <c r="L397" s="2"/>
      <c r="M397" s="2"/>
      <c r="N397" s="2"/>
      <c r="O397" s="2"/>
      <c r="P397" s="2"/>
      <c r="Q397" s="2"/>
      <c r="R397" s="2"/>
      <c r="S397" s="2"/>
      <c r="T397" s="2"/>
    </row>
    <row r="398" spans="1:20" ht="15.75" customHeight="1">
      <c r="A398" s="1"/>
      <c r="B398" s="2"/>
      <c r="C398" s="2"/>
      <c r="D398" s="2"/>
      <c r="E398" s="2"/>
      <c r="F398" s="2"/>
      <c r="G398" s="2"/>
      <c r="H398" s="2"/>
      <c r="I398" s="2"/>
      <c r="J398" s="2"/>
      <c r="K398" s="2"/>
      <c r="L398" s="2"/>
      <c r="M398" s="2"/>
      <c r="N398" s="2"/>
      <c r="O398" s="2"/>
      <c r="P398" s="2"/>
      <c r="Q398" s="2"/>
      <c r="R398" s="2"/>
      <c r="S398" s="2"/>
      <c r="T398" s="2"/>
    </row>
    <row r="399" spans="1:20" ht="15.75" customHeight="1">
      <c r="A399" s="1"/>
      <c r="B399" s="2"/>
      <c r="C399" s="2"/>
      <c r="D399" s="2"/>
      <c r="E399" s="2"/>
      <c r="F399" s="2"/>
      <c r="G399" s="2"/>
      <c r="H399" s="2"/>
      <c r="I399" s="2"/>
      <c r="J399" s="2"/>
      <c r="K399" s="2"/>
      <c r="L399" s="2"/>
      <c r="M399" s="2"/>
      <c r="N399" s="2"/>
      <c r="O399" s="2"/>
      <c r="P399" s="2"/>
      <c r="Q399" s="2"/>
      <c r="R399" s="2"/>
      <c r="S399" s="2"/>
      <c r="T399" s="2"/>
    </row>
    <row r="400" spans="1:20" ht="15.75" customHeight="1">
      <c r="A400" s="1"/>
      <c r="B400" s="2"/>
      <c r="C400" s="2"/>
      <c r="D400" s="2"/>
      <c r="E400" s="2"/>
      <c r="F400" s="2"/>
      <c r="G400" s="2"/>
      <c r="H400" s="2"/>
      <c r="I400" s="2"/>
      <c r="J400" s="2"/>
      <c r="K400" s="2"/>
      <c r="L400" s="2"/>
      <c r="M400" s="2"/>
      <c r="N400" s="2"/>
      <c r="O400" s="2"/>
      <c r="P400" s="2"/>
      <c r="Q400" s="2"/>
      <c r="R400" s="2"/>
      <c r="S400" s="2"/>
      <c r="T400" s="2"/>
    </row>
    <row r="401" spans="1:20" ht="15.75" customHeight="1">
      <c r="A401" s="1"/>
      <c r="B401" s="2"/>
      <c r="C401" s="2"/>
      <c r="D401" s="2"/>
      <c r="E401" s="2"/>
      <c r="F401" s="2"/>
      <c r="G401" s="2"/>
      <c r="H401" s="2"/>
      <c r="I401" s="2"/>
      <c r="J401" s="2"/>
      <c r="K401" s="2"/>
      <c r="L401" s="2"/>
      <c r="M401" s="2"/>
      <c r="N401" s="2"/>
      <c r="O401" s="2"/>
      <c r="P401" s="2"/>
      <c r="Q401" s="2"/>
      <c r="R401" s="2"/>
      <c r="S401" s="2"/>
      <c r="T401" s="2"/>
    </row>
    <row r="402" spans="1:20" ht="15.75" customHeight="1">
      <c r="A402" s="1"/>
      <c r="B402" s="2"/>
      <c r="C402" s="2"/>
      <c r="D402" s="2"/>
      <c r="E402" s="2"/>
      <c r="F402" s="2"/>
      <c r="G402" s="2"/>
      <c r="H402" s="2"/>
      <c r="I402" s="2"/>
      <c r="J402" s="2"/>
      <c r="K402" s="2"/>
      <c r="L402" s="2"/>
      <c r="M402" s="2"/>
      <c r="N402" s="2"/>
      <c r="O402" s="2"/>
      <c r="P402" s="2"/>
      <c r="Q402" s="2"/>
      <c r="R402" s="2"/>
      <c r="S402" s="2"/>
      <c r="T402" s="2"/>
    </row>
    <row r="403" spans="1:20" ht="15.75" customHeight="1">
      <c r="A403" s="1"/>
      <c r="B403" s="2"/>
      <c r="C403" s="2"/>
      <c r="D403" s="2"/>
      <c r="E403" s="2"/>
      <c r="F403" s="2"/>
      <c r="G403" s="2"/>
      <c r="H403" s="2"/>
      <c r="I403" s="2"/>
      <c r="J403" s="2"/>
      <c r="K403" s="2"/>
      <c r="L403" s="2"/>
      <c r="M403" s="2"/>
      <c r="N403" s="2"/>
      <c r="O403" s="2"/>
      <c r="P403" s="2"/>
      <c r="Q403" s="2"/>
      <c r="R403" s="2"/>
      <c r="S403" s="2"/>
      <c r="T403" s="2"/>
    </row>
    <row r="404" spans="1:20" ht="15.75" customHeight="1">
      <c r="A404" s="1"/>
      <c r="B404" s="2"/>
      <c r="C404" s="2"/>
      <c r="D404" s="2"/>
      <c r="E404" s="2"/>
      <c r="F404" s="2"/>
      <c r="G404" s="2"/>
      <c r="H404" s="2"/>
      <c r="I404" s="2"/>
      <c r="J404" s="2"/>
      <c r="K404" s="2"/>
      <c r="L404" s="2"/>
      <c r="M404" s="2"/>
      <c r="N404" s="2"/>
      <c r="O404" s="2"/>
      <c r="P404" s="2"/>
      <c r="Q404" s="2"/>
      <c r="R404" s="2"/>
      <c r="S404" s="2"/>
      <c r="T404" s="2"/>
    </row>
    <row r="405" spans="1:20" ht="15.75" customHeight="1">
      <c r="A405" s="1"/>
      <c r="B405" s="2"/>
      <c r="C405" s="2"/>
      <c r="D405" s="2"/>
      <c r="E405" s="2"/>
      <c r="F405" s="2"/>
      <c r="G405" s="2"/>
      <c r="H405" s="2"/>
      <c r="I405" s="2"/>
      <c r="J405" s="2"/>
      <c r="K405" s="2"/>
      <c r="L405" s="2"/>
      <c r="M405" s="2"/>
      <c r="N405" s="2"/>
      <c r="O405" s="2"/>
      <c r="P405" s="2"/>
      <c r="Q405" s="2"/>
      <c r="R405" s="2"/>
      <c r="S405" s="2"/>
      <c r="T405" s="2"/>
    </row>
    <row r="406" spans="1:20" ht="15.75" customHeight="1">
      <c r="A406" s="1"/>
      <c r="B406" s="2"/>
      <c r="C406" s="2"/>
      <c r="D406" s="2"/>
      <c r="E406" s="2"/>
      <c r="F406" s="2"/>
      <c r="G406" s="2"/>
      <c r="H406" s="2"/>
      <c r="I406" s="2"/>
      <c r="J406" s="2"/>
      <c r="K406" s="2"/>
      <c r="L406" s="2"/>
      <c r="M406" s="2"/>
      <c r="N406" s="2"/>
      <c r="O406" s="2"/>
      <c r="P406" s="2"/>
      <c r="Q406" s="2"/>
      <c r="R406" s="2"/>
      <c r="S406" s="2"/>
      <c r="T406" s="2"/>
    </row>
    <row r="407" spans="1:20" ht="15.75" customHeight="1">
      <c r="A407" s="1"/>
      <c r="B407" s="2"/>
      <c r="C407" s="2"/>
      <c r="D407" s="2"/>
      <c r="E407" s="2"/>
      <c r="F407" s="2"/>
      <c r="G407" s="2"/>
      <c r="H407" s="2"/>
      <c r="I407" s="2"/>
      <c r="J407" s="2"/>
      <c r="K407" s="2"/>
      <c r="L407" s="2"/>
      <c r="M407" s="2"/>
      <c r="N407" s="2"/>
      <c r="O407" s="2"/>
      <c r="P407" s="2"/>
      <c r="Q407" s="2"/>
      <c r="R407" s="2"/>
      <c r="S407" s="2"/>
      <c r="T407" s="2"/>
    </row>
    <row r="408" spans="1:20" ht="15.75" customHeight="1">
      <c r="A408" s="1"/>
      <c r="B408" s="2"/>
      <c r="C408" s="2"/>
      <c r="D408" s="2"/>
      <c r="E408" s="2"/>
      <c r="F408" s="2"/>
      <c r="G408" s="2"/>
      <c r="H408" s="2"/>
      <c r="I408" s="2"/>
      <c r="J408" s="2"/>
      <c r="K408" s="2"/>
      <c r="L408" s="2"/>
      <c r="M408" s="2"/>
      <c r="N408" s="2"/>
      <c r="O408" s="2"/>
      <c r="P408" s="2"/>
      <c r="Q408" s="2"/>
      <c r="R408" s="2"/>
      <c r="S408" s="2"/>
      <c r="T408" s="2"/>
    </row>
    <row r="409" spans="1:20" ht="15.75" customHeight="1">
      <c r="A409" s="1"/>
      <c r="B409" s="2"/>
      <c r="C409" s="2"/>
      <c r="D409" s="2"/>
      <c r="E409" s="2"/>
      <c r="F409" s="2"/>
      <c r="G409" s="2"/>
      <c r="H409" s="2"/>
      <c r="I409" s="2"/>
      <c r="J409" s="2"/>
      <c r="K409" s="2"/>
      <c r="L409" s="2"/>
      <c r="M409" s="2"/>
      <c r="N409" s="2"/>
      <c r="O409" s="2"/>
      <c r="P409" s="2"/>
      <c r="Q409" s="2"/>
      <c r="R409" s="2"/>
      <c r="S409" s="2"/>
      <c r="T409" s="2"/>
    </row>
    <row r="410" spans="1:20" ht="15.75" customHeight="1">
      <c r="A410" s="1"/>
      <c r="B410" s="2"/>
      <c r="C410" s="2"/>
      <c r="D410" s="2"/>
      <c r="E410" s="2"/>
      <c r="F410" s="2"/>
      <c r="G410" s="2"/>
      <c r="H410" s="2"/>
      <c r="I410" s="2"/>
      <c r="J410" s="2"/>
      <c r="K410" s="2"/>
      <c r="L410" s="2"/>
      <c r="M410" s="2"/>
      <c r="N410" s="2"/>
      <c r="O410" s="2"/>
      <c r="P410" s="2"/>
      <c r="Q410" s="2"/>
      <c r="R410" s="2"/>
      <c r="S410" s="2"/>
      <c r="T410" s="2"/>
    </row>
    <row r="411" spans="1:20" ht="15.75" customHeight="1">
      <c r="A411" s="1"/>
      <c r="B411" s="2"/>
      <c r="C411" s="2"/>
      <c r="D411" s="2"/>
      <c r="E411" s="2"/>
      <c r="F411" s="2"/>
      <c r="G411" s="2"/>
      <c r="H411" s="2"/>
      <c r="I411" s="2"/>
      <c r="J411" s="2"/>
      <c r="K411" s="2"/>
      <c r="L411" s="2"/>
      <c r="M411" s="2"/>
      <c r="N411" s="2"/>
      <c r="O411" s="2"/>
      <c r="P411" s="2"/>
      <c r="Q411" s="2"/>
      <c r="R411" s="2"/>
      <c r="S411" s="2"/>
      <c r="T411" s="2"/>
    </row>
    <row r="412" spans="1:20" ht="15.75" customHeight="1">
      <c r="A412" s="1"/>
      <c r="B412" s="2"/>
      <c r="C412" s="2"/>
      <c r="D412" s="2"/>
      <c r="E412" s="2"/>
      <c r="F412" s="2"/>
      <c r="G412" s="2"/>
      <c r="H412" s="2"/>
      <c r="I412" s="2"/>
      <c r="J412" s="2"/>
      <c r="K412" s="2"/>
      <c r="L412" s="2"/>
      <c r="M412" s="2"/>
      <c r="N412" s="2"/>
      <c r="O412" s="2"/>
      <c r="P412" s="2"/>
      <c r="Q412" s="2"/>
      <c r="R412" s="2"/>
      <c r="S412" s="2"/>
      <c r="T412" s="2"/>
    </row>
    <row r="413" spans="1:20" ht="15.75" customHeight="1">
      <c r="A413" s="1"/>
      <c r="B413" s="2"/>
      <c r="C413" s="2"/>
      <c r="D413" s="2"/>
      <c r="E413" s="2"/>
      <c r="F413" s="2"/>
      <c r="G413" s="2"/>
      <c r="H413" s="2"/>
      <c r="I413" s="2"/>
      <c r="J413" s="2"/>
      <c r="K413" s="2"/>
      <c r="L413" s="2"/>
      <c r="M413" s="2"/>
      <c r="N413" s="2"/>
      <c r="O413" s="2"/>
      <c r="P413" s="2"/>
      <c r="Q413" s="2"/>
      <c r="R413" s="2"/>
      <c r="S413" s="2"/>
      <c r="T413" s="2"/>
    </row>
    <row r="414" spans="1:20" ht="15.75" customHeight="1">
      <c r="A414" s="1"/>
      <c r="B414" s="2"/>
      <c r="C414" s="2"/>
      <c r="D414" s="2"/>
      <c r="E414" s="2"/>
      <c r="F414" s="2"/>
      <c r="G414" s="2"/>
      <c r="H414" s="2"/>
      <c r="I414" s="2"/>
      <c r="J414" s="2"/>
      <c r="K414" s="2"/>
      <c r="L414" s="2"/>
      <c r="M414" s="2"/>
      <c r="N414" s="2"/>
      <c r="O414" s="2"/>
      <c r="P414" s="2"/>
      <c r="Q414" s="2"/>
      <c r="R414" s="2"/>
      <c r="S414" s="2"/>
      <c r="T414" s="2"/>
    </row>
    <row r="415" spans="1:20" ht="15.75" customHeight="1">
      <c r="A415" s="1"/>
      <c r="B415" s="2"/>
      <c r="C415" s="2"/>
      <c r="D415" s="2"/>
      <c r="E415" s="2"/>
      <c r="F415" s="2"/>
      <c r="G415" s="2"/>
      <c r="H415" s="2"/>
      <c r="I415" s="2"/>
      <c r="J415" s="2"/>
      <c r="K415" s="2"/>
      <c r="L415" s="2"/>
      <c r="M415" s="2"/>
      <c r="N415" s="2"/>
      <c r="O415" s="2"/>
      <c r="P415" s="2"/>
      <c r="Q415" s="2"/>
      <c r="R415" s="2"/>
      <c r="S415" s="2"/>
      <c r="T415" s="2"/>
    </row>
    <row r="416" spans="1:20" ht="15.75" customHeight="1">
      <c r="A416" s="1"/>
      <c r="B416" s="2"/>
      <c r="C416" s="2"/>
      <c r="D416" s="2"/>
      <c r="E416" s="2"/>
      <c r="F416" s="2"/>
      <c r="G416" s="2"/>
      <c r="H416" s="2"/>
      <c r="I416" s="2"/>
      <c r="J416" s="2"/>
      <c r="K416" s="2"/>
      <c r="L416" s="2"/>
      <c r="M416" s="2"/>
      <c r="N416" s="2"/>
      <c r="O416" s="2"/>
      <c r="P416" s="2"/>
      <c r="Q416" s="2"/>
      <c r="R416" s="2"/>
      <c r="S416" s="2"/>
      <c r="T416" s="2"/>
    </row>
    <row r="417" spans="1:20" ht="15.75" customHeight="1">
      <c r="A417" s="1"/>
      <c r="B417" s="2"/>
      <c r="C417" s="2"/>
      <c r="D417" s="2"/>
      <c r="E417" s="2"/>
      <c r="F417" s="2"/>
      <c r="G417" s="2"/>
      <c r="H417" s="2"/>
      <c r="I417" s="2"/>
      <c r="J417" s="2"/>
      <c r="K417" s="2"/>
      <c r="L417" s="2"/>
      <c r="M417" s="2"/>
      <c r="N417" s="2"/>
      <c r="O417" s="2"/>
      <c r="P417" s="2"/>
      <c r="Q417" s="2"/>
      <c r="R417" s="2"/>
      <c r="S417" s="2"/>
      <c r="T417" s="2"/>
    </row>
    <row r="418" spans="1:20" ht="15.75" customHeight="1">
      <c r="A418" s="1"/>
      <c r="B418" s="2"/>
      <c r="C418" s="2"/>
      <c r="D418" s="2"/>
      <c r="E418" s="2"/>
      <c r="F418" s="2"/>
      <c r="G418" s="2"/>
      <c r="H418" s="2"/>
      <c r="I418" s="2"/>
      <c r="J418" s="2"/>
      <c r="K418" s="2"/>
      <c r="L418" s="2"/>
      <c r="M418" s="2"/>
      <c r="N418" s="2"/>
      <c r="O418" s="2"/>
      <c r="P418" s="2"/>
      <c r="Q418" s="2"/>
      <c r="R418" s="2"/>
      <c r="S418" s="2"/>
      <c r="T418" s="2"/>
    </row>
    <row r="419" spans="1:20" ht="15.75" customHeight="1">
      <c r="A419" s="1"/>
      <c r="B419" s="2"/>
      <c r="C419" s="2"/>
      <c r="D419" s="2"/>
      <c r="E419" s="2"/>
      <c r="F419" s="2"/>
      <c r="G419" s="2"/>
      <c r="H419" s="2"/>
      <c r="I419" s="2"/>
      <c r="J419" s="2"/>
      <c r="K419" s="2"/>
      <c r="L419" s="2"/>
      <c r="M419" s="2"/>
      <c r="N419" s="2"/>
      <c r="O419" s="2"/>
      <c r="P419" s="2"/>
      <c r="Q419" s="2"/>
      <c r="R419" s="2"/>
      <c r="S419" s="2"/>
      <c r="T419" s="2"/>
    </row>
    <row r="420" spans="1:20" ht="15.75" customHeight="1">
      <c r="A420" s="1"/>
      <c r="B420" s="2"/>
      <c r="C420" s="2"/>
      <c r="D420" s="2"/>
      <c r="E420" s="2"/>
      <c r="F420" s="2"/>
      <c r="G420" s="2"/>
      <c r="H420" s="2"/>
      <c r="I420" s="2"/>
      <c r="J420" s="2"/>
      <c r="K420" s="2"/>
      <c r="L420" s="2"/>
      <c r="M420" s="2"/>
      <c r="N420" s="2"/>
      <c r="O420" s="2"/>
      <c r="P420" s="2"/>
      <c r="Q420" s="2"/>
      <c r="R420" s="2"/>
      <c r="S420" s="2"/>
      <c r="T420" s="2"/>
    </row>
    <row r="421" spans="1:20" ht="15.75" customHeight="1">
      <c r="A421" s="1"/>
      <c r="B421" s="2"/>
      <c r="C421" s="2"/>
      <c r="D421" s="2"/>
      <c r="E421" s="2"/>
      <c r="F421" s="2"/>
      <c r="G421" s="2"/>
      <c r="H421" s="2"/>
      <c r="I421" s="2"/>
      <c r="J421" s="2"/>
      <c r="K421" s="2"/>
      <c r="L421" s="2"/>
      <c r="M421" s="2"/>
      <c r="N421" s="2"/>
      <c r="O421" s="2"/>
      <c r="P421" s="2"/>
      <c r="Q421" s="2"/>
      <c r="R421" s="2"/>
      <c r="S421" s="2"/>
      <c r="T421" s="2"/>
    </row>
    <row r="422" spans="1:20" ht="15.75" customHeight="1">
      <c r="A422" s="1"/>
      <c r="B422" s="2"/>
      <c r="C422" s="2"/>
      <c r="D422" s="2"/>
      <c r="E422" s="2"/>
      <c r="F422" s="2"/>
      <c r="G422" s="2"/>
      <c r="H422" s="2"/>
      <c r="I422" s="2"/>
      <c r="J422" s="2"/>
      <c r="K422" s="2"/>
      <c r="L422" s="2"/>
      <c r="M422" s="2"/>
      <c r="N422" s="2"/>
      <c r="O422" s="2"/>
      <c r="P422" s="2"/>
      <c r="Q422" s="2"/>
      <c r="R422" s="2"/>
      <c r="S422" s="2"/>
      <c r="T422" s="2"/>
    </row>
    <row r="423" spans="1:20" ht="15.75" customHeight="1">
      <c r="A423" s="1"/>
      <c r="B423" s="2"/>
      <c r="C423" s="2"/>
      <c r="D423" s="2"/>
      <c r="E423" s="2"/>
      <c r="F423" s="2"/>
      <c r="G423" s="2"/>
      <c r="H423" s="2"/>
      <c r="I423" s="2"/>
      <c r="J423" s="2"/>
      <c r="K423" s="2"/>
      <c r="L423" s="2"/>
      <c r="M423" s="2"/>
      <c r="N423" s="2"/>
      <c r="O423" s="2"/>
      <c r="P423" s="2"/>
      <c r="Q423" s="2"/>
      <c r="R423" s="2"/>
      <c r="S423" s="2"/>
      <c r="T423" s="2"/>
    </row>
    <row r="424" spans="1:20" ht="15.75" customHeight="1">
      <c r="A424" s="1"/>
      <c r="B424" s="2"/>
      <c r="C424" s="2"/>
      <c r="D424" s="2"/>
      <c r="E424" s="2"/>
      <c r="F424" s="2"/>
      <c r="G424" s="2"/>
      <c r="H424" s="2"/>
      <c r="I424" s="2"/>
      <c r="J424" s="2"/>
      <c r="K424" s="2"/>
      <c r="L424" s="2"/>
      <c r="M424" s="2"/>
      <c r="N424" s="2"/>
      <c r="O424" s="2"/>
      <c r="P424" s="2"/>
      <c r="Q424" s="2"/>
      <c r="R424" s="2"/>
      <c r="S424" s="2"/>
      <c r="T424" s="2"/>
    </row>
    <row r="425" spans="1:20" ht="15.75" customHeight="1">
      <c r="A425" s="1"/>
      <c r="B425" s="2"/>
      <c r="C425" s="2"/>
      <c r="D425" s="2"/>
      <c r="E425" s="2"/>
      <c r="F425" s="2"/>
      <c r="G425" s="2"/>
      <c r="H425" s="2"/>
      <c r="I425" s="2"/>
      <c r="J425" s="2"/>
      <c r="K425" s="2"/>
      <c r="L425" s="2"/>
      <c r="M425" s="2"/>
      <c r="N425" s="2"/>
      <c r="O425" s="2"/>
      <c r="P425" s="2"/>
      <c r="Q425" s="2"/>
      <c r="R425" s="2"/>
      <c r="S425" s="2"/>
      <c r="T425" s="2"/>
    </row>
    <row r="426" spans="1:20" ht="15.75" customHeight="1">
      <c r="A426" s="1"/>
      <c r="B426" s="2"/>
      <c r="C426" s="2"/>
      <c r="D426" s="2"/>
      <c r="E426" s="2"/>
      <c r="F426" s="2"/>
      <c r="G426" s="2"/>
      <c r="H426" s="2"/>
      <c r="I426" s="2"/>
      <c r="J426" s="2"/>
      <c r="K426" s="2"/>
      <c r="L426" s="2"/>
      <c r="M426" s="2"/>
      <c r="N426" s="2"/>
      <c r="O426" s="2"/>
      <c r="P426" s="2"/>
      <c r="Q426" s="2"/>
      <c r="R426" s="2"/>
      <c r="S426" s="2"/>
      <c r="T426" s="2"/>
    </row>
    <row r="427" spans="1:20" ht="15.75" customHeight="1">
      <c r="A427" s="1"/>
      <c r="B427" s="2"/>
      <c r="C427" s="2"/>
      <c r="D427" s="2"/>
      <c r="E427" s="2"/>
      <c r="F427" s="2"/>
      <c r="G427" s="2"/>
      <c r="H427" s="2"/>
      <c r="I427" s="2"/>
      <c r="J427" s="2"/>
      <c r="K427" s="2"/>
      <c r="L427" s="2"/>
      <c r="M427" s="2"/>
      <c r="N427" s="2"/>
      <c r="O427" s="2"/>
      <c r="P427" s="2"/>
      <c r="Q427" s="2"/>
      <c r="R427" s="2"/>
      <c r="S427" s="2"/>
      <c r="T427" s="2"/>
    </row>
    <row r="428" spans="1:20" ht="15.75" customHeight="1">
      <c r="A428" s="1"/>
      <c r="B428" s="2"/>
      <c r="C428" s="2"/>
      <c r="D428" s="2"/>
      <c r="E428" s="2"/>
      <c r="F428" s="2"/>
      <c r="G428" s="2"/>
      <c r="H428" s="2"/>
      <c r="I428" s="2"/>
      <c r="J428" s="2"/>
      <c r="K428" s="2"/>
      <c r="L428" s="2"/>
      <c r="M428" s="2"/>
      <c r="N428" s="2"/>
      <c r="O428" s="2"/>
      <c r="P428" s="2"/>
      <c r="Q428" s="2"/>
      <c r="R428" s="2"/>
      <c r="S428" s="2"/>
      <c r="T428" s="2"/>
    </row>
    <row r="429" spans="1:20" ht="15.75" customHeight="1">
      <c r="A429" s="1"/>
      <c r="B429" s="2"/>
      <c r="C429" s="2"/>
      <c r="D429" s="2"/>
      <c r="E429" s="2"/>
      <c r="F429" s="2"/>
      <c r="G429" s="2"/>
      <c r="H429" s="2"/>
      <c r="I429" s="2"/>
      <c r="J429" s="2"/>
      <c r="K429" s="2"/>
      <c r="L429" s="2"/>
      <c r="M429" s="2"/>
      <c r="N429" s="2"/>
      <c r="O429" s="2"/>
      <c r="P429" s="2"/>
      <c r="Q429" s="2"/>
      <c r="R429" s="2"/>
      <c r="S429" s="2"/>
      <c r="T429" s="2"/>
    </row>
    <row r="430" spans="1:20" ht="15.75" customHeight="1">
      <c r="A430" s="1"/>
      <c r="B430" s="2"/>
      <c r="C430" s="2"/>
      <c r="D430" s="2"/>
      <c r="E430" s="2"/>
      <c r="F430" s="2"/>
      <c r="G430" s="2"/>
      <c r="H430" s="2"/>
      <c r="I430" s="2"/>
      <c r="J430" s="2"/>
      <c r="K430" s="2"/>
      <c r="L430" s="2"/>
      <c r="M430" s="2"/>
      <c r="N430" s="2"/>
      <c r="O430" s="2"/>
      <c r="P430" s="2"/>
      <c r="Q430" s="2"/>
      <c r="R430" s="2"/>
      <c r="S430" s="2"/>
      <c r="T430" s="2"/>
    </row>
    <row r="431" spans="1:20" ht="15.75" customHeight="1">
      <c r="A431" s="1"/>
      <c r="B431" s="2"/>
      <c r="C431" s="2"/>
      <c r="D431" s="2"/>
      <c r="E431" s="2"/>
      <c r="F431" s="2"/>
      <c r="G431" s="2"/>
      <c r="H431" s="2"/>
      <c r="I431" s="2"/>
      <c r="J431" s="2"/>
      <c r="K431" s="2"/>
      <c r="L431" s="2"/>
      <c r="M431" s="2"/>
      <c r="N431" s="2"/>
      <c r="O431" s="2"/>
      <c r="P431" s="2"/>
      <c r="Q431" s="2"/>
      <c r="R431" s="2"/>
      <c r="S431" s="2"/>
      <c r="T431" s="2"/>
    </row>
    <row r="432" spans="1:20" ht="15.75" customHeight="1">
      <c r="A432" s="1"/>
      <c r="B432" s="2"/>
      <c r="C432" s="2"/>
      <c r="D432" s="2"/>
      <c r="E432" s="2"/>
      <c r="F432" s="2"/>
      <c r="G432" s="2"/>
      <c r="H432" s="2"/>
      <c r="I432" s="2"/>
      <c r="J432" s="2"/>
      <c r="K432" s="2"/>
      <c r="L432" s="2"/>
      <c r="M432" s="2"/>
      <c r="N432" s="2"/>
      <c r="O432" s="2"/>
      <c r="P432" s="2"/>
      <c r="Q432" s="2"/>
      <c r="R432" s="2"/>
      <c r="S432" s="2"/>
      <c r="T432" s="2"/>
    </row>
    <row r="433" spans="1:20" ht="15.75" customHeight="1">
      <c r="A433" s="1"/>
      <c r="B433" s="2"/>
      <c r="C433" s="2"/>
      <c r="D433" s="2"/>
      <c r="E433" s="2"/>
      <c r="F433" s="2"/>
      <c r="G433" s="2"/>
      <c r="H433" s="2"/>
      <c r="I433" s="2"/>
      <c r="J433" s="2"/>
      <c r="K433" s="2"/>
      <c r="L433" s="2"/>
      <c r="M433" s="2"/>
      <c r="N433" s="2"/>
      <c r="O433" s="2"/>
      <c r="P433" s="2"/>
      <c r="Q433" s="2"/>
      <c r="R433" s="2"/>
      <c r="S433" s="2"/>
      <c r="T433" s="2"/>
    </row>
    <row r="434" spans="1:20" ht="15.75" customHeight="1">
      <c r="A434" s="1"/>
      <c r="B434" s="2"/>
      <c r="C434" s="2"/>
      <c r="D434" s="2"/>
      <c r="E434" s="2"/>
      <c r="F434" s="2"/>
      <c r="G434" s="2"/>
      <c r="H434" s="2"/>
      <c r="I434" s="2"/>
      <c r="J434" s="2"/>
      <c r="K434" s="2"/>
      <c r="L434" s="2"/>
      <c r="M434" s="2"/>
      <c r="N434" s="2"/>
      <c r="O434" s="2"/>
      <c r="P434" s="2"/>
      <c r="Q434" s="2"/>
      <c r="R434" s="2"/>
      <c r="S434" s="2"/>
      <c r="T434" s="2"/>
    </row>
    <row r="435" spans="1:20" ht="15.75" customHeight="1">
      <c r="A435" s="1"/>
      <c r="B435" s="2"/>
      <c r="C435" s="2"/>
      <c r="D435" s="2"/>
      <c r="E435" s="2"/>
      <c r="F435" s="2"/>
      <c r="G435" s="2"/>
      <c r="H435" s="2"/>
      <c r="I435" s="2"/>
      <c r="J435" s="2"/>
      <c r="K435" s="2"/>
      <c r="L435" s="2"/>
      <c r="M435" s="2"/>
      <c r="N435" s="2"/>
      <c r="O435" s="2"/>
      <c r="P435" s="2"/>
      <c r="Q435" s="2"/>
      <c r="R435" s="2"/>
      <c r="S435" s="2"/>
      <c r="T435" s="2"/>
    </row>
    <row r="436" spans="1:20" ht="15.75" customHeight="1">
      <c r="A436" s="1"/>
      <c r="B436" s="2"/>
      <c r="C436" s="2"/>
      <c r="D436" s="2"/>
      <c r="E436" s="2"/>
      <c r="F436" s="2"/>
      <c r="G436" s="2"/>
      <c r="H436" s="2"/>
      <c r="I436" s="2"/>
      <c r="J436" s="2"/>
      <c r="K436" s="2"/>
      <c r="L436" s="2"/>
      <c r="M436" s="2"/>
      <c r="N436" s="2"/>
      <c r="O436" s="2"/>
      <c r="P436" s="2"/>
      <c r="Q436" s="2"/>
      <c r="R436" s="2"/>
      <c r="S436" s="2"/>
      <c r="T436" s="2"/>
    </row>
    <row r="437" spans="1:20" ht="15.75" customHeight="1">
      <c r="A437" s="1"/>
      <c r="B437" s="2"/>
      <c r="C437" s="2"/>
      <c r="D437" s="2"/>
      <c r="E437" s="2"/>
      <c r="F437" s="2"/>
      <c r="G437" s="2"/>
      <c r="H437" s="2"/>
      <c r="I437" s="2"/>
      <c r="J437" s="2"/>
      <c r="K437" s="2"/>
      <c r="L437" s="2"/>
      <c r="M437" s="2"/>
      <c r="N437" s="2"/>
      <c r="O437" s="2"/>
      <c r="P437" s="2"/>
      <c r="Q437" s="2"/>
      <c r="R437" s="2"/>
      <c r="S437" s="2"/>
      <c r="T437" s="2"/>
    </row>
    <row r="438" spans="1:20" ht="15.75" customHeight="1">
      <c r="A438" s="1"/>
      <c r="B438" s="2"/>
      <c r="C438" s="2"/>
      <c r="D438" s="2"/>
      <c r="E438" s="2"/>
      <c r="F438" s="2"/>
      <c r="G438" s="2"/>
      <c r="H438" s="2"/>
      <c r="I438" s="2"/>
      <c r="J438" s="2"/>
      <c r="K438" s="2"/>
      <c r="L438" s="2"/>
      <c r="M438" s="2"/>
      <c r="N438" s="2"/>
      <c r="O438" s="2"/>
      <c r="P438" s="2"/>
      <c r="Q438" s="2"/>
      <c r="R438" s="2"/>
      <c r="S438" s="2"/>
      <c r="T438" s="2"/>
    </row>
    <row r="439" spans="1:20" ht="15.75" customHeight="1">
      <c r="A439" s="1"/>
      <c r="B439" s="2"/>
      <c r="C439" s="2"/>
      <c r="D439" s="2"/>
      <c r="E439" s="2"/>
      <c r="F439" s="2"/>
      <c r="G439" s="2"/>
      <c r="H439" s="2"/>
      <c r="I439" s="2"/>
      <c r="J439" s="2"/>
      <c r="K439" s="2"/>
      <c r="L439" s="2"/>
      <c r="M439" s="2"/>
      <c r="N439" s="2"/>
      <c r="O439" s="2"/>
      <c r="P439" s="2"/>
      <c r="Q439" s="2"/>
      <c r="R439" s="2"/>
      <c r="S439" s="2"/>
      <c r="T439" s="2"/>
    </row>
    <row r="440" spans="1:20" ht="15.75" customHeight="1">
      <c r="A440" s="1"/>
      <c r="B440" s="2"/>
      <c r="C440" s="2"/>
      <c r="D440" s="2"/>
      <c r="E440" s="2"/>
      <c r="F440" s="2"/>
      <c r="G440" s="2"/>
      <c r="H440" s="2"/>
      <c r="I440" s="2"/>
      <c r="J440" s="2"/>
      <c r="K440" s="2"/>
      <c r="L440" s="2"/>
      <c r="M440" s="2"/>
      <c r="N440" s="2"/>
      <c r="O440" s="2"/>
      <c r="P440" s="2"/>
      <c r="Q440" s="2"/>
      <c r="R440" s="2"/>
      <c r="S440" s="2"/>
      <c r="T440" s="2"/>
    </row>
    <row r="441" spans="1:20" ht="15.75" customHeight="1">
      <c r="A441" s="1"/>
      <c r="B441" s="2"/>
      <c r="C441" s="2"/>
      <c r="D441" s="2"/>
      <c r="E441" s="2"/>
      <c r="F441" s="2"/>
      <c r="G441" s="2"/>
      <c r="H441" s="2"/>
      <c r="I441" s="2"/>
      <c r="J441" s="2"/>
      <c r="K441" s="2"/>
      <c r="L441" s="2"/>
      <c r="M441" s="2"/>
      <c r="N441" s="2"/>
      <c r="O441" s="2"/>
      <c r="P441" s="2"/>
      <c r="Q441" s="2"/>
      <c r="R441" s="2"/>
      <c r="S441" s="2"/>
      <c r="T441" s="2"/>
    </row>
    <row r="442" spans="1:20" ht="15.75" customHeight="1">
      <c r="A442" s="1"/>
      <c r="B442" s="2"/>
      <c r="C442" s="2"/>
      <c r="D442" s="2"/>
      <c r="E442" s="2"/>
      <c r="F442" s="2"/>
      <c r="G442" s="2"/>
      <c r="H442" s="2"/>
      <c r="I442" s="2"/>
      <c r="J442" s="2"/>
      <c r="K442" s="2"/>
      <c r="L442" s="2"/>
      <c r="M442" s="2"/>
      <c r="N442" s="2"/>
      <c r="O442" s="2"/>
      <c r="P442" s="2"/>
      <c r="Q442" s="2"/>
      <c r="R442" s="2"/>
      <c r="S442" s="2"/>
      <c r="T442" s="2"/>
    </row>
    <row r="443" spans="1:20" ht="15.75" customHeight="1">
      <c r="A443" s="1"/>
      <c r="B443" s="2"/>
      <c r="C443" s="2"/>
      <c r="D443" s="2"/>
      <c r="E443" s="2"/>
      <c r="F443" s="2"/>
      <c r="G443" s="2"/>
      <c r="H443" s="2"/>
      <c r="I443" s="2"/>
      <c r="J443" s="2"/>
      <c r="K443" s="2"/>
      <c r="L443" s="2"/>
      <c r="M443" s="2"/>
      <c r="N443" s="2"/>
      <c r="O443" s="2"/>
      <c r="P443" s="2"/>
      <c r="Q443" s="2"/>
      <c r="R443" s="2"/>
      <c r="S443" s="2"/>
      <c r="T443" s="2"/>
    </row>
    <row r="444" spans="1:20" ht="15.75" customHeight="1">
      <c r="A444" s="1"/>
      <c r="B444" s="2"/>
      <c r="C444" s="2"/>
      <c r="D444" s="2"/>
      <c r="E444" s="2"/>
      <c r="F444" s="2"/>
      <c r="G444" s="2"/>
      <c r="H444" s="2"/>
      <c r="I444" s="2"/>
      <c r="J444" s="2"/>
      <c r="K444" s="2"/>
      <c r="L444" s="2"/>
      <c r="M444" s="2"/>
      <c r="N444" s="2"/>
      <c r="O444" s="2"/>
      <c r="P444" s="2"/>
      <c r="Q444" s="2"/>
      <c r="R444" s="2"/>
      <c r="S444" s="2"/>
      <c r="T444" s="2"/>
    </row>
    <row r="445" spans="1:20" ht="15.75" customHeight="1">
      <c r="A445" s="1"/>
      <c r="B445" s="2"/>
      <c r="C445" s="2"/>
      <c r="D445" s="2"/>
      <c r="E445" s="2"/>
      <c r="F445" s="2"/>
      <c r="G445" s="2"/>
      <c r="H445" s="2"/>
      <c r="I445" s="2"/>
      <c r="J445" s="2"/>
      <c r="K445" s="2"/>
      <c r="L445" s="2"/>
      <c r="M445" s="2"/>
      <c r="N445" s="2"/>
      <c r="O445" s="2"/>
      <c r="P445" s="2"/>
      <c r="Q445" s="2"/>
      <c r="R445" s="2"/>
      <c r="S445" s="2"/>
      <c r="T445" s="2"/>
    </row>
    <row r="446" spans="1:20" ht="15.75" customHeight="1">
      <c r="A446" s="1"/>
      <c r="B446" s="2"/>
      <c r="C446" s="2"/>
      <c r="D446" s="2"/>
      <c r="E446" s="2"/>
      <c r="F446" s="2"/>
      <c r="G446" s="2"/>
      <c r="H446" s="2"/>
      <c r="I446" s="2"/>
      <c r="J446" s="2"/>
      <c r="K446" s="2"/>
      <c r="L446" s="2"/>
      <c r="M446" s="2"/>
      <c r="N446" s="2"/>
      <c r="O446" s="2"/>
      <c r="P446" s="2"/>
      <c r="Q446" s="2"/>
      <c r="R446" s="2"/>
      <c r="S446" s="2"/>
      <c r="T446" s="2"/>
    </row>
    <row r="447" spans="1:20" ht="15.75" customHeight="1">
      <c r="A447" s="1"/>
      <c r="B447" s="2"/>
      <c r="C447" s="2"/>
      <c r="D447" s="2"/>
      <c r="E447" s="2"/>
      <c r="F447" s="2"/>
      <c r="G447" s="2"/>
      <c r="H447" s="2"/>
      <c r="I447" s="2"/>
      <c r="J447" s="2"/>
      <c r="K447" s="2"/>
      <c r="L447" s="2"/>
      <c r="M447" s="2"/>
      <c r="N447" s="2"/>
      <c r="O447" s="2"/>
      <c r="P447" s="2"/>
      <c r="Q447" s="2"/>
      <c r="R447" s="2"/>
      <c r="S447" s="2"/>
      <c r="T447" s="2"/>
    </row>
    <row r="448" spans="1:20" ht="15.75" customHeight="1">
      <c r="A448" s="1"/>
      <c r="B448" s="2"/>
      <c r="C448" s="2"/>
      <c r="D448" s="2"/>
      <c r="E448" s="2"/>
      <c r="F448" s="2"/>
      <c r="G448" s="2"/>
      <c r="H448" s="2"/>
      <c r="I448" s="2"/>
      <c r="J448" s="2"/>
      <c r="K448" s="2"/>
      <c r="L448" s="2"/>
      <c r="M448" s="2"/>
      <c r="N448" s="2"/>
      <c r="O448" s="2"/>
      <c r="P448" s="2"/>
      <c r="Q448" s="2"/>
      <c r="R448" s="2"/>
      <c r="S448" s="2"/>
      <c r="T448" s="2"/>
    </row>
    <row r="449" spans="1:20" ht="15.75" customHeight="1">
      <c r="A449" s="1"/>
      <c r="B449" s="2"/>
      <c r="C449" s="2"/>
      <c r="D449" s="2"/>
      <c r="E449" s="2"/>
      <c r="F449" s="2"/>
      <c r="G449" s="2"/>
      <c r="H449" s="2"/>
      <c r="I449" s="2"/>
      <c r="J449" s="2"/>
      <c r="K449" s="2"/>
      <c r="L449" s="2"/>
      <c r="M449" s="2"/>
      <c r="N449" s="2"/>
      <c r="O449" s="2"/>
      <c r="P449" s="2"/>
      <c r="Q449" s="2"/>
      <c r="R449" s="2"/>
      <c r="S449" s="2"/>
      <c r="T449" s="2"/>
    </row>
    <row r="450" spans="1:20" ht="15.75" customHeight="1">
      <c r="A450" s="1"/>
      <c r="B450" s="2"/>
      <c r="C450" s="2"/>
      <c r="D450" s="2"/>
      <c r="E450" s="2"/>
      <c r="F450" s="2"/>
      <c r="G450" s="2"/>
      <c r="H450" s="2"/>
      <c r="I450" s="2"/>
      <c r="J450" s="2"/>
      <c r="K450" s="2"/>
      <c r="L450" s="2"/>
      <c r="M450" s="2"/>
      <c r="N450" s="2"/>
      <c r="O450" s="2"/>
      <c r="P450" s="2"/>
      <c r="Q450" s="2"/>
      <c r="R450" s="2"/>
      <c r="S450" s="2"/>
      <c r="T450" s="2"/>
    </row>
    <row r="451" spans="1:20" ht="15.75" customHeight="1">
      <c r="A451" s="1"/>
      <c r="B451" s="2"/>
      <c r="C451" s="2"/>
      <c r="D451" s="2"/>
      <c r="E451" s="2"/>
      <c r="F451" s="2"/>
      <c r="G451" s="2"/>
      <c r="H451" s="2"/>
      <c r="I451" s="2"/>
      <c r="J451" s="2"/>
      <c r="K451" s="2"/>
      <c r="L451" s="2"/>
      <c r="M451" s="2"/>
      <c r="N451" s="2"/>
      <c r="O451" s="2"/>
      <c r="P451" s="2"/>
      <c r="Q451" s="2"/>
      <c r="R451" s="2"/>
      <c r="S451" s="2"/>
      <c r="T451" s="2"/>
    </row>
    <row r="452" spans="1:20" ht="15.75" customHeight="1">
      <c r="A452" s="1"/>
      <c r="B452" s="2"/>
      <c r="C452" s="2"/>
      <c r="D452" s="2"/>
      <c r="E452" s="2"/>
      <c r="F452" s="2"/>
      <c r="G452" s="2"/>
      <c r="H452" s="2"/>
      <c r="I452" s="2"/>
      <c r="J452" s="2"/>
      <c r="K452" s="2"/>
      <c r="L452" s="2"/>
      <c r="M452" s="2"/>
      <c r="N452" s="2"/>
      <c r="O452" s="2"/>
      <c r="P452" s="2"/>
      <c r="Q452" s="2"/>
      <c r="R452" s="2"/>
      <c r="S452" s="2"/>
      <c r="T452" s="2"/>
    </row>
    <row r="453" spans="1:20" ht="15.75" customHeight="1">
      <c r="A453" s="1"/>
      <c r="B453" s="2"/>
      <c r="C453" s="2"/>
      <c r="D453" s="2"/>
      <c r="E453" s="2"/>
      <c r="F453" s="2"/>
      <c r="G453" s="2"/>
      <c r="H453" s="2"/>
      <c r="I453" s="2"/>
      <c r="J453" s="2"/>
      <c r="K453" s="2"/>
      <c r="L453" s="2"/>
      <c r="M453" s="2"/>
      <c r="N453" s="2"/>
      <c r="O453" s="2"/>
      <c r="P453" s="2"/>
      <c r="Q453" s="2"/>
      <c r="R453" s="2"/>
      <c r="S453" s="2"/>
      <c r="T453" s="2"/>
    </row>
    <row r="454" spans="1:20" ht="15.75" customHeight="1">
      <c r="A454" s="1"/>
      <c r="B454" s="2"/>
      <c r="C454" s="2"/>
      <c r="D454" s="2"/>
      <c r="E454" s="2"/>
      <c r="F454" s="2"/>
      <c r="G454" s="2"/>
      <c r="H454" s="2"/>
      <c r="I454" s="2"/>
      <c r="J454" s="2"/>
      <c r="K454" s="2"/>
      <c r="L454" s="2"/>
      <c r="M454" s="2"/>
      <c r="N454" s="2"/>
      <c r="O454" s="2"/>
      <c r="P454" s="2"/>
      <c r="Q454" s="2"/>
      <c r="R454" s="2"/>
      <c r="S454" s="2"/>
      <c r="T454" s="2"/>
    </row>
    <row r="455" spans="1:20" ht="15.75" customHeight="1">
      <c r="A455" s="1"/>
      <c r="B455" s="2"/>
      <c r="C455" s="2"/>
      <c r="D455" s="2"/>
      <c r="E455" s="2"/>
      <c r="F455" s="2"/>
      <c r="G455" s="2"/>
      <c r="H455" s="2"/>
      <c r="I455" s="2"/>
      <c r="J455" s="2"/>
      <c r="K455" s="2"/>
      <c r="L455" s="2"/>
      <c r="M455" s="2"/>
      <c r="N455" s="2"/>
      <c r="O455" s="2"/>
      <c r="P455" s="2"/>
      <c r="Q455" s="2"/>
      <c r="R455" s="2"/>
      <c r="S455" s="2"/>
      <c r="T455" s="2"/>
    </row>
    <row r="456" spans="1:20" ht="15.75" customHeight="1">
      <c r="A456" s="1"/>
      <c r="B456" s="2"/>
      <c r="C456" s="2"/>
      <c r="D456" s="2"/>
      <c r="E456" s="2"/>
      <c r="F456" s="2"/>
      <c r="G456" s="2"/>
      <c r="H456" s="2"/>
      <c r="I456" s="2"/>
      <c r="J456" s="2"/>
      <c r="K456" s="2"/>
      <c r="L456" s="2"/>
      <c r="M456" s="2"/>
      <c r="N456" s="2"/>
      <c r="O456" s="2"/>
      <c r="P456" s="2"/>
      <c r="Q456" s="2"/>
      <c r="R456" s="2"/>
      <c r="S456" s="2"/>
      <c r="T456" s="2"/>
    </row>
    <row r="457" spans="1:20" ht="15.75" customHeight="1">
      <c r="A457" s="1"/>
      <c r="B457" s="2"/>
      <c r="C457" s="2"/>
      <c r="D457" s="2"/>
      <c r="E457" s="2"/>
      <c r="F457" s="2"/>
      <c r="G457" s="2"/>
      <c r="H457" s="2"/>
      <c r="I457" s="2"/>
      <c r="J457" s="2"/>
      <c r="K457" s="2"/>
      <c r="L457" s="2"/>
      <c r="M457" s="2"/>
      <c r="N457" s="2"/>
      <c r="O457" s="2"/>
      <c r="P457" s="2"/>
      <c r="Q457" s="2"/>
      <c r="R457" s="2"/>
      <c r="S457" s="2"/>
      <c r="T457" s="2"/>
    </row>
    <row r="458" spans="1:20" ht="15.75" customHeight="1">
      <c r="A458" s="1"/>
      <c r="B458" s="2"/>
      <c r="C458" s="2"/>
      <c r="D458" s="2"/>
      <c r="E458" s="2"/>
      <c r="F458" s="2"/>
      <c r="G458" s="2"/>
      <c r="H458" s="2"/>
      <c r="I458" s="2"/>
      <c r="J458" s="2"/>
      <c r="K458" s="2"/>
      <c r="L458" s="2"/>
      <c r="M458" s="2"/>
      <c r="N458" s="2"/>
      <c r="O458" s="2"/>
      <c r="P458" s="2"/>
      <c r="Q458" s="2"/>
      <c r="R458" s="2"/>
      <c r="S458" s="2"/>
      <c r="T458" s="2"/>
    </row>
    <row r="459" spans="1:20" ht="15.75" customHeight="1">
      <c r="A459" s="1"/>
      <c r="B459" s="2"/>
      <c r="C459" s="2"/>
      <c r="D459" s="2"/>
      <c r="E459" s="2"/>
      <c r="F459" s="2"/>
      <c r="G459" s="2"/>
      <c r="H459" s="2"/>
      <c r="I459" s="2"/>
      <c r="J459" s="2"/>
      <c r="K459" s="2"/>
      <c r="L459" s="2"/>
      <c r="M459" s="2"/>
      <c r="N459" s="2"/>
      <c r="O459" s="2"/>
      <c r="P459" s="2"/>
      <c r="Q459" s="2"/>
      <c r="R459" s="2"/>
      <c r="S459" s="2"/>
      <c r="T459" s="2"/>
    </row>
    <row r="460" spans="1:20" ht="15.75" customHeight="1">
      <c r="A460" s="1"/>
      <c r="B460" s="2"/>
      <c r="C460" s="2"/>
      <c r="D460" s="2"/>
      <c r="E460" s="2"/>
      <c r="F460" s="2"/>
      <c r="G460" s="2"/>
      <c r="H460" s="2"/>
      <c r="I460" s="2"/>
      <c r="J460" s="2"/>
      <c r="K460" s="2"/>
      <c r="L460" s="2"/>
      <c r="M460" s="2"/>
      <c r="N460" s="2"/>
      <c r="O460" s="2"/>
      <c r="P460" s="2"/>
      <c r="Q460" s="2"/>
      <c r="R460" s="2"/>
      <c r="S460" s="2"/>
      <c r="T460" s="2"/>
    </row>
    <row r="461" spans="1:20" ht="15.75" customHeight="1">
      <c r="A461" s="1"/>
      <c r="B461" s="2"/>
      <c r="C461" s="2"/>
      <c r="D461" s="2"/>
      <c r="E461" s="2"/>
      <c r="F461" s="2"/>
      <c r="G461" s="2"/>
      <c r="H461" s="2"/>
      <c r="I461" s="2"/>
      <c r="J461" s="2"/>
      <c r="K461" s="2"/>
      <c r="L461" s="2"/>
      <c r="M461" s="2"/>
      <c r="N461" s="2"/>
      <c r="O461" s="2"/>
      <c r="P461" s="2"/>
      <c r="Q461" s="2"/>
      <c r="R461" s="2"/>
      <c r="S461" s="2"/>
      <c r="T461" s="2"/>
    </row>
    <row r="462" spans="1:20" ht="15.75" customHeight="1">
      <c r="A462" s="1"/>
      <c r="B462" s="2"/>
      <c r="C462" s="2"/>
      <c r="D462" s="2"/>
      <c r="E462" s="2"/>
      <c r="F462" s="2"/>
      <c r="G462" s="2"/>
      <c r="H462" s="2"/>
      <c r="I462" s="2"/>
      <c r="J462" s="2"/>
      <c r="K462" s="2"/>
      <c r="L462" s="2"/>
      <c r="M462" s="2"/>
      <c r="N462" s="2"/>
      <c r="O462" s="2"/>
      <c r="P462" s="2"/>
      <c r="Q462" s="2"/>
      <c r="R462" s="2"/>
      <c r="S462" s="2"/>
      <c r="T462" s="2"/>
    </row>
    <row r="463" spans="1:20" ht="15.75" customHeight="1">
      <c r="A463" s="1"/>
      <c r="B463" s="2"/>
      <c r="C463" s="2"/>
      <c r="D463" s="2"/>
      <c r="E463" s="2"/>
      <c r="F463" s="2"/>
      <c r="G463" s="2"/>
      <c r="H463" s="2"/>
      <c r="I463" s="2"/>
      <c r="J463" s="2"/>
      <c r="K463" s="2"/>
      <c r="L463" s="2"/>
      <c r="M463" s="2"/>
      <c r="N463" s="2"/>
      <c r="O463" s="2"/>
      <c r="P463" s="2"/>
      <c r="Q463" s="2"/>
      <c r="R463" s="2"/>
      <c r="S463" s="2"/>
      <c r="T463" s="2"/>
    </row>
    <row r="464" spans="1:20" ht="15.75" customHeight="1">
      <c r="A464" s="1"/>
      <c r="B464" s="2"/>
      <c r="C464" s="2"/>
      <c r="D464" s="2"/>
      <c r="E464" s="2"/>
      <c r="F464" s="2"/>
      <c r="G464" s="2"/>
      <c r="H464" s="2"/>
      <c r="I464" s="2"/>
      <c r="J464" s="2"/>
      <c r="K464" s="2"/>
      <c r="L464" s="2"/>
      <c r="M464" s="2"/>
      <c r="N464" s="2"/>
      <c r="O464" s="2"/>
      <c r="P464" s="2"/>
      <c r="Q464" s="2"/>
      <c r="R464" s="2"/>
      <c r="S464" s="2"/>
      <c r="T464" s="2"/>
    </row>
    <row r="465" spans="1:20" ht="15.75" customHeight="1">
      <c r="A465" s="1"/>
      <c r="B465" s="2"/>
      <c r="C465" s="2"/>
      <c r="D465" s="2"/>
      <c r="E465" s="2"/>
      <c r="F465" s="2"/>
      <c r="G465" s="2"/>
      <c r="H465" s="2"/>
      <c r="I465" s="2"/>
      <c r="J465" s="2"/>
      <c r="K465" s="2"/>
      <c r="L465" s="2"/>
      <c r="M465" s="2"/>
      <c r="N465" s="2"/>
      <c r="O465" s="2"/>
      <c r="P465" s="2"/>
      <c r="Q465" s="2"/>
      <c r="R465" s="2"/>
      <c r="S465" s="2"/>
      <c r="T465" s="2"/>
    </row>
    <row r="466" spans="1:20" ht="15.75" customHeight="1">
      <c r="A466" s="1"/>
      <c r="B466" s="2"/>
      <c r="C466" s="2"/>
      <c r="D466" s="2"/>
      <c r="E466" s="2"/>
      <c r="F466" s="2"/>
      <c r="G466" s="2"/>
      <c r="H466" s="2"/>
      <c r="I466" s="2"/>
      <c r="J466" s="2"/>
      <c r="K466" s="2"/>
      <c r="L466" s="2"/>
      <c r="M466" s="2"/>
      <c r="N466" s="2"/>
      <c r="O466" s="2"/>
      <c r="P466" s="2"/>
      <c r="Q466" s="2"/>
      <c r="R466" s="2"/>
      <c r="S466" s="2"/>
      <c r="T466" s="2"/>
    </row>
    <row r="467" spans="1:20" ht="15.75" customHeight="1">
      <c r="A467" s="1"/>
      <c r="B467" s="2"/>
      <c r="C467" s="2"/>
      <c r="D467" s="2"/>
      <c r="E467" s="2"/>
      <c r="F467" s="2"/>
      <c r="G467" s="2"/>
      <c r="H467" s="2"/>
      <c r="I467" s="2"/>
      <c r="J467" s="2"/>
      <c r="K467" s="2"/>
      <c r="L467" s="2"/>
      <c r="M467" s="2"/>
      <c r="N467" s="2"/>
      <c r="O467" s="2"/>
      <c r="P467" s="2"/>
      <c r="Q467" s="2"/>
      <c r="R467" s="2"/>
      <c r="S467" s="2"/>
      <c r="T467" s="2"/>
    </row>
    <row r="468" spans="1:20" ht="15.75" customHeight="1">
      <c r="A468" s="1"/>
      <c r="B468" s="2"/>
      <c r="C468" s="2"/>
      <c r="D468" s="2"/>
      <c r="E468" s="2"/>
      <c r="F468" s="2"/>
      <c r="G468" s="2"/>
      <c r="H468" s="2"/>
      <c r="I468" s="2"/>
      <c r="J468" s="2"/>
      <c r="K468" s="2"/>
      <c r="L468" s="2"/>
      <c r="M468" s="2"/>
      <c r="N468" s="2"/>
      <c r="O468" s="2"/>
      <c r="P468" s="2"/>
      <c r="Q468" s="2"/>
      <c r="R468" s="2"/>
      <c r="S468" s="2"/>
      <c r="T468" s="2"/>
    </row>
    <row r="469" spans="1:20" ht="15.75" customHeight="1">
      <c r="A469" s="1"/>
      <c r="B469" s="2"/>
      <c r="C469" s="2"/>
      <c r="D469" s="2"/>
      <c r="E469" s="2"/>
      <c r="F469" s="2"/>
      <c r="G469" s="2"/>
      <c r="H469" s="2"/>
      <c r="I469" s="2"/>
      <c r="J469" s="2"/>
      <c r="K469" s="2"/>
      <c r="L469" s="2"/>
      <c r="M469" s="2"/>
      <c r="N469" s="2"/>
      <c r="O469" s="2"/>
      <c r="P469" s="2"/>
      <c r="Q469" s="2"/>
      <c r="R469" s="2"/>
      <c r="S469" s="2"/>
      <c r="T469" s="2"/>
    </row>
    <row r="470" spans="1:20" ht="15.75" customHeight="1">
      <c r="A470" s="1"/>
      <c r="B470" s="2"/>
      <c r="C470" s="2"/>
      <c r="D470" s="2"/>
      <c r="E470" s="2"/>
      <c r="F470" s="2"/>
      <c r="G470" s="2"/>
      <c r="H470" s="2"/>
      <c r="I470" s="2"/>
      <c r="J470" s="2"/>
      <c r="K470" s="2"/>
      <c r="L470" s="2"/>
      <c r="M470" s="2"/>
      <c r="N470" s="2"/>
      <c r="O470" s="2"/>
      <c r="P470" s="2"/>
      <c r="Q470" s="2"/>
      <c r="R470" s="2"/>
      <c r="S470" s="2"/>
      <c r="T470" s="2"/>
    </row>
    <row r="471" spans="1:20" ht="15.75" customHeight="1">
      <c r="A471" s="1"/>
      <c r="B471" s="2"/>
      <c r="C471" s="2"/>
      <c r="D471" s="2"/>
      <c r="E471" s="2"/>
      <c r="F471" s="2"/>
      <c r="G471" s="2"/>
      <c r="H471" s="2"/>
      <c r="I471" s="2"/>
      <c r="J471" s="2"/>
      <c r="K471" s="2"/>
      <c r="L471" s="2"/>
      <c r="M471" s="2"/>
      <c r="N471" s="2"/>
      <c r="O471" s="2"/>
      <c r="P471" s="2"/>
      <c r="Q471" s="2"/>
      <c r="R471" s="2"/>
      <c r="S471" s="2"/>
      <c r="T471" s="2"/>
    </row>
    <row r="472" spans="1:20" ht="15.75" customHeight="1">
      <c r="A472" s="1"/>
      <c r="B472" s="2"/>
      <c r="C472" s="2"/>
      <c r="D472" s="2"/>
      <c r="E472" s="2"/>
      <c r="F472" s="2"/>
      <c r="G472" s="2"/>
      <c r="H472" s="2"/>
      <c r="I472" s="2"/>
      <c r="J472" s="2"/>
      <c r="K472" s="2"/>
      <c r="L472" s="2"/>
      <c r="M472" s="2"/>
      <c r="N472" s="2"/>
      <c r="O472" s="2"/>
      <c r="P472" s="2"/>
      <c r="Q472" s="2"/>
      <c r="R472" s="2"/>
      <c r="S472" s="2"/>
      <c r="T472" s="2"/>
    </row>
    <row r="473" spans="1:20" ht="15.75" customHeight="1">
      <c r="A473" s="1"/>
      <c r="B473" s="2"/>
      <c r="C473" s="2"/>
      <c r="D473" s="2"/>
      <c r="E473" s="2"/>
      <c r="F473" s="2"/>
      <c r="G473" s="2"/>
      <c r="H473" s="2"/>
      <c r="I473" s="2"/>
      <c r="J473" s="2"/>
      <c r="K473" s="2"/>
      <c r="L473" s="2"/>
      <c r="M473" s="2"/>
      <c r="N473" s="2"/>
      <c r="O473" s="2"/>
      <c r="P473" s="2"/>
      <c r="Q473" s="2"/>
      <c r="R473" s="2"/>
      <c r="S473" s="2"/>
      <c r="T473" s="2"/>
    </row>
    <row r="474" spans="1:20" ht="15.75" customHeight="1">
      <c r="A474" s="1"/>
      <c r="B474" s="2"/>
      <c r="C474" s="2"/>
      <c r="D474" s="2"/>
      <c r="E474" s="2"/>
      <c r="F474" s="2"/>
      <c r="G474" s="2"/>
      <c r="H474" s="2"/>
      <c r="I474" s="2"/>
      <c r="J474" s="2"/>
      <c r="K474" s="2"/>
      <c r="L474" s="2"/>
      <c r="M474" s="2"/>
      <c r="N474" s="2"/>
      <c r="O474" s="2"/>
      <c r="P474" s="2"/>
      <c r="Q474" s="2"/>
      <c r="R474" s="2"/>
      <c r="S474" s="2"/>
      <c r="T474" s="2"/>
    </row>
    <row r="475" spans="1:20" ht="15.75" customHeight="1">
      <c r="A475" s="1"/>
      <c r="B475" s="2"/>
      <c r="C475" s="2"/>
      <c r="D475" s="2"/>
      <c r="E475" s="2"/>
      <c r="F475" s="2"/>
      <c r="G475" s="2"/>
      <c r="H475" s="2"/>
      <c r="I475" s="2"/>
      <c r="J475" s="2"/>
      <c r="K475" s="2"/>
      <c r="L475" s="2"/>
      <c r="M475" s="2"/>
      <c r="N475" s="2"/>
      <c r="O475" s="2"/>
      <c r="P475" s="2"/>
      <c r="Q475" s="2"/>
      <c r="R475" s="2"/>
      <c r="S475" s="2"/>
      <c r="T475" s="2"/>
    </row>
    <row r="476" spans="1:20" ht="15.75" customHeight="1">
      <c r="A476" s="1"/>
      <c r="B476" s="2"/>
      <c r="C476" s="2"/>
      <c r="D476" s="2"/>
      <c r="E476" s="2"/>
      <c r="F476" s="2"/>
      <c r="G476" s="2"/>
      <c r="H476" s="2"/>
      <c r="I476" s="2"/>
      <c r="J476" s="2"/>
      <c r="K476" s="2"/>
      <c r="L476" s="2"/>
      <c r="M476" s="2"/>
      <c r="N476" s="2"/>
      <c r="O476" s="2"/>
      <c r="P476" s="2"/>
      <c r="Q476" s="2"/>
      <c r="R476" s="2"/>
      <c r="S476" s="2"/>
      <c r="T476" s="2"/>
    </row>
    <row r="477" spans="1:20" ht="15.75" customHeight="1">
      <c r="A477" s="1"/>
      <c r="B477" s="2"/>
      <c r="C477" s="2"/>
      <c r="D477" s="2"/>
      <c r="E477" s="2"/>
      <c r="F477" s="2"/>
      <c r="G477" s="2"/>
      <c r="H477" s="2"/>
      <c r="I477" s="2"/>
      <c r="J477" s="2"/>
      <c r="K477" s="2"/>
      <c r="L477" s="2"/>
      <c r="M477" s="2"/>
      <c r="N477" s="2"/>
      <c r="O477" s="2"/>
      <c r="P477" s="2"/>
      <c r="Q477" s="2"/>
      <c r="R477" s="2"/>
      <c r="S477" s="2"/>
      <c r="T477" s="2"/>
    </row>
    <row r="478" spans="1:20" ht="15.75" customHeight="1">
      <c r="A478" s="1"/>
      <c r="B478" s="2"/>
      <c r="C478" s="2"/>
      <c r="D478" s="2"/>
      <c r="E478" s="2"/>
      <c r="F478" s="2"/>
      <c r="G478" s="2"/>
      <c r="H478" s="2"/>
      <c r="I478" s="2"/>
      <c r="J478" s="2"/>
      <c r="K478" s="2"/>
      <c r="L478" s="2"/>
      <c r="M478" s="2"/>
      <c r="N478" s="2"/>
      <c r="O478" s="2"/>
      <c r="P478" s="2"/>
      <c r="Q478" s="2"/>
      <c r="R478" s="2"/>
      <c r="S478" s="2"/>
      <c r="T478" s="2"/>
    </row>
    <row r="479" spans="1:20" ht="15.75" customHeight="1">
      <c r="A479" s="1"/>
      <c r="B479" s="2"/>
      <c r="C479" s="2"/>
      <c r="D479" s="2"/>
      <c r="E479" s="2"/>
      <c r="F479" s="2"/>
      <c r="G479" s="2"/>
      <c r="H479" s="2"/>
      <c r="I479" s="2"/>
      <c r="J479" s="2"/>
      <c r="K479" s="2"/>
      <c r="L479" s="2"/>
      <c r="M479" s="2"/>
      <c r="N479" s="2"/>
      <c r="O479" s="2"/>
      <c r="P479" s="2"/>
      <c r="Q479" s="2"/>
      <c r="R479" s="2"/>
      <c r="S479" s="2"/>
      <c r="T479" s="2"/>
    </row>
    <row r="480" spans="1:20" ht="15.75" customHeight="1">
      <c r="A480" s="1"/>
      <c r="B480" s="2"/>
      <c r="C480" s="2"/>
      <c r="D480" s="2"/>
      <c r="E480" s="2"/>
      <c r="F480" s="2"/>
      <c r="G480" s="2"/>
      <c r="H480" s="2"/>
      <c r="I480" s="2"/>
      <c r="J480" s="2"/>
      <c r="K480" s="2"/>
      <c r="L480" s="2"/>
      <c r="M480" s="2"/>
      <c r="N480" s="2"/>
      <c r="O480" s="2"/>
      <c r="P480" s="2"/>
      <c r="Q480" s="2"/>
      <c r="R480" s="2"/>
      <c r="S480" s="2"/>
      <c r="T480" s="2"/>
    </row>
    <row r="481" spans="1:20" ht="15.75" customHeight="1">
      <c r="A481" s="1"/>
      <c r="B481" s="2"/>
      <c r="C481" s="2"/>
      <c r="D481" s="2"/>
      <c r="E481" s="2"/>
      <c r="F481" s="2"/>
      <c r="G481" s="2"/>
      <c r="H481" s="2"/>
      <c r="I481" s="2"/>
      <c r="J481" s="2"/>
      <c r="K481" s="2"/>
      <c r="L481" s="2"/>
      <c r="M481" s="2"/>
      <c r="N481" s="2"/>
      <c r="O481" s="2"/>
      <c r="P481" s="2"/>
      <c r="Q481" s="2"/>
      <c r="R481" s="2"/>
      <c r="S481" s="2"/>
      <c r="T481" s="2"/>
    </row>
    <row r="482" spans="1:20" ht="15.75" customHeight="1">
      <c r="A482" s="1"/>
      <c r="B482" s="2"/>
      <c r="C482" s="2"/>
      <c r="D482" s="2"/>
      <c r="E482" s="2"/>
      <c r="F482" s="2"/>
      <c r="G482" s="2"/>
      <c r="H482" s="2"/>
      <c r="I482" s="2"/>
      <c r="J482" s="2"/>
      <c r="K482" s="2"/>
      <c r="L482" s="2"/>
      <c r="M482" s="2"/>
      <c r="N482" s="2"/>
      <c r="O482" s="2"/>
      <c r="P482" s="2"/>
      <c r="Q482" s="2"/>
      <c r="R482" s="2"/>
      <c r="S482" s="2"/>
      <c r="T482" s="2"/>
    </row>
    <row r="483" spans="1:20" ht="15.75" customHeight="1">
      <c r="A483" s="1"/>
      <c r="B483" s="2"/>
      <c r="C483" s="2"/>
      <c r="D483" s="2"/>
      <c r="E483" s="2"/>
      <c r="F483" s="2"/>
      <c r="G483" s="2"/>
      <c r="H483" s="2"/>
      <c r="I483" s="2"/>
      <c r="J483" s="2"/>
      <c r="K483" s="2"/>
      <c r="L483" s="2"/>
      <c r="M483" s="2"/>
      <c r="N483" s="2"/>
      <c r="O483" s="2"/>
      <c r="P483" s="2"/>
      <c r="Q483" s="2"/>
      <c r="R483" s="2"/>
      <c r="S483" s="2"/>
      <c r="T483" s="2"/>
    </row>
    <row r="484" spans="1:20" ht="15.75" customHeight="1">
      <c r="A484" s="1"/>
      <c r="B484" s="2"/>
      <c r="C484" s="2"/>
      <c r="D484" s="2"/>
      <c r="E484" s="2"/>
      <c r="F484" s="2"/>
      <c r="G484" s="2"/>
      <c r="H484" s="2"/>
      <c r="I484" s="2"/>
      <c r="J484" s="2"/>
      <c r="K484" s="2"/>
      <c r="L484" s="2"/>
      <c r="M484" s="2"/>
      <c r="N484" s="2"/>
      <c r="O484" s="2"/>
      <c r="P484" s="2"/>
      <c r="Q484" s="2"/>
      <c r="R484" s="2"/>
      <c r="S484" s="2"/>
      <c r="T484" s="2"/>
    </row>
    <row r="485" spans="1:20" ht="15.75" customHeight="1">
      <c r="A485" s="1"/>
      <c r="B485" s="2"/>
      <c r="C485" s="2"/>
      <c r="D485" s="2"/>
      <c r="E485" s="2"/>
      <c r="F485" s="2"/>
      <c r="G485" s="2"/>
      <c r="H485" s="2"/>
      <c r="I485" s="2"/>
      <c r="J485" s="2"/>
      <c r="K485" s="2"/>
      <c r="L485" s="2"/>
      <c r="M485" s="2"/>
      <c r="N485" s="2"/>
      <c r="O485" s="2"/>
      <c r="P485" s="2"/>
      <c r="Q485" s="2"/>
      <c r="R485" s="2"/>
      <c r="S485" s="2"/>
      <c r="T485" s="2"/>
    </row>
    <row r="486" spans="1:20" ht="15.75" customHeight="1">
      <c r="A486" s="1"/>
      <c r="B486" s="2"/>
      <c r="C486" s="2"/>
      <c r="D486" s="2"/>
      <c r="E486" s="2"/>
      <c r="F486" s="2"/>
      <c r="G486" s="2"/>
      <c r="H486" s="2"/>
      <c r="I486" s="2"/>
      <c r="J486" s="2"/>
      <c r="K486" s="2"/>
      <c r="L486" s="2"/>
      <c r="M486" s="2"/>
      <c r="N486" s="2"/>
      <c r="O486" s="2"/>
      <c r="P486" s="2"/>
      <c r="Q486" s="2"/>
      <c r="R486" s="2"/>
      <c r="S486" s="2"/>
      <c r="T486" s="2"/>
    </row>
    <row r="487" spans="1:20" ht="15.75" customHeight="1">
      <c r="A487" s="1"/>
      <c r="B487" s="2"/>
      <c r="C487" s="2"/>
      <c r="D487" s="2"/>
      <c r="E487" s="2"/>
      <c r="F487" s="2"/>
      <c r="G487" s="2"/>
      <c r="H487" s="2"/>
      <c r="I487" s="2"/>
      <c r="J487" s="2"/>
      <c r="K487" s="2"/>
      <c r="L487" s="2"/>
      <c r="M487" s="2"/>
      <c r="N487" s="2"/>
      <c r="O487" s="2"/>
      <c r="P487" s="2"/>
      <c r="Q487" s="2"/>
      <c r="R487" s="2"/>
      <c r="S487" s="2"/>
      <c r="T487" s="2"/>
    </row>
    <row r="488" spans="1:20" ht="15.75" customHeight="1">
      <c r="A488" s="1"/>
      <c r="B488" s="2"/>
      <c r="C488" s="2"/>
      <c r="D488" s="2"/>
      <c r="E488" s="2"/>
      <c r="F488" s="2"/>
      <c r="G488" s="2"/>
      <c r="H488" s="2"/>
      <c r="I488" s="2"/>
      <c r="J488" s="2"/>
      <c r="K488" s="2"/>
      <c r="L488" s="2"/>
      <c r="M488" s="2"/>
      <c r="N488" s="2"/>
      <c r="O488" s="2"/>
      <c r="P488" s="2"/>
      <c r="Q488" s="2"/>
      <c r="R488" s="2"/>
      <c r="S488" s="2"/>
      <c r="T488" s="2"/>
    </row>
    <row r="489" spans="1:20" ht="15.75" customHeight="1">
      <c r="A489" s="1"/>
      <c r="B489" s="2"/>
      <c r="C489" s="2"/>
      <c r="D489" s="2"/>
      <c r="E489" s="2"/>
      <c r="F489" s="2"/>
      <c r="G489" s="2"/>
      <c r="H489" s="2"/>
      <c r="I489" s="2"/>
      <c r="J489" s="2"/>
      <c r="K489" s="2"/>
      <c r="L489" s="2"/>
      <c r="M489" s="2"/>
      <c r="N489" s="2"/>
      <c r="O489" s="2"/>
      <c r="P489" s="2"/>
      <c r="Q489" s="2"/>
      <c r="R489" s="2"/>
      <c r="S489" s="2"/>
      <c r="T489" s="2"/>
    </row>
    <row r="490" spans="1:20" ht="15.75" customHeight="1">
      <c r="A490" s="1"/>
      <c r="B490" s="2"/>
      <c r="C490" s="2"/>
      <c r="D490" s="2"/>
      <c r="E490" s="2"/>
      <c r="F490" s="2"/>
      <c r="G490" s="2"/>
      <c r="H490" s="2"/>
      <c r="I490" s="2"/>
      <c r="J490" s="2"/>
      <c r="K490" s="2"/>
      <c r="L490" s="2"/>
      <c r="M490" s="2"/>
      <c r="N490" s="2"/>
      <c r="O490" s="2"/>
      <c r="P490" s="2"/>
      <c r="Q490" s="2"/>
      <c r="R490" s="2"/>
      <c r="S490" s="2"/>
      <c r="T490" s="2"/>
    </row>
    <row r="491" spans="1:20" ht="15.75" customHeight="1">
      <c r="A491" s="1"/>
      <c r="B491" s="2"/>
      <c r="C491" s="2"/>
      <c r="D491" s="2"/>
      <c r="E491" s="2"/>
      <c r="F491" s="2"/>
      <c r="G491" s="2"/>
      <c r="H491" s="2"/>
      <c r="I491" s="2"/>
      <c r="J491" s="2"/>
      <c r="K491" s="2"/>
      <c r="L491" s="2"/>
      <c r="M491" s="2"/>
      <c r="N491" s="2"/>
      <c r="O491" s="2"/>
      <c r="P491" s="2"/>
      <c r="Q491" s="2"/>
      <c r="R491" s="2"/>
      <c r="S491" s="2"/>
      <c r="T491" s="2"/>
    </row>
    <row r="492" spans="1:20" ht="15.75" customHeight="1">
      <c r="A492" s="1"/>
      <c r="B492" s="2"/>
      <c r="C492" s="2"/>
      <c r="D492" s="2"/>
      <c r="E492" s="2"/>
      <c r="F492" s="2"/>
      <c r="G492" s="2"/>
      <c r="H492" s="2"/>
      <c r="I492" s="2"/>
      <c r="J492" s="2"/>
      <c r="K492" s="2"/>
      <c r="L492" s="2"/>
      <c r="M492" s="2"/>
      <c r="N492" s="2"/>
      <c r="O492" s="2"/>
      <c r="P492" s="2"/>
      <c r="Q492" s="2"/>
      <c r="R492" s="2"/>
      <c r="S492" s="2"/>
      <c r="T492" s="2"/>
    </row>
    <row r="493" spans="1:20" ht="15.75" customHeight="1">
      <c r="A493" s="1"/>
      <c r="B493" s="2"/>
      <c r="C493" s="2"/>
      <c r="D493" s="2"/>
      <c r="E493" s="2"/>
      <c r="F493" s="2"/>
      <c r="G493" s="2"/>
      <c r="H493" s="2"/>
      <c r="I493" s="2"/>
      <c r="J493" s="2"/>
      <c r="K493" s="2"/>
      <c r="L493" s="2"/>
      <c r="M493" s="2"/>
      <c r="N493" s="2"/>
      <c r="O493" s="2"/>
      <c r="P493" s="2"/>
      <c r="Q493" s="2"/>
      <c r="R493" s="2"/>
      <c r="S493" s="2"/>
      <c r="T493" s="2"/>
    </row>
    <row r="494" spans="1:20" ht="15.75" customHeight="1">
      <c r="A494" s="1"/>
      <c r="B494" s="2"/>
      <c r="C494" s="2"/>
      <c r="D494" s="2"/>
      <c r="E494" s="2"/>
      <c r="F494" s="2"/>
      <c r="G494" s="2"/>
      <c r="H494" s="2"/>
      <c r="I494" s="2"/>
      <c r="J494" s="2"/>
      <c r="K494" s="2"/>
      <c r="L494" s="2"/>
      <c r="M494" s="2"/>
      <c r="N494" s="2"/>
      <c r="O494" s="2"/>
      <c r="P494" s="2"/>
      <c r="Q494" s="2"/>
      <c r="R494" s="2"/>
      <c r="S494" s="2"/>
      <c r="T494" s="2"/>
    </row>
    <row r="495" spans="1:20" ht="15.75" customHeight="1">
      <c r="A495" s="1"/>
      <c r="B495" s="2"/>
      <c r="C495" s="2"/>
      <c r="D495" s="2"/>
      <c r="E495" s="2"/>
      <c r="F495" s="2"/>
      <c r="G495" s="2"/>
      <c r="H495" s="2"/>
      <c r="I495" s="2"/>
      <c r="J495" s="2"/>
      <c r="K495" s="2"/>
      <c r="L495" s="2"/>
      <c r="M495" s="2"/>
      <c r="N495" s="2"/>
      <c r="O495" s="2"/>
      <c r="P495" s="2"/>
      <c r="Q495" s="2"/>
      <c r="R495" s="2"/>
      <c r="S495" s="2"/>
      <c r="T495" s="2"/>
    </row>
    <row r="496" spans="1:20" ht="15.75" customHeight="1">
      <c r="A496" s="1"/>
      <c r="B496" s="2"/>
      <c r="C496" s="2"/>
      <c r="D496" s="2"/>
      <c r="E496" s="2"/>
      <c r="F496" s="2"/>
      <c r="G496" s="2"/>
      <c r="H496" s="2"/>
      <c r="I496" s="2"/>
      <c r="J496" s="2"/>
      <c r="K496" s="2"/>
      <c r="L496" s="2"/>
      <c r="M496" s="2"/>
      <c r="N496" s="2"/>
      <c r="O496" s="2"/>
      <c r="P496" s="2"/>
      <c r="Q496" s="2"/>
      <c r="R496" s="2"/>
      <c r="S496" s="2"/>
      <c r="T496" s="2"/>
    </row>
    <row r="497" spans="1:20" ht="15.75" customHeight="1">
      <c r="A497" s="1"/>
      <c r="B497" s="2"/>
      <c r="C497" s="2"/>
      <c r="D497" s="2"/>
      <c r="E497" s="2"/>
      <c r="F497" s="2"/>
      <c r="G497" s="2"/>
      <c r="H497" s="2"/>
      <c r="I497" s="2"/>
      <c r="J497" s="2"/>
      <c r="K497" s="2"/>
      <c r="L497" s="2"/>
      <c r="M497" s="2"/>
      <c r="N497" s="2"/>
      <c r="O497" s="2"/>
      <c r="P497" s="2"/>
      <c r="Q497" s="2"/>
      <c r="R497" s="2"/>
      <c r="S497" s="2"/>
      <c r="T497" s="2"/>
    </row>
    <row r="498" spans="1:20" ht="15.75" customHeight="1">
      <c r="A498" s="1"/>
      <c r="B498" s="2"/>
      <c r="C498" s="2"/>
      <c r="D498" s="2"/>
      <c r="E498" s="2"/>
      <c r="F498" s="2"/>
      <c r="G498" s="2"/>
      <c r="H498" s="2"/>
      <c r="I498" s="2"/>
      <c r="J498" s="2"/>
      <c r="K498" s="2"/>
      <c r="L498" s="2"/>
      <c r="M498" s="2"/>
      <c r="N498" s="2"/>
      <c r="O498" s="2"/>
      <c r="P498" s="2"/>
      <c r="Q498" s="2"/>
      <c r="R498" s="2"/>
      <c r="S498" s="2"/>
      <c r="T498" s="2"/>
    </row>
    <row r="499" spans="1:20" ht="15.75" customHeight="1">
      <c r="A499" s="1"/>
      <c r="B499" s="2"/>
      <c r="C499" s="2"/>
      <c r="D499" s="2"/>
      <c r="E499" s="2"/>
      <c r="F499" s="2"/>
      <c r="G499" s="2"/>
      <c r="H499" s="2"/>
      <c r="I499" s="2"/>
      <c r="J499" s="2"/>
      <c r="K499" s="2"/>
      <c r="L499" s="2"/>
      <c r="M499" s="2"/>
      <c r="N499" s="2"/>
      <c r="O499" s="2"/>
      <c r="P499" s="2"/>
      <c r="Q499" s="2"/>
      <c r="R499" s="2"/>
      <c r="S499" s="2"/>
      <c r="T499" s="2"/>
    </row>
    <row r="500" spans="1:20" ht="15.75" customHeight="1">
      <c r="A500" s="1"/>
      <c r="B500" s="2"/>
      <c r="C500" s="2"/>
      <c r="D500" s="2"/>
      <c r="E500" s="2"/>
      <c r="F500" s="2"/>
      <c r="G500" s="2"/>
      <c r="H500" s="2"/>
      <c r="I500" s="2"/>
      <c r="J500" s="2"/>
      <c r="K500" s="2"/>
      <c r="L500" s="2"/>
      <c r="M500" s="2"/>
      <c r="N500" s="2"/>
      <c r="O500" s="2"/>
      <c r="P500" s="2"/>
      <c r="Q500" s="2"/>
      <c r="R500" s="2"/>
      <c r="S500" s="2"/>
      <c r="T500" s="2"/>
    </row>
    <row r="501" spans="1:20" ht="15.75" customHeight="1">
      <c r="A501" s="1"/>
      <c r="B501" s="2"/>
      <c r="C501" s="2"/>
      <c r="D501" s="2"/>
      <c r="E501" s="2"/>
      <c r="F501" s="2"/>
      <c r="G501" s="2"/>
      <c r="H501" s="2"/>
      <c r="I501" s="2"/>
      <c r="J501" s="2"/>
      <c r="K501" s="2"/>
      <c r="L501" s="2"/>
      <c r="M501" s="2"/>
      <c r="N501" s="2"/>
      <c r="O501" s="2"/>
      <c r="P501" s="2"/>
      <c r="Q501" s="2"/>
      <c r="R501" s="2"/>
      <c r="S501" s="2"/>
      <c r="T501" s="2"/>
    </row>
    <row r="502" spans="1:20" ht="15.75" customHeight="1">
      <c r="A502" s="1"/>
      <c r="B502" s="2"/>
      <c r="C502" s="2"/>
      <c r="D502" s="2"/>
      <c r="E502" s="2"/>
      <c r="F502" s="2"/>
      <c r="G502" s="2"/>
      <c r="H502" s="2"/>
      <c r="I502" s="2"/>
      <c r="J502" s="2"/>
      <c r="K502" s="2"/>
      <c r="L502" s="2"/>
      <c r="M502" s="2"/>
      <c r="N502" s="2"/>
      <c r="O502" s="2"/>
      <c r="P502" s="2"/>
      <c r="Q502" s="2"/>
      <c r="R502" s="2"/>
      <c r="S502" s="2"/>
      <c r="T502" s="2"/>
    </row>
    <row r="503" spans="1:20" ht="15.75" customHeight="1">
      <c r="A503" s="1"/>
      <c r="B503" s="2"/>
      <c r="C503" s="2"/>
      <c r="D503" s="2"/>
      <c r="E503" s="2"/>
      <c r="F503" s="2"/>
      <c r="G503" s="2"/>
      <c r="H503" s="2"/>
      <c r="I503" s="2"/>
      <c r="J503" s="2"/>
      <c r="K503" s="2"/>
      <c r="L503" s="2"/>
      <c r="M503" s="2"/>
      <c r="N503" s="2"/>
      <c r="O503" s="2"/>
      <c r="P503" s="2"/>
      <c r="Q503" s="2"/>
      <c r="R503" s="2"/>
      <c r="S503" s="2"/>
      <c r="T503" s="2"/>
    </row>
    <row r="504" spans="1:20" ht="15.75" customHeight="1">
      <c r="A504" s="1"/>
      <c r="B504" s="2"/>
      <c r="C504" s="2"/>
      <c r="D504" s="2"/>
      <c r="E504" s="2"/>
      <c r="F504" s="2"/>
      <c r="G504" s="2"/>
      <c r="H504" s="2"/>
      <c r="I504" s="2"/>
      <c r="J504" s="2"/>
      <c r="K504" s="2"/>
      <c r="L504" s="2"/>
      <c r="M504" s="2"/>
      <c r="N504" s="2"/>
      <c r="O504" s="2"/>
      <c r="P504" s="2"/>
      <c r="Q504" s="2"/>
      <c r="R504" s="2"/>
      <c r="S504" s="2"/>
      <c r="T504" s="2"/>
    </row>
    <row r="505" spans="1:20" ht="15.75" customHeight="1">
      <c r="A505" s="1"/>
      <c r="B505" s="2"/>
      <c r="C505" s="2"/>
      <c r="D505" s="2"/>
      <c r="E505" s="2"/>
      <c r="F505" s="2"/>
      <c r="G505" s="2"/>
      <c r="H505" s="2"/>
      <c r="I505" s="2"/>
      <c r="J505" s="2"/>
      <c r="K505" s="2"/>
      <c r="L505" s="2"/>
      <c r="M505" s="2"/>
      <c r="N505" s="2"/>
      <c r="O505" s="2"/>
      <c r="P505" s="2"/>
      <c r="Q505" s="2"/>
      <c r="R505" s="2"/>
      <c r="S505" s="2"/>
      <c r="T505" s="2"/>
    </row>
    <row r="506" spans="1:20" ht="15.75" customHeight="1">
      <c r="A506" s="1"/>
      <c r="B506" s="2"/>
      <c r="C506" s="2"/>
      <c r="D506" s="2"/>
      <c r="E506" s="2"/>
      <c r="F506" s="2"/>
      <c r="G506" s="2"/>
      <c r="H506" s="2"/>
      <c r="I506" s="2"/>
      <c r="J506" s="2"/>
      <c r="K506" s="2"/>
      <c r="L506" s="2"/>
      <c r="M506" s="2"/>
      <c r="N506" s="2"/>
      <c r="O506" s="2"/>
      <c r="P506" s="2"/>
      <c r="Q506" s="2"/>
      <c r="R506" s="2"/>
      <c r="S506" s="2"/>
      <c r="T506" s="2"/>
    </row>
    <row r="507" spans="1:20" ht="15.75" customHeight="1">
      <c r="A507" s="1"/>
      <c r="B507" s="2"/>
      <c r="C507" s="2"/>
      <c r="D507" s="2"/>
      <c r="E507" s="2"/>
      <c r="F507" s="2"/>
      <c r="G507" s="2"/>
      <c r="H507" s="2"/>
      <c r="I507" s="2"/>
      <c r="J507" s="2"/>
      <c r="K507" s="2"/>
      <c r="L507" s="2"/>
      <c r="M507" s="2"/>
      <c r="N507" s="2"/>
      <c r="O507" s="2"/>
      <c r="P507" s="2"/>
      <c r="Q507" s="2"/>
      <c r="R507" s="2"/>
      <c r="S507" s="2"/>
      <c r="T507" s="2"/>
    </row>
    <row r="508" spans="1:20" ht="15.75" customHeight="1">
      <c r="A508" s="1"/>
      <c r="B508" s="2"/>
      <c r="C508" s="2"/>
      <c r="D508" s="2"/>
      <c r="E508" s="2"/>
      <c r="F508" s="2"/>
      <c r="G508" s="2"/>
      <c r="H508" s="2"/>
      <c r="I508" s="2"/>
      <c r="J508" s="2"/>
      <c r="K508" s="2"/>
      <c r="L508" s="2"/>
      <c r="M508" s="2"/>
      <c r="N508" s="2"/>
      <c r="O508" s="2"/>
      <c r="P508" s="2"/>
      <c r="Q508" s="2"/>
      <c r="R508" s="2"/>
      <c r="S508" s="2"/>
      <c r="T508" s="2"/>
    </row>
    <row r="509" spans="1:20" ht="15.75" customHeight="1">
      <c r="A509" s="1"/>
      <c r="B509" s="2"/>
      <c r="C509" s="2"/>
      <c r="D509" s="2"/>
      <c r="E509" s="2"/>
      <c r="F509" s="2"/>
      <c r="G509" s="2"/>
      <c r="H509" s="2"/>
      <c r="I509" s="2"/>
      <c r="J509" s="2"/>
      <c r="K509" s="2"/>
      <c r="L509" s="2"/>
      <c r="M509" s="2"/>
      <c r="N509" s="2"/>
      <c r="O509" s="2"/>
      <c r="P509" s="2"/>
      <c r="Q509" s="2"/>
      <c r="R509" s="2"/>
      <c r="S509" s="2"/>
      <c r="T509" s="2"/>
    </row>
    <row r="510" spans="1:20" ht="15.75" customHeight="1">
      <c r="A510" s="1"/>
      <c r="B510" s="2"/>
      <c r="C510" s="2"/>
      <c r="D510" s="2"/>
      <c r="E510" s="2"/>
      <c r="F510" s="2"/>
      <c r="G510" s="2"/>
      <c r="H510" s="2"/>
      <c r="I510" s="2"/>
      <c r="J510" s="2"/>
      <c r="K510" s="2"/>
      <c r="L510" s="2"/>
      <c r="M510" s="2"/>
      <c r="N510" s="2"/>
      <c r="O510" s="2"/>
      <c r="P510" s="2"/>
      <c r="Q510" s="2"/>
      <c r="R510" s="2"/>
      <c r="S510" s="2"/>
      <c r="T510" s="2"/>
    </row>
    <row r="511" spans="1:20" ht="15.75" customHeight="1">
      <c r="A511" s="1"/>
      <c r="B511" s="2"/>
      <c r="C511" s="2"/>
      <c r="D511" s="2"/>
      <c r="E511" s="2"/>
      <c r="F511" s="2"/>
      <c r="G511" s="2"/>
      <c r="H511" s="2"/>
      <c r="I511" s="2"/>
      <c r="J511" s="2"/>
      <c r="K511" s="2"/>
      <c r="L511" s="2"/>
      <c r="M511" s="2"/>
      <c r="N511" s="2"/>
      <c r="O511" s="2"/>
      <c r="P511" s="2"/>
      <c r="Q511" s="2"/>
      <c r="R511" s="2"/>
      <c r="S511" s="2"/>
      <c r="T511" s="2"/>
    </row>
    <row r="512" spans="1:20" ht="15.75" customHeight="1">
      <c r="A512" s="1"/>
      <c r="B512" s="2"/>
      <c r="C512" s="2"/>
      <c r="D512" s="2"/>
      <c r="E512" s="2"/>
      <c r="F512" s="2"/>
      <c r="G512" s="2"/>
      <c r="H512" s="2"/>
      <c r="I512" s="2"/>
      <c r="J512" s="2"/>
      <c r="K512" s="2"/>
      <c r="L512" s="2"/>
      <c r="M512" s="2"/>
      <c r="N512" s="2"/>
      <c r="O512" s="2"/>
      <c r="P512" s="2"/>
      <c r="Q512" s="2"/>
      <c r="R512" s="2"/>
      <c r="S512" s="2"/>
      <c r="T512" s="2"/>
    </row>
    <row r="513" spans="1:20" ht="15.75" customHeight="1">
      <c r="A513" s="1"/>
      <c r="B513" s="2"/>
      <c r="C513" s="2"/>
      <c r="D513" s="2"/>
      <c r="E513" s="2"/>
      <c r="F513" s="2"/>
      <c r="G513" s="2"/>
      <c r="H513" s="2"/>
      <c r="I513" s="2"/>
      <c r="J513" s="2"/>
      <c r="K513" s="2"/>
      <c r="L513" s="2"/>
      <c r="M513" s="2"/>
      <c r="N513" s="2"/>
      <c r="O513" s="2"/>
      <c r="P513" s="2"/>
      <c r="Q513" s="2"/>
      <c r="R513" s="2"/>
      <c r="S513" s="2"/>
      <c r="T513" s="2"/>
    </row>
    <row r="514" spans="1:20" ht="15.75" customHeight="1">
      <c r="A514" s="1"/>
      <c r="B514" s="2"/>
      <c r="C514" s="2"/>
      <c r="D514" s="2"/>
      <c r="E514" s="2"/>
      <c r="F514" s="2"/>
      <c r="G514" s="2"/>
      <c r="H514" s="2"/>
      <c r="I514" s="2"/>
      <c r="J514" s="2"/>
      <c r="K514" s="2"/>
      <c r="L514" s="2"/>
      <c r="M514" s="2"/>
      <c r="N514" s="2"/>
      <c r="O514" s="2"/>
      <c r="P514" s="2"/>
      <c r="Q514" s="2"/>
      <c r="R514" s="2"/>
      <c r="S514" s="2"/>
      <c r="T514" s="2"/>
    </row>
    <row r="515" spans="1:20" ht="15.75" customHeight="1">
      <c r="A515" s="1"/>
      <c r="B515" s="2"/>
      <c r="C515" s="2"/>
      <c r="D515" s="2"/>
      <c r="E515" s="2"/>
      <c r="F515" s="2"/>
      <c r="G515" s="2"/>
      <c r="H515" s="2"/>
      <c r="I515" s="2"/>
      <c r="J515" s="2"/>
      <c r="K515" s="2"/>
      <c r="L515" s="2"/>
      <c r="M515" s="2"/>
      <c r="N515" s="2"/>
      <c r="O515" s="2"/>
      <c r="P515" s="2"/>
      <c r="Q515" s="2"/>
      <c r="R515" s="2"/>
      <c r="S515" s="2"/>
      <c r="T515" s="2"/>
    </row>
    <row r="516" spans="1:20" ht="15.75" customHeight="1">
      <c r="A516" s="1"/>
      <c r="B516" s="2"/>
      <c r="C516" s="2"/>
      <c r="D516" s="2"/>
      <c r="E516" s="2"/>
      <c r="F516" s="2"/>
      <c r="G516" s="2"/>
      <c r="H516" s="2"/>
      <c r="I516" s="2"/>
      <c r="J516" s="2"/>
      <c r="K516" s="2"/>
      <c r="L516" s="2"/>
      <c r="M516" s="2"/>
      <c r="N516" s="2"/>
      <c r="O516" s="2"/>
      <c r="P516" s="2"/>
      <c r="Q516" s="2"/>
      <c r="R516" s="2"/>
      <c r="S516" s="2"/>
      <c r="T516" s="2"/>
    </row>
    <row r="517" spans="1:20" ht="15.75" customHeight="1">
      <c r="A517" s="1"/>
      <c r="B517" s="2"/>
      <c r="C517" s="2"/>
      <c r="D517" s="2"/>
      <c r="E517" s="2"/>
      <c r="F517" s="2"/>
      <c r="G517" s="2"/>
      <c r="H517" s="2"/>
      <c r="I517" s="2"/>
      <c r="J517" s="2"/>
      <c r="K517" s="2"/>
      <c r="L517" s="2"/>
      <c r="M517" s="2"/>
      <c r="N517" s="2"/>
      <c r="O517" s="2"/>
      <c r="P517" s="2"/>
      <c r="Q517" s="2"/>
      <c r="R517" s="2"/>
      <c r="S517" s="2"/>
      <c r="T517" s="2"/>
    </row>
    <row r="518" spans="1:20" ht="15.75" customHeight="1">
      <c r="A518" s="1"/>
      <c r="B518" s="2"/>
      <c r="C518" s="2"/>
      <c r="D518" s="2"/>
      <c r="E518" s="2"/>
      <c r="F518" s="2"/>
      <c r="G518" s="2"/>
      <c r="H518" s="2"/>
      <c r="I518" s="2"/>
      <c r="J518" s="2"/>
      <c r="K518" s="2"/>
      <c r="L518" s="2"/>
      <c r="M518" s="2"/>
      <c r="N518" s="2"/>
      <c r="O518" s="2"/>
      <c r="P518" s="2"/>
      <c r="Q518" s="2"/>
      <c r="R518" s="2"/>
      <c r="S518" s="2"/>
      <c r="T518" s="2"/>
    </row>
    <row r="519" spans="1:20" ht="15.75" customHeight="1">
      <c r="A519" s="1"/>
      <c r="B519" s="2"/>
      <c r="C519" s="2"/>
      <c r="D519" s="2"/>
      <c r="E519" s="2"/>
      <c r="F519" s="2"/>
      <c r="G519" s="2"/>
      <c r="H519" s="2"/>
      <c r="I519" s="2"/>
      <c r="J519" s="2"/>
      <c r="K519" s="2"/>
      <c r="L519" s="2"/>
      <c r="M519" s="2"/>
      <c r="N519" s="2"/>
      <c r="O519" s="2"/>
      <c r="P519" s="2"/>
      <c r="Q519" s="2"/>
      <c r="R519" s="2"/>
      <c r="S519" s="2"/>
      <c r="T519" s="2"/>
    </row>
    <row r="520" spans="1:20" ht="15.75" customHeight="1">
      <c r="A520" s="1"/>
      <c r="B520" s="2"/>
      <c r="C520" s="2"/>
      <c r="D520" s="2"/>
      <c r="E520" s="2"/>
      <c r="F520" s="2"/>
      <c r="G520" s="2"/>
      <c r="H520" s="2"/>
      <c r="I520" s="2"/>
      <c r="J520" s="2"/>
      <c r="K520" s="2"/>
      <c r="L520" s="2"/>
      <c r="M520" s="2"/>
      <c r="N520" s="2"/>
      <c r="O520" s="2"/>
      <c r="P520" s="2"/>
      <c r="Q520" s="2"/>
      <c r="R520" s="2"/>
      <c r="S520" s="2"/>
      <c r="T520" s="2"/>
    </row>
    <row r="521" spans="1:20" ht="15.75" customHeight="1">
      <c r="A521" s="1"/>
      <c r="B521" s="2"/>
      <c r="C521" s="2"/>
      <c r="D521" s="2"/>
      <c r="E521" s="2"/>
      <c r="F521" s="2"/>
      <c r="G521" s="2"/>
      <c r="H521" s="2"/>
      <c r="I521" s="2"/>
      <c r="J521" s="2"/>
      <c r="K521" s="2"/>
      <c r="L521" s="2"/>
      <c r="M521" s="2"/>
      <c r="N521" s="2"/>
      <c r="O521" s="2"/>
      <c r="P521" s="2"/>
      <c r="Q521" s="2"/>
      <c r="R521" s="2"/>
      <c r="S521" s="2"/>
      <c r="T521" s="2"/>
    </row>
    <row r="522" spans="1:20" ht="15.75" customHeight="1">
      <c r="A522" s="1"/>
      <c r="B522" s="2"/>
      <c r="C522" s="2"/>
      <c r="D522" s="2"/>
      <c r="E522" s="2"/>
      <c r="F522" s="2"/>
      <c r="G522" s="2"/>
      <c r="H522" s="2"/>
      <c r="I522" s="2"/>
      <c r="J522" s="2"/>
      <c r="K522" s="2"/>
      <c r="L522" s="2"/>
      <c r="M522" s="2"/>
      <c r="N522" s="2"/>
      <c r="O522" s="2"/>
      <c r="P522" s="2"/>
      <c r="Q522" s="2"/>
      <c r="R522" s="2"/>
      <c r="S522" s="2"/>
      <c r="T522" s="2"/>
    </row>
    <row r="523" spans="1:20" ht="15.75" customHeight="1">
      <c r="A523" s="1"/>
      <c r="B523" s="2"/>
      <c r="C523" s="2"/>
      <c r="D523" s="2"/>
      <c r="E523" s="2"/>
      <c r="F523" s="2"/>
      <c r="G523" s="2"/>
      <c r="H523" s="2"/>
      <c r="I523" s="2"/>
      <c r="J523" s="2"/>
      <c r="K523" s="2"/>
      <c r="L523" s="2"/>
      <c r="M523" s="2"/>
      <c r="N523" s="2"/>
      <c r="O523" s="2"/>
      <c r="P523" s="2"/>
      <c r="Q523" s="2"/>
      <c r="R523" s="2"/>
      <c r="S523" s="2"/>
      <c r="T523" s="2"/>
    </row>
    <row r="524" spans="1:20" ht="15.75" customHeight="1">
      <c r="A524" s="1"/>
      <c r="B524" s="2"/>
      <c r="C524" s="2"/>
      <c r="D524" s="2"/>
      <c r="E524" s="2"/>
      <c r="F524" s="2"/>
      <c r="G524" s="2"/>
      <c r="H524" s="2"/>
      <c r="I524" s="2"/>
      <c r="J524" s="2"/>
      <c r="K524" s="2"/>
      <c r="L524" s="2"/>
      <c r="M524" s="2"/>
      <c r="N524" s="2"/>
      <c r="O524" s="2"/>
      <c r="P524" s="2"/>
      <c r="Q524" s="2"/>
      <c r="R524" s="2"/>
      <c r="S524" s="2"/>
      <c r="T524" s="2"/>
    </row>
    <row r="525" spans="1:20" ht="15.75" customHeight="1">
      <c r="A525" s="1"/>
      <c r="B525" s="2"/>
      <c r="C525" s="2"/>
      <c r="D525" s="2"/>
      <c r="E525" s="2"/>
      <c r="F525" s="2"/>
      <c r="G525" s="2"/>
      <c r="H525" s="2"/>
      <c r="I525" s="2"/>
      <c r="J525" s="2"/>
      <c r="K525" s="2"/>
      <c r="L525" s="2"/>
      <c r="M525" s="2"/>
      <c r="N525" s="2"/>
      <c r="O525" s="2"/>
      <c r="P525" s="2"/>
      <c r="Q525" s="2"/>
      <c r="R525" s="2"/>
      <c r="S525" s="2"/>
      <c r="T525" s="2"/>
    </row>
    <row r="526" spans="1:20" ht="15.75" customHeight="1">
      <c r="A526" s="1"/>
      <c r="B526" s="2"/>
      <c r="C526" s="2"/>
      <c r="D526" s="2"/>
      <c r="E526" s="2"/>
      <c r="F526" s="2"/>
      <c r="G526" s="2"/>
      <c r="H526" s="2"/>
      <c r="I526" s="2"/>
      <c r="J526" s="2"/>
      <c r="K526" s="2"/>
      <c r="L526" s="2"/>
      <c r="M526" s="2"/>
      <c r="N526" s="2"/>
      <c r="O526" s="2"/>
      <c r="P526" s="2"/>
      <c r="Q526" s="2"/>
      <c r="R526" s="2"/>
      <c r="S526" s="2"/>
      <c r="T526" s="2"/>
    </row>
    <row r="527" spans="1:20" ht="15.75" customHeight="1">
      <c r="A527" s="1"/>
      <c r="B527" s="2"/>
      <c r="C527" s="2"/>
      <c r="D527" s="2"/>
      <c r="E527" s="2"/>
      <c r="F527" s="2"/>
      <c r="G527" s="2"/>
      <c r="H527" s="2"/>
      <c r="I527" s="2"/>
      <c r="J527" s="2"/>
      <c r="K527" s="2"/>
      <c r="L527" s="2"/>
      <c r="M527" s="2"/>
      <c r="N527" s="2"/>
      <c r="O527" s="2"/>
      <c r="P527" s="2"/>
      <c r="Q527" s="2"/>
      <c r="R527" s="2"/>
      <c r="S527" s="2"/>
      <c r="T527" s="2"/>
    </row>
    <row r="528" spans="1:20" ht="15.75" customHeight="1">
      <c r="A528" s="1"/>
      <c r="B528" s="2"/>
      <c r="C528" s="2"/>
      <c r="D528" s="2"/>
      <c r="E528" s="2"/>
      <c r="F528" s="2"/>
      <c r="G528" s="2"/>
      <c r="H528" s="2"/>
      <c r="I528" s="2"/>
      <c r="J528" s="2"/>
      <c r="K528" s="2"/>
      <c r="L528" s="2"/>
      <c r="M528" s="2"/>
      <c r="N528" s="2"/>
      <c r="O528" s="2"/>
      <c r="P528" s="2"/>
      <c r="Q528" s="2"/>
      <c r="R528" s="2"/>
      <c r="S528" s="2"/>
      <c r="T528" s="2"/>
    </row>
    <row r="529" spans="1:20" ht="15.75" customHeight="1">
      <c r="A529" s="1"/>
      <c r="B529" s="2"/>
      <c r="C529" s="2"/>
      <c r="D529" s="2"/>
      <c r="E529" s="2"/>
      <c r="F529" s="2"/>
      <c r="G529" s="2"/>
      <c r="H529" s="2"/>
      <c r="I529" s="2"/>
      <c r="J529" s="2"/>
      <c r="K529" s="2"/>
      <c r="L529" s="2"/>
      <c r="M529" s="2"/>
      <c r="N529" s="2"/>
      <c r="O529" s="2"/>
      <c r="P529" s="2"/>
      <c r="Q529" s="2"/>
      <c r="R529" s="2"/>
      <c r="S529" s="2"/>
      <c r="T529" s="2"/>
    </row>
    <row r="530" spans="1:20" ht="15.75" customHeight="1">
      <c r="A530" s="1"/>
      <c r="B530" s="2"/>
      <c r="C530" s="2"/>
      <c r="D530" s="2"/>
      <c r="E530" s="2"/>
      <c r="F530" s="2"/>
      <c r="G530" s="2"/>
      <c r="H530" s="2"/>
      <c r="I530" s="2"/>
      <c r="J530" s="2"/>
      <c r="K530" s="2"/>
      <c r="L530" s="2"/>
      <c r="M530" s="2"/>
      <c r="N530" s="2"/>
      <c r="O530" s="2"/>
      <c r="P530" s="2"/>
      <c r="Q530" s="2"/>
      <c r="R530" s="2"/>
      <c r="S530" s="2"/>
      <c r="T530" s="2"/>
    </row>
    <row r="531" spans="1:20" ht="15.75" customHeight="1">
      <c r="A531" s="1"/>
      <c r="B531" s="2"/>
      <c r="C531" s="2"/>
      <c r="D531" s="2"/>
      <c r="E531" s="2"/>
      <c r="F531" s="2"/>
      <c r="G531" s="2"/>
      <c r="H531" s="2"/>
      <c r="I531" s="2"/>
      <c r="J531" s="2"/>
      <c r="K531" s="2"/>
      <c r="L531" s="2"/>
      <c r="M531" s="2"/>
      <c r="N531" s="2"/>
      <c r="O531" s="2"/>
      <c r="P531" s="2"/>
      <c r="Q531" s="2"/>
      <c r="R531" s="2"/>
      <c r="S531" s="2"/>
      <c r="T531" s="2"/>
    </row>
    <row r="532" spans="1:20" ht="15.75" customHeight="1">
      <c r="A532" s="1"/>
      <c r="B532" s="2"/>
      <c r="C532" s="2"/>
      <c r="D532" s="2"/>
      <c r="E532" s="2"/>
      <c r="F532" s="2"/>
      <c r="G532" s="2"/>
      <c r="H532" s="2"/>
      <c r="I532" s="2"/>
      <c r="J532" s="2"/>
      <c r="K532" s="2"/>
      <c r="L532" s="2"/>
      <c r="M532" s="2"/>
      <c r="N532" s="2"/>
      <c r="O532" s="2"/>
      <c r="P532" s="2"/>
      <c r="Q532" s="2"/>
      <c r="R532" s="2"/>
      <c r="S532" s="2"/>
      <c r="T532" s="2"/>
    </row>
    <row r="533" spans="1:20" ht="15.75" customHeight="1">
      <c r="A533" s="1"/>
      <c r="B533" s="2"/>
      <c r="C533" s="2"/>
      <c r="D533" s="2"/>
      <c r="E533" s="2"/>
      <c r="F533" s="2"/>
      <c r="G533" s="2"/>
      <c r="H533" s="2"/>
      <c r="I533" s="2"/>
      <c r="J533" s="2"/>
      <c r="K533" s="2"/>
      <c r="L533" s="2"/>
      <c r="M533" s="2"/>
      <c r="N533" s="2"/>
      <c r="O533" s="2"/>
      <c r="P533" s="2"/>
      <c r="Q533" s="2"/>
      <c r="R533" s="2"/>
      <c r="S533" s="2"/>
      <c r="T533" s="2"/>
    </row>
    <row r="534" spans="1:20" ht="15.75" customHeight="1">
      <c r="A534" s="1"/>
      <c r="B534" s="2"/>
      <c r="C534" s="2"/>
      <c r="D534" s="2"/>
      <c r="E534" s="2"/>
      <c r="F534" s="2"/>
      <c r="G534" s="2"/>
      <c r="H534" s="2"/>
      <c r="I534" s="2"/>
      <c r="J534" s="2"/>
      <c r="K534" s="2"/>
      <c r="L534" s="2"/>
      <c r="M534" s="2"/>
      <c r="N534" s="2"/>
      <c r="O534" s="2"/>
      <c r="P534" s="2"/>
      <c r="Q534" s="2"/>
      <c r="R534" s="2"/>
      <c r="S534" s="2"/>
      <c r="T534" s="2"/>
    </row>
    <row r="535" spans="1:20" ht="15.75" customHeight="1">
      <c r="A535" s="1"/>
      <c r="B535" s="2"/>
      <c r="C535" s="2"/>
      <c r="D535" s="2"/>
      <c r="E535" s="2"/>
      <c r="F535" s="2"/>
      <c r="G535" s="2"/>
      <c r="H535" s="2"/>
      <c r="I535" s="2"/>
      <c r="J535" s="2"/>
      <c r="K535" s="2"/>
      <c r="L535" s="2"/>
      <c r="M535" s="2"/>
      <c r="N535" s="2"/>
      <c r="O535" s="2"/>
      <c r="P535" s="2"/>
      <c r="Q535" s="2"/>
      <c r="R535" s="2"/>
      <c r="S535" s="2"/>
      <c r="T535" s="2"/>
    </row>
    <row r="536" spans="1:20" ht="15.75" customHeight="1">
      <c r="A536" s="1"/>
      <c r="B536" s="2"/>
      <c r="C536" s="2"/>
      <c r="D536" s="2"/>
      <c r="E536" s="2"/>
      <c r="F536" s="2"/>
      <c r="G536" s="2"/>
      <c r="H536" s="2"/>
      <c r="I536" s="2"/>
      <c r="J536" s="2"/>
      <c r="K536" s="2"/>
      <c r="L536" s="2"/>
      <c r="M536" s="2"/>
      <c r="N536" s="2"/>
      <c r="O536" s="2"/>
      <c r="P536" s="2"/>
      <c r="Q536" s="2"/>
      <c r="R536" s="2"/>
      <c r="S536" s="2"/>
      <c r="T536" s="2"/>
    </row>
    <row r="537" spans="1:20" ht="15.75" customHeight="1">
      <c r="A537" s="1"/>
      <c r="B537" s="2"/>
      <c r="C537" s="2"/>
      <c r="D537" s="2"/>
      <c r="E537" s="2"/>
      <c r="F537" s="2"/>
      <c r="G537" s="2"/>
      <c r="H537" s="2"/>
      <c r="I537" s="2"/>
      <c r="J537" s="2"/>
      <c r="K537" s="2"/>
      <c r="L537" s="2"/>
      <c r="M537" s="2"/>
      <c r="N537" s="2"/>
      <c r="O537" s="2"/>
      <c r="P537" s="2"/>
      <c r="Q537" s="2"/>
      <c r="R537" s="2"/>
      <c r="S537" s="2"/>
      <c r="T537" s="2"/>
    </row>
    <row r="538" spans="1:20" ht="15.75" customHeight="1">
      <c r="A538" s="1"/>
      <c r="B538" s="2"/>
      <c r="C538" s="2"/>
      <c r="D538" s="2"/>
      <c r="E538" s="2"/>
      <c r="F538" s="2"/>
      <c r="G538" s="2"/>
      <c r="H538" s="2"/>
      <c r="I538" s="2"/>
      <c r="J538" s="2"/>
      <c r="K538" s="2"/>
      <c r="L538" s="2"/>
      <c r="M538" s="2"/>
      <c r="N538" s="2"/>
      <c r="O538" s="2"/>
      <c r="P538" s="2"/>
      <c r="Q538" s="2"/>
      <c r="R538" s="2"/>
      <c r="S538" s="2"/>
      <c r="T538" s="2"/>
    </row>
    <row r="539" spans="1:20" ht="15.75" customHeight="1">
      <c r="A539" s="1"/>
      <c r="B539" s="2"/>
      <c r="C539" s="2"/>
      <c r="D539" s="2"/>
      <c r="E539" s="2"/>
      <c r="F539" s="2"/>
      <c r="G539" s="2"/>
      <c r="H539" s="2"/>
      <c r="I539" s="2"/>
      <c r="J539" s="2"/>
      <c r="K539" s="2"/>
      <c r="L539" s="2"/>
      <c r="M539" s="2"/>
      <c r="N539" s="2"/>
      <c r="O539" s="2"/>
      <c r="P539" s="2"/>
      <c r="Q539" s="2"/>
      <c r="R539" s="2"/>
      <c r="S539" s="2"/>
      <c r="T539" s="2"/>
    </row>
    <row r="540" spans="1:20" ht="15.75" customHeight="1">
      <c r="A540" s="1"/>
      <c r="B540" s="2"/>
      <c r="C540" s="2"/>
      <c r="D540" s="2"/>
      <c r="E540" s="2"/>
      <c r="F540" s="2"/>
      <c r="G540" s="2"/>
      <c r="H540" s="2"/>
      <c r="I540" s="2"/>
      <c r="J540" s="2"/>
      <c r="K540" s="2"/>
      <c r="L540" s="2"/>
      <c r="M540" s="2"/>
      <c r="N540" s="2"/>
      <c r="O540" s="2"/>
      <c r="P540" s="2"/>
      <c r="Q540" s="2"/>
      <c r="R540" s="2"/>
      <c r="S540" s="2"/>
      <c r="T540" s="2"/>
    </row>
    <row r="541" spans="1:20" ht="15.75" customHeight="1">
      <c r="A541" s="1"/>
      <c r="B541" s="2"/>
      <c r="C541" s="2"/>
      <c r="D541" s="2"/>
      <c r="E541" s="2"/>
      <c r="F541" s="2"/>
      <c r="G541" s="2"/>
      <c r="H541" s="2"/>
      <c r="I541" s="2"/>
      <c r="J541" s="2"/>
      <c r="K541" s="2"/>
      <c r="L541" s="2"/>
      <c r="M541" s="2"/>
      <c r="N541" s="2"/>
      <c r="O541" s="2"/>
      <c r="P541" s="2"/>
      <c r="Q541" s="2"/>
      <c r="R541" s="2"/>
      <c r="S541" s="2"/>
      <c r="T541" s="2"/>
    </row>
    <row r="542" spans="1:20" ht="15.75" customHeight="1">
      <c r="A542" s="1"/>
      <c r="B542" s="2"/>
      <c r="C542" s="2"/>
      <c r="D542" s="2"/>
      <c r="E542" s="2"/>
      <c r="F542" s="2"/>
      <c r="G542" s="2"/>
      <c r="H542" s="2"/>
      <c r="I542" s="2"/>
      <c r="J542" s="2"/>
      <c r="K542" s="2"/>
      <c r="L542" s="2"/>
      <c r="M542" s="2"/>
      <c r="N542" s="2"/>
      <c r="O542" s="2"/>
      <c r="P542" s="2"/>
      <c r="Q542" s="2"/>
      <c r="R542" s="2"/>
      <c r="S542" s="2"/>
      <c r="T542" s="2"/>
    </row>
    <row r="543" spans="1:20" ht="15.75" customHeight="1">
      <c r="A543" s="1"/>
      <c r="B543" s="2"/>
      <c r="C543" s="2"/>
      <c r="D543" s="2"/>
      <c r="E543" s="2"/>
      <c r="F543" s="2"/>
      <c r="G543" s="2"/>
      <c r="H543" s="2"/>
      <c r="I543" s="2"/>
      <c r="J543" s="2"/>
      <c r="K543" s="2"/>
      <c r="L543" s="2"/>
      <c r="M543" s="2"/>
      <c r="N543" s="2"/>
      <c r="O543" s="2"/>
      <c r="P543" s="2"/>
      <c r="Q543" s="2"/>
      <c r="R543" s="2"/>
      <c r="S543" s="2"/>
      <c r="T543" s="2"/>
    </row>
    <row r="544" spans="1:20" ht="15.75" customHeight="1">
      <c r="A544" s="1"/>
      <c r="B544" s="2"/>
      <c r="C544" s="2"/>
      <c r="D544" s="2"/>
      <c r="E544" s="2"/>
      <c r="F544" s="2"/>
      <c r="G544" s="2"/>
      <c r="H544" s="2"/>
      <c r="I544" s="2"/>
      <c r="J544" s="2"/>
      <c r="K544" s="2"/>
      <c r="L544" s="2"/>
      <c r="M544" s="2"/>
      <c r="N544" s="2"/>
      <c r="O544" s="2"/>
      <c r="P544" s="2"/>
      <c r="Q544" s="2"/>
      <c r="R544" s="2"/>
      <c r="S544" s="2"/>
      <c r="T544" s="2"/>
    </row>
    <row r="545" spans="1:20" ht="15.75" customHeight="1">
      <c r="A545" s="1"/>
      <c r="B545" s="2"/>
      <c r="C545" s="2"/>
      <c r="D545" s="2"/>
      <c r="E545" s="2"/>
      <c r="F545" s="2"/>
      <c r="G545" s="2"/>
      <c r="H545" s="2"/>
      <c r="I545" s="2"/>
      <c r="J545" s="2"/>
      <c r="K545" s="2"/>
      <c r="L545" s="2"/>
      <c r="M545" s="2"/>
      <c r="N545" s="2"/>
      <c r="O545" s="2"/>
      <c r="P545" s="2"/>
      <c r="Q545" s="2"/>
      <c r="R545" s="2"/>
      <c r="S545" s="2"/>
      <c r="T545" s="2"/>
    </row>
    <row r="546" spans="1:20" ht="15.75" customHeight="1">
      <c r="A546" s="1"/>
      <c r="B546" s="2"/>
      <c r="C546" s="2"/>
      <c r="D546" s="2"/>
      <c r="E546" s="2"/>
      <c r="F546" s="2"/>
      <c r="G546" s="2"/>
      <c r="H546" s="2"/>
      <c r="I546" s="2"/>
      <c r="J546" s="2"/>
      <c r="K546" s="2"/>
      <c r="L546" s="2"/>
      <c r="M546" s="2"/>
      <c r="N546" s="2"/>
      <c r="O546" s="2"/>
      <c r="P546" s="2"/>
      <c r="Q546" s="2"/>
      <c r="R546" s="2"/>
      <c r="S546" s="2"/>
      <c r="T546" s="2"/>
    </row>
    <row r="547" spans="1:20" ht="15.75" customHeight="1">
      <c r="A547" s="1"/>
      <c r="B547" s="2"/>
      <c r="C547" s="2"/>
      <c r="D547" s="2"/>
      <c r="E547" s="2"/>
      <c r="F547" s="2"/>
      <c r="G547" s="2"/>
      <c r="H547" s="2"/>
      <c r="I547" s="2"/>
      <c r="J547" s="2"/>
      <c r="K547" s="2"/>
      <c r="L547" s="2"/>
      <c r="M547" s="2"/>
      <c r="N547" s="2"/>
      <c r="O547" s="2"/>
      <c r="P547" s="2"/>
      <c r="Q547" s="2"/>
      <c r="R547" s="2"/>
      <c r="S547" s="2"/>
      <c r="T547" s="2"/>
    </row>
    <row r="548" spans="1:20" ht="15.75" customHeight="1">
      <c r="A548" s="1"/>
      <c r="B548" s="2"/>
      <c r="C548" s="2"/>
      <c r="D548" s="2"/>
      <c r="E548" s="2"/>
      <c r="F548" s="2"/>
      <c r="G548" s="2"/>
      <c r="H548" s="2"/>
      <c r="I548" s="2"/>
      <c r="J548" s="2"/>
      <c r="K548" s="2"/>
      <c r="L548" s="2"/>
      <c r="M548" s="2"/>
      <c r="N548" s="2"/>
      <c r="O548" s="2"/>
      <c r="P548" s="2"/>
      <c r="Q548" s="2"/>
      <c r="R548" s="2"/>
      <c r="S548" s="2"/>
      <c r="T548" s="2"/>
    </row>
    <row r="549" spans="1:20" ht="15.75" customHeight="1">
      <c r="A549" s="1"/>
      <c r="B549" s="2"/>
      <c r="C549" s="2"/>
      <c r="D549" s="2"/>
      <c r="E549" s="2"/>
      <c r="F549" s="2"/>
      <c r="G549" s="2"/>
      <c r="H549" s="2"/>
      <c r="I549" s="2"/>
      <c r="J549" s="2"/>
      <c r="K549" s="2"/>
      <c r="L549" s="2"/>
      <c r="M549" s="2"/>
      <c r="N549" s="2"/>
      <c r="O549" s="2"/>
      <c r="P549" s="2"/>
      <c r="Q549" s="2"/>
      <c r="R549" s="2"/>
      <c r="S549" s="2"/>
      <c r="T549" s="2"/>
    </row>
    <row r="550" spans="1:20" ht="15.75" customHeight="1">
      <c r="A550" s="1"/>
      <c r="B550" s="2"/>
      <c r="C550" s="2"/>
      <c r="D550" s="2"/>
      <c r="E550" s="2"/>
      <c r="F550" s="2"/>
      <c r="G550" s="2"/>
      <c r="H550" s="2"/>
      <c r="I550" s="2"/>
      <c r="J550" s="2"/>
      <c r="K550" s="2"/>
      <c r="L550" s="2"/>
      <c r="M550" s="2"/>
      <c r="N550" s="2"/>
      <c r="O550" s="2"/>
      <c r="P550" s="2"/>
      <c r="Q550" s="2"/>
      <c r="R550" s="2"/>
      <c r="S550" s="2"/>
      <c r="T550" s="2"/>
    </row>
    <row r="551" spans="1:20" ht="15.75" customHeight="1">
      <c r="A551" s="1"/>
      <c r="B551" s="2"/>
      <c r="C551" s="2"/>
      <c r="D551" s="2"/>
      <c r="E551" s="2"/>
      <c r="F551" s="2"/>
      <c r="G551" s="2"/>
      <c r="H551" s="2"/>
      <c r="I551" s="2"/>
      <c r="J551" s="2"/>
      <c r="K551" s="2"/>
      <c r="L551" s="2"/>
      <c r="M551" s="2"/>
      <c r="N551" s="2"/>
      <c r="O551" s="2"/>
      <c r="P551" s="2"/>
      <c r="Q551" s="2"/>
      <c r="R551" s="2"/>
      <c r="S551" s="2"/>
      <c r="T551" s="2"/>
    </row>
    <row r="552" spans="1:20" ht="15.75" customHeight="1">
      <c r="A552" s="1"/>
      <c r="B552" s="2"/>
      <c r="C552" s="2"/>
      <c r="D552" s="2"/>
      <c r="E552" s="2"/>
      <c r="F552" s="2"/>
      <c r="G552" s="2"/>
      <c r="H552" s="2"/>
      <c r="I552" s="2"/>
      <c r="J552" s="2"/>
      <c r="K552" s="2"/>
      <c r="L552" s="2"/>
      <c r="M552" s="2"/>
      <c r="N552" s="2"/>
      <c r="O552" s="2"/>
      <c r="P552" s="2"/>
      <c r="Q552" s="2"/>
      <c r="R552" s="2"/>
      <c r="S552" s="2"/>
      <c r="T552" s="2"/>
    </row>
    <row r="553" spans="1:20" ht="15.75" customHeight="1">
      <c r="A553" s="1"/>
      <c r="B553" s="2"/>
      <c r="C553" s="2"/>
      <c r="D553" s="2"/>
      <c r="E553" s="2"/>
      <c r="F553" s="2"/>
      <c r="G553" s="2"/>
      <c r="H553" s="2"/>
      <c r="I553" s="2"/>
      <c r="J553" s="2"/>
      <c r="K553" s="2"/>
      <c r="L553" s="2"/>
      <c r="M553" s="2"/>
      <c r="N553" s="2"/>
      <c r="O553" s="2"/>
      <c r="P553" s="2"/>
      <c r="Q553" s="2"/>
      <c r="R553" s="2"/>
      <c r="S553" s="2"/>
      <c r="T553" s="2"/>
    </row>
    <row r="554" spans="1:20" ht="15.75" customHeight="1">
      <c r="A554" s="1"/>
      <c r="B554" s="2"/>
      <c r="C554" s="2"/>
      <c r="D554" s="2"/>
      <c r="E554" s="2"/>
      <c r="F554" s="2"/>
      <c r="G554" s="2"/>
      <c r="H554" s="2"/>
      <c r="I554" s="2"/>
      <c r="J554" s="2"/>
      <c r="K554" s="2"/>
      <c r="L554" s="2"/>
      <c r="M554" s="2"/>
      <c r="N554" s="2"/>
      <c r="O554" s="2"/>
      <c r="P554" s="2"/>
      <c r="Q554" s="2"/>
      <c r="R554" s="2"/>
      <c r="S554" s="2"/>
      <c r="T554" s="2"/>
    </row>
    <row r="555" spans="1:20" ht="15.75" customHeight="1">
      <c r="A555" s="1"/>
      <c r="B555" s="2"/>
      <c r="C555" s="2"/>
      <c r="D555" s="2"/>
      <c r="E555" s="2"/>
      <c r="F555" s="2"/>
      <c r="G555" s="2"/>
      <c r="H555" s="2"/>
      <c r="I555" s="2"/>
      <c r="J555" s="2"/>
      <c r="K555" s="2"/>
      <c r="L555" s="2"/>
      <c r="M555" s="2"/>
      <c r="N555" s="2"/>
      <c r="O555" s="2"/>
      <c r="P555" s="2"/>
      <c r="Q555" s="2"/>
      <c r="R555" s="2"/>
      <c r="S555" s="2"/>
      <c r="T555" s="2"/>
    </row>
    <row r="556" spans="1:20" ht="15.75" customHeight="1">
      <c r="A556" s="1"/>
      <c r="B556" s="2"/>
      <c r="C556" s="2"/>
      <c r="D556" s="2"/>
      <c r="E556" s="2"/>
      <c r="F556" s="2"/>
      <c r="G556" s="2"/>
      <c r="H556" s="2"/>
      <c r="I556" s="2"/>
      <c r="J556" s="2"/>
      <c r="K556" s="2"/>
      <c r="L556" s="2"/>
      <c r="M556" s="2"/>
      <c r="N556" s="2"/>
      <c r="O556" s="2"/>
      <c r="P556" s="2"/>
      <c r="Q556" s="2"/>
      <c r="R556" s="2"/>
      <c r="S556" s="2"/>
      <c r="T556" s="2"/>
    </row>
    <row r="557" spans="1:20" ht="15.75" customHeight="1">
      <c r="A557" s="1"/>
      <c r="B557" s="2"/>
      <c r="C557" s="2"/>
      <c r="D557" s="2"/>
      <c r="E557" s="2"/>
      <c r="F557" s="2"/>
      <c r="G557" s="2"/>
      <c r="H557" s="2"/>
      <c r="I557" s="2"/>
      <c r="J557" s="2"/>
      <c r="K557" s="2"/>
      <c r="L557" s="2"/>
      <c r="M557" s="2"/>
      <c r="N557" s="2"/>
      <c r="O557" s="2"/>
      <c r="P557" s="2"/>
      <c r="Q557" s="2"/>
      <c r="R557" s="2"/>
      <c r="S557" s="2"/>
      <c r="T557" s="2"/>
    </row>
    <row r="558" spans="1:20" ht="15.75" customHeight="1">
      <c r="A558" s="1"/>
      <c r="B558" s="2"/>
      <c r="C558" s="2"/>
      <c r="D558" s="2"/>
      <c r="E558" s="2"/>
      <c r="F558" s="2"/>
      <c r="G558" s="2"/>
      <c r="H558" s="2"/>
      <c r="I558" s="2"/>
      <c r="J558" s="2"/>
      <c r="K558" s="2"/>
      <c r="L558" s="2"/>
      <c r="M558" s="2"/>
      <c r="N558" s="2"/>
      <c r="O558" s="2"/>
      <c r="P558" s="2"/>
      <c r="Q558" s="2"/>
      <c r="R558" s="2"/>
      <c r="S558" s="2"/>
      <c r="T558" s="2"/>
    </row>
    <row r="559" spans="1:20" ht="15.75" customHeight="1">
      <c r="A559" s="1"/>
      <c r="B559" s="2"/>
      <c r="C559" s="2"/>
      <c r="D559" s="2"/>
      <c r="E559" s="2"/>
      <c r="F559" s="2"/>
      <c r="G559" s="2"/>
      <c r="H559" s="2"/>
      <c r="I559" s="2"/>
      <c r="J559" s="2"/>
      <c r="K559" s="2"/>
      <c r="L559" s="2"/>
      <c r="M559" s="2"/>
      <c r="N559" s="2"/>
      <c r="O559" s="2"/>
      <c r="P559" s="2"/>
      <c r="Q559" s="2"/>
      <c r="R559" s="2"/>
      <c r="S559" s="2"/>
      <c r="T559" s="2"/>
    </row>
    <row r="560" spans="1:20" ht="15.75" customHeight="1">
      <c r="A560" s="1"/>
      <c r="B560" s="2"/>
      <c r="C560" s="2"/>
      <c r="D560" s="2"/>
      <c r="E560" s="2"/>
      <c r="F560" s="2"/>
      <c r="G560" s="2"/>
      <c r="H560" s="2"/>
      <c r="I560" s="2"/>
      <c r="J560" s="2"/>
      <c r="K560" s="2"/>
      <c r="L560" s="2"/>
      <c r="M560" s="2"/>
      <c r="N560" s="2"/>
      <c r="O560" s="2"/>
      <c r="P560" s="2"/>
      <c r="Q560" s="2"/>
      <c r="R560" s="2"/>
      <c r="S560" s="2"/>
      <c r="T560" s="2"/>
    </row>
    <row r="561" spans="1:20" ht="15.75" customHeight="1">
      <c r="A561" s="1"/>
      <c r="B561" s="2"/>
      <c r="C561" s="2"/>
      <c r="D561" s="2"/>
      <c r="E561" s="2"/>
      <c r="F561" s="2"/>
      <c r="G561" s="2"/>
      <c r="H561" s="2"/>
      <c r="I561" s="2"/>
      <c r="J561" s="2"/>
      <c r="K561" s="2"/>
      <c r="L561" s="2"/>
      <c r="M561" s="2"/>
      <c r="N561" s="2"/>
      <c r="O561" s="2"/>
      <c r="P561" s="2"/>
      <c r="Q561" s="2"/>
      <c r="R561" s="2"/>
      <c r="S561" s="2"/>
      <c r="T561" s="2"/>
    </row>
    <row r="562" spans="1:20" ht="15.75" customHeight="1">
      <c r="A562" s="1"/>
      <c r="B562" s="2"/>
      <c r="C562" s="2"/>
      <c r="D562" s="2"/>
      <c r="E562" s="2"/>
      <c r="F562" s="2"/>
      <c r="G562" s="2"/>
      <c r="H562" s="2"/>
      <c r="I562" s="2"/>
      <c r="J562" s="2"/>
      <c r="K562" s="2"/>
      <c r="L562" s="2"/>
      <c r="M562" s="2"/>
      <c r="N562" s="2"/>
      <c r="O562" s="2"/>
      <c r="P562" s="2"/>
      <c r="Q562" s="2"/>
      <c r="R562" s="2"/>
      <c r="S562" s="2"/>
      <c r="T562" s="2"/>
    </row>
    <row r="563" spans="1:20" ht="15.75" customHeight="1">
      <c r="A563" s="1"/>
      <c r="B563" s="2"/>
      <c r="C563" s="2"/>
      <c r="D563" s="2"/>
      <c r="E563" s="2"/>
      <c r="F563" s="2"/>
      <c r="G563" s="2"/>
      <c r="H563" s="2"/>
      <c r="I563" s="2"/>
      <c r="J563" s="2"/>
      <c r="K563" s="2"/>
      <c r="L563" s="2"/>
      <c r="M563" s="2"/>
      <c r="N563" s="2"/>
      <c r="O563" s="2"/>
      <c r="P563" s="2"/>
      <c r="Q563" s="2"/>
      <c r="R563" s="2"/>
      <c r="S563" s="2"/>
      <c r="T563" s="2"/>
    </row>
    <row r="564" spans="1:20" ht="15.75" customHeight="1">
      <c r="A564" s="1"/>
      <c r="B564" s="2"/>
      <c r="C564" s="2"/>
      <c r="D564" s="2"/>
      <c r="E564" s="2"/>
      <c r="F564" s="2"/>
      <c r="G564" s="2"/>
      <c r="H564" s="2"/>
      <c r="I564" s="2"/>
      <c r="J564" s="2"/>
      <c r="K564" s="2"/>
      <c r="L564" s="2"/>
      <c r="M564" s="2"/>
      <c r="N564" s="2"/>
      <c r="O564" s="2"/>
      <c r="P564" s="2"/>
      <c r="Q564" s="2"/>
      <c r="R564" s="2"/>
      <c r="S564" s="2"/>
      <c r="T564" s="2"/>
    </row>
    <row r="565" spans="1:20" ht="15.75" customHeight="1">
      <c r="A565" s="1"/>
      <c r="B565" s="2"/>
      <c r="C565" s="2"/>
      <c r="D565" s="2"/>
      <c r="E565" s="2"/>
      <c r="F565" s="2"/>
      <c r="G565" s="2"/>
      <c r="H565" s="2"/>
      <c r="I565" s="2"/>
      <c r="J565" s="2"/>
      <c r="K565" s="2"/>
      <c r="L565" s="2"/>
      <c r="M565" s="2"/>
      <c r="N565" s="2"/>
      <c r="O565" s="2"/>
      <c r="P565" s="2"/>
      <c r="Q565" s="2"/>
      <c r="R565" s="2"/>
      <c r="S565" s="2"/>
      <c r="T565" s="2"/>
    </row>
    <row r="566" spans="1:20" ht="15.75" customHeight="1">
      <c r="A566" s="1"/>
      <c r="B566" s="2"/>
      <c r="C566" s="2"/>
      <c r="D566" s="2"/>
      <c r="E566" s="2"/>
      <c r="F566" s="2"/>
      <c r="G566" s="2"/>
      <c r="H566" s="2"/>
      <c r="I566" s="2"/>
      <c r="J566" s="2"/>
      <c r="K566" s="2"/>
      <c r="L566" s="2"/>
      <c r="M566" s="2"/>
      <c r="N566" s="2"/>
      <c r="O566" s="2"/>
      <c r="P566" s="2"/>
      <c r="Q566" s="2"/>
      <c r="R566" s="2"/>
      <c r="S566" s="2"/>
      <c r="T566" s="2"/>
    </row>
    <row r="567" spans="1:20" ht="15.75" customHeight="1">
      <c r="A567" s="1"/>
      <c r="B567" s="2"/>
      <c r="C567" s="2"/>
      <c r="D567" s="2"/>
      <c r="E567" s="2"/>
      <c r="F567" s="2"/>
      <c r="G567" s="2"/>
      <c r="H567" s="2"/>
      <c r="I567" s="2"/>
      <c r="J567" s="2"/>
      <c r="K567" s="2"/>
      <c r="L567" s="2"/>
      <c r="M567" s="2"/>
      <c r="N567" s="2"/>
      <c r="O567" s="2"/>
      <c r="P567" s="2"/>
      <c r="Q567" s="2"/>
      <c r="R567" s="2"/>
      <c r="S567" s="2"/>
      <c r="T567" s="2"/>
    </row>
    <row r="568" spans="1:20" ht="15.75" customHeight="1">
      <c r="A568" s="1"/>
      <c r="B568" s="2"/>
      <c r="C568" s="2"/>
      <c r="D568" s="2"/>
      <c r="E568" s="2"/>
      <c r="F568" s="2"/>
      <c r="G568" s="2"/>
      <c r="H568" s="2"/>
      <c r="I568" s="2"/>
      <c r="J568" s="2"/>
      <c r="K568" s="2"/>
      <c r="L568" s="2"/>
      <c r="M568" s="2"/>
      <c r="N568" s="2"/>
      <c r="O568" s="2"/>
      <c r="P568" s="2"/>
      <c r="Q568" s="2"/>
      <c r="R568" s="2"/>
      <c r="S568" s="2"/>
      <c r="T568" s="2"/>
    </row>
    <row r="569" spans="1:20" ht="15.75" customHeight="1">
      <c r="A569" s="1"/>
      <c r="B569" s="2"/>
      <c r="C569" s="2"/>
      <c r="D569" s="2"/>
      <c r="E569" s="2"/>
      <c r="F569" s="2"/>
      <c r="G569" s="2"/>
      <c r="H569" s="2"/>
      <c r="I569" s="2"/>
      <c r="J569" s="2"/>
      <c r="K569" s="2"/>
      <c r="L569" s="2"/>
      <c r="M569" s="2"/>
      <c r="N569" s="2"/>
      <c r="O569" s="2"/>
      <c r="P569" s="2"/>
      <c r="Q569" s="2"/>
      <c r="R569" s="2"/>
      <c r="S569" s="2"/>
      <c r="T569" s="2"/>
    </row>
    <row r="570" spans="1:20" ht="15.75" customHeight="1">
      <c r="A570" s="1"/>
      <c r="B570" s="2"/>
      <c r="C570" s="2"/>
      <c r="D570" s="2"/>
      <c r="E570" s="2"/>
      <c r="F570" s="2"/>
      <c r="G570" s="2"/>
      <c r="H570" s="2"/>
      <c r="I570" s="2"/>
      <c r="J570" s="2"/>
      <c r="K570" s="2"/>
      <c r="L570" s="2"/>
      <c r="M570" s="2"/>
      <c r="N570" s="2"/>
      <c r="O570" s="2"/>
      <c r="P570" s="2"/>
      <c r="Q570" s="2"/>
      <c r="R570" s="2"/>
      <c r="S570" s="2"/>
      <c r="T570" s="2"/>
    </row>
    <row r="571" spans="1:20" ht="15.75" customHeight="1">
      <c r="A571" s="1"/>
      <c r="B571" s="2"/>
      <c r="C571" s="2"/>
      <c r="D571" s="2"/>
      <c r="E571" s="2"/>
      <c r="F571" s="2"/>
      <c r="G571" s="2"/>
      <c r="H571" s="2"/>
      <c r="I571" s="2"/>
      <c r="J571" s="2"/>
      <c r="K571" s="2"/>
      <c r="L571" s="2"/>
      <c r="M571" s="2"/>
      <c r="N571" s="2"/>
      <c r="O571" s="2"/>
      <c r="P571" s="2"/>
      <c r="Q571" s="2"/>
      <c r="R571" s="2"/>
      <c r="S571" s="2"/>
      <c r="T571" s="2"/>
    </row>
    <row r="572" spans="1:20" ht="15.75" customHeight="1">
      <c r="A572" s="1"/>
      <c r="B572" s="2"/>
      <c r="C572" s="2"/>
      <c r="D572" s="2"/>
      <c r="E572" s="2"/>
      <c r="F572" s="2"/>
      <c r="G572" s="2"/>
      <c r="H572" s="2"/>
      <c r="I572" s="2"/>
      <c r="J572" s="2"/>
      <c r="K572" s="2"/>
      <c r="L572" s="2"/>
      <c r="M572" s="2"/>
      <c r="N572" s="2"/>
      <c r="O572" s="2"/>
      <c r="P572" s="2"/>
      <c r="Q572" s="2"/>
      <c r="R572" s="2"/>
      <c r="S572" s="2"/>
      <c r="T572" s="2"/>
    </row>
    <row r="573" spans="1:20" ht="15.75" customHeight="1">
      <c r="A573" s="1"/>
      <c r="B573" s="2"/>
      <c r="C573" s="2"/>
      <c r="D573" s="2"/>
      <c r="E573" s="2"/>
      <c r="F573" s="2"/>
      <c r="G573" s="2"/>
      <c r="H573" s="2"/>
      <c r="I573" s="2"/>
      <c r="J573" s="2"/>
      <c r="K573" s="2"/>
      <c r="L573" s="2"/>
      <c r="M573" s="2"/>
      <c r="N573" s="2"/>
      <c r="O573" s="2"/>
      <c r="P573" s="2"/>
      <c r="Q573" s="2"/>
      <c r="R573" s="2"/>
      <c r="S573" s="2"/>
      <c r="T573" s="2"/>
    </row>
    <row r="574" spans="1:20" ht="15.75" customHeight="1">
      <c r="A574" s="1"/>
      <c r="B574" s="2"/>
      <c r="C574" s="2"/>
      <c r="D574" s="2"/>
      <c r="E574" s="2"/>
      <c r="F574" s="2"/>
      <c r="G574" s="2"/>
      <c r="H574" s="2"/>
      <c r="I574" s="2"/>
      <c r="J574" s="2"/>
      <c r="K574" s="2"/>
      <c r="L574" s="2"/>
      <c r="M574" s="2"/>
      <c r="N574" s="2"/>
      <c r="O574" s="2"/>
      <c r="P574" s="2"/>
      <c r="Q574" s="2"/>
      <c r="R574" s="2"/>
      <c r="S574" s="2"/>
      <c r="T574" s="2"/>
    </row>
    <row r="575" spans="1:20" ht="15.75" customHeight="1">
      <c r="A575" s="1"/>
      <c r="B575" s="2"/>
      <c r="C575" s="2"/>
      <c r="D575" s="2"/>
      <c r="E575" s="2"/>
      <c r="F575" s="2"/>
      <c r="G575" s="2"/>
      <c r="H575" s="2"/>
      <c r="I575" s="2"/>
      <c r="J575" s="2"/>
      <c r="K575" s="2"/>
      <c r="L575" s="2"/>
      <c r="M575" s="2"/>
      <c r="N575" s="2"/>
      <c r="O575" s="2"/>
      <c r="P575" s="2"/>
      <c r="Q575" s="2"/>
      <c r="R575" s="2"/>
      <c r="S575" s="2"/>
      <c r="T575" s="2"/>
    </row>
    <row r="576" spans="1:20" ht="15.75" customHeight="1">
      <c r="A576" s="1"/>
      <c r="B576" s="2"/>
      <c r="C576" s="2"/>
      <c r="D576" s="2"/>
      <c r="E576" s="2"/>
      <c r="F576" s="2"/>
      <c r="G576" s="2"/>
      <c r="H576" s="2"/>
      <c r="I576" s="2"/>
      <c r="J576" s="2"/>
      <c r="K576" s="2"/>
      <c r="L576" s="2"/>
      <c r="M576" s="2"/>
      <c r="N576" s="2"/>
      <c r="O576" s="2"/>
      <c r="P576" s="2"/>
      <c r="Q576" s="2"/>
      <c r="R576" s="2"/>
      <c r="S576" s="2"/>
      <c r="T576" s="2"/>
    </row>
    <row r="577" spans="1:20" ht="15.75" customHeight="1">
      <c r="A577" s="1"/>
      <c r="B577" s="2"/>
      <c r="C577" s="2"/>
      <c r="D577" s="2"/>
      <c r="E577" s="2"/>
      <c r="F577" s="2"/>
      <c r="G577" s="2"/>
      <c r="H577" s="2"/>
      <c r="I577" s="2"/>
      <c r="J577" s="2"/>
      <c r="K577" s="2"/>
      <c r="L577" s="2"/>
      <c r="M577" s="2"/>
      <c r="N577" s="2"/>
      <c r="O577" s="2"/>
      <c r="P577" s="2"/>
      <c r="Q577" s="2"/>
      <c r="R577" s="2"/>
      <c r="S577" s="2"/>
      <c r="T577" s="2"/>
    </row>
    <row r="578" spans="1:20" ht="15.75" customHeight="1">
      <c r="A578" s="1"/>
      <c r="B578" s="2"/>
      <c r="C578" s="2"/>
      <c r="D578" s="2"/>
      <c r="E578" s="2"/>
      <c r="F578" s="2"/>
      <c r="G578" s="2"/>
      <c r="H578" s="2"/>
      <c r="I578" s="2"/>
      <c r="J578" s="2"/>
      <c r="K578" s="2"/>
      <c r="L578" s="2"/>
      <c r="M578" s="2"/>
      <c r="N578" s="2"/>
      <c r="O578" s="2"/>
      <c r="P578" s="2"/>
      <c r="Q578" s="2"/>
      <c r="R578" s="2"/>
      <c r="S578" s="2"/>
      <c r="T578" s="2"/>
    </row>
    <row r="579" spans="1:20" ht="15.75" customHeight="1">
      <c r="A579" s="1"/>
      <c r="B579" s="2"/>
      <c r="C579" s="2"/>
      <c r="D579" s="2"/>
      <c r="E579" s="2"/>
      <c r="F579" s="2"/>
      <c r="G579" s="2"/>
      <c r="H579" s="2"/>
      <c r="I579" s="2"/>
      <c r="J579" s="2"/>
      <c r="K579" s="2"/>
      <c r="L579" s="2"/>
      <c r="M579" s="2"/>
      <c r="N579" s="2"/>
      <c r="O579" s="2"/>
      <c r="P579" s="2"/>
      <c r="Q579" s="2"/>
      <c r="R579" s="2"/>
      <c r="S579" s="2"/>
      <c r="T579" s="2"/>
    </row>
    <row r="580" spans="1:20" ht="15.75" customHeight="1">
      <c r="A580" s="1"/>
      <c r="B580" s="2"/>
      <c r="C580" s="2"/>
      <c r="D580" s="2"/>
      <c r="E580" s="2"/>
      <c r="F580" s="2"/>
      <c r="G580" s="2"/>
      <c r="H580" s="2"/>
      <c r="I580" s="2"/>
      <c r="J580" s="2"/>
      <c r="K580" s="2"/>
      <c r="L580" s="2"/>
      <c r="M580" s="2"/>
      <c r="N580" s="2"/>
      <c r="O580" s="2"/>
      <c r="P580" s="2"/>
      <c r="Q580" s="2"/>
      <c r="R580" s="2"/>
      <c r="S580" s="2"/>
      <c r="T580" s="2"/>
    </row>
    <row r="581" spans="1:20" ht="15.75" customHeight="1">
      <c r="A581" s="1"/>
      <c r="B581" s="2"/>
      <c r="C581" s="2"/>
      <c r="D581" s="2"/>
      <c r="E581" s="2"/>
      <c r="F581" s="2"/>
      <c r="G581" s="2"/>
      <c r="H581" s="2"/>
      <c r="I581" s="2"/>
      <c r="J581" s="2"/>
      <c r="K581" s="2"/>
      <c r="L581" s="2"/>
      <c r="M581" s="2"/>
      <c r="N581" s="2"/>
      <c r="O581" s="2"/>
      <c r="P581" s="2"/>
      <c r="Q581" s="2"/>
      <c r="R581" s="2"/>
      <c r="S581" s="2"/>
      <c r="T581" s="2"/>
    </row>
    <row r="582" spans="1:20" ht="15.75" customHeight="1">
      <c r="A582" s="1"/>
      <c r="B582" s="2"/>
      <c r="C582" s="2"/>
      <c r="D582" s="2"/>
      <c r="E582" s="2"/>
      <c r="F582" s="2"/>
      <c r="G582" s="2"/>
      <c r="H582" s="2"/>
      <c r="I582" s="2"/>
      <c r="J582" s="2"/>
      <c r="K582" s="2"/>
      <c r="L582" s="2"/>
      <c r="M582" s="2"/>
      <c r="N582" s="2"/>
      <c r="O582" s="2"/>
      <c r="P582" s="2"/>
      <c r="Q582" s="2"/>
      <c r="R582" s="2"/>
      <c r="S582" s="2"/>
      <c r="T582" s="2"/>
    </row>
    <row r="583" spans="1:20" ht="15.75" customHeight="1">
      <c r="A583" s="1"/>
      <c r="B583" s="2"/>
      <c r="C583" s="2"/>
      <c r="D583" s="2"/>
      <c r="E583" s="2"/>
      <c r="F583" s="2"/>
      <c r="G583" s="2"/>
      <c r="H583" s="2"/>
      <c r="I583" s="2"/>
      <c r="J583" s="2"/>
      <c r="K583" s="2"/>
      <c r="L583" s="2"/>
      <c r="M583" s="2"/>
      <c r="N583" s="2"/>
      <c r="O583" s="2"/>
      <c r="P583" s="2"/>
      <c r="Q583" s="2"/>
      <c r="R583" s="2"/>
      <c r="S583" s="2"/>
      <c r="T583" s="2"/>
    </row>
    <row r="584" spans="1:20" ht="15.75" customHeight="1">
      <c r="A584" s="1"/>
      <c r="B584" s="2"/>
      <c r="C584" s="2"/>
      <c r="D584" s="2"/>
      <c r="E584" s="2"/>
      <c r="F584" s="2"/>
      <c r="G584" s="2"/>
      <c r="H584" s="2"/>
      <c r="I584" s="2"/>
      <c r="J584" s="2"/>
      <c r="K584" s="2"/>
      <c r="L584" s="2"/>
      <c r="M584" s="2"/>
      <c r="N584" s="2"/>
      <c r="O584" s="2"/>
      <c r="P584" s="2"/>
      <c r="Q584" s="2"/>
      <c r="R584" s="2"/>
      <c r="S584" s="2"/>
      <c r="T584" s="2"/>
    </row>
    <row r="585" spans="1:20" ht="15.75" customHeight="1">
      <c r="A585" s="1"/>
      <c r="B585" s="2"/>
      <c r="C585" s="2"/>
      <c r="D585" s="2"/>
      <c r="E585" s="2"/>
      <c r="F585" s="2"/>
      <c r="G585" s="2"/>
      <c r="H585" s="2"/>
      <c r="I585" s="2"/>
      <c r="J585" s="2"/>
      <c r="K585" s="2"/>
      <c r="L585" s="2"/>
      <c r="M585" s="2"/>
      <c r="N585" s="2"/>
      <c r="O585" s="2"/>
      <c r="P585" s="2"/>
      <c r="Q585" s="2"/>
      <c r="R585" s="2"/>
      <c r="S585" s="2"/>
      <c r="T585" s="2"/>
    </row>
    <row r="586" spans="1:20" ht="15.75" customHeight="1">
      <c r="A586" s="1"/>
      <c r="B586" s="2"/>
      <c r="C586" s="2"/>
      <c r="D586" s="2"/>
      <c r="E586" s="2"/>
      <c r="F586" s="2"/>
      <c r="G586" s="2"/>
      <c r="H586" s="2"/>
      <c r="I586" s="2"/>
      <c r="J586" s="2"/>
      <c r="K586" s="2"/>
      <c r="L586" s="2"/>
      <c r="M586" s="2"/>
      <c r="N586" s="2"/>
      <c r="O586" s="2"/>
      <c r="P586" s="2"/>
      <c r="Q586" s="2"/>
      <c r="R586" s="2"/>
      <c r="S586" s="2"/>
      <c r="T586" s="2"/>
    </row>
    <row r="587" spans="1:20" ht="15.75" customHeight="1">
      <c r="A587" s="1"/>
      <c r="B587" s="2"/>
      <c r="C587" s="2"/>
      <c r="D587" s="2"/>
      <c r="E587" s="2"/>
      <c r="F587" s="2"/>
      <c r="G587" s="2"/>
      <c r="H587" s="2"/>
      <c r="I587" s="2"/>
      <c r="J587" s="2"/>
      <c r="K587" s="2"/>
      <c r="L587" s="2"/>
      <c r="M587" s="2"/>
      <c r="N587" s="2"/>
      <c r="O587" s="2"/>
      <c r="P587" s="2"/>
      <c r="Q587" s="2"/>
      <c r="R587" s="2"/>
      <c r="S587" s="2"/>
      <c r="T587" s="2"/>
    </row>
    <row r="588" spans="1:20" ht="15.75" customHeight="1">
      <c r="A588" s="1"/>
      <c r="B588" s="2"/>
      <c r="C588" s="2"/>
      <c r="D588" s="2"/>
      <c r="E588" s="2"/>
      <c r="F588" s="2"/>
      <c r="G588" s="2"/>
      <c r="H588" s="2"/>
      <c r="I588" s="2"/>
      <c r="J588" s="2"/>
      <c r="K588" s="2"/>
      <c r="L588" s="2"/>
      <c r="M588" s="2"/>
      <c r="N588" s="2"/>
      <c r="O588" s="2"/>
      <c r="P588" s="2"/>
      <c r="Q588" s="2"/>
      <c r="R588" s="2"/>
      <c r="S588" s="2"/>
      <c r="T588" s="2"/>
    </row>
    <row r="589" spans="1:20" ht="15.75" customHeight="1">
      <c r="A589" s="1"/>
      <c r="B589" s="2"/>
      <c r="C589" s="2"/>
      <c r="D589" s="2"/>
      <c r="E589" s="2"/>
      <c r="F589" s="2"/>
      <c r="G589" s="2"/>
      <c r="H589" s="2"/>
      <c r="I589" s="2"/>
      <c r="J589" s="2"/>
      <c r="K589" s="2"/>
      <c r="L589" s="2"/>
      <c r="M589" s="2"/>
      <c r="N589" s="2"/>
      <c r="O589" s="2"/>
      <c r="P589" s="2"/>
      <c r="Q589" s="2"/>
      <c r="R589" s="2"/>
      <c r="S589" s="2"/>
      <c r="T589" s="2"/>
    </row>
    <row r="590" spans="1:20" ht="15.75" customHeight="1">
      <c r="A590" s="1"/>
      <c r="B590" s="2"/>
      <c r="C590" s="2"/>
      <c r="D590" s="2"/>
      <c r="E590" s="2"/>
      <c r="F590" s="2"/>
      <c r="G590" s="2"/>
      <c r="H590" s="2"/>
      <c r="I590" s="2"/>
      <c r="J590" s="2"/>
      <c r="K590" s="2"/>
      <c r="L590" s="2"/>
      <c r="M590" s="2"/>
      <c r="N590" s="2"/>
      <c r="O590" s="2"/>
      <c r="P590" s="2"/>
      <c r="Q590" s="2"/>
      <c r="R590" s="2"/>
      <c r="S590" s="2"/>
      <c r="T590" s="2"/>
    </row>
    <row r="591" spans="1:20" ht="15.75" customHeight="1">
      <c r="A591" s="1"/>
      <c r="B591" s="2"/>
      <c r="C591" s="2"/>
      <c r="D591" s="2"/>
      <c r="E591" s="2"/>
      <c r="F591" s="2"/>
      <c r="G591" s="2"/>
      <c r="H591" s="2"/>
      <c r="I591" s="2"/>
      <c r="J591" s="2"/>
      <c r="K591" s="2"/>
      <c r="L591" s="2"/>
      <c r="M591" s="2"/>
      <c r="N591" s="2"/>
      <c r="O591" s="2"/>
      <c r="P591" s="2"/>
      <c r="Q591" s="2"/>
      <c r="R591" s="2"/>
      <c r="S591" s="2"/>
      <c r="T591" s="2"/>
    </row>
    <row r="592" spans="1:20" ht="15.75" customHeight="1">
      <c r="A592" s="1"/>
      <c r="B592" s="2"/>
      <c r="C592" s="2"/>
      <c r="D592" s="2"/>
      <c r="E592" s="2"/>
      <c r="F592" s="2"/>
      <c r="G592" s="2"/>
      <c r="H592" s="2"/>
      <c r="I592" s="2"/>
      <c r="J592" s="2"/>
      <c r="K592" s="2"/>
      <c r="L592" s="2"/>
      <c r="M592" s="2"/>
      <c r="N592" s="2"/>
      <c r="O592" s="2"/>
      <c r="P592" s="2"/>
      <c r="Q592" s="2"/>
      <c r="R592" s="2"/>
      <c r="S592" s="2"/>
      <c r="T592" s="2"/>
    </row>
    <row r="593" spans="1:20" ht="15.75" customHeight="1">
      <c r="A593" s="1"/>
      <c r="B593" s="2"/>
      <c r="C593" s="2"/>
      <c r="D593" s="2"/>
      <c r="E593" s="2"/>
      <c r="F593" s="2"/>
      <c r="G593" s="2"/>
      <c r="H593" s="2"/>
      <c r="I593" s="2"/>
      <c r="J593" s="2"/>
      <c r="K593" s="2"/>
      <c r="L593" s="2"/>
      <c r="M593" s="2"/>
      <c r="N593" s="2"/>
      <c r="O593" s="2"/>
      <c r="P593" s="2"/>
      <c r="Q593" s="2"/>
      <c r="R593" s="2"/>
      <c r="S593" s="2"/>
      <c r="T593" s="2"/>
    </row>
    <row r="594" spans="1:20" ht="15.75" customHeight="1">
      <c r="A594" s="1"/>
      <c r="B594" s="2"/>
      <c r="C594" s="2"/>
      <c r="D594" s="2"/>
      <c r="E594" s="2"/>
      <c r="F594" s="2"/>
      <c r="G594" s="2"/>
      <c r="H594" s="2"/>
      <c r="I594" s="2"/>
      <c r="J594" s="2"/>
      <c r="K594" s="2"/>
      <c r="L594" s="2"/>
      <c r="M594" s="2"/>
      <c r="N594" s="2"/>
      <c r="O594" s="2"/>
      <c r="P594" s="2"/>
      <c r="Q594" s="2"/>
      <c r="R594" s="2"/>
      <c r="S594" s="2"/>
      <c r="T594" s="2"/>
    </row>
    <row r="595" spans="1:20" ht="15.75" customHeight="1">
      <c r="A595" s="1"/>
      <c r="B595" s="2"/>
      <c r="C595" s="2"/>
      <c r="D595" s="2"/>
      <c r="E595" s="2"/>
      <c r="F595" s="2"/>
      <c r="G595" s="2"/>
      <c r="H595" s="2"/>
      <c r="I595" s="2"/>
      <c r="J595" s="2"/>
      <c r="K595" s="2"/>
      <c r="L595" s="2"/>
      <c r="M595" s="2"/>
      <c r="N595" s="2"/>
      <c r="O595" s="2"/>
      <c r="P595" s="2"/>
      <c r="Q595" s="2"/>
      <c r="R595" s="2"/>
      <c r="S595" s="2"/>
      <c r="T595" s="2"/>
    </row>
    <row r="596" spans="1:20" ht="15.75" customHeight="1">
      <c r="A596" s="1"/>
      <c r="B596" s="2"/>
      <c r="C596" s="2"/>
      <c r="D596" s="2"/>
      <c r="E596" s="2"/>
      <c r="F596" s="2"/>
      <c r="G596" s="2"/>
      <c r="H596" s="2"/>
      <c r="I596" s="2"/>
      <c r="J596" s="2"/>
      <c r="K596" s="2"/>
      <c r="L596" s="2"/>
      <c r="M596" s="2"/>
      <c r="N596" s="2"/>
      <c r="O596" s="2"/>
      <c r="P596" s="2"/>
      <c r="Q596" s="2"/>
      <c r="R596" s="2"/>
      <c r="S596" s="2"/>
      <c r="T596" s="2"/>
    </row>
    <row r="597" spans="1:20" ht="15.75" customHeight="1">
      <c r="A597" s="1"/>
      <c r="B597" s="2"/>
      <c r="C597" s="2"/>
      <c r="D597" s="2"/>
      <c r="E597" s="2"/>
      <c r="F597" s="2"/>
      <c r="G597" s="2"/>
      <c r="H597" s="2"/>
      <c r="I597" s="2"/>
      <c r="J597" s="2"/>
      <c r="K597" s="2"/>
      <c r="L597" s="2"/>
      <c r="M597" s="2"/>
      <c r="N597" s="2"/>
      <c r="O597" s="2"/>
      <c r="P597" s="2"/>
      <c r="Q597" s="2"/>
      <c r="R597" s="2"/>
      <c r="S597" s="2"/>
      <c r="T597" s="2"/>
    </row>
    <row r="598" spans="1:20" ht="15.75" customHeight="1">
      <c r="A598" s="1"/>
      <c r="B598" s="2"/>
      <c r="C598" s="2"/>
      <c r="D598" s="2"/>
      <c r="E598" s="2"/>
      <c r="F598" s="2"/>
      <c r="G598" s="2"/>
      <c r="H598" s="2"/>
      <c r="I598" s="2"/>
      <c r="J598" s="2"/>
      <c r="K598" s="2"/>
      <c r="L598" s="2"/>
      <c r="M598" s="2"/>
      <c r="N598" s="2"/>
      <c r="O598" s="2"/>
      <c r="P598" s="2"/>
      <c r="Q598" s="2"/>
      <c r="R598" s="2"/>
      <c r="S598" s="2"/>
      <c r="T598" s="2"/>
    </row>
    <row r="599" spans="1:20" ht="15.75" customHeight="1">
      <c r="A599" s="1"/>
      <c r="B599" s="2"/>
      <c r="C599" s="2"/>
      <c r="D599" s="2"/>
      <c r="E599" s="2"/>
      <c r="F599" s="2"/>
      <c r="G599" s="2"/>
      <c r="H599" s="2"/>
      <c r="I599" s="2"/>
      <c r="J599" s="2"/>
      <c r="K599" s="2"/>
      <c r="L599" s="2"/>
      <c r="M599" s="2"/>
      <c r="N599" s="2"/>
      <c r="O599" s="2"/>
      <c r="P599" s="2"/>
      <c r="Q599" s="2"/>
      <c r="R599" s="2"/>
      <c r="S599" s="2"/>
      <c r="T599" s="2"/>
    </row>
    <row r="600" spans="1:20" ht="15.75" customHeight="1">
      <c r="A600" s="1"/>
      <c r="B600" s="2"/>
      <c r="C600" s="2"/>
      <c r="D600" s="2"/>
      <c r="E600" s="2"/>
      <c r="F600" s="2"/>
      <c r="G600" s="2"/>
      <c r="H600" s="2"/>
      <c r="I600" s="2"/>
      <c r="J600" s="2"/>
      <c r="K600" s="2"/>
      <c r="L600" s="2"/>
      <c r="M600" s="2"/>
      <c r="N600" s="2"/>
      <c r="O600" s="2"/>
      <c r="P600" s="2"/>
      <c r="Q600" s="2"/>
      <c r="R600" s="2"/>
      <c r="S600" s="2"/>
      <c r="T600" s="2"/>
    </row>
    <row r="601" spans="1:20" ht="15.75" customHeight="1">
      <c r="A601" s="1"/>
      <c r="B601" s="2"/>
      <c r="C601" s="2"/>
      <c r="D601" s="2"/>
      <c r="E601" s="2"/>
      <c r="F601" s="2"/>
      <c r="G601" s="2"/>
      <c r="H601" s="2"/>
      <c r="I601" s="2"/>
      <c r="J601" s="2"/>
      <c r="K601" s="2"/>
      <c r="L601" s="2"/>
      <c r="M601" s="2"/>
      <c r="N601" s="2"/>
      <c r="O601" s="2"/>
      <c r="P601" s="2"/>
      <c r="Q601" s="2"/>
      <c r="R601" s="2"/>
      <c r="S601" s="2"/>
      <c r="T601" s="2"/>
    </row>
    <row r="602" spans="1:20" ht="15.75" customHeight="1">
      <c r="A602" s="1"/>
      <c r="B602" s="2"/>
      <c r="C602" s="2"/>
      <c r="D602" s="2"/>
      <c r="E602" s="2"/>
      <c r="F602" s="2"/>
      <c r="G602" s="2"/>
      <c r="H602" s="2"/>
      <c r="I602" s="2"/>
      <c r="J602" s="2"/>
      <c r="K602" s="2"/>
      <c r="L602" s="2"/>
      <c r="M602" s="2"/>
      <c r="N602" s="2"/>
      <c r="O602" s="2"/>
      <c r="P602" s="2"/>
      <c r="Q602" s="2"/>
      <c r="R602" s="2"/>
      <c r="S602" s="2"/>
      <c r="T602" s="2"/>
    </row>
    <row r="603" spans="1:20" ht="15.75" customHeight="1">
      <c r="A603" s="1"/>
      <c r="B603" s="2"/>
      <c r="C603" s="2"/>
      <c r="D603" s="2"/>
      <c r="E603" s="2"/>
      <c r="F603" s="2"/>
      <c r="G603" s="2"/>
      <c r="H603" s="2"/>
      <c r="I603" s="2"/>
      <c r="J603" s="2"/>
      <c r="K603" s="2"/>
      <c r="L603" s="2"/>
      <c r="M603" s="2"/>
      <c r="N603" s="2"/>
      <c r="O603" s="2"/>
      <c r="P603" s="2"/>
      <c r="Q603" s="2"/>
      <c r="R603" s="2"/>
      <c r="S603" s="2"/>
      <c r="T603" s="2"/>
    </row>
    <row r="604" spans="1:20" ht="15.75" customHeight="1">
      <c r="A604" s="1"/>
      <c r="B604" s="2"/>
      <c r="C604" s="2"/>
      <c r="D604" s="2"/>
      <c r="E604" s="2"/>
      <c r="F604" s="2"/>
      <c r="G604" s="2"/>
      <c r="H604" s="2"/>
      <c r="I604" s="2"/>
      <c r="J604" s="2"/>
      <c r="K604" s="2"/>
      <c r="L604" s="2"/>
      <c r="M604" s="2"/>
      <c r="N604" s="2"/>
      <c r="O604" s="2"/>
      <c r="P604" s="2"/>
      <c r="Q604" s="2"/>
      <c r="R604" s="2"/>
      <c r="S604" s="2"/>
      <c r="T604" s="2"/>
    </row>
    <row r="605" spans="1:20" ht="15.75" customHeight="1">
      <c r="A605" s="1"/>
      <c r="B605" s="2"/>
      <c r="C605" s="2"/>
      <c r="D605" s="2"/>
      <c r="E605" s="2"/>
      <c r="F605" s="2"/>
      <c r="G605" s="2"/>
      <c r="H605" s="2"/>
      <c r="I605" s="2"/>
      <c r="J605" s="2"/>
      <c r="K605" s="2"/>
      <c r="L605" s="2"/>
      <c r="M605" s="2"/>
      <c r="N605" s="2"/>
      <c r="O605" s="2"/>
      <c r="P605" s="2"/>
      <c r="Q605" s="2"/>
      <c r="R605" s="2"/>
      <c r="S605" s="2"/>
      <c r="T605" s="2"/>
    </row>
    <row r="606" spans="1:20" ht="15.75" customHeight="1">
      <c r="A606" s="1"/>
      <c r="B606" s="2"/>
      <c r="C606" s="2"/>
      <c r="D606" s="2"/>
      <c r="E606" s="2"/>
      <c r="F606" s="2"/>
      <c r="G606" s="2"/>
      <c r="H606" s="2"/>
      <c r="I606" s="2"/>
      <c r="J606" s="2"/>
      <c r="K606" s="2"/>
      <c r="L606" s="2"/>
      <c r="M606" s="2"/>
      <c r="N606" s="2"/>
      <c r="O606" s="2"/>
      <c r="P606" s="2"/>
      <c r="Q606" s="2"/>
      <c r="R606" s="2"/>
      <c r="S606" s="2"/>
      <c r="T606" s="2"/>
    </row>
    <row r="607" spans="1:20" ht="15.75" customHeight="1">
      <c r="A607" s="1"/>
      <c r="B607" s="2"/>
      <c r="C607" s="2"/>
      <c r="D607" s="2"/>
      <c r="E607" s="2"/>
      <c r="F607" s="2"/>
      <c r="G607" s="2"/>
      <c r="H607" s="2"/>
      <c r="I607" s="2"/>
      <c r="J607" s="2"/>
      <c r="K607" s="2"/>
      <c r="L607" s="2"/>
      <c r="M607" s="2"/>
      <c r="N607" s="2"/>
      <c r="O607" s="2"/>
      <c r="P607" s="2"/>
      <c r="Q607" s="2"/>
      <c r="R607" s="2"/>
      <c r="S607" s="2"/>
      <c r="T607" s="2"/>
    </row>
    <row r="608" spans="1:20" ht="15.75" customHeight="1">
      <c r="A608" s="1"/>
      <c r="B608" s="2"/>
      <c r="C608" s="2"/>
      <c r="D608" s="2"/>
      <c r="E608" s="2"/>
      <c r="F608" s="2"/>
      <c r="G608" s="2"/>
      <c r="H608" s="2"/>
      <c r="I608" s="2"/>
      <c r="J608" s="2"/>
      <c r="K608" s="2"/>
      <c r="L608" s="2"/>
      <c r="M608" s="2"/>
      <c r="N608" s="2"/>
      <c r="O608" s="2"/>
      <c r="P608" s="2"/>
      <c r="Q608" s="2"/>
      <c r="R608" s="2"/>
      <c r="S608" s="2"/>
      <c r="T608" s="2"/>
    </row>
    <row r="609" spans="1:20" ht="15.75" customHeight="1">
      <c r="A609" s="1"/>
      <c r="B609" s="2"/>
      <c r="C609" s="2"/>
      <c r="D609" s="2"/>
      <c r="E609" s="2"/>
      <c r="F609" s="2"/>
      <c r="G609" s="2"/>
      <c r="H609" s="2"/>
      <c r="I609" s="2"/>
      <c r="J609" s="2"/>
      <c r="K609" s="2"/>
      <c r="L609" s="2"/>
      <c r="M609" s="2"/>
      <c r="N609" s="2"/>
      <c r="O609" s="2"/>
      <c r="P609" s="2"/>
      <c r="Q609" s="2"/>
      <c r="R609" s="2"/>
      <c r="S609" s="2"/>
      <c r="T609" s="2"/>
    </row>
    <row r="610" spans="1:20" ht="15.75" customHeight="1">
      <c r="A610" s="1"/>
      <c r="B610" s="2"/>
      <c r="C610" s="2"/>
      <c r="D610" s="2"/>
      <c r="E610" s="2"/>
      <c r="F610" s="2"/>
      <c r="G610" s="2"/>
      <c r="H610" s="2"/>
      <c r="I610" s="2"/>
      <c r="J610" s="2"/>
      <c r="K610" s="2"/>
      <c r="L610" s="2"/>
      <c r="M610" s="2"/>
      <c r="N610" s="2"/>
      <c r="O610" s="2"/>
      <c r="P610" s="2"/>
      <c r="Q610" s="2"/>
      <c r="R610" s="2"/>
      <c r="S610" s="2"/>
      <c r="T610" s="2"/>
    </row>
    <row r="611" spans="1:20" ht="15.75" customHeight="1">
      <c r="A611" s="1"/>
      <c r="B611" s="2"/>
      <c r="C611" s="2"/>
      <c r="D611" s="2"/>
      <c r="E611" s="2"/>
      <c r="F611" s="2"/>
      <c r="G611" s="2"/>
      <c r="H611" s="2"/>
      <c r="I611" s="2"/>
      <c r="J611" s="2"/>
      <c r="K611" s="2"/>
      <c r="L611" s="2"/>
      <c r="M611" s="2"/>
      <c r="N611" s="2"/>
      <c r="O611" s="2"/>
      <c r="P611" s="2"/>
      <c r="Q611" s="2"/>
      <c r="R611" s="2"/>
      <c r="S611" s="2"/>
      <c r="T611" s="2"/>
    </row>
    <row r="612" spans="1:20" ht="15.75" customHeight="1">
      <c r="A612" s="1"/>
      <c r="B612" s="2"/>
      <c r="C612" s="2"/>
      <c r="D612" s="2"/>
      <c r="E612" s="2"/>
      <c r="F612" s="2"/>
      <c r="G612" s="2"/>
      <c r="H612" s="2"/>
      <c r="I612" s="2"/>
      <c r="J612" s="2"/>
      <c r="K612" s="2"/>
      <c r="L612" s="2"/>
      <c r="M612" s="2"/>
      <c r="N612" s="2"/>
      <c r="O612" s="2"/>
      <c r="P612" s="2"/>
      <c r="Q612" s="2"/>
      <c r="R612" s="2"/>
      <c r="S612" s="2"/>
      <c r="T612" s="2"/>
    </row>
    <row r="613" spans="1:20" ht="15.75" customHeight="1">
      <c r="A613" s="1"/>
      <c r="B613" s="2"/>
      <c r="C613" s="2"/>
      <c r="D613" s="2"/>
      <c r="E613" s="2"/>
      <c r="F613" s="2"/>
      <c r="G613" s="2"/>
      <c r="H613" s="2"/>
      <c r="I613" s="2"/>
      <c r="J613" s="2"/>
      <c r="K613" s="2"/>
      <c r="L613" s="2"/>
      <c r="M613" s="2"/>
      <c r="N613" s="2"/>
      <c r="O613" s="2"/>
      <c r="P613" s="2"/>
      <c r="Q613" s="2"/>
      <c r="R613" s="2"/>
      <c r="S613" s="2"/>
      <c r="T613" s="2"/>
    </row>
    <row r="614" spans="1:20" ht="15.75" customHeight="1">
      <c r="A614" s="1"/>
      <c r="B614" s="2"/>
      <c r="C614" s="2"/>
      <c r="D614" s="2"/>
      <c r="E614" s="2"/>
      <c r="F614" s="2"/>
      <c r="G614" s="2"/>
      <c r="H614" s="2"/>
      <c r="I614" s="2"/>
      <c r="J614" s="2"/>
      <c r="K614" s="2"/>
      <c r="L614" s="2"/>
      <c r="M614" s="2"/>
      <c r="N614" s="2"/>
      <c r="O614" s="2"/>
      <c r="P614" s="2"/>
      <c r="Q614" s="2"/>
      <c r="R614" s="2"/>
      <c r="S614" s="2"/>
      <c r="T614" s="2"/>
    </row>
    <row r="615" spans="1:20" ht="15.75" customHeight="1">
      <c r="A615" s="1"/>
      <c r="B615" s="2"/>
      <c r="C615" s="2"/>
      <c r="D615" s="2"/>
      <c r="E615" s="2"/>
      <c r="F615" s="2"/>
      <c r="G615" s="2"/>
      <c r="H615" s="2"/>
      <c r="I615" s="2"/>
      <c r="J615" s="2"/>
      <c r="K615" s="2"/>
      <c r="L615" s="2"/>
      <c r="M615" s="2"/>
      <c r="N615" s="2"/>
      <c r="O615" s="2"/>
      <c r="P615" s="2"/>
      <c r="Q615" s="2"/>
      <c r="R615" s="2"/>
      <c r="S615" s="2"/>
      <c r="T615" s="2"/>
    </row>
    <row r="616" spans="1:20" ht="15.75" customHeight="1">
      <c r="A616" s="1"/>
      <c r="B616" s="2"/>
      <c r="C616" s="2"/>
      <c r="D616" s="2"/>
      <c r="E616" s="2"/>
      <c r="F616" s="2"/>
      <c r="G616" s="2"/>
      <c r="H616" s="2"/>
      <c r="I616" s="2"/>
      <c r="J616" s="2"/>
      <c r="K616" s="2"/>
      <c r="L616" s="2"/>
      <c r="M616" s="2"/>
      <c r="N616" s="2"/>
      <c r="O616" s="2"/>
      <c r="P616" s="2"/>
      <c r="Q616" s="2"/>
      <c r="R616" s="2"/>
      <c r="S616" s="2"/>
      <c r="T616" s="2"/>
    </row>
    <row r="617" spans="1:20" ht="15.75" customHeight="1">
      <c r="A617" s="1"/>
      <c r="B617" s="2"/>
      <c r="C617" s="2"/>
      <c r="D617" s="2"/>
      <c r="E617" s="2"/>
      <c r="F617" s="2"/>
      <c r="G617" s="2"/>
      <c r="H617" s="2"/>
      <c r="I617" s="2"/>
      <c r="J617" s="2"/>
      <c r="K617" s="2"/>
      <c r="L617" s="2"/>
      <c r="M617" s="2"/>
      <c r="N617" s="2"/>
      <c r="O617" s="2"/>
      <c r="P617" s="2"/>
      <c r="Q617" s="2"/>
      <c r="R617" s="2"/>
      <c r="S617" s="2"/>
      <c r="T617" s="2"/>
    </row>
    <row r="618" spans="1:20" ht="15.75" customHeight="1">
      <c r="A618" s="1"/>
      <c r="B618" s="2"/>
      <c r="C618" s="2"/>
      <c r="D618" s="2"/>
      <c r="E618" s="2"/>
      <c r="F618" s="2"/>
      <c r="G618" s="2"/>
      <c r="H618" s="2"/>
      <c r="I618" s="2"/>
      <c r="J618" s="2"/>
      <c r="K618" s="2"/>
      <c r="L618" s="2"/>
      <c r="M618" s="2"/>
      <c r="N618" s="2"/>
      <c r="O618" s="2"/>
      <c r="P618" s="2"/>
      <c r="Q618" s="2"/>
      <c r="R618" s="2"/>
      <c r="S618" s="2"/>
      <c r="T618" s="2"/>
    </row>
    <row r="619" spans="1:20" ht="15.75" customHeight="1">
      <c r="A619" s="1"/>
      <c r="B619" s="2"/>
      <c r="C619" s="2"/>
      <c r="D619" s="2"/>
      <c r="E619" s="2"/>
      <c r="F619" s="2"/>
      <c r="G619" s="2"/>
      <c r="H619" s="2"/>
      <c r="I619" s="2"/>
      <c r="J619" s="2"/>
      <c r="K619" s="2"/>
      <c r="L619" s="2"/>
      <c r="M619" s="2"/>
      <c r="N619" s="2"/>
      <c r="O619" s="2"/>
      <c r="P619" s="2"/>
      <c r="Q619" s="2"/>
      <c r="R619" s="2"/>
      <c r="S619" s="2"/>
      <c r="T619" s="2"/>
    </row>
    <row r="620" spans="1:20" ht="15.75" customHeight="1">
      <c r="A620" s="1"/>
      <c r="B620" s="2"/>
      <c r="C620" s="2"/>
      <c r="D620" s="2"/>
      <c r="E620" s="2"/>
      <c r="F620" s="2"/>
      <c r="G620" s="2"/>
      <c r="H620" s="2"/>
      <c r="I620" s="2"/>
      <c r="J620" s="2"/>
      <c r="K620" s="2"/>
      <c r="L620" s="2"/>
      <c r="M620" s="2"/>
      <c r="N620" s="2"/>
      <c r="O620" s="2"/>
      <c r="P620" s="2"/>
      <c r="Q620" s="2"/>
      <c r="R620" s="2"/>
      <c r="S620" s="2"/>
      <c r="T620" s="2"/>
    </row>
    <row r="621" spans="1:20" ht="15.75" customHeight="1">
      <c r="A621" s="1"/>
      <c r="B621" s="2"/>
      <c r="C621" s="2"/>
      <c r="D621" s="2"/>
      <c r="E621" s="2"/>
      <c r="F621" s="2"/>
      <c r="G621" s="2"/>
      <c r="H621" s="2"/>
      <c r="I621" s="2"/>
      <c r="J621" s="2"/>
      <c r="K621" s="2"/>
      <c r="L621" s="2"/>
      <c r="M621" s="2"/>
      <c r="N621" s="2"/>
      <c r="O621" s="2"/>
      <c r="P621" s="2"/>
      <c r="Q621" s="2"/>
      <c r="R621" s="2"/>
      <c r="S621" s="2"/>
      <c r="T621" s="2"/>
    </row>
    <row r="622" spans="1:20" ht="15.75" customHeight="1">
      <c r="A622" s="1"/>
      <c r="B622" s="2"/>
      <c r="C622" s="2"/>
      <c r="D622" s="2"/>
      <c r="E622" s="2"/>
      <c r="F622" s="2"/>
      <c r="G622" s="2"/>
      <c r="H622" s="2"/>
      <c r="I622" s="2"/>
      <c r="J622" s="2"/>
      <c r="K622" s="2"/>
      <c r="L622" s="2"/>
      <c r="M622" s="2"/>
      <c r="N622" s="2"/>
      <c r="O622" s="2"/>
      <c r="P622" s="2"/>
      <c r="Q622" s="2"/>
      <c r="R622" s="2"/>
      <c r="S622" s="2"/>
      <c r="T622" s="2"/>
    </row>
    <row r="623" spans="1:20" ht="15.75" customHeight="1">
      <c r="A623" s="1"/>
      <c r="B623" s="2"/>
      <c r="C623" s="2"/>
      <c r="D623" s="2"/>
      <c r="E623" s="2"/>
      <c r="F623" s="2"/>
      <c r="G623" s="2"/>
      <c r="H623" s="2"/>
      <c r="I623" s="2"/>
      <c r="J623" s="2"/>
      <c r="K623" s="2"/>
      <c r="L623" s="2"/>
      <c r="M623" s="2"/>
      <c r="N623" s="2"/>
      <c r="O623" s="2"/>
      <c r="P623" s="2"/>
      <c r="Q623" s="2"/>
      <c r="R623" s="2"/>
      <c r="S623" s="2"/>
      <c r="T623" s="2"/>
    </row>
    <row r="624" spans="1:20" ht="15.75" customHeight="1">
      <c r="A624" s="1"/>
      <c r="B624" s="2"/>
      <c r="C624" s="2"/>
      <c r="D624" s="2"/>
      <c r="E624" s="2"/>
      <c r="F624" s="2"/>
      <c r="G624" s="2"/>
      <c r="H624" s="2"/>
      <c r="I624" s="2"/>
      <c r="J624" s="2"/>
      <c r="K624" s="2"/>
      <c r="L624" s="2"/>
      <c r="M624" s="2"/>
      <c r="N624" s="2"/>
      <c r="O624" s="2"/>
      <c r="P624" s="2"/>
      <c r="Q624" s="2"/>
      <c r="R624" s="2"/>
      <c r="S624" s="2"/>
      <c r="T624" s="2"/>
    </row>
    <row r="625" spans="1:20" ht="15.75" customHeight="1">
      <c r="A625" s="1"/>
      <c r="B625" s="2"/>
      <c r="C625" s="2"/>
      <c r="D625" s="2"/>
      <c r="E625" s="2"/>
      <c r="F625" s="2"/>
      <c r="G625" s="2"/>
      <c r="H625" s="2"/>
      <c r="I625" s="2"/>
      <c r="J625" s="2"/>
      <c r="K625" s="2"/>
      <c r="L625" s="2"/>
      <c r="M625" s="2"/>
      <c r="N625" s="2"/>
      <c r="O625" s="2"/>
      <c r="P625" s="2"/>
      <c r="Q625" s="2"/>
      <c r="R625" s="2"/>
      <c r="S625" s="2"/>
      <c r="T625" s="2"/>
    </row>
    <row r="626" spans="1:20" ht="15.75" customHeight="1">
      <c r="A626" s="1"/>
      <c r="B626" s="2"/>
      <c r="C626" s="2"/>
      <c r="D626" s="2"/>
      <c r="E626" s="2"/>
      <c r="F626" s="2"/>
      <c r="G626" s="2"/>
      <c r="H626" s="2"/>
      <c r="I626" s="2"/>
      <c r="J626" s="2"/>
      <c r="K626" s="2"/>
      <c r="L626" s="2"/>
      <c r="M626" s="2"/>
      <c r="N626" s="2"/>
      <c r="O626" s="2"/>
      <c r="P626" s="2"/>
      <c r="Q626" s="2"/>
      <c r="R626" s="2"/>
      <c r="S626" s="2"/>
      <c r="T626" s="2"/>
    </row>
    <row r="627" spans="1:20" ht="15.75" customHeight="1">
      <c r="A627" s="1"/>
      <c r="B627" s="2"/>
      <c r="C627" s="2"/>
      <c r="D627" s="2"/>
      <c r="E627" s="2"/>
      <c r="F627" s="2"/>
      <c r="G627" s="2"/>
      <c r="H627" s="2"/>
      <c r="I627" s="2"/>
      <c r="J627" s="2"/>
      <c r="K627" s="2"/>
      <c r="L627" s="2"/>
      <c r="M627" s="2"/>
      <c r="N627" s="2"/>
      <c r="O627" s="2"/>
      <c r="P627" s="2"/>
      <c r="Q627" s="2"/>
      <c r="R627" s="2"/>
      <c r="S627" s="2"/>
      <c r="T627" s="2"/>
    </row>
    <row r="628" spans="1:20" ht="15.75" customHeight="1">
      <c r="A628" s="1"/>
      <c r="B628" s="2"/>
      <c r="C628" s="2"/>
      <c r="D628" s="2"/>
      <c r="E628" s="2"/>
      <c r="F628" s="2"/>
      <c r="G628" s="2"/>
      <c r="H628" s="2"/>
      <c r="I628" s="2"/>
      <c r="J628" s="2"/>
      <c r="K628" s="2"/>
      <c r="L628" s="2"/>
      <c r="M628" s="2"/>
      <c r="N628" s="2"/>
      <c r="O628" s="2"/>
      <c r="P628" s="2"/>
      <c r="Q628" s="2"/>
      <c r="R628" s="2"/>
      <c r="S628" s="2"/>
      <c r="T628" s="2"/>
    </row>
    <row r="629" spans="1:20" ht="15.75" customHeight="1">
      <c r="A629" s="1"/>
      <c r="B629" s="2"/>
      <c r="C629" s="2"/>
      <c r="D629" s="2"/>
      <c r="E629" s="2"/>
      <c r="F629" s="2"/>
      <c r="G629" s="2"/>
      <c r="H629" s="2"/>
      <c r="I629" s="2"/>
      <c r="J629" s="2"/>
      <c r="K629" s="2"/>
      <c r="L629" s="2"/>
      <c r="M629" s="2"/>
      <c r="N629" s="2"/>
      <c r="O629" s="2"/>
      <c r="P629" s="2"/>
      <c r="Q629" s="2"/>
      <c r="R629" s="2"/>
      <c r="S629" s="2"/>
      <c r="T629" s="2"/>
    </row>
    <row r="630" spans="1:20" ht="15.75" customHeight="1">
      <c r="A630" s="1"/>
      <c r="B630" s="2"/>
      <c r="C630" s="2"/>
      <c r="D630" s="2"/>
      <c r="E630" s="2"/>
      <c r="F630" s="2"/>
      <c r="G630" s="2"/>
      <c r="H630" s="2"/>
      <c r="I630" s="2"/>
      <c r="J630" s="2"/>
      <c r="K630" s="2"/>
      <c r="L630" s="2"/>
      <c r="M630" s="2"/>
      <c r="N630" s="2"/>
      <c r="O630" s="2"/>
      <c r="P630" s="2"/>
      <c r="Q630" s="2"/>
      <c r="R630" s="2"/>
      <c r="S630" s="2"/>
      <c r="T630" s="2"/>
    </row>
    <row r="631" spans="1:20" ht="15.75" customHeight="1">
      <c r="A631" s="1"/>
      <c r="B631" s="2"/>
      <c r="C631" s="2"/>
      <c r="D631" s="2"/>
      <c r="E631" s="2"/>
      <c r="F631" s="2"/>
      <c r="G631" s="2"/>
      <c r="H631" s="2"/>
      <c r="I631" s="2"/>
      <c r="J631" s="2"/>
      <c r="K631" s="2"/>
      <c r="L631" s="2"/>
      <c r="M631" s="2"/>
      <c r="N631" s="2"/>
      <c r="O631" s="2"/>
      <c r="P631" s="2"/>
      <c r="Q631" s="2"/>
      <c r="R631" s="2"/>
      <c r="S631" s="2"/>
      <c r="T631" s="2"/>
    </row>
    <row r="632" spans="1:20" ht="15.75" customHeight="1">
      <c r="A632" s="1"/>
      <c r="B632" s="2"/>
      <c r="C632" s="2"/>
      <c r="D632" s="2"/>
      <c r="E632" s="2"/>
      <c r="F632" s="2"/>
      <c r="G632" s="2"/>
      <c r="H632" s="2"/>
      <c r="I632" s="2"/>
      <c r="J632" s="2"/>
      <c r="K632" s="2"/>
      <c r="L632" s="2"/>
      <c r="M632" s="2"/>
      <c r="N632" s="2"/>
      <c r="O632" s="2"/>
      <c r="P632" s="2"/>
      <c r="Q632" s="2"/>
      <c r="R632" s="2"/>
      <c r="S632" s="2"/>
      <c r="T632" s="2"/>
    </row>
    <row r="633" spans="1:20" ht="15.75" customHeight="1">
      <c r="A633" s="1"/>
      <c r="B633" s="2"/>
      <c r="C633" s="2"/>
      <c r="D633" s="2"/>
      <c r="E633" s="2"/>
      <c r="F633" s="2"/>
      <c r="G633" s="2"/>
      <c r="H633" s="2"/>
      <c r="I633" s="2"/>
      <c r="J633" s="2"/>
      <c r="K633" s="2"/>
      <c r="L633" s="2"/>
      <c r="M633" s="2"/>
      <c r="N633" s="2"/>
      <c r="O633" s="2"/>
      <c r="P633" s="2"/>
      <c r="Q633" s="2"/>
      <c r="R633" s="2"/>
      <c r="S633" s="2"/>
      <c r="T633" s="2"/>
    </row>
    <row r="634" spans="1:20" ht="15.75" customHeight="1">
      <c r="A634" s="1"/>
      <c r="B634" s="2"/>
      <c r="C634" s="2"/>
      <c r="D634" s="2"/>
      <c r="E634" s="2"/>
      <c r="F634" s="2"/>
      <c r="G634" s="2"/>
      <c r="H634" s="2"/>
      <c r="I634" s="2"/>
      <c r="J634" s="2"/>
      <c r="K634" s="2"/>
      <c r="L634" s="2"/>
      <c r="M634" s="2"/>
      <c r="N634" s="2"/>
      <c r="O634" s="2"/>
      <c r="P634" s="2"/>
      <c r="Q634" s="2"/>
      <c r="R634" s="2"/>
      <c r="S634" s="2"/>
      <c r="T634" s="2"/>
    </row>
    <row r="635" spans="1:20" ht="15.75" customHeight="1">
      <c r="A635" s="1"/>
      <c r="B635" s="2"/>
      <c r="C635" s="2"/>
      <c r="D635" s="2"/>
      <c r="E635" s="2"/>
      <c r="F635" s="2"/>
      <c r="G635" s="2"/>
      <c r="H635" s="2"/>
      <c r="I635" s="2"/>
      <c r="J635" s="2"/>
      <c r="K635" s="2"/>
      <c r="L635" s="2"/>
      <c r="M635" s="2"/>
      <c r="N635" s="2"/>
      <c r="O635" s="2"/>
      <c r="P635" s="2"/>
      <c r="Q635" s="2"/>
      <c r="R635" s="2"/>
      <c r="S635" s="2"/>
      <c r="T635" s="2"/>
    </row>
    <row r="636" spans="1:20" ht="15.75" customHeight="1">
      <c r="A636" s="1"/>
      <c r="B636" s="2"/>
      <c r="C636" s="2"/>
      <c r="D636" s="2"/>
      <c r="E636" s="2"/>
      <c r="F636" s="2"/>
      <c r="G636" s="2"/>
      <c r="H636" s="2"/>
      <c r="I636" s="2"/>
      <c r="J636" s="2"/>
      <c r="K636" s="2"/>
      <c r="L636" s="2"/>
      <c r="M636" s="2"/>
      <c r="N636" s="2"/>
      <c r="O636" s="2"/>
      <c r="P636" s="2"/>
      <c r="Q636" s="2"/>
      <c r="R636" s="2"/>
      <c r="S636" s="2"/>
      <c r="T636" s="2"/>
    </row>
    <row r="637" spans="1:20" ht="15.75" customHeight="1">
      <c r="A637" s="1"/>
      <c r="B637" s="2"/>
      <c r="C637" s="2"/>
      <c r="D637" s="2"/>
      <c r="E637" s="2"/>
      <c r="F637" s="2"/>
      <c r="G637" s="2"/>
      <c r="H637" s="2"/>
      <c r="I637" s="2"/>
      <c r="J637" s="2"/>
      <c r="K637" s="2"/>
      <c r="L637" s="2"/>
      <c r="M637" s="2"/>
      <c r="N637" s="2"/>
      <c r="O637" s="2"/>
      <c r="P637" s="2"/>
      <c r="Q637" s="2"/>
      <c r="R637" s="2"/>
      <c r="S637" s="2"/>
      <c r="T637" s="2"/>
    </row>
    <row r="638" spans="1:20" ht="15.75" customHeight="1">
      <c r="A638" s="1"/>
      <c r="B638" s="2"/>
      <c r="C638" s="2"/>
      <c r="D638" s="2"/>
      <c r="E638" s="2"/>
      <c r="F638" s="2"/>
      <c r="G638" s="2"/>
      <c r="H638" s="2"/>
      <c r="I638" s="2"/>
      <c r="J638" s="2"/>
      <c r="K638" s="2"/>
      <c r="L638" s="2"/>
      <c r="M638" s="2"/>
      <c r="N638" s="2"/>
      <c r="O638" s="2"/>
      <c r="P638" s="2"/>
      <c r="Q638" s="2"/>
      <c r="R638" s="2"/>
      <c r="S638" s="2"/>
      <c r="T638" s="2"/>
    </row>
    <row r="639" spans="1:20" ht="15.75" customHeight="1">
      <c r="A639" s="1"/>
      <c r="B639" s="2"/>
      <c r="C639" s="2"/>
      <c r="D639" s="2"/>
      <c r="E639" s="2"/>
      <c r="F639" s="2"/>
      <c r="G639" s="2"/>
      <c r="H639" s="2"/>
      <c r="I639" s="2"/>
      <c r="J639" s="2"/>
      <c r="K639" s="2"/>
      <c r="L639" s="2"/>
      <c r="M639" s="2"/>
      <c r="N639" s="2"/>
      <c r="O639" s="2"/>
      <c r="P639" s="2"/>
      <c r="Q639" s="2"/>
      <c r="R639" s="2"/>
      <c r="S639" s="2"/>
      <c r="T639" s="2"/>
    </row>
    <row r="640" spans="1:20" ht="15.75" customHeight="1">
      <c r="A640" s="1"/>
      <c r="B640" s="2"/>
      <c r="C640" s="2"/>
      <c r="D640" s="2"/>
      <c r="E640" s="2"/>
      <c r="F640" s="2"/>
      <c r="G640" s="2"/>
      <c r="H640" s="2"/>
      <c r="I640" s="2"/>
      <c r="J640" s="2"/>
      <c r="K640" s="2"/>
      <c r="L640" s="2"/>
      <c r="M640" s="2"/>
      <c r="N640" s="2"/>
      <c r="O640" s="2"/>
      <c r="P640" s="2"/>
      <c r="Q640" s="2"/>
      <c r="R640" s="2"/>
      <c r="S640" s="2"/>
      <c r="T640" s="2"/>
    </row>
    <row r="641" spans="1:20" ht="15.75" customHeight="1">
      <c r="A641" s="1"/>
      <c r="B641" s="2"/>
      <c r="C641" s="2"/>
      <c r="D641" s="2"/>
      <c r="E641" s="2"/>
      <c r="F641" s="2"/>
      <c r="G641" s="2"/>
      <c r="H641" s="2"/>
      <c r="I641" s="2"/>
      <c r="J641" s="2"/>
      <c r="K641" s="2"/>
      <c r="L641" s="2"/>
      <c r="M641" s="2"/>
      <c r="N641" s="2"/>
      <c r="O641" s="2"/>
      <c r="P641" s="2"/>
      <c r="Q641" s="2"/>
      <c r="R641" s="2"/>
      <c r="S641" s="2"/>
      <c r="T641" s="2"/>
    </row>
    <row r="642" spans="1:20" ht="15.75" customHeight="1">
      <c r="A642" s="1"/>
      <c r="B642" s="2"/>
      <c r="C642" s="2"/>
      <c r="D642" s="2"/>
      <c r="E642" s="2"/>
      <c r="F642" s="2"/>
      <c r="G642" s="2"/>
      <c r="H642" s="2"/>
      <c r="I642" s="2"/>
      <c r="J642" s="2"/>
      <c r="K642" s="2"/>
      <c r="L642" s="2"/>
      <c r="M642" s="2"/>
      <c r="N642" s="2"/>
      <c r="O642" s="2"/>
      <c r="P642" s="2"/>
      <c r="Q642" s="2"/>
      <c r="R642" s="2"/>
      <c r="S642" s="2"/>
      <c r="T642" s="2"/>
    </row>
    <row r="643" spans="1:20" ht="15.75" customHeight="1">
      <c r="A643" s="1"/>
      <c r="B643" s="2"/>
      <c r="C643" s="2"/>
      <c r="D643" s="2"/>
      <c r="E643" s="2"/>
      <c r="F643" s="2"/>
      <c r="G643" s="2"/>
      <c r="H643" s="2"/>
      <c r="I643" s="2"/>
      <c r="J643" s="2"/>
      <c r="K643" s="2"/>
      <c r="L643" s="2"/>
      <c r="M643" s="2"/>
      <c r="N643" s="2"/>
      <c r="O643" s="2"/>
      <c r="P643" s="2"/>
      <c r="Q643" s="2"/>
      <c r="R643" s="2"/>
      <c r="S643" s="2"/>
      <c r="T643" s="2"/>
    </row>
    <row r="644" spans="1:20" ht="15.75" customHeight="1">
      <c r="A644" s="1"/>
      <c r="B644" s="2"/>
      <c r="C644" s="2"/>
      <c r="D644" s="2"/>
      <c r="E644" s="2"/>
      <c r="F644" s="2"/>
      <c r="G644" s="2"/>
      <c r="H644" s="2"/>
      <c r="I644" s="2"/>
      <c r="J644" s="2"/>
      <c r="K644" s="2"/>
      <c r="L644" s="2"/>
      <c r="M644" s="2"/>
      <c r="N644" s="2"/>
      <c r="O644" s="2"/>
      <c r="P644" s="2"/>
      <c r="Q644" s="2"/>
      <c r="R644" s="2"/>
      <c r="S644" s="2"/>
      <c r="T644" s="2"/>
    </row>
    <row r="645" spans="1:20" ht="15.75" customHeight="1">
      <c r="A645" s="1"/>
      <c r="B645" s="2"/>
      <c r="C645" s="2"/>
      <c r="D645" s="2"/>
      <c r="E645" s="2"/>
      <c r="F645" s="2"/>
      <c r="G645" s="2"/>
      <c r="H645" s="2"/>
      <c r="I645" s="2"/>
      <c r="J645" s="2"/>
      <c r="K645" s="2"/>
      <c r="L645" s="2"/>
      <c r="M645" s="2"/>
      <c r="N645" s="2"/>
      <c r="O645" s="2"/>
      <c r="P645" s="2"/>
      <c r="Q645" s="2"/>
      <c r="R645" s="2"/>
      <c r="S645" s="2"/>
      <c r="T645" s="2"/>
    </row>
    <row r="646" spans="1:20" ht="15.75" customHeight="1">
      <c r="A646" s="1"/>
      <c r="B646" s="2"/>
      <c r="C646" s="2"/>
      <c r="D646" s="2"/>
      <c r="E646" s="2"/>
      <c r="F646" s="2"/>
      <c r="G646" s="2"/>
      <c r="H646" s="2"/>
      <c r="I646" s="2"/>
      <c r="J646" s="2"/>
      <c r="K646" s="2"/>
      <c r="L646" s="2"/>
      <c r="M646" s="2"/>
      <c r="N646" s="2"/>
      <c r="O646" s="2"/>
      <c r="P646" s="2"/>
      <c r="Q646" s="2"/>
      <c r="R646" s="2"/>
      <c r="S646" s="2"/>
      <c r="T646" s="2"/>
    </row>
    <row r="647" spans="1:20" ht="15.75" customHeight="1">
      <c r="A647" s="1"/>
      <c r="B647" s="2"/>
      <c r="C647" s="2"/>
      <c r="D647" s="2"/>
      <c r="E647" s="2"/>
      <c r="F647" s="2"/>
      <c r="G647" s="2"/>
      <c r="H647" s="2"/>
      <c r="I647" s="2"/>
      <c r="J647" s="2"/>
      <c r="K647" s="2"/>
      <c r="L647" s="2"/>
      <c r="M647" s="2"/>
      <c r="N647" s="2"/>
      <c r="O647" s="2"/>
      <c r="P647" s="2"/>
      <c r="Q647" s="2"/>
      <c r="R647" s="2"/>
      <c r="S647" s="2"/>
      <c r="T647" s="2"/>
    </row>
    <row r="648" spans="1:20" ht="15.75" customHeight="1">
      <c r="A648" s="1"/>
      <c r="B648" s="2"/>
      <c r="C648" s="2"/>
      <c r="D648" s="2"/>
      <c r="E648" s="2"/>
      <c r="F648" s="2"/>
      <c r="G648" s="2"/>
      <c r="H648" s="2"/>
      <c r="I648" s="2"/>
      <c r="J648" s="2"/>
      <c r="K648" s="2"/>
      <c r="L648" s="2"/>
      <c r="M648" s="2"/>
      <c r="N648" s="2"/>
      <c r="O648" s="2"/>
      <c r="P648" s="2"/>
      <c r="Q648" s="2"/>
      <c r="R648" s="2"/>
      <c r="S648" s="2"/>
      <c r="T648" s="2"/>
    </row>
    <row r="649" spans="1:20" ht="15.75" customHeight="1">
      <c r="A649" s="1"/>
      <c r="B649" s="2"/>
      <c r="C649" s="2"/>
      <c r="D649" s="2"/>
      <c r="E649" s="2"/>
      <c r="F649" s="2"/>
      <c r="G649" s="2"/>
      <c r="H649" s="2"/>
      <c r="I649" s="2"/>
      <c r="J649" s="2"/>
      <c r="K649" s="2"/>
      <c r="L649" s="2"/>
      <c r="M649" s="2"/>
      <c r="N649" s="2"/>
      <c r="O649" s="2"/>
      <c r="P649" s="2"/>
      <c r="Q649" s="2"/>
      <c r="R649" s="2"/>
      <c r="S649" s="2"/>
      <c r="T649" s="2"/>
    </row>
    <row r="650" spans="1:20" ht="15.75" customHeight="1">
      <c r="A650" s="1"/>
      <c r="B650" s="2"/>
      <c r="C650" s="2"/>
      <c r="D650" s="2"/>
      <c r="E650" s="2"/>
      <c r="F650" s="2"/>
      <c r="G650" s="2"/>
      <c r="H650" s="2"/>
      <c r="I650" s="2"/>
      <c r="J650" s="2"/>
      <c r="K650" s="2"/>
      <c r="L650" s="2"/>
      <c r="M650" s="2"/>
      <c r="N650" s="2"/>
      <c r="O650" s="2"/>
      <c r="P650" s="2"/>
      <c r="Q650" s="2"/>
      <c r="R650" s="2"/>
      <c r="S650" s="2"/>
      <c r="T650" s="2"/>
    </row>
    <row r="651" spans="1:20" ht="15.75" customHeight="1">
      <c r="A651" s="1"/>
      <c r="B651" s="2"/>
      <c r="C651" s="2"/>
      <c r="D651" s="2"/>
      <c r="E651" s="2"/>
      <c r="F651" s="2"/>
      <c r="G651" s="2"/>
      <c r="H651" s="2"/>
      <c r="I651" s="2"/>
      <c r="J651" s="2"/>
      <c r="K651" s="2"/>
      <c r="L651" s="2"/>
      <c r="M651" s="2"/>
      <c r="N651" s="2"/>
      <c r="O651" s="2"/>
      <c r="P651" s="2"/>
      <c r="Q651" s="2"/>
      <c r="R651" s="2"/>
      <c r="S651" s="2"/>
      <c r="T651" s="2"/>
    </row>
    <row r="652" spans="1:20" ht="15.75" customHeight="1">
      <c r="A652" s="1"/>
      <c r="B652" s="2"/>
      <c r="C652" s="2"/>
      <c r="D652" s="2"/>
      <c r="E652" s="2"/>
      <c r="F652" s="2"/>
      <c r="G652" s="2"/>
      <c r="H652" s="2"/>
      <c r="I652" s="2"/>
      <c r="J652" s="2"/>
      <c r="K652" s="2"/>
      <c r="L652" s="2"/>
      <c r="M652" s="2"/>
      <c r="N652" s="2"/>
      <c r="O652" s="2"/>
      <c r="P652" s="2"/>
      <c r="Q652" s="2"/>
      <c r="R652" s="2"/>
      <c r="S652" s="2"/>
      <c r="T652" s="2"/>
    </row>
    <row r="653" spans="1:20" ht="15.75" customHeight="1">
      <c r="A653" s="1"/>
      <c r="B653" s="2"/>
      <c r="C653" s="2"/>
      <c r="D653" s="2"/>
      <c r="E653" s="2"/>
      <c r="F653" s="2"/>
      <c r="G653" s="2"/>
      <c r="H653" s="2"/>
      <c r="I653" s="2"/>
      <c r="J653" s="2"/>
      <c r="K653" s="2"/>
      <c r="L653" s="2"/>
      <c r="M653" s="2"/>
      <c r="N653" s="2"/>
      <c r="O653" s="2"/>
      <c r="P653" s="2"/>
      <c r="Q653" s="2"/>
      <c r="R653" s="2"/>
      <c r="S653" s="2"/>
      <c r="T653" s="2"/>
    </row>
    <row r="654" spans="1:20" ht="15.75" customHeight="1">
      <c r="A654" s="1"/>
      <c r="B654" s="2"/>
      <c r="C654" s="2"/>
      <c r="D654" s="2"/>
      <c r="E654" s="2"/>
      <c r="F654" s="2"/>
      <c r="G654" s="2"/>
      <c r="H654" s="2"/>
      <c r="I654" s="2"/>
      <c r="J654" s="2"/>
      <c r="K654" s="2"/>
      <c r="L654" s="2"/>
      <c r="M654" s="2"/>
      <c r="N654" s="2"/>
      <c r="O654" s="2"/>
      <c r="P654" s="2"/>
      <c r="Q654" s="2"/>
      <c r="R654" s="2"/>
      <c r="S654" s="2"/>
      <c r="T654" s="2"/>
    </row>
    <row r="655" spans="1:20" ht="15.75" customHeight="1">
      <c r="A655" s="1"/>
      <c r="B655" s="2"/>
      <c r="C655" s="2"/>
      <c r="D655" s="2"/>
      <c r="E655" s="2"/>
      <c r="F655" s="2"/>
      <c r="G655" s="2"/>
      <c r="H655" s="2"/>
      <c r="I655" s="2"/>
      <c r="J655" s="2"/>
      <c r="K655" s="2"/>
      <c r="L655" s="2"/>
      <c r="M655" s="2"/>
      <c r="N655" s="2"/>
      <c r="O655" s="2"/>
      <c r="P655" s="2"/>
      <c r="Q655" s="2"/>
      <c r="R655" s="2"/>
      <c r="S655" s="2"/>
      <c r="T655" s="2"/>
    </row>
    <row r="656" spans="1:20" ht="15.75" customHeight="1">
      <c r="A656" s="1"/>
      <c r="B656" s="2"/>
      <c r="C656" s="2"/>
      <c r="D656" s="2"/>
      <c r="E656" s="2"/>
      <c r="F656" s="2"/>
      <c r="G656" s="2"/>
      <c r="H656" s="2"/>
      <c r="I656" s="2"/>
      <c r="J656" s="2"/>
      <c r="K656" s="2"/>
      <c r="L656" s="2"/>
      <c r="M656" s="2"/>
      <c r="N656" s="2"/>
      <c r="O656" s="2"/>
      <c r="P656" s="2"/>
      <c r="Q656" s="2"/>
      <c r="R656" s="2"/>
      <c r="S656" s="2"/>
      <c r="T656" s="2"/>
    </row>
    <row r="657" spans="1:20" ht="15.75" customHeight="1">
      <c r="A657" s="1"/>
      <c r="B657" s="2"/>
      <c r="C657" s="2"/>
      <c r="D657" s="2"/>
      <c r="E657" s="2"/>
      <c r="F657" s="2"/>
      <c r="G657" s="2"/>
      <c r="H657" s="2"/>
      <c r="I657" s="2"/>
      <c r="J657" s="2"/>
      <c r="K657" s="2"/>
      <c r="L657" s="2"/>
      <c r="M657" s="2"/>
      <c r="N657" s="2"/>
      <c r="O657" s="2"/>
      <c r="P657" s="2"/>
      <c r="Q657" s="2"/>
      <c r="R657" s="2"/>
      <c r="S657" s="2"/>
      <c r="T657" s="2"/>
    </row>
    <row r="658" spans="1:20" ht="15.75" customHeight="1">
      <c r="A658" s="1"/>
      <c r="B658" s="2"/>
      <c r="C658" s="2"/>
      <c r="D658" s="2"/>
      <c r="E658" s="2"/>
      <c r="F658" s="2"/>
      <c r="G658" s="2"/>
      <c r="H658" s="2"/>
      <c r="I658" s="2"/>
      <c r="J658" s="2"/>
      <c r="K658" s="2"/>
      <c r="L658" s="2"/>
      <c r="M658" s="2"/>
      <c r="N658" s="2"/>
      <c r="O658" s="2"/>
      <c r="P658" s="2"/>
      <c r="Q658" s="2"/>
      <c r="R658" s="2"/>
      <c r="S658" s="2"/>
      <c r="T658" s="2"/>
    </row>
    <row r="659" spans="1:20" ht="15.75" customHeight="1">
      <c r="A659" s="1"/>
      <c r="B659" s="2"/>
      <c r="C659" s="2"/>
      <c r="D659" s="2"/>
      <c r="E659" s="2"/>
      <c r="F659" s="2"/>
      <c r="G659" s="2"/>
      <c r="H659" s="2"/>
      <c r="I659" s="2"/>
      <c r="J659" s="2"/>
      <c r="K659" s="2"/>
      <c r="L659" s="2"/>
      <c r="M659" s="2"/>
      <c r="N659" s="2"/>
      <c r="O659" s="2"/>
      <c r="P659" s="2"/>
      <c r="Q659" s="2"/>
      <c r="R659" s="2"/>
      <c r="S659" s="2"/>
      <c r="T659" s="2"/>
    </row>
    <row r="660" spans="1:20" ht="15.75" customHeight="1">
      <c r="A660" s="1"/>
      <c r="B660" s="2"/>
      <c r="C660" s="2"/>
      <c r="D660" s="2"/>
      <c r="E660" s="2"/>
      <c r="F660" s="2"/>
      <c r="G660" s="2"/>
      <c r="H660" s="2"/>
      <c r="I660" s="2"/>
      <c r="J660" s="2"/>
      <c r="K660" s="2"/>
      <c r="L660" s="2"/>
      <c r="M660" s="2"/>
      <c r="N660" s="2"/>
      <c r="O660" s="2"/>
      <c r="P660" s="2"/>
      <c r="Q660" s="2"/>
      <c r="R660" s="2"/>
      <c r="S660" s="2"/>
      <c r="T660" s="2"/>
    </row>
    <row r="661" spans="1:20" ht="15.75" customHeight="1">
      <c r="A661" s="1"/>
      <c r="B661" s="2"/>
      <c r="C661" s="2"/>
      <c r="D661" s="2"/>
      <c r="E661" s="2"/>
      <c r="F661" s="2"/>
      <c r="G661" s="2"/>
      <c r="H661" s="2"/>
      <c r="I661" s="2"/>
      <c r="J661" s="2"/>
      <c r="K661" s="2"/>
      <c r="L661" s="2"/>
      <c r="M661" s="2"/>
      <c r="N661" s="2"/>
      <c r="O661" s="2"/>
      <c r="P661" s="2"/>
      <c r="Q661" s="2"/>
      <c r="R661" s="2"/>
      <c r="S661" s="2"/>
      <c r="T661" s="2"/>
    </row>
    <row r="662" spans="1:20" ht="15.75" customHeight="1">
      <c r="A662" s="1"/>
      <c r="B662" s="2"/>
      <c r="C662" s="2"/>
      <c r="D662" s="2"/>
      <c r="E662" s="2"/>
      <c r="F662" s="2"/>
      <c r="G662" s="2"/>
      <c r="H662" s="2"/>
      <c r="I662" s="2"/>
      <c r="J662" s="2"/>
      <c r="K662" s="2"/>
      <c r="L662" s="2"/>
      <c r="M662" s="2"/>
      <c r="N662" s="2"/>
      <c r="O662" s="2"/>
      <c r="P662" s="2"/>
      <c r="Q662" s="2"/>
      <c r="R662" s="2"/>
      <c r="S662" s="2"/>
      <c r="T662" s="2"/>
    </row>
    <row r="663" spans="1:20" ht="15.75" customHeight="1">
      <c r="A663" s="1"/>
      <c r="B663" s="2"/>
      <c r="C663" s="2"/>
      <c r="D663" s="2"/>
      <c r="E663" s="2"/>
      <c r="F663" s="2"/>
      <c r="G663" s="2"/>
      <c r="H663" s="2"/>
      <c r="I663" s="2"/>
      <c r="J663" s="2"/>
      <c r="K663" s="2"/>
      <c r="L663" s="2"/>
      <c r="M663" s="2"/>
      <c r="N663" s="2"/>
      <c r="O663" s="2"/>
      <c r="P663" s="2"/>
      <c r="Q663" s="2"/>
      <c r="R663" s="2"/>
      <c r="S663" s="2"/>
      <c r="T663" s="2"/>
    </row>
    <row r="664" spans="1:20" ht="15.75" customHeight="1">
      <c r="A664" s="1"/>
      <c r="B664" s="2"/>
      <c r="C664" s="2"/>
      <c r="D664" s="2"/>
      <c r="E664" s="2"/>
      <c r="F664" s="2"/>
      <c r="G664" s="2"/>
      <c r="H664" s="2"/>
      <c r="I664" s="2"/>
      <c r="J664" s="2"/>
      <c r="K664" s="2"/>
      <c r="L664" s="2"/>
      <c r="M664" s="2"/>
      <c r="N664" s="2"/>
      <c r="O664" s="2"/>
      <c r="P664" s="2"/>
      <c r="Q664" s="2"/>
      <c r="R664" s="2"/>
      <c r="S664" s="2"/>
      <c r="T664" s="2"/>
    </row>
    <row r="665" spans="1:20" ht="15.75" customHeight="1">
      <c r="A665" s="1"/>
      <c r="B665" s="2"/>
      <c r="C665" s="2"/>
      <c r="D665" s="2"/>
      <c r="E665" s="2"/>
      <c r="F665" s="2"/>
      <c r="G665" s="2"/>
      <c r="H665" s="2"/>
      <c r="I665" s="2"/>
      <c r="J665" s="2"/>
      <c r="K665" s="2"/>
      <c r="L665" s="2"/>
      <c r="M665" s="2"/>
      <c r="N665" s="2"/>
      <c r="O665" s="2"/>
      <c r="P665" s="2"/>
      <c r="Q665" s="2"/>
      <c r="R665" s="2"/>
      <c r="S665" s="2"/>
      <c r="T665" s="2"/>
    </row>
    <row r="666" spans="1:20" ht="15.75" customHeight="1">
      <c r="A666" s="1"/>
      <c r="B666" s="2"/>
      <c r="C666" s="2"/>
      <c r="D666" s="2"/>
      <c r="E666" s="2"/>
      <c r="F666" s="2"/>
      <c r="G666" s="2"/>
      <c r="H666" s="2"/>
      <c r="I666" s="2"/>
      <c r="J666" s="2"/>
      <c r="K666" s="2"/>
      <c r="L666" s="2"/>
      <c r="M666" s="2"/>
      <c r="N666" s="2"/>
      <c r="O666" s="2"/>
      <c r="P666" s="2"/>
      <c r="Q666" s="2"/>
      <c r="R666" s="2"/>
      <c r="S666" s="2"/>
      <c r="T666" s="2"/>
    </row>
    <row r="667" spans="1:20" ht="15.75" customHeight="1">
      <c r="A667" s="1"/>
      <c r="B667" s="2"/>
      <c r="C667" s="2"/>
      <c r="D667" s="2"/>
      <c r="E667" s="2"/>
      <c r="F667" s="2"/>
      <c r="G667" s="2"/>
      <c r="H667" s="2"/>
      <c r="I667" s="2"/>
      <c r="J667" s="2"/>
      <c r="K667" s="2"/>
      <c r="L667" s="2"/>
      <c r="M667" s="2"/>
      <c r="N667" s="2"/>
      <c r="O667" s="2"/>
      <c r="P667" s="2"/>
      <c r="Q667" s="2"/>
      <c r="R667" s="2"/>
      <c r="S667" s="2"/>
      <c r="T667" s="2"/>
    </row>
    <row r="668" spans="1:20" ht="15.75" customHeight="1">
      <c r="A668" s="1"/>
      <c r="B668" s="2"/>
      <c r="C668" s="2"/>
      <c r="D668" s="2"/>
      <c r="E668" s="2"/>
      <c r="F668" s="2"/>
      <c r="G668" s="2"/>
      <c r="H668" s="2"/>
      <c r="I668" s="2"/>
      <c r="J668" s="2"/>
      <c r="K668" s="2"/>
      <c r="L668" s="2"/>
      <c r="M668" s="2"/>
      <c r="N668" s="2"/>
      <c r="O668" s="2"/>
      <c r="P668" s="2"/>
      <c r="Q668" s="2"/>
      <c r="R668" s="2"/>
      <c r="S668" s="2"/>
      <c r="T668" s="2"/>
    </row>
    <row r="669" spans="1:20" ht="15.75" customHeight="1">
      <c r="A669" s="1"/>
      <c r="B669" s="2"/>
      <c r="C669" s="2"/>
      <c r="D669" s="2"/>
      <c r="E669" s="2"/>
      <c r="F669" s="2"/>
      <c r="G669" s="2"/>
      <c r="H669" s="2"/>
      <c r="I669" s="2"/>
      <c r="J669" s="2"/>
      <c r="K669" s="2"/>
      <c r="L669" s="2"/>
      <c r="M669" s="2"/>
      <c r="N669" s="2"/>
      <c r="O669" s="2"/>
      <c r="P669" s="2"/>
      <c r="Q669" s="2"/>
      <c r="R669" s="2"/>
      <c r="S669" s="2"/>
      <c r="T669" s="2"/>
    </row>
    <row r="670" spans="1:20" ht="15.75" customHeight="1">
      <c r="A670" s="1"/>
      <c r="B670" s="2"/>
      <c r="C670" s="2"/>
      <c r="D670" s="2"/>
      <c r="E670" s="2"/>
      <c r="F670" s="2"/>
      <c r="G670" s="2"/>
      <c r="H670" s="2"/>
      <c r="I670" s="2"/>
      <c r="J670" s="2"/>
      <c r="K670" s="2"/>
      <c r="L670" s="2"/>
      <c r="M670" s="2"/>
      <c r="N670" s="2"/>
      <c r="O670" s="2"/>
      <c r="P670" s="2"/>
      <c r="Q670" s="2"/>
      <c r="R670" s="2"/>
      <c r="S670" s="2"/>
      <c r="T670" s="2"/>
    </row>
    <row r="671" spans="1:20" ht="15.75" customHeight="1">
      <c r="A671" s="1"/>
      <c r="B671" s="2"/>
      <c r="C671" s="2"/>
      <c r="D671" s="2"/>
      <c r="E671" s="2"/>
      <c r="F671" s="2"/>
      <c r="G671" s="2"/>
      <c r="H671" s="2"/>
      <c r="I671" s="2"/>
      <c r="J671" s="2"/>
      <c r="K671" s="2"/>
      <c r="L671" s="2"/>
      <c r="M671" s="2"/>
      <c r="N671" s="2"/>
      <c r="O671" s="2"/>
      <c r="P671" s="2"/>
      <c r="Q671" s="2"/>
      <c r="R671" s="2"/>
      <c r="S671" s="2"/>
      <c r="T671" s="2"/>
    </row>
    <row r="672" spans="1:20" ht="15.75" customHeight="1">
      <c r="A672" s="1"/>
      <c r="B672" s="2"/>
      <c r="C672" s="2"/>
      <c r="D672" s="2"/>
      <c r="E672" s="2"/>
      <c r="F672" s="2"/>
      <c r="G672" s="2"/>
      <c r="H672" s="2"/>
      <c r="I672" s="2"/>
      <c r="J672" s="2"/>
      <c r="K672" s="2"/>
      <c r="L672" s="2"/>
      <c r="M672" s="2"/>
      <c r="N672" s="2"/>
      <c r="O672" s="2"/>
      <c r="P672" s="2"/>
      <c r="Q672" s="2"/>
      <c r="R672" s="2"/>
      <c r="S672" s="2"/>
      <c r="T672" s="2"/>
    </row>
    <row r="673" spans="1:20" ht="15.75" customHeight="1">
      <c r="A673" s="1"/>
      <c r="B673" s="2"/>
      <c r="C673" s="2"/>
      <c r="D673" s="2"/>
      <c r="E673" s="2"/>
      <c r="F673" s="2"/>
      <c r="G673" s="2"/>
      <c r="H673" s="2"/>
      <c r="I673" s="2"/>
      <c r="J673" s="2"/>
      <c r="K673" s="2"/>
      <c r="L673" s="2"/>
      <c r="M673" s="2"/>
      <c r="N673" s="2"/>
      <c r="O673" s="2"/>
      <c r="P673" s="2"/>
      <c r="Q673" s="2"/>
      <c r="R673" s="2"/>
      <c r="S673" s="2"/>
      <c r="T673" s="2"/>
    </row>
    <row r="674" spans="1:20" ht="15.75" customHeight="1">
      <c r="A674" s="1"/>
      <c r="B674" s="2"/>
      <c r="C674" s="2"/>
      <c r="D674" s="2"/>
      <c r="E674" s="2"/>
      <c r="F674" s="2"/>
      <c r="G674" s="2"/>
      <c r="H674" s="2"/>
      <c r="I674" s="2"/>
      <c r="J674" s="2"/>
      <c r="K674" s="2"/>
      <c r="L674" s="2"/>
      <c r="M674" s="2"/>
      <c r="N674" s="2"/>
      <c r="O674" s="2"/>
      <c r="P674" s="2"/>
      <c r="Q674" s="2"/>
      <c r="R674" s="2"/>
      <c r="S674" s="2"/>
      <c r="T674" s="2"/>
    </row>
    <row r="675" spans="1:20" ht="15.75" customHeight="1">
      <c r="A675" s="1"/>
      <c r="B675" s="2"/>
      <c r="C675" s="2"/>
      <c r="D675" s="2"/>
      <c r="E675" s="2"/>
      <c r="F675" s="2"/>
      <c r="G675" s="2"/>
      <c r="H675" s="2"/>
      <c r="I675" s="2"/>
      <c r="J675" s="2"/>
      <c r="K675" s="2"/>
      <c r="L675" s="2"/>
      <c r="M675" s="2"/>
      <c r="N675" s="2"/>
      <c r="O675" s="2"/>
      <c r="P675" s="2"/>
      <c r="Q675" s="2"/>
      <c r="R675" s="2"/>
      <c r="S675" s="2"/>
      <c r="T675" s="2"/>
    </row>
    <row r="676" spans="1:20" ht="15.75" customHeight="1">
      <c r="A676" s="1"/>
      <c r="B676" s="2"/>
      <c r="C676" s="2"/>
      <c r="D676" s="2"/>
      <c r="E676" s="2"/>
      <c r="F676" s="2"/>
      <c r="G676" s="2"/>
      <c r="H676" s="2"/>
      <c r="I676" s="2"/>
      <c r="J676" s="2"/>
      <c r="K676" s="2"/>
      <c r="L676" s="2"/>
      <c r="M676" s="2"/>
      <c r="N676" s="2"/>
      <c r="O676" s="2"/>
      <c r="P676" s="2"/>
      <c r="Q676" s="2"/>
      <c r="R676" s="2"/>
      <c r="S676" s="2"/>
      <c r="T676" s="2"/>
    </row>
    <row r="677" spans="1:20" ht="15.75" customHeight="1">
      <c r="A677" s="1"/>
      <c r="B677" s="2"/>
      <c r="C677" s="2"/>
      <c r="D677" s="2"/>
      <c r="E677" s="2"/>
      <c r="F677" s="2"/>
      <c r="G677" s="2"/>
      <c r="H677" s="2"/>
      <c r="I677" s="2"/>
      <c r="J677" s="2"/>
      <c r="K677" s="2"/>
      <c r="L677" s="2"/>
      <c r="M677" s="2"/>
      <c r="N677" s="2"/>
      <c r="O677" s="2"/>
      <c r="P677" s="2"/>
      <c r="Q677" s="2"/>
      <c r="R677" s="2"/>
      <c r="S677" s="2"/>
      <c r="T677" s="2"/>
    </row>
    <row r="678" spans="1:20" ht="15.75" customHeight="1">
      <c r="A678" s="1"/>
      <c r="B678" s="2"/>
      <c r="C678" s="2"/>
      <c r="D678" s="2"/>
      <c r="E678" s="2"/>
      <c r="F678" s="2"/>
      <c r="G678" s="2"/>
      <c r="H678" s="2"/>
      <c r="I678" s="2"/>
      <c r="J678" s="2"/>
      <c r="K678" s="2"/>
      <c r="L678" s="2"/>
      <c r="M678" s="2"/>
      <c r="N678" s="2"/>
      <c r="O678" s="2"/>
      <c r="P678" s="2"/>
      <c r="Q678" s="2"/>
      <c r="R678" s="2"/>
      <c r="S678" s="2"/>
      <c r="T678" s="2"/>
    </row>
    <row r="679" spans="1:20" ht="15.75" customHeight="1">
      <c r="A679" s="1"/>
      <c r="B679" s="2"/>
      <c r="C679" s="2"/>
      <c r="D679" s="2"/>
      <c r="E679" s="2"/>
      <c r="F679" s="2"/>
      <c r="G679" s="2"/>
      <c r="H679" s="2"/>
      <c r="I679" s="2"/>
      <c r="J679" s="2"/>
      <c r="K679" s="2"/>
      <c r="L679" s="2"/>
      <c r="M679" s="2"/>
      <c r="N679" s="2"/>
      <c r="O679" s="2"/>
      <c r="P679" s="2"/>
      <c r="Q679" s="2"/>
      <c r="R679" s="2"/>
      <c r="S679" s="2"/>
      <c r="T679" s="2"/>
    </row>
    <row r="680" spans="1:20" ht="15.75" customHeight="1">
      <c r="A680" s="1"/>
      <c r="B680" s="2"/>
      <c r="C680" s="2"/>
      <c r="D680" s="2"/>
      <c r="E680" s="2"/>
      <c r="F680" s="2"/>
      <c r="G680" s="2"/>
      <c r="H680" s="2"/>
      <c r="I680" s="2"/>
      <c r="J680" s="2"/>
      <c r="K680" s="2"/>
      <c r="L680" s="2"/>
      <c r="M680" s="2"/>
      <c r="N680" s="2"/>
      <c r="O680" s="2"/>
      <c r="P680" s="2"/>
      <c r="Q680" s="2"/>
      <c r="R680" s="2"/>
      <c r="S680" s="2"/>
      <c r="T680" s="2"/>
    </row>
    <row r="681" spans="1:20" ht="15.75" customHeight="1">
      <c r="A681" s="1"/>
      <c r="B681" s="2"/>
      <c r="C681" s="2"/>
      <c r="D681" s="2"/>
      <c r="E681" s="2"/>
      <c r="F681" s="2"/>
      <c r="G681" s="2"/>
      <c r="H681" s="2"/>
      <c r="I681" s="2"/>
      <c r="J681" s="2"/>
      <c r="K681" s="2"/>
      <c r="L681" s="2"/>
      <c r="M681" s="2"/>
      <c r="N681" s="2"/>
      <c r="O681" s="2"/>
      <c r="P681" s="2"/>
      <c r="Q681" s="2"/>
      <c r="R681" s="2"/>
      <c r="S681" s="2"/>
      <c r="T681" s="2"/>
    </row>
    <row r="682" spans="1:20" ht="15.75" customHeight="1">
      <c r="A682" s="1"/>
      <c r="B682" s="2"/>
      <c r="C682" s="2"/>
      <c r="D682" s="2"/>
      <c r="E682" s="2"/>
      <c r="F682" s="2"/>
      <c r="G682" s="2"/>
      <c r="H682" s="2"/>
      <c r="I682" s="2"/>
      <c r="J682" s="2"/>
      <c r="K682" s="2"/>
      <c r="L682" s="2"/>
      <c r="M682" s="2"/>
      <c r="N682" s="2"/>
      <c r="O682" s="2"/>
      <c r="P682" s="2"/>
      <c r="Q682" s="2"/>
      <c r="R682" s="2"/>
      <c r="S682" s="2"/>
      <c r="T682" s="2"/>
    </row>
    <row r="683" spans="1:20" ht="15.75" customHeight="1">
      <c r="A683" s="1"/>
      <c r="B683" s="2"/>
      <c r="C683" s="2"/>
      <c r="D683" s="2"/>
      <c r="E683" s="2"/>
      <c r="F683" s="2"/>
      <c r="G683" s="2"/>
      <c r="H683" s="2"/>
      <c r="I683" s="2"/>
      <c r="J683" s="2"/>
      <c r="K683" s="2"/>
      <c r="L683" s="2"/>
      <c r="M683" s="2"/>
      <c r="N683" s="2"/>
      <c r="O683" s="2"/>
      <c r="P683" s="2"/>
      <c r="Q683" s="2"/>
      <c r="R683" s="2"/>
      <c r="S683" s="2"/>
      <c r="T683" s="2"/>
    </row>
    <row r="684" spans="1:20" ht="15.75" customHeight="1">
      <c r="A684" s="1"/>
      <c r="B684" s="2"/>
      <c r="C684" s="2"/>
      <c r="D684" s="2"/>
      <c r="E684" s="2"/>
      <c r="F684" s="2"/>
      <c r="G684" s="2"/>
      <c r="H684" s="2"/>
      <c r="I684" s="2"/>
      <c r="J684" s="2"/>
      <c r="K684" s="2"/>
      <c r="L684" s="2"/>
      <c r="M684" s="2"/>
      <c r="N684" s="2"/>
      <c r="O684" s="2"/>
      <c r="P684" s="2"/>
      <c r="Q684" s="2"/>
      <c r="R684" s="2"/>
      <c r="S684" s="2"/>
      <c r="T684" s="2"/>
    </row>
    <row r="685" spans="1:20" ht="15.75" customHeight="1">
      <c r="A685" s="1"/>
      <c r="B685" s="2"/>
      <c r="C685" s="2"/>
      <c r="D685" s="2"/>
      <c r="E685" s="2"/>
      <c r="F685" s="2"/>
      <c r="G685" s="2"/>
      <c r="H685" s="2"/>
      <c r="I685" s="2"/>
      <c r="J685" s="2"/>
      <c r="K685" s="2"/>
      <c r="L685" s="2"/>
      <c r="M685" s="2"/>
      <c r="N685" s="2"/>
      <c r="O685" s="2"/>
      <c r="P685" s="2"/>
      <c r="Q685" s="2"/>
      <c r="R685" s="2"/>
      <c r="S685" s="2"/>
      <c r="T685" s="2"/>
    </row>
    <row r="686" spans="1:20" ht="15.75" customHeight="1">
      <c r="A686" s="1"/>
      <c r="B686" s="2"/>
      <c r="C686" s="2"/>
      <c r="D686" s="2"/>
      <c r="E686" s="2"/>
      <c r="F686" s="2"/>
      <c r="G686" s="2"/>
      <c r="H686" s="2"/>
      <c r="I686" s="2"/>
      <c r="J686" s="2"/>
      <c r="K686" s="2"/>
      <c r="L686" s="2"/>
      <c r="M686" s="2"/>
      <c r="N686" s="2"/>
      <c r="O686" s="2"/>
      <c r="P686" s="2"/>
      <c r="Q686" s="2"/>
      <c r="R686" s="2"/>
      <c r="S686" s="2"/>
      <c r="T686" s="2"/>
    </row>
    <row r="687" spans="1:20" ht="15.75" customHeight="1">
      <c r="A687" s="1"/>
      <c r="B687" s="2"/>
      <c r="C687" s="2"/>
      <c r="D687" s="2"/>
      <c r="E687" s="2"/>
      <c r="F687" s="2"/>
      <c r="G687" s="2"/>
      <c r="H687" s="2"/>
      <c r="I687" s="2"/>
      <c r="J687" s="2"/>
      <c r="K687" s="2"/>
      <c r="L687" s="2"/>
      <c r="M687" s="2"/>
      <c r="N687" s="2"/>
      <c r="O687" s="2"/>
      <c r="P687" s="2"/>
      <c r="Q687" s="2"/>
      <c r="R687" s="2"/>
      <c r="S687" s="2"/>
      <c r="T687" s="2"/>
    </row>
    <row r="688" spans="1:20" ht="15.75" customHeight="1">
      <c r="A688" s="1"/>
      <c r="B688" s="2"/>
      <c r="C688" s="2"/>
      <c r="D688" s="2"/>
      <c r="E688" s="2"/>
      <c r="F688" s="2"/>
      <c r="G688" s="2"/>
      <c r="H688" s="2"/>
      <c r="I688" s="2"/>
      <c r="J688" s="2"/>
      <c r="K688" s="2"/>
      <c r="L688" s="2"/>
      <c r="M688" s="2"/>
      <c r="N688" s="2"/>
      <c r="O688" s="2"/>
      <c r="P688" s="2"/>
      <c r="Q688" s="2"/>
      <c r="R688" s="2"/>
      <c r="S688" s="2"/>
      <c r="T688" s="2"/>
    </row>
    <row r="689" spans="1:20" ht="15.75" customHeight="1">
      <c r="A689" s="1"/>
      <c r="B689" s="2"/>
      <c r="C689" s="2"/>
      <c r="D689" s="2"/>
      <c r="E689" s="2"/>
      <c r="F689" s="2"/>
      <c r="G689" s="2"/>
      <c r="H689" s="2"/>
      <c r="I689" s="2"/>
      <c r="J689" s="2"/>
      <c r="K689" s="2"/>
      <c r="L689" s="2"/>
      <c r="M689" s="2"/>
      <c r="N689" s="2"/>
      <c r="O689" s="2"/>
      <c r="P689" s="2"/>
      <c r="Q689" s="2"/>
      <c r="R689" s="2"/>
      <c r="S689" s="2"/>
      <c r="T689" s="2"/>
    </row>
    <row r="690" spans="1:20" ht="15.75" customHeight="1">
      <c r="A690" s="1"/>
      <c r="B690" s="2"/>
      <c r="C690" s="2"/>
      <c r="D690" s="2"/>
      <c r="E690" s="2"/>
      <c r="F690" s="2"/>
      <c r="G690" s="2"/>
      <c r="H690" s="2"/>
      <c r="I690" s="2"/>
      <c r="J690" s="2"/>
      <c r="K690" s="2"/>
      <c r="L690" s="2"/>
      <c r="M690" s="2"/>
      <c r="N690" s="2"/>
      <c r="O690" s="2"/>
      <c r="P690" s="2"/>
      <c r="Q690" s="2"/>
      <c r="R690" s="2"/>
      <c r="S690" s="2"/>
      <c r="T690" s="2"/>
    </row>
    <row r="691" spans="1:20" ht="15.75" customHeight="1">
      <c r="A691" s="1"/>
      <c r="B691" s="2"/>
      <c r="C691" s="2"/>
      <c r="D691" s="2"/>
      <c r="E691" s="2"/>
      <c r="F691" s="2"/>
      <c r="G691" s="2"/>
      <c r="H691" s="2"/>
      <c r="I691" s="2"/>
      <c r="J691" s="2"/>
      <c r="K691" s="2"/>
      <c r="L691" s="2"/>
      <c r="M691" s="2"/>
      <c r="N691" s="2"/>
      <c r="O691" s="2"/>
      <c r="P691" s="2"/>
      <c r="Q691" s="2"/>
      <c r="R691" s="2"/>
      <c r="S691" s="2"/>
      <c r="T691" s="2"/>
    </row>
    <row r="692" spans="1:20" ht="15.75" customHeight="1">
      <c r="A692" s="1"/>
      <c r="B692" s="2"/>
      <c r="C692" s="2"/>
      <c r="D692" s="2"/>
      <c r="E692" s="2"/>
      <c r="F692" s="2"/>
      <c r="G692" s="2"/>
      <c r="H692" s="2"/>
      <c r="I692" s="2"/>
      <c r="J692" s="2"/>
      <c r="K692" s="2"/>
      <c r="L692" s="2"/>
      <c r="M692" s="2"/>
      <c r="N692" s="2"/>
      <c r="O692" s="2"/>
      <c r="P692" s="2"/>
      <c r="Q692" s="2"/>
      <c r="R692" s="2"/>
      <c r="S692" s="2"/>
      <c r="T692" s="2"/>
    </row>
    <row r="693" spans="1:20" ht="15.75" customHeight="1">
      <c r="A693" s="1"/>
      <c r="B693" s="2"/>
      <c r="C693" s="2"/>
      <c r="D693" s="2"/>
      <c r="E693" s="2"/>
      <c r="F693" s="2"/>
      <c r="G693" s="2"/>
      <c r="H693" s="2"/>
      <c r="I693" s="2"/>
      <c r="J693" s="2"/>
      <c r="K693" s="2"/>
      <c r="L693" s="2"/>
      <c r="M693" s="2"/>
      <c r="N693" s="2"/>
      <c r="O693" s="2"/>
      <c r="P693" s="2"/>
      <c r="Q693" s="2"/>
      <c r="R693" s="2"/>
      <c r="S693" s="2"/>
      <c r="T693" s="2"/>
    </row>
    <row r="694" spans="1:20" ht="15.75" customHeight="1">
      <c r="A694" s="1"/>
      <c r="B694" s="2"/>
      <c r="C694" s="2"/>
      <c r="D694" s="2"/>
      <c r="E694" s="2"/>
      <c r="F694" s="2"/>
      <c r="G694" s="2"/>
      <c r="H694" s="2"/>
      <c r="I694" s="2"/>
      <c r="J694" s="2"/>
      <c r="K694" s="2"/>
      <c r="L694" s="2"/>
      <c r="M694" s="2"/>
      <c r="N694" s="2"/>
      <c r="O694" s="2"/>
      <c r="P694" s="2"/>
      <c r="Q694" s="2"/>
      <c r="R694" s="2"/>
      <c r="S694" s="2"/>
      <c r="T694" s="2"/>
    </row>
    <row r="695" spans="1:20" ht="15.75" customHeight="1">
      <c r="A695" s="1"/>
      <c r="B695" s="2"/>
      <c r="C695" s="2"/>
      <c r="D695" s="2"/>
      <c r="E695" s="2"/>
      <c r="F695" s="2"/>
      <c r="G695" s="2"/>
      <c r="H695" s="2"/>
      <c r="I695" s="2"/>
      <c r="J695" s="2"/>
      <c r="K695" s="2"/>
      <c r="L695" s="2"/>
      <c r="M695" s="2"/>
      <c r="N695" s="2"/>
      <c r="O695" s="2"/>
      <c r="P695" s="2"/>
      <c r="Q695" s="2"/>
      <c r="R695" s="2"/>
      <c r="S695" s="2"/>
      <c r="T695" s="2"/>
    </row>
    <row r="696" spans="1:20" ht="15.75" customHeight="1">
      <c r="A696" s="1"/>
      <c r="B696" s="2"/>
      <c r="C696" s="2"/>
      <c r="D696" s="2"/>
      <c r="E696" s="2"/>
      <c r="F696" s="2"/>
      <c r="G696" s="2"/>
      <c r="H696" s="2"/>
      <c r="I696" s="2"/>
      <c r="J696" s="2"/>
      <c r="K696" s="2"/>
      <c r="L696" s="2"/>
      <c r="M696" s="2"/>
      <c r="N696" s="2"/>
      <c r="O696" s="2"/>
      <c r="P696" s="2"/>
      <c r="Q696" s="2"/>
      <c r="R696" s="2"/>
      <c r="S696" s="2"/>
      <c r="T696" s="2"/>
    </row>
    <row r="697" spans="1:20" ht="15.75" customHeight="1">
      <c r="A697" s="1"/>
      <c r="B697" s="2"/>
      <c r="C697" s="2"/>
      <c r="D697" s="2"/>
      <c r="E697" s="2"/>
      <c r="F697" s="2"/>
      <c r="G697" s="2"/>
      <c r="H697" s="2"/>
      <c r="I697" s="2"/>
      <c r="J697" s="2"/>
      <c r="K697" s="2"/>
      <c r="L697" s="2"/>
      <c r="M697" s="2"/>
      <c r="N697" s="2"/>
      <c r="O697" s="2"/>
      <c r="P697" s="2"/>
      <c r="Q697" s="2"/>
      <c r="R697" s="2"/>
      <c r="S697" s="2"/>
      <c r="T697" s="2"/>
    </row>
    <row r="698" spans="1:20" ht="15.75" customHeight="1">
      <c r="A698" s="1"/>
      <c r="B698" s="2"/>
      <c r="C698" s="2"/>
      <c r="D698" s="2"/>
      <c r="E698" s="2"/>
      <c r="F698" s="2"/>
      <c r="G698" s="2"/>
      <c r="H698" s="2"/>
      <c r="I698" s="2"/>
      <c r="J698" s="2"/>
      <c r="K698" s="2"/>
      <c r="L698" s="2"/>
      <c r="M698" s="2"/>
      <c r="N698" s="2"/>
      <c r="O698" s="2"/>
      <c r="P698" s="2"/>
      <c r="Q698" s="2"/>
      <c r="R698" s="2"/>
      <c r="S698" s="2"/>
      <c r="T698" s="2"/>
    </row>
    <row r="699" spans="1:20" ht="15.75" customHeight="1">
      <c r="A699" s="1"/>
      <c r="B699" s="2"/>
      <c r="C699" s="2"/>
      <c r="D699" s="2"/>
      <c r="E699" s="2"/>
      <c r="F699" s="2"/>
      <c r="G699" s="2"/>
      <c r="H699" s="2"/>
      <c r="I699" s="2"/>
      <c r="J699" s="2"/>
      <c r="K699" s="2"/>
      <c r="L699" s="2"/>
      <c r="M699" s="2"/>
      <c r="N699" s="2"/>
      <c r="O699" s="2"/>
      <c r="P699" s="2"/>
      <c r="Q699" s="2"/>
      <c r="R699" s="2"/>
      <c r="S699" s="2"/>
      <c r="T699" s="2"/>
    </row>
    <row r="700" spans="1:20" ht="15.75" customHeight="1">
      <c r="A700" s="1"/>
      <c r="B700" s="2"/>
      <c r="C700" s="2"/>
      <c r="D700" s="2"/>
      <c r="E700" s="2"/>
      <c r="F700" s="2"/>
      <c r="G700" s="2"/>
      <c r="H700" s="2"/>
      <c r="I700" s="2"/>
      <c r="J700" s="2"/>
      <c r="K700" s="2"/>
      <c r="L700" s="2"/>
      <c r="M700" s="2"/>
      <c r="N700" s="2"/>
      <c r="O700" s="2"/>
      <c r="P700" s="2"/>
      <c r="Q700" s="2"/>
      <c r="R700" s="2"/>
      <c r="S700" s="2"/>
      <c r="T700" s="2"/>
    </row>
    <row r="701" spans="1:20" ht="15.75" customHeight="1">
      <c r="A701" s="1"/>
      <c r="B701" s="2"/>
      <c r="C701" s="2"/>
      <c r="D701" s="2"/>
      <c r="E701" s="2"/>
      <c r="F701" s="2"/>
      <c r="G701" s="2"/>
      <c r="H701" s="2"/>
      <c r="I701" s="2"/>
      <c r="J701" s="2"/>
      <c r="K701" s="2"/>
      <c r="L701" s="2"/>
      <c r="M701" s="2"/>
      <c r="N701" s="2"/>
      <c r="O701" s="2"/>
      <c r="P701" s="2"/>
      <c r="Q701" s="2"/>
      <c r="R701" s="2"/>
      <c r="S701" s="2"/>
      <c r="T701" s="2"/>
    </row>
    <row r="702" spans="1:20" ht="15.75" customHeight="1">
      <c r="A702" s="1"/>
      <c r="B702" s="2"/>
      <c r="C702" s="2"/>
      <c r="D702" s="2"/>
      <c r="E702" s="2"/>
      <c r="F702" s="2"/>
      <c r="G702" s="2"/>
      <c r="H702" s="2"/>
      <c r="I702" s="2"/>
      <c r="J702" s="2"/>
      <c r="K702" s="2"/>
      <c r="L702" s="2"/>
      <c r="M702" s="2"/>
      <c r="N702" s="2"/>
      <c r="O702" s="2"/>
      <c r="P702" s="2"/>
      <c r="Q702" s="2"/>
      <c r="R702" s="2"/>
      <c r="S702" s="2"/>
      <c r="T702" s="2"/>
    </row>
    <row r="703" spans="1:20" ht="15.75" customHeight="1">
      <c r="A703" s="1"/>
      <c r="B703" s="2"/>
      <c r="C703" s="2"/>
      <c r="D703" s="2"/>
      <c r="E703" s="2"/>
      <c r="F703" s="2"/>
      <c r="G703" s="2"/>
      <c r="H703" s="2"/>
      <c r="I703" s="2"/>
      <c r="J703" s="2"/>
      <c r="K703" s="2"/>
      <c r="L703" s="2"/>
      <c r="M703" s="2"/>
      <c r="N703" s="2"/>
      <c r="O703" s="2"/>
      <c r="P703" s="2"/>
      <c r="Q703" s="2"/>
      <c r="R703" s="2"/>
      <c r="S703" s="2"/>
      <c r="T703" s="2"/>
    </row>
    <row r="704" spans="1:20" ht="15.75" customHeight="1">
      <c r="A704" s="1"/>
      <c r="B704" s="2"/>
      <c r="C704" s="2"/>
      <c r="D704" s="2"/>
      <c r="E704" s="2"/>
      <c r="F704" s="2"/>
      <c r="G704" s="2"/>
      <c r="H704" s="2"/>
      <c r="I704" s="2"/>
      <c r="J704" s="2"/>
      <c r="K704" s="2"/>
      <c r="L704" s="2"/>
      <c r="M704" s="2"/>
      <c r="N704" s="2"/>
      <c r="O704" s="2"/>
      <c r="P704" s="2"/>
      <c r="Q704" s="2"/>
      <c r="R704" s="2"/>
      <c r="S704" s="2"/>
      <c r="T704" s="2"/>
    </row>
    <row r="705" spans="1:20" ht="15.75" customHeight="1">
      <c r="A705" s="1"/>
      <c r="B705" s="2"/>
      <c r="C705" s="2"/>
      <c r="D705" s="2"/>
      <c r="E705" s="2"/>
      <c r="F705" s="2"/>
      <c r="G705" s="2"/>
      <c r="H705" s="2"/>
      <c r="I705" s="2"/>
      <c r="J705" s="2"/>
      <c r="K705" s="2"/>
      <c r="L705" s="2"/>
      <c r="M705" s="2"/>
      <c r="N705" s="2"/>
      <c r="O705" s="2"/>
      <c r="P705" s="2"/>
      <c r="Q705" s="2"/>
      <c r="R705" s="2"/>
      <c r="S705" s="2"/>
      <c r="T705" s="2"/>
    </row>
    <row r="706" spans="1:20" ht="15.75" customHeight="1">
      <c r="A706" s="1"/>
      <c r="B706" s="2"/>
      <c r="C706" s="2"/>
      <c r="D706" s="2"/>
      <c r="E706" s="2"/>
      <c r="F706" s="2"/>
      <c r="G706" s="2"/>
      <c r="H706" s="2"/>
      <c r="I706" s="2"/>
      <c r="J706" s="2"/>
      <c r="K706" s="2"/>
      <c r="L706" s="2"/>
      <c r="M706" s="2"/>
      <c r="N706" s="2"/>
      <c r="O706" s="2"/>
      <c r="P706" s="2"/>
      <c r="Q706" s="2"/>
      <c r="R706" s="2"/>
      <c r="S706" s="2"/>
      <c r="T706" s="2"/>
    </row>
    <row r="707" spans="1:20" ht="15.75" customHeight="1">
      <c r="A707" s="1"/>
      <c r="B707" s="2"/>
      <c r="C707" s="2"/>
      <c r="D707" s="2"/>
      <c r="E707" s="2"/>
      <c r="F707" s="2"/>
      <c r="G707" s="2"/>
      <c r="H707" s="2"/>
      <c r="I707" s="2"/>
      <c r="J707" s="2"/>
      <c r="K707" s="2"/>
      <c r="L707" s="2"/>
      <c r="M707" s="2"/>
      <c r="N707" s="2"/>
      <c r="O707" s="2"/>
      <c r="P707" s="2"/>
      <c r="Q707" s="2"/>
      <c r="R707" s="2"/>
      <c r="S707" s="2"/>
      <c r="T707" s="2"/>
    </row>
    <row r="708" spans="1:20" ht="15.75" customHeight="1">
      <c r="A708" s="1"/>
      <c r="B708" s="2"/>
      <c r="C708" s="2"/>
      <c r="D708" s="2"/>
      <c r="E708" s="2"/>
      <c r="F708" s="2"/>
      <c r="G708" s="2"/>
      <c r="H708" s="2"/>
      <c r="I708" s="2"/>
      <c r="J708" s="2"/>
      <c r="K708" s="2"/>
      <c r="L708" s="2"/>
      <c r="M708" s="2"/>
      <c r="N708" s="2"/>
      <c r="O708" s="2"/>
      <c r="P708" s="2"/>
      <c r="Q708" s="2"/>
      <c r="R708" s="2"/>
      <c r="S708" s="2"/>
      <c r="T708" s="2"/>
    </row>
    <row r="709" spans="1:20" ht="15.75" customHeight="1">
      <c r="A709" s="1"/>
      <c r="B709" s="2"/>
      <c r="C709" s="2"/>
      <c r="D709" s="2"/>
      <c r="E709" s="2"/>
      <c r="F709" s="2"/>
      <c r="G709" s="2"/>
      <c r="H709" s="2"/>
      <c r="I709" s="2"/>
      <c r="J709" s="2"/>
      <c r="K709" s="2"/>
      <c r="L709" s="2"/>
      <c r="M709" s="2"/>
      <c r="N709" s="2"/>
      <c r="O709" s="2"/>
      <c r="P709" s="2"/>
      <c r="Q709" s="2"/>
      <c r="R709" s="2"/>
      <c r="S709" s="2"/>
      <c r="T709" s="2"/>
    </row>
    <row r="710" spans="1:20" ht="15.75" customHeight="1">
      <c r="A710" s="1"/>
      <c r="B710" s="2"/>
      <c r="C710" s="2"/>
      <c r="D710" s="2"/>
      <c r="E710" s="2"/>
      <c r="F710" s="2"/>
      <c r="G710" s="2"/>
      <c r="H710" s="2"/>
      <c r="I710" s="2"/>
      <c r="J710" s="2"/>
      <c r="K710" s="2"/>
      <c r="L710" s="2"/>
      <c r="M710" s="2"/>
      <c r="N710" s="2"/>
      <c r="O710" s="2"/>
      <c r="P710" s="2"/>
      <c r="Q710" s="2"/>
      <c r="R710" s="2"/>
      <c r="S710" s="2"/>
      <c r="T710" s="2"/>
    </row>
    <row r="711" spans="1:20" ht="15.75" customHeight="1">
      <c r="A711" s="1"/>
      <c r="B711" s="2"/>
      <c r="C711" s="2"/>
      <c r="D711" s="2"/>
      <c r="E711" s="2"/>
      <c r="F711" s="2"/>
      <c r="G711" s="2"/>
      <c r="H711" s="2"/>
      <c r="I711" s="2"/>
      <c r="J711" s="2"/>
      <c r="K711" s="2"/>
      <c r="L711" s="2"/>
      <c r="M711" s="2"/>
      <c r="N711" s="2"/>
      <c r="O711" s="2"/>
      <c r="P711" s="2"/>
      <c r="Q711" s="2"/>
      <c r="R711" s="2"/>
      <c r="S711" s="2"/>
      <c r="T711" s="2"/>
    </row>
    <row r="712" spans="1:20" ht="15.75" customHeight="1">
      <c r="A712" s="1"/>
      <c r="B712" s="2"/>
      <c r="C712" s="2"/>
      <c r="D712" s="2"/>
      <c r="E712" s="2"/>
      <c r="F712" s="2"/>
      <c r="G712" s="2"/>
      <c r="H712" s="2"/>
      <c r="I712" s="2"/>
      <c r="J712" s="2"/>
      <c r="K712" s="2"/>
      <c r="L712" s="2"/>
      <c r="M712" s="2"/>
      <c r="N712" s="2"/>
      <c r="O712" s="2"/>
      <c r="P712" s="2"/>
      <c r="Q712" s="2"/>
      <c r="R712" s="2"/>
      <c r="S712" s="2"/>
      <c r="T712" s="2"/>
    </row>
    <row r="713" spans="1:20" ht="15.75" customHeight="1">
      <c r="A713" s="1"/>
      <c r="B713" s="2"/>
      <c r="C713" s="2"/>
      <c r="D713" s="2"/>
      <c r="E713" s="2"/>
      <c r="F713" s="2"/>
      <c r="G713" s="2"/>
      <c r="H713" s="2"/>
      <c r="I713" s="2"/>
      <c r="J713" s="2"/>
      <c r="K713" s="2"/>
      <c r="L713" s="2"/>
      <c r="M713" s="2"/>
      <c r="N713" s="2"/>
      <c r="O713" s="2"/>
      <c r="P713" s="2"/>
      <c r="Q713" s="2"/>
      <c r="R713" s="2"/>
      <c r="S713" s="2"/>
      <c r="T713" s="2"/>
    </row>
    <row r="714" spans="1:20" ht="15.75" customHeight="1">
      <c r="A714" s="1"/>
      <c r="B714" s="2"/>
      <c r="C714" s="2"/>
      <c r="D714" s="2"/>
      <c r="E714" s="2"/>
      <c r="F714" s="2"/>
      <c r="G714" s="2"/>
      <c r="H714" s="2"/>
      <c r="I714" s="2"/>
      <c r="J714" s="2"/>
      <c r="K714" s="2"/>
      <c r="L714" s="2"/>
      <c r="M714" s="2"/>
      <c r="N714" s="2"/>
      <c r="O714" s="2"/>
      <c r="P714" s="2"/>
      <c r="Q714" s="2"/>
      <c r="R714" s="2"/>
      <c r="S714" s="2"/>
      <c r="T714" s="2"/>
    </row>
    <row r="715" spans="1:20" ht="15.75" customHeight="1">
      <c r="A715" s="1"/>
      <c r="B715" s="2"/>
      <c r="C715" s="2"/>
      <c r="D715" s="2"/>
      <c r="E715" s="2"/>
      <c r="F715" s="2"/>
      <c r="G715" s="2"/>
      <c r="H715" s="2"/>
      <c r="I715" s="2"/>
      <c r="J715" s="2"/>
      <c r="K715" s="2"/>
      <c r="L715" s="2"/>
      <c r="M715" s="2"/>
      <c r="N715" s="2"/>
      <c r="O715" s="2"/>
      <c r="P715" s="2"/>
      <c r="Q715" s="2"/>
      <c r="R715" s="2"/>
      <c r="S715" s="2"/>
      <c r="T715" s="2"/>
    </row>
    <row r="716" spans="1:20" ht="15.75" customHeight="1">
      <c r="A716" s="1"/>
      <c r="B716" s="2"/>
      <c r="C716" s="2"/>
      <c r="D716" s="2"/>
      <c r="E716" s="2"/>
      <c r="F716" s="2"/>
      <c r="G716" s="2"/>
      <c r="H716" s="2"/>
      <c r="I716" s="2"/>
      <c r="J716" s="2"/>
      <c r="K716" s="2"/>
      <c r="L716" s="2"/>
      <c r="M716" s="2"/>
      <c r="N716" s="2"/>
      <c r="O716" s="2"/>
      <c r="P716" s="2"/>
      <c r="Q716" s="2"/>
      <c r="R716" s="2"/>
      <c r="S716" s="2"/>
      <c r="T716" s="2"/>
    </row>
    <row r="717" spans="1:20" ht="15.75" customHeight="1">
      <c r="A717" s="1"/>
      <c r="B717" s="2"/>
      <c r="C717" s="2"/>
      <c r="D717" s="2"/>
      <c r="E717" s="2"/>
      <c r="F717" s="2"/>
      <c r="G717" s="2"/>
      <c r="H717" s="2"/>
      <c r="I717" s="2"/>
      <c r="J717" s="2"/>
      <c r="K717" s="2"/>
      <c r="L717" s="2"/>
      <c r="M717" s="2"/>
      <c r="N717" s="2"/>
      <c r="O717" s="2"/>
      <c r="P717" s="2"/>
      <c r="Q717" s="2"/>
      <c r="R717" s="2"/>
      <c r="S717" s="2"/>
      <c r="T717" s="2"/>
    </row>
    <row r="718" spans="1:20" ht="15.75" customHeight="1">
      <c r="A718" s="1"/>
      <c r="B718" s="2"/>
      <c r="C718" s="2"/>
      <c r="D718" s="2"/>
      <c r="E718" s="2"/>
      <c r="F718" s="2"/>
      <c r="G718" s="2"/>
      <c r="H718" s="2"/>
      <c r="I718" s="2"/>
      <c r="J718" s="2"/>
      <c r="K718" s="2"/>
      <c r="L718" s="2"/>
      <c r="M718" s="2"/>
      <c r="N718" s="2"/>
      <c r="O718" s="2"/>
      <c r="P718" s="2"/>
      <c r="Q718" s="2"/>
      <c r="R718" s="2"/>
      <c r="S718" s="2"/>
      <c r="T718" s="2"/>
    </row>
    <row r="719" spans="1:20" ht="15.75" customHeight="1">
      <c r="A719" s="1"/>
      <c r="B719" s="2"/>
      <c r="C719" s="2"/>
      <c r="D719" s="2"/>
      <c r="E719" s="2"/>
      <c r="F719" s="2"/>
      <c r="G719" s="2"/>
      <c r="H719" s="2"/>
      <c r="I719" s="2"/>
      <c r="J719" s="2"/>
      <c r="K719" s="2"/>
      <c r="L719" s="2"/>
      <c r="M719" s="2"/>
      <c r="N719" s="2"/>
      <c r="O719" s="2"/>
      <c r="P719" s="2"/>
      <c r="Q719" s="2"/>
      <c r="R719" s="2"/>
      <c r="S719" s="2"/>
      <c r="T719" s="2"/>
    </row>
    <row r="720" spans="1:20" ht="15.75" customHeight="1">
      <c r="A720" s="1"/>
      <c r="B720" s="2"/>
      <c r="C720" s="2"/>
      <c r="D720" s="2"/>
      <c r="E720" s="2"/>
      <c r="F720" s="2"/>
      <c r="G720" s="2"/>
      <c r="H720" s="2"/>
      <c r="I720" s="2"/>
      <c r="J720" s="2"/>
      <c r="K720" s="2"/>
      <c r="L720" s="2"/>
      <c r="M720" s="2"/>
      <c r="N720" s="2"/>
      <c r="O720" s="2"/>
      <c r="P720" s="2"/>
      <c r="Q720" s="2"/>
      <c r="R720" s="2"/>
      <c r="S720" s="2"/>
      <c r="T720" s="2"/>
    </row>
    <row r="721" spans="1:20" ht="15.75" customHeight="1">
      <c r="A721" s="1"/>
      <c r="B721" s="2"/>
      <c r="C721" s="2"/>
      <c r="D721" s="2"/>
      <c r="E721" s="2"/>
      <c r="F721" s="2"/>
      <c r="G721" s="2"/>
      <c r="H721" s="2"/>
      <c r="I721" s="2"/>
      <c r="J721" s="2"/>
      <c r="K721" s="2"/>
      <c r="L721" s="2"/>
      <c r="M721" s="2"/>
      <c r="N721" s="2"/>
      <c r="O721" s="2"/>
      <c r="P721" s="2"/>
      <c r="Q721" s="2"/>
      <c r="R721" s="2"/>
      <c r="S721" s="2"/>
      <c r="T721" s="2"/>
    </row>
    <row r="722" spans="1:20" ht="15.75" customHeight="1">
      <c r="A722" s="1"/>
      <c r="B722" s="2"/>
      <c r="C722" s="2"/>
      <c r="D722" s="2"/>
      <c r="E722" s="2"/>
      <c r="F722" s="2"/>
      <c r="G722" s="2"/>
      <c r="H722" s="2"/>
      <c r="I722" s="2"/>
      <c r="J722" s="2"/>
      <c r="K722" s="2"/>
      <c r="L722" s="2"/>
      <c r="M722" s="2"/>
      <c r="N722" s="2"/>
      <c r="O722" s="2"/>
      <c r="P722" s="2"/>
      <c r="Q722" s="2"/>
      <c r="R722" s="2"/>
      <c r="S722" s="2"/>
      <c r="T722" s="2"/>
    </row>
    <row r="723" spans="1:20" ht="15.75" customHeight="1">
      <c r="A723" s="1"/>
      <c r="B723" s="2"/>
      <c r="C723" s="2"/>
      <c r="D723" s="2"/>
      <c r="E723" s="2"/>
      <c r="F723" s="2"/>
      <c r="G723" s="2"/>
      <c r="H723" s="2"/>
      <c r="I723" s="2"/>
      <c r="J723" s="2"/>
      <c r="K723" s="2"/>
      <c r="L723" s="2"/>
      <c r="M723" s="2"/>
      <c r="N723" s="2"/>
      <c r="O723" s="2"/>
      <c r="P723" s="2"/>
      <c r="Q723" s="2"/>
      <c r="R723" s="2"/>
      <c r="S723" s="2"/>
      <c r="T723" s="2"/>
    </row>
    <row r="724" spans="1:20" ht="15.75" customHeight="1">
      <c r="A724" s="1"/>
      <c r="B724" s="2"/>
      <c r="C724" s="2"/>
      <c r="D724" s="2"/>
      <c r="E724" s="2"/>
      <c r="F724" s="2"/>
      <c r="G724" s="2"/>
      <c r="H724" s="2"/>
      <c r="I724" s="2"/>
      <c r="J724" s="2"/>
      <c r="K724" s="2"/>
      <c r="L724" s="2"/>
      <c r="M724" s="2"/>
      <c r="N724" s="2"/>
      <c r="O724" s="2"/>
      <c r="P724" s="2"/>
      <c r="Q724" s="2"/>
      <c r="R724" s="2"/>
      <c r="S724" s="2"/>
      <c r="T724" s="2"/>
    </row>
    <row r="725" spans="1:20" ht="15.75" customHeight="1">
      <c r="A725" s="1"/>
      <c r="B725" s="2"/>
      <c r="C725" s="2"/>
      <c r="D725" s="2"/>
      <c r="E725" s="2"/>
      <c r="F725" s="2"/>
      <c r="G725" s="2"/>
      <c r="H725" s="2"/>
      <c r="I725" s="2"/>
      <c r="J725" s="2"/>
      <c r="K725" s="2"/>
      <c r="L725" s="2"/>
      <c r="M725" s="2"/>
      <c r="N725" s="2"/>
      <c r="O725" s="2"/>
      <c r="P725" s="2"/>
      <c r="Q725" s="2"/>
      <c r="R725" s="2"/>
      <c r="S725" s="2"/>
      <c r="T725" s="2"/>
    </row>
    <row r="726" spans="1:20" ht="15.75" customHeight="1">
      <c r="A726" s="1"/>
      <c r="B726" s="2"/>
      <c r="C726" s="2"/>
      <c r="D726" s="2"/>
      <c r="E726" s="2"/>
      <c r="F726" s="2"/>
      <c r="G726" s="2"/>
      <c r="H726" s="2"/>
      <c r="I726" s="2"/>
      <c r="J726" s="2"/>
      <c r="K726" s="2"/>
      <c r="L726" s="2"/>
      <c r="M726" s="2"/>
      <c r="N726" s="2"/>
      <c r="O726" s="2"/>
      <c r="P726" s="2"/>
      <c r="Q726" s="2"/>
      <c r="R726" s="2"/>
      <c r="S726" s="2"/>
      <c r="T726" s="2"/>
    </row>
    <row r="727" spans="1:20" ht="15.75" customHeight="1">
      <c r="A727" s="1"/>
      <c r="B727" s="2"/>
      <c r="C727" s="2"/>
      <c r="D727" s="2"/>
      <c r="E727" s="2"/>
      <c r="F727" s="2"/>
      <c r="G727" s="2"/>
      <c r="H727" s="2"/>
      <c r="I727" s="2"/>
      <c r="J727" s="2"/>
      <c r="K727" s="2"/>
      <c r="L727" s="2"/>
      <c r="M727" s="2"/>
      <c r="N727" s="2"/>
      <c r="O727" s="2"/>
      <c r="P727" s="2"/>
      <c r="Q727" s="2"/>
      <c r="R727" s="2"/>
      <c r="S727" s="2"/>
      <c r="T727" s="2"/>
    </row>
    <row r="728" spans="1:20" ht="15.75" customHeight="1">
      <c r="A728" s="1"/>
      <c r="B728" s="2"/>
      <c r="C728" s="2"/>
      <c r="D728" s="2"/>
      <c r="E728" s="2"/>
      <c r="F728" s="2"/>
      <c r="G728" s="2"/>
      <c r="H728" s="2"/>
      <c r="I728" s="2"/>
      <c r="J728" s="2"/>
      <c r="K728" s="2"/>
      <c r="L728" s="2"/>
      <c r="M728" s="2"/>
      <c r="N728" s="2"/>
      <c r="O728" s="2"/>
      <c r="P728" s="2"/>
      <c r="Q728" s="2"/>
      <c r="R728" s="2"/>
      <c r="S728" s="2"/>
      <c r="T728" s="2"/>
    </row>
    <row r="729" spans="1:20" ht="15.75" customHeight="1">
      <c r="A729" s="1"/>
      <c r="B729" s="2"/>
      <c r="C729" s="2"/>
      <c r="D729" s="2"/>
      <c r="E729" s="2"/>
      <c r="F729" s="2"/>
      <c r="G729" s="2"/>
      <c r="H729" s="2"/>
      <c r="I729" s="2"/>
      <c r="J729" s="2"/>
      <c r="K729" s="2"/>
      <c r="L729" s="2"/>
      <c r="M729" s="2"/>
      <c r="N729" s="2"/>
      <c r="O729" s="2"/>
      <c r="P729" s="2"/>
      <c r="Q729" s="2"/>
      <c r="R729" s="2"/>
      <c r="S729" s="2"/>
      <c r="T729" s="2"/>
    </row>
    <row r="730" spans="1:20" ht="15.75" customHeight="1">
      <c r="A730" s="1"/>
      <c r="B730" s="2"/>
      <c r="C730" s="2"/>
      <c r="D730" s="2"/>
      <c r="E730" s="2"/>
      <c r="F730" s="2"/>
      <c r="G730" s="2"/>
      <c r="H730" s="2"/>
      <c r="I730" s="2"/>
      <c r="J730" s="2"/>
      <c r="K730" s="2"/>
      <c r="L730" s="2"/>
      <c r="M730" s="2"/>
      <c r="N730" s="2"/>
      <c r="O730" s="2"/>
      <c r="P730" s="2"/>
      <c r="Q730" s="2"/>
      <c r="R730" s="2"/>
      <c r="S730" s="2"/>
      <c r="T730" s="2"/>
    </row>
    <row r="731" spans="1:20" ht="15.75" customHeight="1">
      <c r="A731" s="1"/>
      <c r="B731" s="2"/>
      <c r="C731" s="2"/>
      <c r="D731" s="2"/>
      <c r="E731" s="2"/>
      <c r="F731" s="2"/>
      <c r="G731" s="2"/>
      <c r="H731" s="2"/>
      <c r="I731" s="2"/>
      <c r="J731" s="2"/>
      <c r="K731" s="2"/>
      <c r="L731" s="2"/>
      <c r="M731" s="2"/>
      <c r="N731" s="2"/>
      <c r="O731" s="2"/>
      <c r="P731" s="2"/>
      <c r="Q731" s="2"/>
      <c r="R731" s="2"/>
      <c r="S731" s="2"/>
      <c r="T731" s="2"/>
    </row>
    <row r="732" spans="1:20" ht="15.75" customHeight="1">
      <c r="A732" s="1"/>
      <c r="B732" s="2"/>
      <c r="C732" s="2"/>
      <c r="D732" s="2"/>
      <c r="E732" s="2"/>
      <c r="F732" s="2"/>
      <c r="G732" s="2"/>
      <c r="H732" s="2"/>
      <c r="I732" s="2"/>
      <c r="J732" s="2"/>
      <c r="K732" s="2"/>
      <c r="L732" s="2"/>
      <c r="M732" s="2"/>
      <c r="N732" s="2"/>
      <c r="O732" s="2"/>
      <c r="P732" s="2"/>
      <c r="Q732" s="2"/>
      <c r="R732" s="2"/>
      <c r="S732" s="2"/>
      <c r="T732" s="2"/>
    </row>
    <row r="733" spans="1:20" ht="15.75" customHeight="1">
      <c r="A733" s="1"/>
      <c r="B733" s="2"/>
      <c r="C733" s="2"/>
      <c r="D733" s="2"/>
      <c r="E733" s="2"/>
      <c r="F733" s="2"/>
      <c r="G733" s="2"/>
      <c r="H733" s="2"/>
      <c r="I733" s="2"/>
      <c r="J733" s="2"/>
      <c r="K733" s="2"/>
      <c r="L733" s="2"/>
      <c r="M733" s="2"/>
      <c r="N733" s="2"/>
      <c r="O733" s="2"/>
      <c r="P733" s="2"/>
      <c r="Q733" s="2"/>
      <c r="R733" s="2"/>
      <c r="S733" s="2"/>
      <c r="T733" s="2"/>
    </row>
    <row r="734" spans="1:20" ht="15.75" customHeight="1">
      <c r="A734" s="1"/>
      <c r="B734" s="2"/>
      <c r="C734" s="2"/>
      <c r="D734" s="2"/>
      <c r="E734" s="2"/>
      <c r="F734" s="2"/>
      <c r="G734" s="2"/>
      <c r="H734" s="2"/>
      <c r="I734" s="2"/>
      <c r="J734" s="2"/>
      <c r="K734" s="2"/>
      <c r="L734" s="2"/>
      <c r="M734" s="2"/>
      <c r="N734" s="2"/>
      <c r="O734" s="2"/>
      <c r="P734" s="2"/>
      <c r="Q734" s="2"/>
      <c r="R734" s="2"/>
      <c r="S734" s="2"/>
      <c r="T734" s="2"/>
    </row>
    <row r="735" spans="1:20" ht="15.75" customHeight="1">
      <c r="A735" s="1"/>
      <c r="B735" s="2"/>
      <c r="C735" s="2"/>
      <c r="D735" s="2"/>
      <c r="E735" s="2"/>
      <c r="F735" s="2"/>
      <c r="G735" s="2"/>
      <c r="H735" s="2"/>
      <c r="I735" s="2"/>
      <c r="J735" s="2"/>
      <c r="K735" s="2"/>
      <c r="L735" s="2"/>
      <c r="M735" s="2"/>
      <c r="N735" s="2"/>
      <c r="O735" s="2"/>
      <c r="P735" s="2"/>
      <c r="Q735" s="2"/>
      <c r="R735" s="2"/>
      <c r="S735" s="2"/>
      <c r="T735" s="2"/>
    </row>
    <row r="736" spans="1:20" ht="15.75" customHeight="1">
      <c r="A736" s="1"/>
      <c r="B736" s="2"/>
      <c r="C736" s="2"/>
      <c r="D736" s="2"/>
      <c r="E736" s="2"/>
      <c r="F736" s="2"/>
      <c r="G736" s="2"/>
      <c r="H736" s="2"/>
      <c r="I736" s="2"/>
      <c r="J736" s="2"/>
      <c r="K736" s="2"/>
      <c r="L736" s="2"/>
      <c r="M736" s="2"/>
      <c r="N736" s="2"/>
      <c r="O736" s="2"/>
      <c r="P736" s="2"/>
      <c r="Q736" s="2"/>
      <c r="R736" s="2"/>
      <c r="S736" s="2"/>
      <c r="T736" s="2"/>
    </row>
    <row r="737" spans="1:20" ht="15.75" customHeight="1">
      <c r="A737" s="1"/>
      <c r="B737" s="2"/>
      <c r="C737" s="2"/>
      <c r="D737" s="2"/>
      <c r="E737" s="2"/>
      <c r="F737" s="2"/>
      <c r="G737" s="2"/>
      <c r="H737" s="2"/>
      <c r="I737" s="2"/>
      <c r="J737" s="2"/>
      <c r="K737" s="2"/>
      <c r="L737" s="2"/>
      <c r="M737" s="2"/>
      <c r="N737" s="2"/>
      <c r="O737" s="2"/>
      <c r="P737" s="2"/>
      <c r="Q737" s="2"/>
      <c r="R737" s="2"/>
      <c r="S737" s="2"/>
      <c r="T737" s="2"/>
    </row>
    <row r="738" spans="1:20" ht="15.75" customHeight="1">
      <c r="A738" s="1"/>
      <c r="B738" s="2"/>
      <c r="C738" s="2"/>
      <c r="D738" s="2"/>
      <c r="E738" s="2"/>
      <c r="F738" s="2"/>
      <c r="G738" s="2"/>
      <c r="H738" s="2"/>
      <c r="I738" s="2"/>
      <c r="J738" s="2"/>
      <c r="K738" s="2"/>
      <c r="L738" s="2"/>
      <c r="M738" s="2"/>
      <c r="N738" s="2"/>
      <c r="O738" s="2"/>
      <c r="P738" s="2"/>
      <c r="Q738" s="2"/>
      <c r="R738" s="2"/>
      <c r="S738" s="2"/>
      <c r="T738" s="2"/>
    </row>
    <row r="739" spans="1:20" ht="15.75" customHeight="1">
      <c r="A739" s="1"/>
      <c r="B739" s="2"/>
      <c r="C739" s="2"/>
      <c r="D739" s="2"/>
      <c r="E739" s="2"/>
      <c r="F739" s="2"/>
      <c r="G739" s="2"/>
      <c r="H739" s="2"/>
      <c r="I739" s="2"/>
      <c r="J739" s="2"/>
      <c r="K739" s="2"/>
      <c r="L739" s="2"/>
      <c r="M739" s="2"/>
      <c r="N739" s="2"/>
      <c r="O739" s="2"/>
      <c r="P739" s="2"/>
      <c r="Q739" s="2"/>
      <c r="R739" s="2"/>
      <c r="S739" s="2"/>
      <c r="T739" s="2"/>
    </row>
    <row r="740" spans="1:20" ht="15.75" customHeight="1">
      <c r="A740" s="1"/>
      <c r="B740" s="2"/>
      <c r="C740" s="2"/>
      <c r="D740" s="2"/>
      <c r="E740" s="2"/>
      <c r="F740" s="2"/>
      <c r="G740" s="2"/>
      <c r="H740" s="2"/>
      <c r="I740" s="2"/>
      <c r="J740" s="2"/>
      <c r="K740" s="2"/>
      <c r="L740" s="2"/>
      <c r="M740" s="2"/>
      <c r="N740" s="2"/>
      <c r="O740" s="2"/>
      <c r="P740" s="2"/>
      <c r="Q740" s="2"/>
      <c r="R740" s="2"/>
      <c r="S740" s="2"/>
      <c r="T740" s="2"/>
    </row>
    <row r="741" spans="1:20" ht="15.75" customHeight="1">
      <c r="A741" s="1"/>
      <c r="B741" s="2"/>
      <c r="C741" s="2"/>
      <c r="D741" s="2"/>
      <c r="E741" s="2"/>
      <c r="F741" s="2"/>
      <c r="G741" s="2"/>
      <c r="H741" s="2"/>
      <c r="I741" s="2"/>
      <c r="J741" s="2"/>
      <c r="K741" s="2"/>
      <c r="L741" s="2"/>
      <c r="M741" s="2"/>
      <c r="N741" s="2"/>
      <c r="O741" s="2"/>
      <c r="P741" s="2"/>
      <c r="Q741" s="2"/>
      <c r="R741" s="2"/>
      <c r="S741" s="2"/>
      <c r="T741" s="2"/>
    </row>
    <row r="742" spans="1:20" ht="15.75" customHeight="1">
      <c r="A742" s="1"/>
      <c r="B742" s="2"/>
      <c r="C742" s="2"/>
      <c r="D742" s="2"/>
      <c r="E742" s="2"/>
      <c r="F742" s="2"/>
      <c r="G742" s="2"/>
      <c r="H742" s="2"/>
      <c r="I742" s="2"/>
      <c r="J742" s="2"/>
      <c r="K742" s="2"/>
      <c r="L742" s="2"/>
      <c r="M742" s="2"/>
      <c r="N742" s="2"/>
      <c r="O742" s="2"/>
      <c r="P742" s="2"/>
      <c r="Q742" s="2"/>
      <c r="R742" s="2"/>
      <c r="S742" s="2"/>
      <c r="T742" s="2"/>
    </row>
    <row r="743" spans="1:20" ht="15.75" customHeight="1">
      <c r="A743" s="1"/>
      <c r="B743" s="2"/>
      <c r="C743" s="2"/>
      <c r="D743" s="2"/>
      <c r="E743" s="2"/>
      <c r="F743" s="2"/>
      <c r="G743" s="2"/>
      <c r="H743" s="2"/>
      <c r="I743" s="2"/>
      <c r="J743" s="2"/>
      <c r="K743" s="2"/>
      <c r="L743" s="2"/>
      <c r="M743" s="2"/>
      <c r="N743" s="2"/>
      <c r="O743" s="2"/>
      <c r="P743" s="2"/>
      <c r="Q743" s="2"/>
      <c r="R743" s="2"/>
      <c r="S743" s="2"/>
      <c r="T743" s="2"/>
    </row>
    <row r="744" spans="1:20" ht="15.75" customHeight="1">
      <c r="A744" s="1"/>
      <c r="B744" s="2"/>
      <c r="C744" s="2"/>
      <c r="D744" s="2"/>
      <c r="E744" s="2"/>
      <c r="F744" s="2"/>
      <c r="G744" s="2"/>
      <c r="H744" s="2"/>
      <c r="I744" s="2"/>
      <c r="J744" s="2"/>
      <c r="K744" s="2"/>
      <c r="L744" s="2"/>
      <c r="M744" s="2"/>
      <c r="N744" s="2"/>
      <c r="O744" s="2"/>
      <c r="P744" s="2"/>
      <c r="Q744" s="2"/>
      <c r="R744" s="2"/>
      <c r="S744" s="2"/>
      <c r="T744" s="2"/>
    </row>
    <row r="745" spans="1:20" ht="15.75" customHeight="1">
      <c r="A745" s="1"/>
      <c r="B745" s="2"/>
      <c r="C745" s="2"/>
      <c r="D745" s="2"/>
      <c r="E745" s="2"/>
      <c r="F745" s="2"/>
      <c r="G745" s="2"/>
      <c r="H745" s="2"/>
      <c r="I745" s="2"/>
      <c r="J745" s="2"/>
      <c r="K745" s="2"/>
      <c r="L745" s="2"/>
      <c r="M745" s="2"/>
      <c r="N745" s="2"/>
      <c r="O745" s="2"/>
      <c r="P745" s="2"/>
      <c r="Q745" s="2"/>
      <c r="R745" s="2"/>
      <c r="S745" s="2"/>
      <c r="T745" s="2"/>
    </row>
    <row r="746" spans="1:20" ht="15.75" customHeight="1">
      <c r="A746" s="1"/>
      <c r="B746" s="2"/>
      <c r="C746" s="2"/>
      <c r="D746" s="2"/>
      <c r="E746" s="2"/>
      <c r="F746" s="2"/>
      <c r="G746" s="2"/>
      <c r="H746" s="2"/>
      <c r="I746" s="2"/>
      <c r="J746" s="2"/>
      <c r="K746" s="2"/>
      <c r="L746" s="2"/>
      <c r="M746" s="2"/>
      <c r="N746" s="2"/>
      <c r="O746" s="2"/>
      <c r="P746" s="2"/>
      <c r="Q746" s="2"/>
      <c r="R746" s="2"/>
      <c r="S746" s="2"/>
      <c r="T746" s="2"/>
    </row>
    <row r="747" spans="1:20" ht="15.75" customHeight="1">
      <c r="A747" s="1"/>
      <c r="B747" s="2"/>
      <c r="C747" s="2"/>
      <c r="D747" s="2"/>
      <c r="E747" s="2"/>
      <c r="F747" s="2"/>
      <c r="G747" s="2"/>
      <c r="H747" s="2"/>
      <c r="I747" s="2"/>
      <c r="J747" s="2"/>
      <c r="K747" s="2"/>
      <c r="L747" s="2"/>
      <c r="M747" s="2"/>
      <c r="N747" s="2"/>
      <c r="O747" s="2"/>
      <c r="P747" s="2"/>
      <c r="Q747" s="2"/>
      <c r="R747" s="2"/>
      <c r="S747" s="2"/>
      <c r="T747" s="2"/>
    </row>
    <row r="748" spans="1:20" ht="15.75" customHeight="1">
      <c r="A748" s="1"/>
      <c r="B748" s="2"/>
      <c r="C748" s="2"/>
      <c r="D748" s="2"/>
      <c r="E748" s="2"/>
      <c r="F748" s="2"/>
      <c r="G748" s="2"/>
      <c r="H748" s="2"/>
      <c r="I748" s="2"/>
      <c r="J748" s="2"/>
      <c r="K748" s="2"/>
      <c r="L748" s="2"/>
      <c r="M748" s="2"/>
      <c r="N748" s="2"/>
      <c r="O748" s="2"/>
      <c r="P748" s="2"/>
      <c r="Q748" s="2"/>
      <c r="R748" s="2"/>
      <c r="S748" s="2"/>
      <c r="T748" s="2"/>
    </row>
    <row r="749" spans="1:20" ht="15.75" customHeight="1">
      <c r="A749" s="1"/>
      <c r="B749" s="2"/>
      <c r="C749" s="2"/>
      <c r="D749" s="2"/>
      <c r="E749" s="2"/>
      <c r="F749" s="2"/>
      <c r="G749" s="2"/>
      <c r="H749" s="2"/>
      <c r="I749" s="2"/>
      <c r="J749" s="2"/>
      <c r="K749" s="2"/>
      <c r="L749" s="2"/>
      <c r="M749" s="2"/>
      <c r="N749" s="2"/>
      <c r="O749" s="2"/>
      <c r="P749" s="2"/>
      <c r="Q749" s="2"/>
      <c r="R749" s="2"/>
      <c r="S749" s="2"/>
      <c r="T749" s="2"/>
    </row>
    <row r="750" spans="1:20" ht="15.75" customHeight="1">
      <c r="A750" s="1"/>
      <c r="B750" s="2"/>
      <c r="C750" s="2"/>
      <c r="D750" s="2"/>
      <c r="E750" s="2"/>
      <c r="F750" s="2"/>
      <c r="G750" s="2"/>
      <c r="H750" s="2"/>
      <c r="I750" s="2"/>
      <c r="J750" s="2"/>
      <c r="K750" s="2"/>
      <c r="L750" s="2"/>
      <c r="M750" s="2"/>
      <c r="N750" s="2"/>
      <c r="O750" s="2"/>
      <c r="P750" s="2"/>
      <c r="Q750" s="2"/>
      <c r="R750" s="2"/>
      <c r="S750" s="2"/>
      <c r="T750" s="2"/>
    </row>
    <row r="751" spans="1:20" ht="15.75" customHeight="1">
      <c r="A751" s="1"/>
      <c r="B751" s="2"/>
      <c r="C751" s="2"/>
      <c r="D751" s="2"/>
      <c r="E751" s="2"/>
      <c r="F751" s="2"/>
      <c r="G751" s="2"/>
      <c r="H751" s="2"/>
      <c r="I751" s="2"/>
      <c r="J751" s="2"/>
      <c r="K751" s="2"/>
      <c r="L751" s="2"/>
      <c r="M751" s="2"/>
      <c r="N751" s="2"/>
      <c r="O751" s="2"/>
      <c r="P751" s="2"/>
      <c r="Q751" s="2"/>
      <c r="R751" s="2"/>
      <c r="S751" s="2"/>
      <c r="T751" s="2"/>
    </row>
    <row r="752" spans="1:20" ht="15.75" customHeight="1">
      <c r="A752" s="1"/>
      <c r="B752" s="2"/>
      <c r="C752" s="2"/>
      <c r="D752" s="2"/>
      <c r="E752" s="2"/>
      <c r="F752" s="2"/>
      <c r="G752" s="2"/>
      <c r="H752" s="2"/>
      <c r="I752" s="2"/>
      <c r="J752" s="2"/>
      <c r="K752" s="2"/>
      <c r="L752" s="2"/>
      <c r="M752" s="2"/>
      <c r="N752" s="2"/>
      <c r="O752" s="2"/>
      <c r="P752" s="2"/>
      <c r="Q752" s="2"/>
      <c r="R752" s="2"/>
      <c r="S752" s="2"/>
      <c r="T752" s="2"/>
    </row>
    <row r="753" spans="1:20" ht="15.75" customHeight="1">
      <c r="A753" s="1"/>
      <c r="B753" s="2"/>
      <c r="C753" s="2"/>
      <c r="D753" s="2"/>
      <c r="E753" s="2"/>
      <c r="F753" s="2"/>
      <c r="G753" s="2"/>
      <c r="H753" s="2"/>
      <c r="I753" s="2"/>
      <c r="J753" s="2"/>
      <c r="K753" s="2"/>
      <c r="L753" s="2"/>
      <c r="M753" s="2"/>
      <c r="N753" s="2"/>
      <c r="O753" s="2"/>
      <c r="P753" s="2"/>
      <c r="Q753" s="2"/>
      <c r="R753" s="2"/>
      <c r="S753" s="2"/>
      <c r="T753" s="2"/>
    </row>
    <row r="754" spans="1:20" ht="15.75" customHeight="1">
      <c r="A754" s="1"/>
      <c r="B754" s="2"/>
      <c r="C754" s="2"/>
      <c r="D754" s="2"/>
      <c r="E754" s="2"/>
      <c r="F754" s="2"/>
      <c r="G754" s="2"/>
      <c r="H754" s="2"/>
      <c r="I754" s="2"/>
      <c r="J754" s="2"/>
      <c r="K754" s="2"/>
      <c r="L754" s="2"/>
      <c r="M754" s="2"/>
      <c r="N754" s="2"/>
      <c r="O754" s="2"/>
      <c r="P754" s="2"/>
      <c r="Q754" s="2"/>
      <c r="R754" s="2"/>
      <c r="S754" s="2"/>
      <c r="T754" s="2"/>
    </row>
    <row r="755" spans="1:20" ht="15.75" customHeight="1">
      <c r="A755" s="1"/>
      <c r="B755" s="2"/>
      <c r="C755" s="2"/>
      <c r="D755" s="2"/>
      <c r="E755" s="2"/>
      <c r="F755" s="2"/>
      <c r="G755" s="2"/>
      <c r="H755" s="2"/>
      <c r="I755" s="2"/>
      <c r="J755" s="2"/>
      <c r="K755" s="2"/>
      <c r="L755" s="2"/>
      <c r="M755" s="2"/>
      <c r="N755" s="2"/>
      <c r="O755" s="2"/>
      <c r="P755" s="2"/>
      <c r="Q755" s="2"/>
      <c r="R755" s="2"/>
      <c r="S755" s="2"/>
      <c r="T755" s="2"/>
    </row>
    <row r="756" spans="1:20" ht="15.75" customHeight="1">
      <c r="A756" s="1"/>
      <c r="B756" s="2"/>
      <c r="C756" s="2"/>
      <c r="D756" s="2"/>
      <c r="E756" s="2"/>
      <c r="F756" s="2"/>
      <c r="G756" s="2"/>
      <c r="H756" s="2"/>
      <c r="I756" s="2"/>
      <c r="J756" s="2"/>
      <c r="K756" s="2"/>
      <c r="L756" s="2"/>
      <c r="M756" s="2"/>
      <c r="N756" s="2"/>
      <c r="O756" s="2"/>
      <c r="P756" s="2"/>
      <c r="Q756" s="2"/>
      <c r="R756" s="2"/>
      <c r="S756" s="2"/>
      <c r="T756" s="2"/>
    </row>
    <row r="757" spans="1:20" ht="15.75" customHeight="1">
      <c r="A757" s="1"/>
      <c r="B757" s="2"/>
      <c r="C757" s="2"/>
      <c r="D757" s="2"/>
      <c r="E757" s="2"/>
      <c r="F757" s="2"/>
      <c r="G757" s="2"/>
      <c r="H757" s="2"/>
      <c r="I757" s="2"/>
      <c r="J757" s="2"/>
      <c r="K757" s="2"/>
      <c r="L757" s="2"/>
      <c r="M757" s="2"/>
      <c r="N757" s="2"/>
      <c r="O757" s="2"/>
      <c r="P757" s="2"/>
      <c r="Q757" s="2"/>
      <c r="R757" s="2"/>
      <c r="S757" s="2"/>
      <c r="T757" s="2"/>
    </row>
    <row r="758" spans="1:20" ht="15.75" customHeight="1">
      <c r="A758" s="1"/>
      <c r="B758" s="2"/>
      <c r="C758" s="2"/>
      <c r="D758" s="2"/>
      <c r="E758" s="2"/>
      <c r="F758" s="2"/>
      <c r="G758" s="2"/>
      <c r="H758" s="2"/>
      <c r="I758" s="2"/>
      <c r="J758" s="2"/>
      <c r="K758" s="2"/>
      <c r="L758" s="2"/>
      <c r="M758" s="2"/>
      <c r="N758" s="2"/>
      <c r="O758" s="2"/>
      <c r="P758" s="2"/>
      <c r="Q758" s="2"/>
      <c r="R758" s="2"/>
      <c r="S758" s="2"/>
      <c r="T758" s="2"/>
    </row>
    <row r="759" spans="1:20" ht="15.75" customHeight="1">
      <c r="A759" s="1"/>
      <c r="B759" s="2"/>
      <c r="C759" s="2"/>
      <c r="D759" s="2"/>
      <c r="E759" s="2"/>
      <c r="F759" s="2"/>
      <c r="G759" s="2"/>
      <c r="H759" s="2"/>
      <c r="I759" s="2"/>
      <c r="J759" s="2"/>
      <c r="K759" s="2"/>
      <c r="L759" s="2"/>
      <c r="M759" s="2"/>
      <c r="N759" s="2"/>
      <c r="O759" s="2"/>
      <c r="P759" s="2"/>
      <c r="Q759" s="2"/>
      <c r="R759" s="2"/>
      <c r="S759" s="2"/>
      <c r="T759" s="2"/>
    </row>
    <row r="760" spans="1:20" ht="15.75" customHeight="1">
      <c r="A760" s="1"/>
      <c r="B760" s="2"/>
      <c r="C760" s="2"/>
      <c r="D760" s="2"/>
      <c r="E760" s="2"/>
      <c r="F760" s="2"/>
      <c r="G760" s="2"/>
      <c r="H760" s="2"/>
      <c r="I760" s="2"/>
      <c r="J760" s="2"/>
      <c r="K760" s="2"/>
      <c r="L760" s="2"/>
      <c r="M760" s="2"/>
      <c r="N760" s="2"/>
      <c r="O760" s="2"/>
      <c r="P760" s="2"/>
      <c r="Q760" s="2"/>
      <c r="R760" s="2"/>
      <c r="S760" s="2"/>
      <c r="T760" s="2"/>
    </row>
    <row r="761" spans="1:20" ht="15.75" customHeight="1">
      <c r="A761" s="1"/>
      <c r="B761" s="2"/>
      <c r="C761" s="2"/>
      <c r="D761" s="2"/>
      <c r="E761" s="2"/>
      <c r="F761" s="2"/>
      <c r="G761" s="2"/>
      <c r="H761" s="2"/>
      <c r="I761" s="2"/>
      <c r="J761" s="2"/>
      <c r="K761" s="2"/>
      <c r="L761" s="2"/>
      <c r="M761" s="2"/>
      <c r="N761" s="2"/>
      <c r="O761" s="2"/>
      <c r="P761" s="2"/>
      <c r="Q761" s="2"/>
      <c r="R761" s="2"/>
      <c r="S761" s="2"/>
      <c r="T761" s="2"/>
    </row>
    <row r="762" spans="1:20" ht="15.75" customHeight="1">
      <c r="A762" s="1"/>
      <c r="B762" s="2"/>
      <c r="C762" s="2"/>
      <c r="D762" s="2"/>
      <c r="E762" s="2"/>
      <c r="F762" s="2"/>
      <c r="G762" s="2"/>
      <c r="H762" s="2"/>
      <c r="I762" s="2"/>
      <c r="J762" s="2"/>
      <c r="K762" s="2"/>
      <c r="L762" s="2"/>
      <c r="M762" s="2"/>
      <c r="N762" s="2"/>
      <c r="O762" s="2"/>
      <c r="P762" s="2"/>
      <c r="Q762" s="2"/>
      <c r="R762" s="2"/>
      <c r="S762" s="2"/>
      <c r="T762" s="2"/>
    </row>
    <row r="763" spans="1:20" ht="15.75" customHeight="1">
      <c r="A763" s="1"/>
      <c r="B763" s="2"/>
      <c r="C763" s="2"/>
      <c r="D763" s="2"/>
      <c r="E763" s="2"/>
      <c r="F763" s="2"/>
      <c r="G763" s="2"/>
      <c r="H763" s="2"/>
      <c r="I763" s="2"/>
      <c r="J763" s="2"/>
      <c r="K763" s="2"/>
      <c r="L763" s="2"/>
      <c r="M763" s="2"/>
      <c r="N763" s="2"/>
      <c r="O763" s="2"/>
      <c r="P763" s="2"/>
      <c r="Q763" s="2"/>
      <c r="R763" s="2"/>
      <c r="S763" s="2"/>
      <c r="T763" s="2"/>
    </row>
    <row r="764" spans="1:20" ht="15.75" customHeight="1">
      <c r="A764" s="1"/>
      <c r="B764" s="2"/>
      <c r="C764" s="2"/>
      <c r="D764" s="2"/>
      <c r="E764" s="2"/>
      <c r="F764" s="2"/>
      <c r="G764" s="2"/>
      <c r="H764" s="2"/>
      <c r="I764" s="2"/>
      <c r="J764" s="2"/>
      <c r="K764" s="2"/>
      <c r="L764" s="2"/>
      <c r="M764" s="2"/>
      <c r="N764" s="2"/>
      <c r="O764" s="2"/>
      <c r="P764" s="2"/>
      <c r="Q764" s="2"/>
      <c r="R764" s="2"/>
      <c r="S764" s="2"/>
      <c r="T764" s="2"/>
    </row>
    <row r="765" spans="1:20" ht="15.75" customHeight="1">
      <c r="A765" s="1"/>
      <c r="B765" s="2"/>
      <c r="C765" s="2"/>
      <c r="D765" s="2"/>
      <c r="E765" s="2"/>
      <c r="F765" s="2"/>
      <c r="G765" s="2"/>
      <c r="H765" s="2"/>
      <c r="I765" s="2"/>
      <c r="J765" s="2"/>
      <c r="K765" s="2"/>
      <c r="L765" s="2"/>
      <c r="M765" s="2"/>
      <c r="N765" s="2"/>
      <c r="O765" s="2"/>
      <c r="P765" s="2"/>
      <c r="Q765" s="2"/>
      <c r="R765" s="2"/>
      <c r="S765" s="2"/>
      <c r="T765" s="2"/>
    </row>
    <row r="766" spans="1:20" ht="15.75" customHeight="1">
      <c r="A766" s="1"/>
      <c r="B766" s="2"/>
      <c r="C766" s="2"/>
      <c r="D766" s="2"/>
      <c r="E766" s="2"/>
      <c r="F766" s="2"/>
      <c r="G766" s="2"/>
      <c r="H766" s="2"/>
      <c r="I766" s="2"/>
      <c r="J766" s="2"/>
      <c r="K766" s="2"/>
      <c r="L766" s="2"/>
      <c r="M766" s="2"/>
      <c r="N766" s="2"/>
      <c r="O766" s="2"/>
      <c r="P766" s="2"/>
      <c r="Q766" s="2"/>
      <c r="R766" s="2"/>
      <c r="S766" s="2"/>
      <c r="T766" s="2"/>
    </row>
    <row r="767" spans="1:20" ht="15.75" customHeight="1">
      <c r="A767" s="1"/>
      <c r="B767" s="2"/>
      <c r="C767" s="2"/>
      <c r="D767" s="2"/>
      <c r="E767" s="2"/>
      <c r="F767" s="2"/>
      <c r="G767" s="2"/>
      <c r="H767" s="2"/>
      <c r="I767" s="2"/>
      <c r="J767" s="2"/>
      <c r="K767" s="2"/>
      <c r="L767" s="2"/>
      <c r="M767" s="2"/>
      <c r="N767" s="2"/>
      <c r="O767" s="2"/>
      <c r="P767" s="2"/>
      <c r="Q767" s="2"/>
      <c r="R767" s="2"/>
      <c r="S767" s="2"/>
      <c r="T767" s="2"/>
    </row>
    <row r="768" spans="1:20" ht="15.75" customHeight="1">
      <c r="A768" s="1"/>
      <c r="B768" s="2"/>
      <c r="C768" s="2"/>
      <c r="D768" s="2"/>
      <c r="E768" s="2"/>
      <c r="F768" s="2"/>
      <c r="G768" s="2"/>
      <c r="H768" s="2"/>
      <c r="I768" s="2"/>
      <c r="J768" s="2"/>
      <c r="K768" s="2"/>
      <c r="L768" s="2"/>
      <c r="M768" s="2"/>
      <c r="N768" s="2"/>
      <c r="O768" s="2"/>
      <c r="P768" s="2"/>
      <c r="Q768" s="2"/>
      <c r="R768" s="2"/>
      <c r="S768" s="2"/>
      <c r="T768" s="2"/>
    </row>
    <row r="769" spans="1:20" ht="15.75" customHeight="1">
      <c r="A769" s="1"/>
      <c r="B769" s="2"/>
      <c r="C769" s="2"/>
      <c r="D769" s="2"/>
      <c r="E769" s="2"/>
      <c r="F769" s="2"/>
      <c r="G769" s="2"/>
      <c r="H769" s="2"/>
      <c r="I769" s="2"/>
      <c r="J769" s="2"/>
      <c r="K769" s="2"/>
      <c r="L769" s="2"/>
      <c r="M769" s="2"/>
      <c r="N769" s="2"/>
      <c r="O769" s="2"/>
      <c r="P769" s="2"/>
      <c r="Q769" s="2"/>
      <c r="R769" s="2"/>
      <c r="S769" s="2"/>
      <c r="T769" s="2"/>
    </row>
    <row r="770" spans="1:20" ht="15.75" customHeight="1">
      <c r="A770" s="1"/>
      <c r="B770" s="2"/>
      <c r="C770" s="2"/>
      <c r="D770" s="2"/>
      <c r="E770" s="2"/>
      <c r="F770" s="2"/>
      <c r="G770" s="2"/>
      <c r="H770" s="2"/>
      <c r="I770" s="2"/>
      <c r="J770" s="2"/>
      <c r="K770" s="2"/>
      <c r="L770" s="2"/>
      <c r="M770" s="2"/>
      <c r="N770" s="2"/>
      <c r="O770" s="2"/>
      <c r="P770" s="2"/>
      <c r="Q770" s="2"/>
      <c r="R770" s="2"/>
      <c r="S770" s="2"/>
      <c r="T770" s="2"/>
    </row>
    <row r="771" spans="1:20" ht="15.75" customHeight="1">
      <c r="A771" s="1"/>
      <c r="B771" s="2"/>
      <c r="C771" s="2"/>
      <c r="D771" s="2"/>
      <c r="E771" s="2"/>
      <c r="F771" s="2"/>
      <c r="G771" s="2"/>
      <c r="H771" s="2"/>
      <c r="I771" s="2"/>
      <c r="J771" s="2"/>
      <c r="K771" s="2"/>
      <c r="L771" s="2"/>
      <c r="M771" s="2"/>
      <c r="N771" s="2"/>
      <c r="O771" s="2"/>
      <c r="P771" s="2"/>
      <c r="Q771" s="2"/>
      <c r="R771" s="2"/>
      <c r="S771" s="2"/>
      <c r="T771" s="2"/>
    </row>
    <row r="772" spans="1:20" ht="15.75" customHeight="1">
      <c r="A772" s="1"/>
      <c r="B772" s="2"/>
      <c r="C772" s="2"/>
      <c r="D772" s="2"/>
      <c r="E772" s="2"/>
      <c r="F772" s="2"/>
      <c r="G772" s="2"/>
      <c r="H772" s="2"/>
      <c r="I772" s="2"/>
      <c r="J772" s="2"/>
      <c r="K772" s="2"/>
      <c r="L772" s="2"/>
      <c r="M772" s="2"/>
      <c r="N772" s="2"/>
      <c r="O772" s="2"/>
      <c r="P772" s="2"/>
      <c r="Q772" s="2"/>
      <c r="R772" s="2"/>
      <c r="S772" s="2"/>
      <c r="T772" s="2"/>
    </row>
    <row r="773" spans="1:20" ht="15.75" customHeight="1">
      <c r="A773" s="1"/>
      <c r="B773" s="2"/>
      <c r="C773" s="2"/>
      <c r="D773" s="2"/>
      <c r="E773" s="2"/>
      <c r="F773" s="2"/>
      <c r="G773" s="2"/>
      <c r="H773" s="2"/>
      <c r="I773" s="2"/>
      <c r="J773" s="2"/>
      <c r="K773" s="2"/>
      <c r="L773" s="2"/>
      <c r="M773" s="2"/>
      <c r="N773" s="2"/>
      <c r="O773" s="2"/>
      <c r="P773" s="2"/>
      <c r="Q773" s="2"/>
      <c r="R773" s="2"/>
      <c r="S773" s="2"/>
      <c r="T773" s="2"/>
    </row>
    <row r="774" spans="1:20" ht="15.75" customHeight="1">
      <c r="A774" s="1"/>
      <c r="B774" s="2"/>
      <c r="C774" s="2"/>
      <c r="D774" s="2"/>
      <c r="E774" s="2"/>
      <c r="F774" s="2"/>
      <c r="G774" s="2"/>
      <c r="H774" s="2"/>
      <c r="I774" s="2"/>
      <c r="J774" s="2"/>
      <c r="K774" s="2"/>
      <c r="L774" s="2"/>
      <c r="M774" s="2"/>
      <c r="N774" s="2"/>
      <c r="O774" s="2"/>
      <c r="P774" s="2"/>
      <c r="Q774" s="2"/>
      <c r="R774" s="2"/>
      <c r="S774" s="2"/>
      <c r="T774" s="2"/>
    </row>
    <row r="775" spans="1:20" ht="15.75" customHeight="1">
      <c r="A775" s="1"/>
      <c r="B775" s="2"/>
      <c r="C775" s="2"/>
      <c r="D775" s="2"/>
      <c r="E775" s="2"/>
      <c r="F775" s="2"/>
      <c r="G775" s="2"/>
      <c r="H775" s="2"/>
      <c r="I775" s="2"/>
      <c r="J775" s="2"/>
      <c r="K775" s="2"/>
      <c r="L775" s="2"/>
      <c r="M775" s="2"/>
      <c r="N775" s="2"/>
      <c r="O775" s="2"/>
      <c r="P775" s="2"/>
      <c r="Q775" s="2"/>
      <c r="R775" s="2"/>
      <c r="S775" s="2"/>
      <c r="T775" s="2"/>
    </row>
    <row r="776" spans="1:20" ht="15.75" customHeight="1">
      <c r="A776" s="1"/>
      <c r="B776" s="2"/>
      <c r="C776" s="2"/>
      <c r="D776" s="2"/>
      <c r="E776" s="2"/>
      <c r="F776" s="2"/>
      <c r="G776" s="2"/>
      <c r="H776" s="2"/>
      <c r="I776" s="2"/>
      <c r="J776" s="2"/>
      <c r="K776" s="2"/>
      <c r="L776" s="2"/>
      <c r="M776" s="2"/>
      <c r="N776" s="2"/>
      <c r="O776" s="2"/>
      <c r="P776" s="2"/>
      <c r="Q776" s="2"/>
      <c r="R776" s="2"/>
      <c r="S776" s="2"/>
      <c r="T776" s="2"/>
    </row>
    <row r="777" spans="1:20" ht="15.75" customHeight="1">
      <c r="A777" s="1"/>
      <c r="B777" s="2"/>
      <c r="C777" s="2"/>
      <c r="D777" s="2"/>
      <c r="E777" s="2"/>
      <c r="F777" s="2"/>
      <c r="G777" s="2"/>
      <c r="H777" s="2"/>
      <c r="I777" s="2"/>
      <c r="J777" s="2"/>
      <c r="K777" s="2"/>
      <c r="L777" s="2"/>
      <c r="M777" s="2"/>
      <c r="N777" s="2"/>
      <c r="O777" s="2"/>
      <c r="P777" s="2"/>
      <c r="Q777" s="2"/>
      <c r="R777" s="2"/>
      <c r="S777" s="2"/>
      <c r="T777" s="2"/>
    </row>
    <row r="778" spans="1:20" ht="15.75" customHeight="1">
      <c r="A778" s="1"/>
      <c r="B778" s="2"/>
      <c r="C778" s="2"/>
      <c r="D778" s="2"/>
      <c r="E778" s="2"/>
      <c r="F778" s="2"/>
      <c r="G778" s="2"/>
      <c r="H778" s="2"/>
      <c r="I778" s="2"/>
      <c r="J778" s="2"/>
      <c r="K778" s="2"/>
      <c r="L778" s="2"/>
      <c r="M778" s="2"/>
      <c r="N778" s="2"/>
      <c r="O778" s="2"/>
      <c r="P778" s="2"/>
      <c r="Q778" s="2"/>
      <c r="R778" s="2"/>
      <c r="S778" s="2"/>
      <c r="T778" s="2"/>
    </row>
    <row r="779" spans="1:20" ht="15.75" customHeight="1">
      <c r="A779" s="1"/>
      <c r="B779" s="2"/>
      <c r="C779" s="2"/>
      <c r="D779" s="2"/>
      <c r="E779" s="2"/>
      <c r="F779" s="2"/>
      <c r="G779" s="2"/>
      <c r="H779" s="2"/>
      <c r="I779" s="2"/>
      <c r="J779" s="2"/>
      <c r="K779" s="2"/>
      <c r="L779" s="2"/>
      <c r="M779" s="2"/>
      <c r="N779" s="2"/>
      <c r="O779" s="2"/>
      <c r="P779" s="2"/>
      <c r="Q779" s="2"/>
      <c r="R779" s="2"/>
      <c r="S779" s="2"/>
      <c r="T779" s="2"/>
    </row>
    <row r="780" spans="1:20" ht="15.75" customHeight="1">
      <c r="A780" s="1"/>
      <c r="B780" s="2"/>
      <c r="C780" s="2"/>
      <c r="D780" s="2"/>
      <c r="E780" s="2"/>
      <c r="F780" s="2"/>
      <c r="G780" s="2"/>
      <c r="H780" s="2"/>
      <c r="I780" s="2"/>
      <c r="J780" s="2"/>
      <c r="K780" s="2"/>
      <c r="L780" s="2"/>
      <c r="M780" s="2"/>
      <c r="N780" s="2"/>
      <c r="O780" s="2"/>
      <c r="P780" s="2"/>
      <c r="Q780" s="2"/>
      <c r="R780" s="2"/>
      <c r="S780" s="2"/>
      <c r="T780" s="2"/>
    </row>
    <row r="781" spans="1:20" ht="15.75" customHeight="1">
      <c r="A781" s="1"/>
      <c r="B781" s="2"/>
      <c r="C781" s="2"/>
      <c r="D781" s="2"/>
      <c r="E781" s="2"/>
      <c r="F781" s="2"/>
      <c r="G781" s="2"/>
      <c r="H781" s="2"/>
      <c r="I781" s="2"/>
      <c r="J781" s="2"/>
      <c r="K781" s="2"/>
      <c r="L781" s="2"/>
      <c r="M781" s="2"/>
      <c r="N781" s="2"/>
      <c r="O781" s="2"/>
      <c r="P781" s="2"/>
      <c r="Q781" s="2"/>
      <c r="R781" s="2"/>
      <c r="S781" s="2"/>
      <c r="T781" s="2"/>
    </row>
    <row r="782" spans="1:20" ht="15.75" customHeight="1">
      <c r="A782" s="1"/>
      <c r="B782" s="2"/>
      <c r="C782" s="2"/>
      <c r="D782" s="2"/>
      <c r="E782" s="2"/>
      <c r="F782" s="2"/>
      <c r="G782" s="2"/>
      <c r="H782" s="2"/>
      <c r="I782" s="2"/>
      <c r="J782" s="2"/>
      <c r="K782" s="2"/>
      <c r="L782" s="2"/>
      <c r="M782" s="2"/>
      <c r="N782" s="2"/>
      <c r="O782" s="2"/>
      <c r="P782" s="2"/>
      <c r="Q782" s="2"/>
      <c r="R782" s="2"/>
      <c r="S782" s="2"/>
      <c r="T782" s="2"/>
    </row>
    <row r="783" spans="1:20" ht="15.75" customHeight="1">
      <c r="A783" s="1"/>
      <c r="B783" s="2"/>
      <c r="C783" s="2"/>
      <c r="D783" s="2"/>
      <c r="E783" s="2"/>
      <c r="F783" s="2"/>
      <c r="G783" s="2"/>
      <c r="H783" s="2"/>
      <c r="I783" s="2"/>
      <c r="J783" s="2"/>
      <c r="K783" s="2"/>
      <c r="L783" s="2"/>
      <c r="M783" s="2"/>
      <c r="N783" s="2"/>
      <c r="O783" s="2"/>
      <c r="P783" s="2"/>
      <c r="Q783" s="2"/>
      <c r="R783" s="2"/>
      <c r="S783" s="2"/>
      <c r="T783" s="2"/>
    </row>
    <row r="784" spans="1:20" ht="15.75" customHeight="1">
      <c r="A784" s="1"/>
      <c r="B784" s="2"/>
      <c r="C784" s="2"/>
      <c r="D784" s="2"/>
      <c r="E784" s="2"/>
      <c r="F784" s="2"/>
      <c r="G784" s="2"/>
      <c r="H784" s="2"/>
      <c r="I784" s="2"/>
      <c r="J784" s="2"/>
      <c r="K784" s="2"/>
      <c r="L784" s="2"/>
      <c r="M784" s="2"/>
      <c r="N784" s="2"/>
      <c r="O784" s="2"/>
      <c r="P784" s="2"/>
      <c r="Q784" s="2"/>
      <c r="R784" s="2"/>
      <c r="S784" s="2"/>
      <c r="T784" s="2"/>
    </row>
    <row r="785" spans="1:20" ht="15.75" customHeight="1">
      <c r="A785" s="1"/>
      <c r="B785" s="2"/>
      <c r="C785" s="2"/>
      <c r="D785" s="2"/>
      <c r="E785" s="2"/>
      <c r="F785" s="2"/>
      <c r="G785" s="2"/>
      <c r="H785" s="2"/>
      <c r="I785" s="2"/>
      <c r="J785" s="2"/>
      <c r="K785" s="2"/>
      <c r="L785" s="2"/>
      <c r="M785" s="2"/>
      <c r="N785" s="2"/>
      <c r="O785" s="2"/>
      <c r="P785" s="2"/>
      <c r="Q785" s="2"/>
      <c r="R785" s="2"/>
      <c r="S785" s="2"/>
      <c r="T785" s="2"/>
    </row>
    <row r="786" spans="1:20" ht="15.75" customHeight="1">
      <c r="A786" s="1"/>
      <c r="B786" s="2"/>
      <c r="C786" s="2"/>
      <c r="D786" s="2"/>
      <c r="E786" s="2"/>
      <c r="F786" s="2"/>
      <c r="G786" s="2"/>
      <c r="H786" s="2"/>
      <c r="I786" s="2"/>
      <c r="J786" s="2"/>
      <c r="K786" s="2"/>
      <c r="L786" s="2"/>
      <c r="M786" s="2"/>
      <c r="N786" s="2"/>
      <c r="O786" s="2"/>
      <c r="P786" s="2"/>
      <c r="Q786" s="2"/>
      <c r="R786" s="2"/>
      <c r="S786" s="2"/>
      <c r="T786" s="2"/>
    </row>
    <row r="787" spans="1:20" ht="15.75" customHeight="1">
      <c r="A787" s="1"/>
      <c r="B787" s="2"/>
      <c r="C787" s="2"/>
      <c r="D787" s="2"/>
      <c r="E787" s="2"/>
      <c r="F787" s="2"/>
      <c r="G787" s="2"/>
      <c r="H787" s="2"/>
      <c r="I787" s="2"/>
      <c r="J787" s="2"/>
      <c r="K787" s="2"/>
      <c r="L787" s="2"/>
      <c r="M787" s="2"/>
      <c r="N787" s="2"/>
      <c r="O787" s="2"/>
      <c r="P787" s="2"/>
      <c r="Q787" s="2"/>
      <c r="R787" s="2"/>
      <c r="S787" s="2"/>
      <c r="T787" s="2"/>
    </row>
    <row r="788" spans="1:20" ht="15.75" customHeight="1">
      <c r="A788" s="1"/>
      <c r="B788" s="2"/>
      <c r="C788" s="2"/>
      <c r="D788" s="2"/>
      <c r="E788" s="2"/>
      <c r="F788" s="2"/>
      <c r="G788" s="2"/>
      <c r="H788" s="2"/>
      <c r="I788" s="2"/>
      <c r="J788" s="2"/>
      <c r="K788" s="2"/>
      <c r="L788" s="2"/>
      <c r="M788" s="2"/>
      <c r="N788" s="2"/>
      <c r="O788" s="2"/>
      <c r="P788" s="2"/>
      <c r="Q788" s="2"/>
      <c r="R788" s="2"/>
      <c r="S788" s="2"/>
      <c r="T788" s="2"/>
    </row>
    <row r="789" spans="1:20" ht="15.75" customHeight="1">
      <c r="A789" s="1"/>
      <c r="B789" s="2"/>
      <c r="C789" s="2"/>
      <c r="D789" s="2"/>
      <c r="E789" s="2"/>
      <c r="F789" s="2"/>
      <c r="G789" s="2"/>
      <c r="H789" s="2"/>
      <c r="I789" s="2"/>
      <c r="J789" s="2"/>
      <c r="K789" s="2"/>
      <c r="L789" s="2"/>
      <c r="M789" s="2"/>
      <c r="N789" s="2"/>
      <c r="O789" s="2"/>
      <c r="P789" s="2"/>
      <c r="Q789" s="2"/>
      <c r="R789" s="2"/>
      <c r="S789" s="2"/>
      <c r="T789" s="2"/>
    </row>
    <row r="790" spans="1:20" ht="15.75" customHeight="1">
      <c r="A790" s="1"/>
      <c r="B790" s="2"/>
      <c r="C790" s="2"/>
      <c r="D790" s="2"/>
      <c r="E790" s="2"/>
      <c r="F790" s="2"/>
      <c r="G790" s="2"/>
      <c r="H790" s="2"/>
      <c r="I790" s="2"/>
      <c r="J790" s="2"/>
      <c r="K790" s="2"/>
      <c r="L790" s="2"/>
      <c r="M790" s="2"/>
      <c r="N790" s="2"/>
      <c r="O790" s="2"/>
      <c r="P790" s="2"/>
      <c r="Q790" s="2"/>
      <c r="R790" s="2"/>
      <c r="S790" s="2"/>
      <c r="T790" s="2"/>
    </row>
    <row r="791" spans="1:20" ht="15.75" customHeight="1">
      <c r="A791" s="1"/>
      <c r="B791" s="2"/>
      <c r="C791" s="2"/>
      <c r="D791" s="2"/>
      <c r="E791" s="2"/>
      <c r="F791" s="2"/>
      <c r="G791" s="2"/>
      <c r="H791" s="2"/>
      <c r="I791" s="2"/>
      <c r="J791" s="2"/>
      <c r="K791" s="2"/>
      <c r="L791" s="2"/>
      <c r="M791" s="2"/>
      <c r="N791" s="2"/>
      <c r="O791" s="2"/>
      <c r="P791" s="2"/>
      <c r="Q791" s="2"/>
      <c r="R791" s="2"/>
      <c r="S791" s="2"/>
      <c r="T791" s="2"/>
    </row>
    <row r="792" spans="1:20" ht="15.75" customHeight="1">
      <c r="A792" s="1"/>
      <c r="B792" s="2"/>
      <c r="C792" s="2"/>
      <c r="D792" s="2"/>
      <c r="E792" s="2"/>
      <c r="F792" s="2"/>
      <c r="G792" s="2"/>
      <c r="H792" s="2"/>
      <c r="I792" s="2"/>
      <c r="J792" s="2"/>
      <c r="K792" s="2"/>
      <c r="L792" s="2"/>
      <c r="M792" s="2"/>
      <c r="N792" s="2"/>
      <c r="O792" s="2"/>
      <c r="P792" s="2"/>
      <c r="Q792" s="2"/>
      <c r="R792" s="2"/>
      <c r="S792" s="2"/>
      <c r="T792" s="2"/>
    </row>
    <row r="793" spans="1:20" ht="15.75" customHeight="1">
      <c r="A793" s="1"/>
      <c r="B793" s="2"/>
      <c r="C793" s="2"/>
      <c r="D793" s="2"/>
      <c r="E793" s="2"/>
      <c r="F793" s="2"/>
      <c r="G793" s="2"/>
      <c r="H793" s="2"/>
      <c r="I793" s="2"/>
      <c r="J793" s="2"/>
      <c r="K793" s="2"/>
      <c r="L793" s="2"/>
      <c r="M793" s="2"/>
      <c r="N793" s="2"/>
      <c r="O793" s="2"/>
      <c r="P793" s="2"/>
      <c r="Q793" s="2"/>
      <c r="R793" s="2"/>
      <c r="S793" s="2"/>
      <c r="T793" s="2"/>
    </row>
    <row r="794" spans="1:20" ht="15.75" customHeight="1">
      <c r="A794" s="1"/>
      <c r="B794" s="2"/>
      <c r="C794" s="2"/>
      <c r="D794" s="2"/>
      <c r="E794" s="2"/>
      <c r="F794" s="2"/>
      <c r="G794" s="2"/>
      <c r="H794" s="2"/>
      <c r="I794" s="2"/>
      <c r="J794" s="2"/>
      <c r="K794" s="2"/>
      <c r="L794" s="2"/>
      <c r="M794" s="2"/>
      <c r="N794" s="2"/>
      <c r="O794" s="2"/>
      <c r="P794" s="2"/>
      <c r="Q794" s="2"/>
      <c r="R794" s="2"/>
      <c r="S794" s="2"/>
      <c r="T794" s="2"/>
    </row>
    <row r="795" spans="1:20" ht="15.75" customHeight="1">
      <c r="A795" s="1"/>
      <c r="B795" s="2"/>
      <c r="C795" s="2"/>
      <c r="D795" s="2"/>
      <c r="E795" s="2"/>
      <c r="F795" s="2"/>
      <c r="G795" s="2"/>
      <c r="H795" s="2"/>
      <c r="I795" s="2"/>
      <c r="J795" s="2"/>
      <c r="K795" s="2"/>
      <c r="L795" s="2"/>
      <c r="M795" s="2"/>
      <c r="N795" s="2"/>
      <c r="O795" s="2"/>
      <c r="P795" s="2"/>
      <c r="Q795" s="2"/>
      <c r="R795" s="2"/>
      <c r="S795" s="2"/>
      <c r="T795" s="2"/>
    </row>
    <row r="796" spans="1:20" ht="15.75" customHeight="1">
      <c r="A796" s="1"/>
      <c r="B796" s="2"/>
      <c r="C796" s="2"/>
      <c r="D796" s="2"/>
      <c r="E796" s="2"/>
      <c r="F796" s="2"/>
      <c r="G796" s="2"/>
      <c r="H796" s="2"/>
      <c r="I796" s="2"/>
      <c r="J796" s="2"/>
      <c r="K796" s="2"/>
      <c r="L796" s="2"/>
      <c r="M796" s="2"/>
      <c r="N796" s="2"/>
      <c r="O796" s="2"/>
      <c r="P796" s="2"/>
      <c r="Q796" s="2"/>
      <c r="R796" s="2"/>
      <c r="S796" s="2"/>
      <c r="T796" s="2"/>
    </row>
    <row r="797" spans="1:20" ht="15.75" customHeight="1">
      <c r="A797" s="1"/>
      <c r="B797" s="2"/>
      <c r="C797" s="2"/>
      <c r="D797" s="2"/>
      <c r="E797" s="2"/>
      <c r="F797" s="2"/>
      <c r="G797" s="2"/>
      <c r="H797" s="2"/>
      <c r="I797" s="2"/>
      <c r="J797" s="2"/>
      <c r="K797" s="2"/>
      <c r="L797" s="2"/>
      <c r="M797" s="2"/>
      <c r="N797" s="2"/>
      <c r="O797" s="2"/>
      <c r="P797" s="2"/>
      <c r="Q797" s="2"/>
      <c r="R797" s="2"/>
      <c r="S797" s="2"/>
      <c r="T797" s="2"/>
    </row>
    <row r="798" spans="1:20" ht="15.75" customHeight="1">
      <c r="A798" s="1"/>
      <c r="B798" s="2"/>
      <c r="C798" s="2"/>
      <c r="D798" s="2"/>
      <c r="E798" s="2"/>
      <c r="F798" s="2"/>
      <c r="G798" s="2"/>
      <c r="H798" s="2"/>
      <c r="I798" s="2"/>
      <c r="J798" s="2"/>
      <c r="K798" s="2"/>
      <c r="L798" s="2"/>
      <c r="M798" s="2"/>
      <c r="N798" s="2"/>
      <c r="O798" s="2"/>
      <c r="P798" s="2"/>
      <c r="Q798" s="2"/>
      <c r="R798" s="2"/>
      <c r="S798" s="2"/>
      <c r="T798" s="2"/>
    </row>
    <row r="799" spans="1:20" ht="15.75" customHeight="1">
      <c r="A799" s="1"/>
      <c r="B799" s="2"/>
      <c r="C799" s="2"/>
      <c r="D799" s="2"/>
      <c r="E799" s="2"/>
      <c r="F799" s="2"/>
      <c r="G799" s="2"/>
      <c r="H799" s="2"/>
      <c r="I799" s="2"/>
      <c r="J799" s="2"/>
      <c r="K799" s="2"/>
      <c r="L799" s="2"/>
      <c r="M799" s="2"/>
      <c r="N799" s="2"/>
      <c r="O799" s="2"/>
      <c r="P799" s="2"/>
      <c r="Q799" s="2"/>
      <c r="R799" s="2"/>
      <c r="S799" s="2"/>
      <c r="T799" s="2"/>
    </row>
    <row r="800" spans="1:20" ht="15.75" customHeight="1">
      <c r="A800" s="1"/>
      <c r="B800" s="2"/>
      <c r="C800" s="2"/>
      <c r="D800" s="2"/>
      <c r="E800" s="2"/>
      <c r="F800" s="2"/>
      <c r="G800" s="2"/>
      <c r="H800" s="2"/>
      <c r="I800" s="2"/>
      <c r="J800" s="2"/>
      <c r="K800" s="2"/>
      <c r="L800" s="2"/>
      <c r="M800" s="2"/>
      <c r="N800" s="2"/>
      <c r="O800" s="2"/>
      <c r="P800" s="2"/>
      <c r="Q800" s="2"/>
      <c r="R800" s="2"/>
      <c r="S800" s="2"/>
      <c r="T800" s="2"/>
    </row>
    <row r="801" spans="1:20" ht="15.75" customHeight="1">
      <c r="A801" s="1"/>
      <c r="B801" s="2"/>
      <c r="C801" s="2"/>
      <c r="D801" s="2"/>
      <c r="E801" s="2"/>
      <c r="F801" s="2"/>
      <c r="G801" s="2"/>
      <c r="H801" s="2"/>
      <c r="I801" s="2"/>
      <c r="J801" s="2"/>
      <c r="K801" s="2"/>
      <c r="L801" s="2"/>
      <c r="M801" s="2"/>
      <c r="N801" s="2"/>
      <c r="O801" s="2"/>
      <c r="P801" s="2"/>
      <c r="Q801" s="2"/>
      <c r="R801" s="2"/>
      <c r="S801" s="2"/>
      <c r="T801" s="2"/>
    </row>
    <row r="802" spans="1:20" ht="15.75" customHeight="1">
      <c r="A802" s="1"/>
      <c r="B802" s="2"/>
      <c r="C802" s="2"/>
      <c r="D802" s="2"/>
      <c r="E802" s="2"/>
      <c r="F802" s="2"/>
      <c r="G802" s="2"/>
      <c r="H802" s="2"/>
      <c r="I802" s="2"/>
      <c r="J802" s="2"/>
      <c r="K802" s="2"/>
      <c r="L802" s="2"/>
      <c r="M802" s="2"/>
      <c r="N802" s="2"/>
      <c r="O802" s="2"/>
      <c r="P802" s="2"/>
      <c r="Q802" s="2"/>
      <c r="R802" s="2"/>
      <c r="S802" s="2"/>
      <c r="T802" s="2"/>
    </row>
    <row r="803" spans="1:20" ht="15.75" customHeight="1">
      <c r="A803" s="1"/>
      <c r="B803" s="2"/>
      <c r="C803" s="2"/>
      <c r="D803" s="2"/>
      <c r="E803" s="2"/>
      <c r="F803" s="2"/>
      <c r="G803" s="2"/>
      <c r="H803" s="2"/>
      <c r="I803" s="2"/>
      <c r="J803" s="2"/>
      <c r="K803" s="2"/>
      <c r="L803" s="2"/>
      <c r="M803" s="2"/>
      <c r="N803" s="2"/>
      <c r="O803" s="2"/>
      <c r="P803" s="2"/>
      <c r="Q803" s="2"/>
      <c r="R803" s="2"/>
      <c r="S803" s="2"/>
      <c r="T803" s="2"/>
    </row>
    <row r="804" spans="1:20" ht="15.75" customHeight="1">
      <c r="A804" s="1"/>
      <c r="B804" s="2"/>
      <c r="C804" s="2"/>
      <c r="D804" s="2"/>
      <c r="E804" s="2"/>
      <c r="F804" s="2"/>
      <c r="G804" s="2"/>
      <c r="H804" s="2"/>
      <c r="I804" s="2"/>
      <c r="J804" s="2"/>
      <c r="K804" s="2"/>
      <c r="L804" s="2"/>
      <c r="M804" s="2"/>
      <c r="N804" s="2"/>
      <c r="O804" s="2"/>
      <c r="P804" s="2"/>
      <c r="Q804" s="2"/>
      <c r="R804" s="2"/>
      <c r="S804" s="2"/>
      <c r="T804" s="2"/>
    </row>
    <row r="805" spans="1:20" ht="15.75" customHeight="1">
      <c r="A805" s="1"/>
      <c r="B805" s="2"/>
      <c r="C805" s="2"/>
      <c r="D805" s="2"/>
      <c r="E805" s="2"/>
      <c r="F805" s="2"/>
      <c r="G805" s="2"/>
      <c r="H805" s="2"/>
      <c r="I805" s="2"/>
      <c r="J805" s="2"/>
      <c r="K805" s="2"/>
      <c r="L805" s="2"/>
      <c r="M805" s="2"/>
      <c r="N805" s="2"/>
      <c r="O805" s="2"/>
      <c r="P805" s="2"/>
      <c r="Q805" s="2"/>
      <c r="R805" s="2"/>
      <c r="S805" s="2"/>
      <c r="T805" s="2"/>
    </row>
    <row r="806" spans="1:20" ht="15.75" customHeight="1">
      <c r="A806" s="1"/>
      <c r="B806" s="2"/>
      <c r="C806" s="2"/>
      <c r="D806" s="2"/>
      <c r="E806" s="2"/>
      <c r="F806" s="2"/>
      <c r="G806" s="2"/>
      <c r="H806" s="2"/>
      <c r="I806" s="2"/>
      <c r="J806" s="2"/>
      <c r="K806" s="2"/>
      <c r="L806" s="2"/>
      <c r="M806" s="2"/>
      <c r="N806" s="2"/>
      <c r="O806" s="2"/>
      <c r="P806" s="2"/>
      <c r="Q806" s="2"/>
      <c r="R806" s="2"/>
      <c r="S806" s="2"/>
      <c r="T806" s="2"/>
    </row>
    <row r="807" spans="1:20" ht="15.75" customHeight="1">
      <c r="A807" s="1"/>
      <c r="B807" s="2"/>
      <c r="C807" s="2"/>
      <c r="D807" s="2"/>
      <c r="E807" s="2"/>
      <c r="F807" s="2"/>
      <c r="G807" s="2"/>
      <c r="H807" s="2"/>
      <c r="I807" s="2"/>
      <c r="J807" s="2"/>
      <c r="K807" s="2"/>
      <c r="L807" s="2"/>
      <c r="M807" s="2"/>
      <c r="N807" s="2"/>
      <c r="O807" s="2"/>
      <c r="P807" s="2"/>
      <c r="Q807" s="2"/>
      <c r="R807" s="2"/>
      <c r="S807" s="2"/>
      <c r="T807" s="2"/>
    </row>
    <row r="808" spans="1:20" ht="15.75" customHeight="1">
      <c r="A808" s="1"/>
      <c r="B808" s="2"/>
      <c r="C808" s="2"/>
      <c r="D808" s="2"/>
      <c r="E808" s="2"/>
      <c r="F808" s="2"/>
      <c r="G808" s="2"/>
      <c r="H808" s="2"/>
      <c r="I808" s="2"/>
      <c r="J808" s="2"/>
      <c r="K808" s="2"/>
      <c r="L808" s="2"/>
      <c r="M808" s="2"/>
      <c r="N808" s="2"/>
      <c r="O808" s="2"/>
      <c r="P808" s="2"/>
      <c r="Q808" s="2"/>
      <c r="R808" s="2"/>
      <c r="S808" s="2"/>
      <c r="T808" s="2"/>
    </row>
    <row r="809" spans="1:20" ht="15.75" customHeight="1">
      <c r="A809" s="1"/>
      <c r="B809" s="2"/>
      <c r="C809" s="2"/>
      <c r="D809" s="2"/>
      <c r="E809" s="2"/>
      <c r="F809" s="2"/>
      <c r="G809" s="2"/>
      <c r="H809" s="2"/>
      <c r="I809" s="2"/>
      <c r="J809" s="2"/>
      <c r="K809" s="2"/>
      <c r="L809" s="2"/>
      <c r="M809" s="2"/>
      <c r="N809" s="2"/>
      <c r="O809" s="2"/>
      <c r="P809" s="2"/>
      <c r="Q809" s="2"/>
      <c r="R809" s="2"/>
      <c r="S809" s="2"/>
      <c r="T809" s="2"/>
    </row>
    <row r="810" spans="1:20" ht="15.75" customHeight="1">
      <c r="A810" s="1"/>
      <c r="B810" s="2"/>
      <c r="C810" s="2"/>
      <c r="D810" s="2"/>
      <c r="E810" s="2"/>
      <c r="F810" s="2"/>
      <c r="G810" s="2"/>
      <c r="H810" s="2"/>
      <c r="I810" s="2"/>
      <c r="J810" s="2"/>
      <c r="K810" s="2"/>
      <c r="L810" s="2"/>
      <c r="M810" s="2"/>
      <c r="N810" s="2"/>
      <c r="O810" s="2"/>
      <c r="P810" s="2"/>
      <c r="Q810" s="2"/>
      <c r="R810" s="2"/>
      <c r="S810" s="2"/>
      <c r="T810" s="2"/>
    </row>
    <row r="811" spans="1:20" ht="15.75" customHeight="1">
      <c r="A811" s="1"/>
      <c r="B811" s="2"/>
      <c r="C811" s="2"/>
      <c r="D811" s="2"/>
      <c r="E811" s="2"/>
      <c r="F811" s="2"/>
      <c r="G811" s="2"/>
      <c r="H811" s="2"/>
      <c r="I811" s="2"/>
      <c r="J811" s="2"/>
      <c r="K811" s="2"/>
      <c r="L811" s="2"/>
      <c r="M811" s="2"/>
      <c r="N811" s="2"/>
      <c r="O811" s="2"/>
      <c r="P811" s="2"/>
      <c r="Q811" s="2"/>
      <c r="R811" s="2"/>
      <c r="S811" s="2"/>
      <c r="T811" s="2"/>
    </row>
    <row r="812" spans="1:20" ht="15.75" customHeight="1">
      <c r="A812" s="1"/>
      <c r="B812" s="2"/>
      <c r="C812" s="2"/>
      <c r="D812" s="2"/>
      <c r="E812" s="2"/>
      <c r="F812" s="2"/>
      <c r="G812" s="2"/>
      <c r="H812" s="2"/>
      <c r="I812" s="2"/>
      <c r="J812" s="2"/>
      <c r="K812" s="2"/>
      <c r="L812" s="2"/>
      <c r="M812" s="2"/>
      <c r="N812" s="2"/>
      <c r="O812" s="2"/>
      <c r="P812" s="2"/>
      <c r="Q812" s="2"/>
      <c r="R812" s="2"/>
      <c r="S812" s="2"/>
      <c r="T812" s="2"/>
    </row>
    <row r="813" spans="1:20" ht="15.75" customHeight="1">
      <c r="A813" s="1"/>
      <c r="B813" s="2"/>
      <c r="C813" s="2"/>
      <c r="D813" s="2"/>
      <c r="E813" s="2"/>
      <c r="F813" s="2"/>
      <c r="G813" s="2"/>
      <c r="H813" s="2"/>
      <c r="I813" s="2"/>
      <c r="J813" s="2"/>
      <c r="K813" s="2"/>
      <c r="L813" s="2"/>
      <c r="M813" s="2"/>
      <c r="N813" s="2"/>
      <c r="O813" s="2"/>
      <c r="P813" s="2"/>
      <c r="Q813" s="2"/>
      <c r="R813" s="2"/>
      <c r="S813" s="2"/>
      <c r="T813" s="2"/>
    </row>
    <row r="814" spans="1:20" ht="15.75" customHeight="1">
      <c r="A814" s="1"/>
      <c r="B814" s="2"/>
      <c r="C814" s="2"/>
      <c r="D814" s="2"/>
      <c r="E814" s="2"/>
      <c r="F814" s="2"/>
      <c r="G814" s="2"/>
      <c r="H814" s="2"/>
      <c r="I814" s="2"/>
      <c r="J814" s="2"/>
      <c r="K814" s="2"/>
      <c r="L814" s="2"/>
      <c r="M814" s="2"/>
      <c r="N814" s="2"/>
      <c r="O814" s="2"/>
      <c r="P814" s="2"/>
      <c r="Q814" s="2"/>
      <c r="R814" s="2"/>
      <c r="S814" s="2"/>
      <c r="T814" s="2"/>
    </row>
    <row r="815" spans="1:20" ht="15.75" customHeight="1">
      <c r="A815" s="1"/>
      <c r="B815" s="2"/>
      <c r="C815" s="2"/>
      <c r="D815" s="2"/>
      <c r="E815" s="2"/>
      <c r="F815" s="2"/>
      <c r="G815" s="2"/>
      <c r="H815" s="2"/>
      <c r="I815" s="2"/>
      <c r="J815" s="2"/>
      <c r="K815" s="2"/>
      <c r="L815" s="2"/>
      <c r="M815" s="2"/>
      <c r="N815" s="2"/>
      <c r="O815" s="2"/>
      <c r="P815" s="2"/>
      <c r="Q815" s="2"/>
      <c r="R815" s="2"/>
      <c r="S815" s="2"/>
      <c r="T815" s="2"/>
    </row>
    <row r="816" spans="1:20" ht="15.75" customHeight="1">
      <c r="A816" s="1"/>
      <c r="B816" s="2"/>
      <c r="C816" s="2"/>
      <c r="D816" s="2"/>
      <c r="E816" s="2"/>
      <c r="F816" s="2"/>
      <c r="G816" s="2"/>
      <c r="H816" s="2"/>
      <c r="I816" s="2"/>
      <c r="J816" s="2"/>
      <c r="K816" s="2"/>
      <c r="L816" s="2"/>
      <c r="M816" s="2"/>
      <c r="N816" s="2"/>
      <c r="O816" s="2"/>
      <c r="P816" s="2"/>
      <c r="Q816" s="2"/>
      <c r="R816" s="2"/>
      <c r="S816" s="2"/>
      <c r="T816" s="2"/>
    </row>
    <row r="817" spans="1:20" ht="15.75" customHeight="1">
      <c r="A817" s="1"/>
      <c r="B817" s="2"/>
      <c r="C817" s="2"/>
      <c r="D817" s="2"/>
      <c r="E817" s="2"/>
      <c r="F817" s="2"/>
      <c r="G817" s="2"/>
      <c r="H817" s="2"/>
      <c r="I817" s="2"/>
      <c r="J817" s="2"/>
      <c r="K817" s="2"/>
      <c r="L817" s="2"/>
      <c r="M817" s="2"/>
      <c r="N817" s="2"/>
      <c r="O817" s="2"/>
      <c r="P817" s="2"/>
      <c r="Q817" s="2"/>
      <c r="R817" s="2"/>
      <c r="S817" s="2"/>
      <c r="T817" s="2"/>
    </row>
    <row r="818" spans="1:20" ht="15.75" customHeight="1">
      <c r="A818" s="1"/>
      <c r="B818" s="2"/>
      <c r="C818" s="2"/>
      <c r="D818" s="2"/>
      <c r="E818" s="2"/>
      <c r="F818" s="2"/>
      <c r="G818" s="2"/>
      <c r="H818" s="2"/>
      <c r="I818" s="2"/>
      <c r="J818" s="2"/>
      <c r="K818" s="2"/>
      <c r="L818" s="2"/>
      <c r="M818" s="2"/>
      <c r="N818" s="2"/>
      <c r="O818" s="2"/>
      <c r="P818" s="2"/>
      <c r="Q818" s="2"/>
      <c r="R818" s="2"/>
      <c r="S818" s="2"/>
      <c r="T818" s="2"/>
    </row>
    <row r="819" spans="1:20" ht="15.75" customHeight="1">
      <c r="A819" s="1"/>
      <c r="B819" s="2"/>
      <c r="C819" s="2"/>
      <c r="D819" s="2"/>
      <c r="E819" s="2"/>
      <c r="F819" s="2"/>
      <c r="G819" s="2"/>
      <c r="H819" s="2"/>
      <c r="I819" s="2"/>
      <c r="J819" s="2"/>
      <c r="K819" s="2"/>
      <c r="L819" s="2"/>
      <c r="M819" s="2"/>
      <c r="N819" s="2"/>
      <c r="O819" s="2"/>
      <c r="P819" s="2"/>
      <c r="Q819" s="2"/>
      <c r="R819" s="2"/>
      <c r="S819" s="2"/>
      <c r="T819" s="2"/>
    </row>
    <row r="820" spans="1:20" ht="15.75" customHeight="1">
      <c r="A820" s="1"/>
      <c r="B820" s="2"/>
      <c r="C820" s="2"/>
      <c r="D820" s="2"/>
      <c r="E820" s="2"/>
      <c r="F820" s="2"/>
      <c r="G820" s="2"/>
      <c r="H820" s="2"/>
      <c r="I820" s="2"/>
      <c r="J820" s="2"/>
      <c r="K820" s="2"/>
      <c r="L820" s="2"/>
      <c r="M820" s="2"/>
      <c r="N820" s="2"/>
      <c r="O820" s="2"/>
      <c r="P820" s="2"/>
      <c r="Q820" s="2"/>
      <c r="R820" s="2"/>
      <c r="S820" s="2"/>
      <c r="T820" s="2"/>
    </row>
    <row r="821" spans="1:20" ht="15.75" customHeight="1">
      <c r="A821" s="1"/>
      <c r="B821" s="2"/>
      <c r="C821" s="2"/>
      <c r="D821" s="2"/>
      <c r="E821" s="2"/>
      <c r="F821" s="2"/>
      <c r="G821" s="2"/>
      <c r="H821" s="2"/>
      <c r="I821" s="2"/>
      <c r="J821" s="2"/>
      <c r="K821" s="2"/>
      <c r="L821" s="2"/>
      <c r="M821" s="2"/>
      <c r="N821" s="2"/>
      <c r="O821" s="2"/>
      <c r="P821" s="2"/>
      <c r="Q821" s="2"/>
      <c r="R821" s="2"/>
      <c r="S821" s="2"/>
      <c r="T821" s="2"/>
    </row>
    <row r="822" spans="1:20" ht="15.75" customHeight="1">
      <c r="A822" s="1"/>
      <c r="B822" s="2"/>
      <c r="C822" s="2"/>
      <c r="D822" s="2"/>
      <c r="E822" s="2"/>
      <c r="F822" s="2"/>
      <c r="G822" s="2"/>
      <c r="H822" s="2"/>
      <c r="I822" s="2"/>
      <c r="J822" s="2"/>
      <c r="K822" s="2"/>
      <c r="L822" s="2"/>
      <c r="M822" s="2"/>
      <c r="N822" s="2"/>
      <c r="O822" s="2"/>
      <c r="P822" s="2"/>
      <c r="Q822" s="2"/>
      <c r="R822" s="2"/>
      <c r="S822" s="2"/>
      <c r="T822" s="2"/>
    </row>
    <row r="823" spans="1:20" ht="15.75" customHeight="1">
      <c r="A823" s="1"/>
      <c r="B823" s="2"/>
      <c r="C823" s="2"/>
      <c r="D823" s="2"/>
      <c r="E823" s="2"/>
      <c r="F823" s="2"/>
      <c r="G823" s="2"/>
      <c r="H823" s="2"/>
      <c r="I823" s="2"/>
      <c r="J823" s="2"/>
      <c r="K823" s="2"/>
      <c r="L823" s="2"/>
      <c r="M823" s="2"/>
      <c r="N823" s="2"/>
      <c r="O823" s="2"/>
      <c r="P823" s="2"/>
      <c r="Q823" s="2"/>
      <c r="R823" s="2"/>
      <c r="S823" s="2"/>
      <c r="T823" s="2"/>
    </row>
    <row r="824" spans="1:20" ht="15.75" customHeight="1">
      <c r="A824" s="1"/>
      <c r="B824" s="2"/>
      <c r="C824" s="2"/>
      <c r="D824" s="2"/>
      <c r="E824" s="2"/>
      <c r="F824" s="2"/>
      <c r="G824" s="2"/>
      <c r="H824" s="2"/>
      <c r="I824" s="2"/>
      <c r="J824" s="2"/>
      <c r="K824" s="2"/>
      <c r="L824" s="2"/>
      <c r="M824" s="2"/>
      <c r="N824" s="2"/>
      <c r="O824" s="2"/>
      <c r="P824" s="2"/>
      <c r="Q824" s="2"/>
      <c r="R824" s="2"/>
      <c r="S824" s="2"/>
      <c r="T824" s="2"/>
    </row>
    <row r="825" spans="1:20" ht="15.75" customHeight="1">
      <c r="A825" s="1"/>
      <c r="B825" s="2"/>
      <c r="C825" s="2"/>
      <c r="D825" s="2"/>
      <c r="E825" s="2"/>
      <c r="F825" s="2"/>
      <c r="G825" s="2"/>
      <c r="H825" s="2"/>
      <c r="I825" s="2"/>
      <c r="J825" s="2"/>
      <c r="K825" s="2"/>
      <c r="L825" s="2"/>
      <c r="M825" s="2"/>
      <c r="N825" s="2"/>
      <c r="O825" s="2"/>
      <c r="P825" s="2"/>
      <c r="Q825" s="2"/>
      <c r="R825" s="2"/>
      <c r="S825" s="2"/>
      <c r="T825" s="2"/>
    </row>
    <row r="826" spans="1:20" ht="15.75" customHeight="1">
      <c r="A826" s="1"/>
      <c r="B826" s="2"/>
      <c r="C826" s="2"/>
      <c r="D826" s="2"/>
      <c r="E826" s="2"/>
      <c r="F826" s="2"/>
      <c r="G826" s="2"/>
      <c r="H826" s="2"/>
      <c r="I826" s="2"/>
      <c r="J826" s="2"/>
      <c r="K826" s="2"/>
      <c r="L826" s="2"/>
      <c r="M826" s="2"/>
      <c r="N826" s="2"/>
      <c r="O826" s="2"/>
      <c r="P826" s="2"/>
      <c r="Q826" s="2"/>
      <c r="R826" s="2"/>
      <c r="S826" s="2"/>
      <c r="T826" s="2"/>
    </row>
    <row r="827" spans="1:20" ht="15.75" customHeight="1">
      <c r="A827" s="1"/>
      <c r="B827" s="2"/>
      <c r="C827" s="2"/>
      <c r="D827" s="2"/>
      <c r="E827" s="2"/>
      <c r="F827" s="2"/>
      <c r="G827" s="2"/>
      <c r="H827" s="2"/>
      <c r="I827" s="2"/>
      <c r="J827" s="2"/>
      <c r="K827" s="2"/>
      <c r="L827" s="2"/>
      <c r="M827" s="2"/>
      <c r="N827" s="2"/>
      <c r="O827" s="2"/>
      <c r="P827" s="2"/>
      <c r="Q827" s="2"/>
      <c r="R827" s="2"/>
      <c r="S827" s="2"/>
      <c r="T827" s="2"/>
    </row>
    <row r="828" spans="1:20" ht="15.75" customHeight="1">
      <c r="A828" s="1"/>
      <c r="B828" s="2"/>
      <c r="C828" s="2"/>
      <c r="D828" s="2"/>
      <c r="E828" s="2"/>
      <c r="F828" s="2"/>
      <c r="G828" s="2"/>
      <c r="H828" s="2"/>
      <c r="I828" s="2"/>
      <c r="J828" s="2"/>
      <c r="K828" s="2"/>
      <c r="L828" s="2"/>
      <c r="M828" s="2"/>
      <c r="N828" s="2"/>
      <c r="O828" s="2"/>
      <c r="P828" s="2"/>
      <c r="Q828" s="2"/>
      <c r="R828" s="2"/>
      <c r="S828" s="2"/>
      <c r="T828" s="2"/>
    </row>
    <row r="829" spans="1:20" ht="15.75" customHeight="1">
      <c r="A829" s="1"/>
      <c r="B829" s="2"/>
      <c r="C829" s="2"/>
      <c r="D829" s="2"/>
      <c r="E829" s="2"/>
      <c r="F829" s="2"/>
      <c r="G829" s="2"/>
      <c r="H829" s="2"/>
      <c r="I829" s="2"/>
      <c r="J829" s="2"/>
      <c r="K829" s="2"/>
      <c r="L829" s="2"/>
      <c r="M829" s="2"/>
      <c r="N829" s="2"/>
      <c r="O829" s="2"/>
      <c r="P829" s="2"/>
      <c r="Q829" s="2"/>
      <c r="R829" s="2"/>
      <c r="S829" s="2"/>
      <c r="T829" s="2"/>
    </row>
    <row r="830" spans="1:20" ht="15.75" customHeight="1">
      <c r="A830" s="1"/>
      <c r="B830" s="2"/>
      <c r="C830" s="2"/>
      <c r="D830" s="2"/>
      <c r="E830" s="2"/>
      <c r="F830" s="2"/>
      <c r="G830" s="2"/>
      <c r="H830" s="2"/>
      <c r="I830" s="2"/>
      <c r="J830" s="2"/>
      <c r="K830" s="2"/>
      <c r="L830" s="2"/>
      <c r="M830" s="2"/>
      <c r="N830" s="2"/>
      <c r="O830" s="2"/>
      <c r="P830" s="2"/>
      <c r="Q830" s="2"/>
      <c r="R830" s="2"/>
      <c r="S830" s="2"/>
      <c r="T830" s="2"/>
    </row>
    <row r="831" spans="1:20" ht="15.75" customHeight="1">
      <c r="A831" s="1"/>
      <c r="B831" s="2"/>
      <c r="C831" s="2"/>
      <c r="D831" s="2"/>
      <c r="E831" s="2"/>
      <c r="F831" s="2"/>
      <c r="G831" s="2"/>
      <c r="H831" s="2"/>
      <c r="I831" s="2"/>
      <c r="J831" s="2"/>
      <c r="K831" s="2"/>
      <c r="L831" s="2"/>
      <c r="M831" s="2"/>
      <c r="N831" s="2"/>
      <c r="O831" s="2"/>
      <c r="P831" s="2"/>
      <c r="Q831" s="2"/>
      <c r="R831" s="2"/>
      <c r="S831" s="2"/>
      <c r="T831" s="2"/>
    </row>
    <row r="832" spans="1:20" ht="15.75" customHeight="1">
      <c r="A832" s="1"/>
      <c r="B832" s="2"/>
      <c r="C832" s="2"/>
      <c r="D832" s="2"/>
      <c r="E832" s="2"/>
      <c r="F832" s="2"/>
      <c r="G832" s="2"/>
      <c r="H832" s="2"/>
      <c r="I832" s="2"/>
      <c r="J832" s="2"/>
      <c r="K832" s="2"/>
      <c r="L832" s="2"/>
      <c r="M832" s="2"/>
      <c r="N832" s="2"/>
      <c r="O832" s="2"/>
      <c r="P832" s="2"/>
      <c r="Q832" s="2"/>
      <c r="R832" s="2"/>
      <c r="S832" s="2"/>
      <c r="T832" s="2"/>
    </row>
    <row r="833" spans="1:20" ht="15.75" customHeight="1">
      <c r="A833" s="1"/>
      <c r="B833" s="2"/>
      <c r="C833" s="2"/>
      <c r="D833" s="2"/>
      <c r="E833" s="2"/>
      <c r="F833" s="2"/>
      <c r="G833" s="2"/>
      <c r="H833" s="2"/>
      <c r="I833" s="2"/>
      <c r="J833" s="2"/>
      <c r="K833" s="2"/>
      <c r="L833" s="2"/>
      <c r="M833" s="2"/>
      <c r="N833" s="2"/>
      <c r="O833" s="2"/>
      <c r="P833" s="2"/>
      <c r="Q833" s="2"/>
      <c r="R833" s="2"/>
      <c r="S833" s="2"/>
      <c r="T833" s="2"/>
    </row>
    <row r="834" spans="1:20" ht="15.75" customHeight="1">
      <c r="A834" s="1"/>
      <c r="B834" s="2"/>
      <c r="C834" s="2"/>
      <c r="D834" s="2"/>
      <c r="E834" s="2"/>
      <c r="F834" s="2"/>
      <c r="G834" s="2"/>
      <c r="H834" s="2"/>
      <c r="I834" s="2"/>
      <c r="J834" s="2"/>
      <c r="K834" s="2"/>
      <c r="L834" s="2"/>
      <c r="M834" s="2"/>
      <c r="N834" s="2"/>
      <c r="O834" s="2"/>
      <c r="P834" s="2"/>
      <c r="Q834" s="2"/>
      <c r="R834" s="2"/>
      <c r="S834" s="2"/>
      <c r="T834" s="2"/>
    </row>
    <row r="835" spans="1:20" ht="15.75" customHeight="1">
      <c r="A835" s="1"/>
      <c r="B835" s="2"/>
      <c r="C835" s="2"/>
      <c r="D835" s="2"/>
      <c r="E835" s="2"/>
      <c r="F835" s="2"/>
      <c r="G835" s="2"/>
      <c r="H835" s="2"/>
      <c r="I835" s="2"/>
      <c r="J835" s="2"/>
      <c r="K835" s="2"/>
      <c r="L835" s="2"/>
      <c r="M835" s="2"/>
      <c r="N835" s="2"/>
      <c r="O835" s="2"/>
      <c r="P835" s="2"/>
      <c r="Q835" s="2"/>
      <c r="R835" s="2"/>
      <c r="S835" s="2"/>
      <c r="T835" s="2"/>
    </row>
    <row r="836" spans="1:20" ht="15.75" customHeight="1">
      <c r="A836" s="1"/>
      <c r="B836" s="2"/>
      <c r="C836" s="2"/>
      <c r="D836" s="2"/>
      <c r="E836" s="2"/>
      <c r="F836" s="2"/>
      <c r="G836" s="2"/>
      <c r="H836" s="2"/>
      <c r="I836" s="2"/>
      <c r="J836" s="2"/>
      <c r="K836" s="2"/>
      <c r="L836" s="2"/>
      <c r="M836" s="2"/>
      <c r="N836" s="2"/>
      <c r="O836" s="2"/>
      <c r="P836" s="2"/>
      <c r="Q836" s="2"/>
      <c r="R836" s="2"/>
      <c r="S836" s="2"/>
      <c r="T836" s="2"/>
    </row>
    <row r="837" spans="1:20" ht="15.75" customHeight="1">
      <c r="A837" s="1"/>
      <c r="B837" s="2"/>
      <c r="C837" s="2"/>
      <c r="D837" s="2"/>
      <c r="E837" s="2"/>
      <c r="F837" s="2"/>
      <c r="G837" s="2"/>
      <c r="H837" s="2"/>
      <c r="I837" s="2"/>
      <c r="J837" s="2"/>
      <c r="K837" s="2"/>
      <c r="L837" s="2"/>
      <c r="M837" s="2"/>
      <c r="N837" s="2"/>
      <c r="O837" s="2"/>
      <c r="P837" s="2"/>
      <c r="Q837" s="2"/>
      <c r="R837" s="2"/>
      <c r="S837" s="2"/>
      <c r="T837" s="2"/>
    </row>
    <row r="838" spans="1:20" ht="15.75" customHeight="1">
      <c r="A838" s="1"/>
      <c r="B838" s="2"/>
      <c r="C838" s="2"/>
      <c r="D838" s="2"/>
      <c r="E838" s="2"/>
      <c r="F838" s="2"/>
      <c r="G838" s="2"/>
      <c r="H838" s="2"/>
      <c r="I838" s="2"/>
      <c r="J838" s="2"/>
      <c r="K838" s="2"/>
      <c r="L838" s="2"/>
      <c r="M838" s="2"/>
      <c r="N838" s="2"/>
      <c r="O838" s="2"/>
      <c r="P838" s="2"/>
      <c r="Q838" s="2"/>
      <c r="R838" s="2"/>
      <c r="S838" s="2"/>
      <c r="T838" s="2"/>
    </row>
    <row r="839" spans="1:20" ht="15.75" customHeight="1">
      <c r="A839" s="1"/>
      <c r="B839" s="2"/>
      <c r="C839" s="2"/>
      <c r="D839" s="2"/>
      <c r="E839" s="2"/>
      <c r="F839" s="2"/>
      <c r="G839" s="2"/>
      <c r="H839" s="2"/>
      <c r="I839" s="2"/>
      <c r="J839" s="2"/>
      <c r="K839" s="2"/>
      <c r="L839" s="2"/>
      <c r="M839" s="2"/>
      <c r="N839" s="2"/>
      <c r="O839" s="2"/>
      <c r="P839" s="2"/>
      <c r="Q839" s="2"/>
      <c r="R839" s="2"/>
      <c r="S839" s="2"/>
      <c r="T839" s="2"/>
    </row>
    <row r="840" spans="1:20" ht="15.75" customHeight="1">
      <c r="A840" s="1"/>
      <c r="B840" s="2"/>
      <c r="C840" s="2"/>
      <c r="D840" s="2"/>
      <c r="E840" s="2"/>
      <c r="F840" s="2"/>
      <c r="G840" s="2"/>
      <c r="H840" s="2"/>
      <c r="I840" s="2"/>
      <c r="J840" s="2"/>
      <c r="K840" s="2"/>
      <c r="L840" s="2"/>
      <c r="M840" s="2"/>
      <c r="N840" s="2"/>
      <c r="O840" s="2"/>
      <c r="P840" s="2"/>
      <c r="Q840" s="2"/>
      <c r="R840" s="2"/>
      <c r="S840" s="2"/>
      <c r="T840" s="2"/>
    </row>
    <row r="841" spans="1:20" ht="15.75" customHeight="1">
      <c r="A841" s="1"/>
      <c r="B841" s="2"/>
      <c r="C841" s="2"/>
      <c r="D841" s="2"/>
      <c r="E841" s="2"/>
      <c r="F841" s="2"/>
      <c r="G841" s="2"/>
      <c r="H841" s="2"/>
      <c r="I841" s="2"/>
      <c r="J841" s="2"/>
      <c r="K841" s="2"/>
      <c r="L841" s="2"/>
      <c r="M841" s="2"/>
      <c r="N841" s="2"/>
      <c r="O841" s="2"/>
      <c r="P841" s="2"/>
      <c r="Q841" s="2"/>
      <c r="R841" s="2"/>
      <c r="S841" s="2"/>
      <c r="T841" s="2"/>
    </row>
    <row r="842" spans="1:20" ht="15.75" customHeight="1">
      <c r="A842" s="1"/>
      <c r="B842" s="2"/>
      <c r="C842" s="2"/>
      <c r="D842" s="2"/>
      <c r="E842" s="2"/>
      <c r="F842" s="2"/>
      <c r="G842" s="2"/>
      <c r="H842" s="2"/>
      <c r="I842" s="2"/>
      <c r="J842" s="2"/>
      <c r="K842" s="2"/>
      <c r="L842" s="2"/>
      <c r="M842" s="2"/>
      <c r="N842" s="2"/>
      <c r="O842" s="2"/>
      <c r="P842" s="2"/>
      <c r="Q842" s="2"/>
      <c r="R842" s="2"/>
      <c r="S842" s="2"/>
      <c r="T842" s="2"/>
    </row>
    <row r="843" spans="1:20" ht="15.75" customHeight="1">
      <c r="A843" s="1"/>
      <c r="B843" s="2"/>
      <c r="C843" s="2"/>
      <c r="D843" s="2"/>
      <c r="E843" s="2"/>
      <c r="F843" s="2"/>
      <c r="G843" s="2"/>
      <c r="H843" s="2"/>
      <c r="I843" s="2"/>
      <c r="J843" s="2"/>
      <c r="K843" s="2"/>
      <c r="L843" s="2"/>
      <c r="M843" s="2"/>
      <c r="N843" s="2"/>
      <c r="O843" s="2"/>
      <c r="P843" s="2"/>
      <c r="Q843" s="2"/>
      <c r="R843" s="2"/>
      <c r="S843" s="2"/>
      <c r="T843" s="2"/>
    </row>
    <row r="844" spans="1:20" ht="15.75" customHeight="1">
      <c r="A844" s="1"/>
      <c r="B844" s="2"/>
      <c r="C844" s="2"/>
      <c r="D844" s="2"/>
      <c r="E844" s="2"/>
      <c r="F844" s="2"/>
      <c r="G844" s="2"/>
      <c r="H844" s="2"/>
      <c r="I844" s="2"/>
      <c r="J844" s="2"/>
      <c r="K844" s="2"/>
      <c r="L844" s="2"/>
      <c r="M844" s="2"/>
      <c r="N844" s="2"/>
      <c r="O844" s="2"/>
      <c r="P844" s="2"/>
      <c r="Q844" s="2"/>
      <c r="R844" s="2"/>
      <c r="S844" s="2"/>
      <c r="T844" s="2"/>
    </row>
    <row r="845" spans="1:20" ht="15.75" customHeight="1">
      <c r="A845" s="1"/>
      <c r="B845" s="2"/>
      <c r="C845" s="2"/>
      <c r="D845" s="2"/>
      <c r="E845" s="2"/>
      <c r="F845" s="2"/>
      <c r="G845" s="2"/>
      <c r="H845" s="2"/>
      <c r="I845" s="2"/>
      <c r="J845" s="2"/>
      <c r="K845" s="2"/>
      <c r="L845" s="2"/>
      <c r="M845" s="2"/>
      <c r="N845" s="2"/>
      <c r="O845" s="2"/>
      <c r="P845" s="2"/>
      <c r="Q845" s="2"/>
      <c r="R845" s="2"/>
      <c r="S845" s="2"/>
      <c r="T845" s="2"/>
    </row>
    <row r="846" spans="1:20" ht="15.75" customHeight="1">
      <c r="A846" s="1"/>
      <c r="B846" s="2"/>
      <c r="C846" s="2"/>
      <c r="D846" s="2"/>
      <c r="E846" s="2"/>
      <c r="F846" s="2"/>
      <c r="G846" s="2"/>
      <c r="H846" s="2"/>
      <c r="I846" s="2"/>
      <c r="J846" s="2"/>
      <c r="K846" s="2"/>
      <c r="L846" s="2"/>
      <c r="M846" s="2"/>
      <c r="N846" s="2"/>
      <c r="O846" s="2"/>
      <c r="P846" s="2"/>
      <c r="Q846" s="2"/>
      <c r="R846" s="2"/>
      <c r="S846" s="2"/>
      <c r="T846" s="2"/>
    </row>
    <row r="847" spans="1:20" ht="15.75" customHeight="1">
      <c r="A847" s="1"/>
      <c r="B847" s="2"/>
      <c r="C847" s="2"/>
      <c r="D847" s="2"/>
      <c r="E847" s="2"/>
      <c r="F847" s="2"/>
      <c r="G847" s="2"/>
      <c r="H847" s="2"/>
      <c r="I847" s="2"/>
      <c r="J847" s="2"/>
      <c r="K847" s="2"/>
      <c r="L847" s="2"/>
      <c r="M847" s="2"/>
      <c r="N847" s="2"/>
      <c r="O847" s="2"/>
      <c r="P847" s="2"/>
      <c r="Q847" s="2"/>
      <c r="R847" s="2"/>
      <c r="S847" s="2"/>
      <c r="T847" s="2"/>
    </row>
    <row r="848" spans="1:20" ht="15.75" customHeight="1">
      <c r="A848" s="1"/>
      <c r="B848" s="2"/>
      <c r="C848" s="2"/>
      <c r="D848" s="2"/>
      <c r="E848" s="2"/>
      <c r="F848" s="2"/>
      <c r="G848" s="2"/>
      <c r="H848" s="2"/>
      <c r="I848" s="2"/>
      <c r="J848" s="2"/>
      <c r="K848" s="2"/>
      <c r="L848" s="2"/>
      <c r="M848" s="2"/>
      <c r="N848" s="2"/>
      <c r="O848" s="2"/>
      <c r="P848" s="2"/>
      <c r="Q848" s="2"/>
      <c r="R848" s="2"/>
      <c r="S848" s="2"/>
      <c r="T848" s="2"/>
    </row>
    <row r="849" spans="1:20" ht="15.75" customHeight="1">
      <c r="A849" s="1"/>
      <c r="B849" s="2"/>
      <c r="C849" s="2"/>
      <c r="D849" s="2"/>
      <c r="E849" s="2"/>
      <c r="F849" s="2"/>
      <c r="G849" s="2"/>
      <c r="H849" s="2"/>
      <c r="I849" s="2"/>
      <c r="J849" s="2"/>
      <c r="K849" s="2"/>
      <c r="L849" s="2"/>
      <c r="M849" s="2"/>
      <c r="N849" s="2"/>
      <c r="O849" s="2"/>
      <c r="P849" s="2"/>
      <c r="Q849" s="2"/>
      <c r="R849" s="2"/>
      <c r="S849" s="2"/>
      <c r="T849" s="2"/>
    </row>
    <row r="850" spans="1:20" ht="15.75" customHeight="1">
      <c r="A850" s="1"/>
      <c r="B850" s="2"/>
      <c r="C850" s="2"/>
      <c r="D850" s="2"/>
      <c r="E850" s="2"/>
      <c r="F850" s="2"/>
      <c r="G850" s="2"/>
      <c r="H850" s="2"/>
      <c r="I850" s="2"/>
      <c r="J850" s="2"/>
      <c r="K850" s="2"/>
      <c r="L850" s="2"/>
      <c r="M850" s="2"/>
      <c r="N850" s="2"/>
      <c r="O850" s="2"/>
      <c r="P850" s="2"/>
      <c r="Q850" s="2"/>
      <c r="R850" s="2"/>
      <c r="S850" s="2"/>
      <c r="T850" s="2"/>
    </row>
    <row r="851" spans="1:20" ht="15.75" customHeight="1">
      <c r="A851" s="1"/>
      <c r="B851" s="2"/>
      <c r="C851" s="2"/>
      <c r="D851" s="2"/>
      <c r="E851" s="2"/>
      <c r="F851" s="2"/>
      <c r="G851" s="2"/>
      <c r="H851" s="2"/>
      <c r="I851" s="2"/>
      <c r="J851" s="2"/>
      <c r="K851" s="2"/>
      <c r="L851" s="2"/>
      <c r="M851" s="2"/>
      <c r="N851" s="2"/>
      <c r="O851" s="2"/>
      <c r="P851" s="2"/>
      <c r="Q851" s="2"/>
      <c r="R851" s="2"/>
      <c r="S851" s="2"/>
      <c r="T851" s="2"/>
    </row>
    <row r="852" spans="1:20" ht="15.75" customHeight="1">
      <c r="A852" s="1"/>
      <c r="B852" s="2"/>
      <c r="C852" s="2"/>
      <c r="D852" s="2"/>
      <c r="E852" s="2"/>
      <c r="F852" s="2"/>
      <c r="G852" s="2"/>
      <c r="H852" s="2"/>
      <c r="I852" s="2"/>
      <c r="J852" s="2"/>
      <c r="K852" s="2"/>
      <c r="L852" s="2"/>
      <c r="M852" s="2"/>
      <c r="N852" s="2"/>
      <c r="O852" s="2"/>
      <c r="P852" s="2"/>
      <c r="Q852" s="2"/>
      <c r="R852" s="2"/>
      <c r="S852" s="2"/>
      <c r="T852" s="2"/>
    </row>
    <row r="853" spans="1:20" ht="15.75" customHeight="1">
      <c r="A853" s="1"/>
      <c r="B853" s="2"/>
      <c r="C853" s="2"/>
      <c r="D853" s="2"/>
      <c r="E853" s="2"/>
      <c r="F853" s="2"/>
      <c r="G853" s="2"/>
      <c r="H853" s="2"/>
      <c r="I853" s="2"/>
      <c r="J853" s="2"/>
      <c r="K853" s="2"/>
      <c r="L853" s="2"/>
      <c r="M853" s="2"/>
      <c r="N853" s="2"/>
      <c r="O853" s="2"/>
      <c r="P853" s="2"/>
      <c r="Q853" s="2"/>
      <c r="R853" s="2"/>
      <c r="S853" s="2"/>
      <c r="T853" s="2"/>
    </row>
    <row r="854" spans="1:20" ht="15.75" customHeight="1">
      <c r="A854" s="1"/>
      <c r="B854" s="2"/>
      <c r="C854" s="2"/>
      <c r="D854" s="2"/>
      <c r="E854" s="2"/>
      <c r="F854" s="2"/>
      <c r="G854" s="2"/>
      <c r="H854" s="2"/>
      <c r="I854" s="2"/>
      <c r="J854" s="2"/>
      <c r="K854" s="2"/>
      <c r="L854" s="2"/>
      <c r="M854" s="2"/>
      <c r="N854" s="2"/>
      <c r="O854" s="2"/>
      <c r="P854" s="2"/>
      <c r="Q854" s="2"/>
      <c r="R854" s="2"/>
      <c r="S854" s="2"/>
      <c r="T854" s="2"/>
    </row>
    <row r="855" spans="1:20" ht="15.75" customHeight="1">
      <c r="A855" s="1"/>
      <c r="B855" s="2"/>
      <c r="C855" s="2"/>
      <c r="D855" s="2"/>
      <c r="E855" s="2"/>
      <c r="F855" s="2"/>
      <c r="G855" s="2"/>
      <c r="H855" s="2"/>
      <c r="I855" s="2"/>
      <c r="J855" s="2"/>
      <c r="K855" s="2"/>
      <c r="L855" s="2"/>
      <c r="M855" s="2"/>
      <c r="N855" s="2"/>
      <c r="O855" s="2"/>
      <c r="P855" s="2"/>
      <c r="Q855" s="2"/>
      <c r="R855" s="2"/>
      <c r="S855" s="2"/>
      <c r="T855" s="2"/>
    </row>
    <row r="856" spans="1:20" ht="15.75" customHeight="1">
      <c r="A856" s="1"/>
      <c r="B856" s="2"/>
      <c r="C856" s="2"/>
      <c r="D856" s="2"/>
      <c r="E856" s="2"/>
      <c r="F856" s="2"/>
      <c r="G856" s="2"/>
      <c r="H856" s="2"/>
      <c r="I856" s="2"/>
      <c r="J856" s="2"/>
      <c r="K856" s="2"/>
      <c r="L856" s="2"/>
      <c r="M856" s="2"/>
      <c r="N856" s="2"/>
      <c r="O856" s="2"/>
      <c r="P856" s="2"/>
      <c r="Q856" s="2"/>
      <c r="R856" s="2"/>
      <c r="S856" s="2"/>
      <c r="T856" s="2"/>
    </row>
    <row r="857" spans="1:20" ht="15.75" customHeight="1">
      <c r="A857" s="1"/>
      <c r="B857" s="2"/>
      <c r="C857" s="2"/>
      <c r="D857" s="2"/>
      <c r="E857" s="2"/>
      <c r="F857" s="2"/>
      <c r="G857" s="2"/>
      <c r="H857" s="2"/>
      <c r="I857" s="2"/>
      <c r="J857" s="2"/>
      <c r="K857" s="2"/>
      <c r="L857" s="2"/>
      <c r="M857" s="2"/>
      <c r="N857" s="2"/>
      <c r="O857" s="2"/>
      <c r="P857" s="2"/>
      <c r="Q857" s="2"/>
      <c r="R857" s="2"/>
      <c r="S857" s="2"/>
      <c r="T857" s="2"/>
    </row>
    <row r="858" spans="1:20" ht="15.75" customHeight="1">
      <c r="A858" s="1"/>
      <c r="B858" s="2"/>
      <c r="C858" s="2"/>
      <c r="D858" s="2"/>
      <c r="E858" s="2"/>
      <c r="F858" s="2"/>
      <c r="G858" s="2"/>
      <c r="H858" s="2"/>
      <c r="I858" s="2"/>
      <c r="J858" s="2"/>
      <c r="K858" s="2"/>
      <c r="L858" s="2"/>
      <c r="M858" s="2"/>
      <c r="N858" s="2"/>
      <c r="O858" s="2"/>
      <c r="P858" s="2"/>
      <c r="Q858" s="2"/>
      <c r="R858" s="2"/>
      <c r="S858" s="2"/>
      <c r="T858" s="2"/>
    </row>
    <row r="859" spans="1:20" ht="15.75" customHeight="1">
      <c r="A859" s="1"/>
      <c r="B859" s="2"/>
      <c r="C859" s="2"/>
      <c r="D859" s="2"/>
      <c r="E859" s="2"/>
      <c r="F859" s="2"/>
      <c r="G859" s="2"/>
      <c r="H859" s="2"/>
      <c r="I859" s="2"/>
      <c r="J859" s="2"/>
      <c r="K859" s="2"/>
      <c r="L859" s="2"/>
      <c r="M859" s="2"/>
      <c r="N859" s="2"/>
      <c r="O859" s="2"/>
      <c r="P859" s="2"/>
      <c r="Q859" s="2"/>
      <c r="R859" s="2"/>
      <c r="S859" s="2"/>
      <c r="T859" s="2"/>
    </row>
    <row r="860" spans="1:20" ht="15.75" customHeight="1">
      <c r="A860" s="1"/>
      <c r="B860" s="2"/>
      <c r="C860" s="2"/>
      <c r="D860" s="2"/>
      <c r="E860" s="2"/>
      <c r="F860" s="2"/>
      <c r="G860" s="2"/>
      <c r="H860" s="2"/>
      <c r="I860" s="2"/>
      <c r="J860" s="2"/>
      <c r="K860" s="2"/>
      <c r="L860" s="2"/>
      <c r="M860" s="2"/>
      <c r="N860" s="2"/>
      <c r="O860" s="2"/>
      <c r="P860" s="2"/>
      <c r="Q860" s="2"/>
      <c r="R860" s="2"/>
      <c r="S860" s="2"/>
      <c r="T860" s="2"/>
    </row>
    <row r="861" spans="1:20" ht="15.75" customHeight="1">
      <c r="A861" s="1"/>
      <c r="B861" s="2"/>
      <c r="C861" s="2"/>
      <c r="D861" s="2"/>
      <c r="E861" s="2"/>
      <c r="F861" s="2"/>
      <c r="G861" s="2"/>
      <c r="H861" s="2"/>
      <c r="I861" s="2"/>
      <c r="J861" s="2"/>
      <c r="K861" s="2"/>
      <c r="L861" s="2"/>
      <c r="M861" s="2"/>
      <c r="N861" s="2"/>
      <c r="O861" s="2"/>
      <c r="P861" s="2"/>
      <c r="Q861" s="2"/>
      <c r="R861" s="2"/>
      <c r="S861" s="2"/>
      <c r="T861" s="2"/>
    </row>
    <row r="862" spans="1:20" ht="15.75" customHeight="1">
      <c r="A862" s="1"/>
      <c r="B862" s="2"/>
      <c r="C862" s="2"/>
      <c r="D862" s="2"/>
      <c r="E862" s="2"/>
      <c r="F862" s="2"/>
      <c r="G862" s="2"/>
      <c r="H862" s="2"/>
      <c r="I862" s="2"/>
      <c r="J862" s="2"/>
      <c r="K862" s="2"/>
      <c r="L862" s="2"/>
      <c r="M862" s="2"/>
      <c r="N862" s="2"/>
      <c r="O862" s="2"/>
      <c r="P862" s="2"/>
      <c r="Q862" s="2"/>
      <c r="R862" s="2"/>
      <c r="S862" s="2"/>
      <c r="T862" s="2"/>
    </row>
    <row r="863" spans="1:20" ht="15.75" customHeight="1">
      <c r="A863" s="1"/>
      <c r="B863" s="2"/>
      <c r="C863" s="2"/>
      <c r="D863" s="2"/>
      <c r="E863" s="2"/>
      <c r="F863" s="2"/>
      <c r="G863" s="2"/>
      <c r="H863" s="2"/>
      <c r="I863" s="2"/>
      <c r="J863" s="2"/>
      <c r="K863" s="2"/>
      <c r="L863" s="2"/>
      <c r="M863" s="2"/>
      <c r="N863" s="2"/>
      <c r="O863" s="2"/>
      <c r="P863" s="2"/>
      <c r="Q863" s="2"/>
      <c r="R863" s="2"/>
      <c r="S863" s="2"/>
      <c r="T863" s="2"/>
    </row>
    <row r="864" spans="1:20" ht="15.75" customHeight="1">
      <c r="A864" s="1"/>
      <c r="B864" s="2"/>
      <c r="C864" s="2"/>
      <c r="D864" s="2"/>
      <c r="E864" s="2"/>
      <c r="F864" s="2"/>
      <c r="G864" s="2"/>
      <c r="H864" s="2"/>
      <c r="I864" s="2"/>
      <c r="J864" s="2"/>
      <c r="K864" s="2"/>
      <c r="L864" s="2"/>
      <c r="M864" s="2"/>
      <c r="N864" s="2"/>
      <c r="O864" s="2"/>
      <c r="P864" s="2"/>
      <c r="Q864" s="2"/>
      <c r="R864" s="2"/>
      <c r="S864" s="2"/>
      <c r="T864" s="2"/>
    </row>
    <row r="865" spans="1:20" ht="15.75" customHeight="1">
      <c r="A865" s="1"/>
      <c r="B865" s="2"/>
      <c r="C865" s="2"/>
      <c r="D865" s="2"/>
      <c r="E865" s="2"/>
      <c r="F865" s="2"/>
      <c r="G865" s="2"/>
      <c r="H865" s="2"/>
      <c r="I865" s="2"/>
      <c r="J865" s="2"/>
      <c r="K865" s="2"/>
      <c r="L865" s="2"/>
      <c r="M865" s="2"/>
      <c r="N865" s="2"/>
      <c r="O865" s="2"/>
      <c r="P865" s="2"/>
      <c r="Q865" s="2"/>
      <c r="R865" s="2"/>
      <c r="S865" s="2"/>
      <c r="T865" s="2"/>
    </row>
    <row r="866" spans="1:20" ht="15.75" customHeight="1">
      <c r="A866" s="1"/>
      <c r="B866" s="2"/>
      <c r="C866" s="2"/>
      <c r="D866" s="2"/>
      <c r="E866" s="2"/>
      <c r="F866" s="2"/>
      <c r="G866" s="2"/>
      <c r="H866" s="2"/>
      <c r="I866" s="2"/>
      <c r="J866" s="2"/>
      <c r="K866" s="2"/>
      <c r="L866" s="2"/>
      <c r="M866" s="2"/>
      <c r="N866" s="2"/>
      <c r="O866" s="2"/>
      <c r="P866" s="2"/>
      <c r="Q866" s="2"/>
      <c r="R866" s="2"/>
      <c r="S866" s="2"/>
      <c r="T866" s="2"/>
    </row>
    <row r="867" spans="1:20" ht="15.75" customHeight="1">
      <c r="A867" s="1"/>
      <c r="B867" s="2"/>
      <c r="C867" s="2"/>
      <c r="D867" s="2"/>
      <c r="E867" s="2"/>
      <c r="F867" s="2"/>
      <c r="G867" s="2"/>
      <c r="H867" s="2"/>
      <c r="I867" s="2"/>
      <c r="J867" s="2"/>
      <c r="K867" s="2"/>
      <c r="L867" s="2"/>
      <c r="M867" s="2"/>
      <c r="N867" s="2"/>
      <c r="O867" s="2"/>
      <c r="P867" s="2"/>
      <c r="Q867" s="2"/>
      <c r="R867" s="2"/>
      <c r="S867" s="2"/>
      <c r="T867" s="2"/>
    </row>
    <row r="868" spans="1:20" ht="15.75" customHeight="1">
      <c r="A868" s="1"/>
      <c r="B868" s="2"/>
      <c r="C868" s="2"/>
      <c r="D868" s="2"/>
      <c r="E868" s="2"/>
      <c r="F868" s="2"/>
      <c r="G868" s="2"/>
      <c r="H868" s="2"/>
      <c r="I868" s="2"/>
      <c r="J868" s="2"/>
      <c r="K868" s="2"/>
      <c r="L868" s="2"/>
      <c r="M868" s="2"/>
      <c r="N868" s="2"/>
      <c r="O868" s="2"/>
      <c r="P868" s="2"/>
      <c r="Q868" s="2"/>
      <c r="R868" s="2"/>
      <c r="S868" s="2"/>
      <c r="T868" s="2"/>
    </row>
    <row r="869" spans="1:20" ht="15.75" customHeight="1">
      <c r="A869" s="1"/>
      <c r="B869" s="2"/>
      <c r="C869" s="2"/>
      <c r="D869" s="2"/>
      <c r="E869" s="2"/>
      <c r="F869" s="2"/>
      <c r="G869" s="2"/>
      <c r="H869" s="2"/>
      <c r="I869" s="2"/>
      <c r="J869" s="2"/>
      <c r="K869" s="2"/>
      <c r="L869" s="2"/>
      <c r="M869" s="2"/>
      <c r="N869" s="2"/>
      <c r="O869" s="2"/>
      <c r="P869" s="2"/>
      <c r="Q869" s="2"/>
      <c r="R869" s="2"/>
      <c r="S869" s="2"/>
      <c r="T869" s="2"/>
    </row>
    <row r="870" spans="1:20" ht="15.75" customHeight="1">
      <c r="A870" s="1"/>
      <c r="B870" s="2"/>
      <c r="C870" s="2"/>
      <c r="D870" s="2"/>
      <c r="E870" s="2"/>
      <c r="F870" s="2"/>
      <c r="G870" s="2"/>
      <c r="H870" s="2"/>
      <c r="I870" s="2"/>
      <c r="J870" s="2"/>
      <c r="K870" s="2"/>
      <c r="L870" s="2"/>
      <c r="M870" s="2"/>
      <c r="N870" s="2"/>
      <c r="O870" s="2"/>
      <c r="P870" s="2"/>
      <c r="Q870" s="2"/>
      <c r="R870" s="2"/>
      <c r="S870" s="2"/>
      <c r="T870" s="2"/>
    </row>
    <row r="871" spans="1:20" ht="15.75" customHeight="1">
      <c r="A871" s="1"/>
      <c r="B871" s="2"/>
      <c r="C871" s="2"/>
      <c r="D871" s="2"/>
      <c r="E871" s="2"/>
      <c r="F871" s="2"/>
      <c r="G871" s="2"/>
      <c r="H871" s="2"/>
      <c r="I871" s="2"/>
      <c r="J871" s="2"/>
      <c r="K871" s="2"/>
      <c r="L871" s="2"/>
      <c r="M871" s="2"/>
      <c r="N871" s="2"/>
      <c r="O871" s="2"/>
      <c r="P871" s="2"/>
      <c r="Q871" s="2"/>
      <c r="R871" s="2"/>
      <c r="S871" s="2"/>
      <c r="T871" s="2"/>
    </row>
    <row r="872" spans="1:20" ht="15.75" customHeight="1">
      <c r="A872" s="1"/>
      <c r="B872" s="2"/>
      <c r="C872" s="2"/>
      <c r="D872" s="2"/>
      <c r="E872" s="2"/>
      <c r="F872" s="2"/>
      <c r="G872" s="2"/>
      <c r="H872" s="2"/>
      <c r="I872" s="2"/>
      <c r="J872" s="2"/>
      <c r="K872" s="2"/>
      <c r="L872" s="2"/>
      <c r="M872" s="2"/>
      <c r="N872" s="2"/>
      <c r="O872" s="2"/>
      <c r="P872" s="2"/>
      <c r="Q872" s="2"/>
      <c r="R872" s="2"/>
      <c r="S872" s="2"/>
      <c r="T872" s="2"/>
    </row>
    <row r="873" spans="1:20" ht="15.75" customHeight="1">
      <c r="A873" s="1"/>
      <c r="B873" s="2"/>
      <c r="C873" s="2"/>
      <c r="D873" s="2"/>
      <c r="E873" s="2"/>
      <c r="F873" s="2"/>
      <c r="G873" s="2"/>
      <c r="H873" s="2"/>
      <c r="I873" s="2"/>
      <c r="J873" s="2"/>
      <c r="K873" s="2"/>
      <c r="L873" s="2"/>
      <c r="M873" s="2"/>
      <c r="N873" s="2"/>
      <c r="O873" s="2"/>
      <c r="P873" s="2"/>
      <c r="Q873" s="2"/>
      <c r="R873" s="2"/>
      <c r="S873" s="2"/>
      <c r="T873" s="2"/>
    </row>
    <row r="874" spans="1:20" ht="15.75" customHeight="1">
      <c r="A874" s="1"/>
      <c r="B874" s="2"/>
      <c r="C874" s="2"/>
      <c r="D874" s="2"/>
      <c r="E874" s="2"/>
      <c r="F874" s="2"/>
      <c r="G874" s="2"/>
      <c r="H874" s="2"/>
      <c r="I874" s="2"/>
      <c r="J874" s="2"/>
      <c r="K874" s="2"/>
      <c r="L874" s="2"/>
      <c r="M874" s="2"/>
      <c r="N874" s="2"/>
      <c r="O874" s="2"/>
      <c r="P874" s="2"/>
      <c r="Q874" s="2"/>
      <c r="R874" s="2"/>
      <c r="S874" s="2"/>
      <c r="T874" s="2"/>
    </row>
    <row r="875" spans="1:20" ht="15.75" customHeight="1">
      <c r="A875" s="1"/>
      <c r="B875" s="2"/>
      <c r="C875" s="2"/>
      <c r="D875" s="2"/>
      <c r="E875" s="2"/>
      <c r="F875" s="2"/>
      <c r="G875" s="2"/>
      <c r="H875" s="2"/>
      <c r="I875" s="2"/>
      <c r="J875" s="2"/>
      <c r="K875" s="2"/>
      <c r="L875" s="2"/>
      <c r="M875" s="2"/>
      <c r="N875" s="2"/>
      <c r="O875" s="2"/>
      <c r="P875" s="2"/>
      <c r="Q875" s="2"/>
      <c r="R875" s="2"/>
      <c r="S875" s="2"/>
      <c r="T875" s="2"/>
    </row>
    <row r="876" spans="1:20" ht="15.75" customHeight="1">
      <c r="A876" s="1"/>
      <c r="B876" s="2"/>
      <c r="C876" s="2"/>
      <c r="D876" s="2"/>
      <c r="E876" s="2"/>
      <c r="F876" s="2"/>
      <c r="G876" s="2"/>
      <c r="H876" s="2"/>
      <c r="I876" s="2"/>
      <c r="J876" s="2"/>
      <c r="K876" s="2"/>
      <c r="L876" s="2"/>
      <c r="M876" s="2"/>
      <c r="N876" s="2"/>
      <c r="O876" s="2"/>
      <c r="P876" s="2"/>
      <c r="Q876" s="2"/>
      <c r="R876" s="2"/>
      <c r="S876" s="2"/>
      <c r="T876" s="2"/>
    </row>
    <row r="877" spans="1:20" ht="15.75" customHeight="1">
      <c r="A877" s="1"/>
      <c r="B877" s="2"/>
      <c r="C877" s="2"/>
      <c r="D877" s="2"/>
      <c r="E877" s="2"/>
      <c r="F877" s="2"/>
      <c r="G877" s="2"/>
      <c r="H877" s="2"/>
      <c r="I877" s="2"/>
      <c r="J877" s="2"/>
      <c r="K877" s="2"/>
      <c r="L877" s="2"/>
      <c r="M877" s="2"/>
      <c r="N877" s="2"/>
      <c r="O877" s="2"/>
      <c r="P877" s="2"/>
      <c r="Q877" s="2"/>
      <c r="R877" s="2"/>
      <c r="S877" s="2"/>
      <c r="T877" s="2"/>
    </row>
    <row r="878" spans="1:20" ht="15.75" customHeight="1">
      <c r="A878" s="1"/>
      <c r="B878" s="2"/>
      <c r="C878" s="2"/>
      <c r="D878" s="2"/>
      <c r="E878" s="2"/>
      <c r="F878" s="2"/>
      <c r="G878" s="2"/>
      <c r="H878" s="2"/>
      <c r="I878" s="2"/>
      <c r="J878" s="2"/>
      <c r="K878" s="2"/>
      <c r="L878" s="2"/>
      <c r="M878" s="2"/>
      <c r="N878" s="2"/>
      <c r="O878" s="2"/>
      <c r="P878" s="2"/>
      <c r="Q878" s="2"/>
      <c r="R878" s="2"/>
      <c r="S878" s="2"/>
      <c r="T878" s="2"/>
    </row>
    <row r="879" spans="1:20" ht="15.75" customHeight="1">
      <c r="A879" s="1"/>
      <c r="B879" s="2"/>
      <c r="C879" s="2"/>
      <c r="D879" s="2"/>
      <c r="E879" s="2"/>
      <c r="F879" s="2"/>
      <c r="G879" s="2"/>
      <c r="H879" s="2"/>
      <c r="I879" s="2"/>
      <c r="J879" s="2"/>
      <c r="K879" s="2"/>
      <c r="L879" s="2"/>
      <c r="M879" s="2"/>
      <c r="N879" s="2"/>
      <c r="O879" s="2"/>
      <c r="P879" s="2"/>
      <c r="Q879" s="2"/>
      <c r="R879" s="2"/>
      <c r="S879" s="2"/>
      <c r="T879" s="2"/>
    </row>
    <row r="880" spans="1:20" ht="15.75" customHeight="1">
      <c r="A880" s="1"/>
      <c r="B880" s="2"/>
      <c r="C880" s="2"/>
      <c r="D880" s="2"/>
      <c r="E880" s="2"/>
      <c r="F880" s="2"/>
      <c r="G880" s="2"/>
      <c r="H880" s="2"/>
      <c r="I880" s="2"/>
      <c r="J880" s="2"/>
      <c r="K880" s="2"/>
      <c r="L880" s="2"/>
      <c r="M880" s="2"/>
      <c r="N880" s="2"/>
      <c r="O880" s="2"/>
      <c r="P880" s="2"/>
      <c r="Q880" s="2"/>
      <c r="R880" s="2"/>
      <c r="S880" s="2"/>
      <c r="T880" s="2"/>
    </row>
    <row r="881" spans="1:20" ht="15.75" customHeight="1">
      <c r="A881" s="1"/>
      <c r="B881" s="2"/>
      <c r="C881" s="2"/>
      <c r="D881" s="2"/>
      <c r="E881" s="2"/>
      <c r="F881" s="2"/>
      <c r="G881" s="2"/>
      <c r="H881" s="2"/>
      <c r="I881" s="2"/>
      <c r="J881" s="2"/>
      <c r="K881" s="2"/>
      <c r="L881" s="2"/>
      <c r="M881" s="2"/>
      <c r="N881" s="2"/>
      <c r="O881" s="2"/>
      <c r="P881" s="2"/>
      <c r="Q881" s="2"/>
      <c r="R881" s="2"/>
      <c r="S881" s="2"/>
      <c r="T881" s="2"/>
    </row>
    <row r="882" spans="1:20" ht="15.75" customHeight="1">
      <c r="A882" s="1"/>
      <c r="B882" s="2"/>
      <c r="C882" s="2"/>
      <c r="D882" s="2"/>
      <c r="E882" s="2"/>
      <c r="F882" s="2"/>
      <c r="G882" s="2"/>
      <c r="H882" s="2"/>
      <c r="I882" s="2"/>
      <c r="J882" s="2"/>
      <c r="K882" s="2"/>
      <c r="L882" s="2"/>
      <c r="M882" s="2"/>
      <c r="N882" s="2"/>
      <c r="O882" s="2"/>
      <c r="P882" s="2"/>
      <c r="Q882" s="2"/>
      <c r="R882" s="2"/>
      <c r="S882" s="2"/>
      <c r="T882" s="2"/>
    </row>
    <row r="883" spans="1:20" ht="15.75" customHeight="1">
      <c r="A883" s="1"/>
      <c r="B883" s="2"/>
      <c r="C883" s="2"/>
      <c r="D883" s="2"/>
      <c r="E883" s="2"/>
      <c r="F883" s="2"/>
      <c r="G883" s="2"/>
      <c r="H883" s="2"/>
      <c r="I883" s="2"/>
      <c r="J883" s="2"/>
      <c r="K883" s="2"/>
      <c r="L883" s="2"/>
      <c r="M883" s="2"/>
      <c r="N883" s="2"/>
      <c r="O883" s="2"/>
      <c r="P883" s="2"/>
      <c r="Q883" s="2"/>
      <c r="R883" s="2"/>
      <c r="S883" s="2"/>
      <c r="T883" s="2"/>
    </row>
    <row r="884" spans="1:20" ht="15.75" customHeight="1">
      <c r="A884" s="1"/>
      <c r="B884" s="2"/>
      <c r="C884" s="2"/>
      <c r="D884" s="2"/>
      <c r="E884" s="2"/>
      <c r="F884" s="2"/>
      <c r="G884" s="2"/>
      <c r="H884" s="2"/>
      <c r="I884" s="2"/>
      <c r="J884" s="2"/>
      <c r="K884" s="2"/>
      <c r="L884" s="2"/>
      <c r="M884" s="2"/>
      <c r="N884" s="2"/>
      <c r="O884" s="2"/>
      <c r="P884" s="2"/>
      <c r="Q884" s="2"/>
      <c r="R884" s="2"/>
      <c r="S884" s="2"/>
      <c r="T884" s="2"/>
    </row>
    <row r="885" spans="1:20" ht="15.75" customHeight="1">
      <c r="A885" s="1"/>
      <c r="B885" s="2"/>
      <c r="C885" s="2"/>
      <c r="D885" s="2"/>
      <c r="E885" s="2"/>
      <c r="F885" s="2"/>
      <c r="G885" s="2"/>
      <c r="H885" s="2"/>
      <c r="I885" s="2"/>
      <c r="J885" s="2"/>
      <c r="K885" s="2"/>
      <c r="L885" s="2"/>
      <c r="M885" s="2"/>
      <c r="N885" s="2"/>
      <c r="O885" s="2"/>
      <c r="P885" s="2"/>
      <c r="Q885" s="2"/>
      <c r="R885" s="2"/>
      <c r="S885" s="2"/>
      <c r="T885" s="2"/>
    </row>
    <row r="886" spans="1:20" ht="15.75" customHeight="1">
      <c r="A886" s="1"/>
      <c r="B886" s="2"/>
      <c r="C886" s="2"/>
      <c r="D886" s="2"/>
      <c r="E886" s="2"/>
      <c r="F886" s="2"/>
      <c r="G886" s="2"/>
      <c r="H886" s="2"/>
      <c r="I886" s="2"/>
      <c r="J886" s="2"/>
      <c r="K886" s="2"/>
      <c r="L886" s="2"/>
      <c r="M886" s="2"/>
      <c r="N886" s="2"/>
      <c r="O886" s="2"/>
      <c r="P886" s="2"/>
      <c r="Q886" s="2"/>
      <c r="R886" s="2"/>
      <c r="S886" s="2"/>
      <c r="T886" s="2"/>
    </row>
    <row r="887" spans="1:20" ht="15.75" customHeight="1">
      <c r="A887" s="1"/>
      <c r="B887" s="2"/>
      <c r="C887" s="2"/>
      <c r="D887" s="2"/>
      <c r="E887" s="2"/>
      <c r="F887" s="2"/>
      <c r="G887" s="2"/>
      <c r="H887" s="2"/>
      <c r="I887" s="2"/>
      <c r="J887" s="2"/>
      <c r="K887" s="2"/>
      <c r="L887" s="2"/>
      <c r="M887" s="2"/>
      <c r="N887" s="2"/>
      <c r="O887" s="2"/>
      <c r="P887" s="2"/>
      <c r="Q887" s="2"/>
      <c r="R887" s="2"/>
      <c r="S887" s="2"/>
      <c r="T887" s="2"/>
    </row>
    <row r="888" spans="1:20" ht="15.75" customHeight="1">
      <c r="A888" s="1"/>
      <c r="B888" s="2"/>
      <c r="C888" s="2"/>
      <c r="D888" s="2"/>
      <c r="E888" s="2"/>
      <c r="F888" s="2"/>
      <c r="G888" s="2"/>
      <c r="H888" s="2"/>
      <c r="I888" s="2"/>
      <c r="J888" s="2"/>
      <c r="K888" s="2"/>
      <c r="L888" s="2"/>
      <c r="M888" s="2"/>
      <c r="N888" s="2"/>
      <c r="O888" s="2"/>
      <c r="P888" s="2"/>
      <c r="Q888" s="2"/>
      <c r="R888" s="2"/>
      <c r="S888" s="2"/>
      <c r="T888" s="2"/>
    </row>
    <row r="889" spans="1:20" ht="15.75" customHeight="1">
      <c r="A889" s="1"/>
      <c r="B889" s="2"/>
      <c r="C889" s="2"/>
      <c r="D889" s="2"/>
      <c r="E889" s="2"/>
      <c r="F889" s="2"/>
      <c r="G889" s="2"/>
      <c r="H889" s="2"/>
      <c r="I889" s="2"/>
      <c r="J889" s="2"/>
      <c r="K889" s="2"/>
      <c r="L889" s="2"/>
      <c r="M889" s="2"/>
      <c r="N889" s="2"/>
      <c r="O889" s="2"/>
      <c r="P889" s="2"/>
      <c r="Q889" s="2"/>
      <c r="R889" s="2"/>
      <c r="S889" s="2"/>
      <c r="T889" s="2"/>
    </row>
    <row r="890" spans="1:20" ht="15.75" customHeight="1">
      <c r="A890" s="1"/>
      <c r="B890" s="2"/>
      <c r="C890" s="2"/>
      <c r="D890" s="2"/>
      <c r="E890" s="2"/>
      <c r="F890" s="2"/>
      <c r="G890" s="2"/>
      <c r="H890" s="2"/>
      <c r="I890" s="2"/>
      <c r="J890" s="2"/>
      <c r="K890" s="2"/>
      <c r="L890" s="2"/>
      <c r="M890" s="2"/>
      <c r="N890" s="2"/>
      <c r="O890" s="2"/>
      <c r="P890" s="2"/>
      <c r="Q890" s="2"/>
      <c r="R890" s="2"/>
      <c r="S890" s="2"/>
      <c r="T890" s="2"/>
    </row>
    <row r="891" spans="1:20" ht="15.75" customHeight="1">
      <c r="A891" s="1"/>
      <c r="B891" s="2"/>
      <c r="C891" s="2"/>
      <c r="D891" s="2"/>
      <c r="E891" s="2"/>
      <c r="F891" s="2"/>
      <c r="G891" s="2"/>
      <c r="H891" s="2"/>
      <c r="I891" s="2"/>
      <c r="J891" s="2"/>
      <c r="K891" s="2"/>
      <c r="L891" s="2"/>
      <c r="M891" s="2"/>
      <c r="N891" s="2"/>
      <c r="O891" s="2"/>
      <c r="P891" s="2"/>
      <c r="Q891" s="2"/>
      <c r="R891" s="2"/>
      <c r="S891" s="2"/>
      <c r="T891" s="2"/>
    </row>
    <row r="892" spans="1:20" ht="15.75" customHeight="1">
      <c r="A892" s="1"/>
      <c r="B892" s="2"/>
      <c r="C892" s="2"/>
      <c r="D892" s="2"/>
      <c r="E892" s="2"/>
      <c r="F892" s="2"/>
      <c r="G892" s="2"/>
      <c r="H892" s="2"/>
      <c r="I892" s="2"/>
      <c r="J892" s="2"/>
      <c r="K892" s="2"/>
      <c r="L892" s="2"/>
      <c r="M892" s="2"/>
      <c r="N892" s="2"/>
      <c r="O892" s="2"/>
      <c r="P892" s="2"/>
      <c r="Q892" s="2"/>
      <c r="R892" s="2"/>
      <c r="S892" s="2"/>
      <c r="T892" s="2"/>
    </row>
    <row r="893" spans="1:20" ht="15.75" customHeight="1">
      <c r="A893" s="1"/>
      <c r="B893" s="2"/>
      <c r="C893" s="2"/>
      <c r="D893" s="2"/>
      <c r="E893" s="2"/>
      <c r="F893" s="2"/>
      <c r="G893" s="2"/>
      <c r="H893" s="2"/>
      <c r="I893" s="2"/>
      <c r="J893" s="2"/>
      <c r="K893" s="2"/>
      <c r="L893" s="2"/>
      <c r="M893" s="2"/>
      <c r="N893" s="2"/>
      <c r="O893" s="2"/>
      <c r="P893" s="2"/>
      <c r="Q893" s="2"/>
      <c r="R893" s="2"/>
      <c r="S893" s="2"/>
      <c r="T893" s="2"/>
    </row>
    <row r="894" spans="1:20" ht="15.75" customHeight="1">
      <c r="A894" s="1"/>
      <c r="B894" s="2"/>
      <c r="C894" s="2"/>
      <c r="D894" s="2"/>
      <c r="E894" s="2"/>
      <c r="F894" s="2"/>
      <c r="G894" s="2"/>
      <c r="H894" s="2"/>
      <c r="I894" s="2"/>
      <c r="J894" s="2"/>
      <c r="K894" s="2"/>
      <c r="L894" s="2"/>
      <c r="M894" s="2"/>
      <c r="N894" s="2"/>
      <c r="O894" s="2"/>
      <c r="P894" s="2"/>
      <c r="Q894" s="2"/>
      <c r="R894" s="2"/>
      <c r="S894" s="2"/>
      <c r="T894" s="2"/>
    </row>
    <row r="895" spans="1:20" ht="15.75" customHeight="1">
      <c r="A895" s="1"/>
      <c r="B895" s="2"/>
      <c r="C895" s="2"/>
      <c r="D895" s="2"/>
      <c r="E895" s="2"/>
      <c r="F895" s="2"/>
      <c r="G895" s="2"/>
      <c r="H895" s="2"/>
      <c r="I895" s="2"/>
      <c r="J895" s="2"/>
      <c r="K895" s="2"/>
      <c r="L895" s="2"/>
      <c r="M895" s="2"/>
      <c r="N895" s="2"/>
      <c r="O895" s="2"/>
      <c r="P895" s="2"/>
      <c r="Q895" s="2"/>
      <c r="R895" s="2"/>
      <c r="S895" s="2"/>
      <c r="T895" s="2"/>
    </row>
    <row r="896" spans="1:20" ht="15.75" customHeight="1">
      <c r="A896" s="1"/>
      <c r="B896" s="2"/>
      <c r="C896" s="2"/>
      <c r="D896" s="2"/>
      <c r="E896" s="2"/>
      <c r="F896" s="2"/>
      <c r="G896" s="2"/>
      <c r="H896" s="2"/>
      <c r="I896" s="2"/>
      <c r="J896" s="2"/>
      <c r="K896" s="2"/>
      <c r="L896" s="2"/>
      <c r="M896" s="2"/>
      <c r="N896" s="2"/>
      <c r="O896" s="2"/>
      <c r="P896" s="2"/>
      <c r="Q896" s="2"/>
      <c r="R896" s="2"/>
      <c r="S896" s="2"/>
      <c r="T896" s="2"/>
    </row>
    <row r="897" spans="1:20" ht="15.75" customHeight="1">
      <c r="A897" s="1"/>
      <c r="B897" s="2"/>
      <c r="C897" s="2"/>
      <c r="D897" s="2"/>
      <c r="E897" s="2"/>
      <c r="F897" s="2"/>
      <c r="G897" s="2"/>
      <c r="H897" s="2"/>
      <c r="I897" s="2"/>
      <c r="J897" s="2"/>
      <c r="K897" s="2"/>
      <c r="L897" s="2"/>
      <c r="M897" s="2"/>
      <c r="N897" s="2"/>
      <c r="O897" s="2"/>
      <c r="P897" s="2"/>
      <c r="Q897" s="2"/>
      <c r="R897" s="2"/>
      <c r="S897" s="2"/>
      <c r="T897" s="2"/>
    </row>
    <row r="898" spans="1:20" ht="15.75" customHeight="1">
      <c r="A898" s="1"/>
      <c r="B898" s="2"/>
      <c r="C898" s="2"/>
      <c r="D898" s="2"/>
      <c r="E898" s="2"/>
      <c r="F898" s="2"/>
      <c r="G898" s="2"/>
      <c r="H898" s="2"/>
      <c r="I898" s="2"/>
      <c r="J898" s="2"/>
      <c r="K898" s="2"/>
      <c r="L898" s="2"/>
      <c r="M898" s="2"/>
      <c r="N898" s="2"/>
      <c r="O898" s="2"/>
      <c r="P898" s="2"/>
      <c r="Q898" s="2"/>
      <c r="R898" s="2"/>
      <c r="S898" s="2"/>
      <c r="T898" s="2"/>
    </row>
    <row r="899" spans="1:20" ht="15.75" customHeight="1">
      <c r="A899" s="1"/>
      <c r="B899" s="2"/>
      <c r="C899" s="2"/>
      <c r="D899" s="2"/>
      <c r="E899" s="2"/>
      <c r="F899" s="2"/>
      <c r="G899" s="2"/>
      <c r="H899" s="2"/>
      <c r="I899" s="2"/>
      <c r="J899" s="2"/>
      <c r="K899" s="2"/>
      <c r="L899" s="2"/>
      <c r="M899" s="2"/>
      <c r="N899" s="2"/>
      <c r="O899" s="2"/>
      <c r="P899" s="2"/>
      <c r="Q899" s="2"/>
      <c r="R899" s="2"/>
      <c r="S899" s="2"/>
      <c r="T899" s="2"/>
    </row>
    <row r="900" spans="1:20" ht="15.75" customHeight="1">
      <c r="A900" s="1"/>
      <c r="B900" s="2"/>
      <c r="C900" s="2"/>
      <c r="D900" s="2"/>
      <c r="E900" s="2"/>
      <c r="F900" s="2"/>
      <c r="G900" s="2"/>
      <c r="H900" s="2"/>
      <c r="I900" s="2"/>
      <c r="J900" s="2"/>
      <c r="K900" s="2"/>
      <c r="L900" s="2"/>
      <c r="M900" s="2"/>
      <c r="N900" s="2"/>
      <c r="O900" s="2"/>
      <c r="P900" s="2"/>
      <c r="Q900" s="2"/>
      <c r="R900" s="2"/>
      <c r="S900" s="2"/>
      <c r="T900" s="2"/>
    </row>
    <row r="901" spans="1:20" ht="15.75" customHeight="1">
      <c r="A901" s="1"/>
      <c r="B901" s="2"/>
      <c r="C901" s="2"/>
      <c r="D901" s="2"/>
      <c r="E901" s="2"/>
      <c r="F901" s="2"/>
      <c r="G901" s="2"/>
      <c r="H901" s="2"/>
      <c r="I901" s="2"/>
      <c r="J901" s="2"/>
      <c r="K901" s="2"/>
      <c r="L901" s="2"/>
      <c r="M901" s="2"/>
      <c r="N901" s="2"/>
      <c r="O901" s="2"/>
      <c r="P901" s="2"/>
      <c r="Q901" s="2"/>
      <c r="R901" s="2"/>
      <c r="S901" s="2"/>
      <c r="T901" s="2"/>
    </row>
    <row r="902" spans="1:20" ht="15.75" customHeight="1">
      <c r="A902" s="1"/>
      <c r="B902" s="2"/>
      <c r="C902" s="2"/>
      <c r="D902" s="2"/>
      <c r="E902" s="2"/>
      <c r="F902" s="2"/>
      <c r="G902" s="2"/>
      <c r="H902" s="2"/>
      <c r="I902" s="2"/>
      <c r="J902" s="2"/>
      <c r="K902" s="2"/>
      <c r="L902" s="2"/>
      <c r="M902" s="2"/>
      <c r="N902" s="2"/>
      <c r="O902" s="2"/>
      <c r="P902" s="2"/>
      <c r="Q902" s="2"/>
      <c r="R902" s="2"/>
      <c r="S902" s="2"/>
      <c r="T902" s="2"/>
    </row>
    <row r="903" spans="1:20" ht="15.75" customHeight="1">
      <c r="A903" s="1"/>
      <c r="B903" s="2"/>
      <c r="C903" s="2"/>
      <c r="D903" s="2"/>
      <c r="E903" s="2"/>
      <c r="F903" s="2"/>
      <c r="G903" s="2"/>
      <c r="H903" s="2"/>
      <c r="I903" s="2"/>
      <c r="J903" s="2"/>
      <c r="K903" s="2"/>
      <c r="L903" s="2"/>
      <c r="M903" s="2"/>
      <c r="N903" s="2"/>
      <c r="O903" s="2"/>
      <c r="P903" s="2"/>
      <c r="Q903" s="2"/>
      <c r="R903" s="2"/>
      <c r="S903" s="2"/>
      <c r="T903" s="2"/>
    </row>
    <row r="904" spans="1:20" ht="15.75" customHeight="1">
      <c r="A904" s="1"/>
      <c r="B904" s="2"/>
      <c r="C904" s="2"/>
      <c r="D904" s="2"/>
      <c r="E904" s="2"/>
      <c r="F904" s="2"/>
      <c r="G904" s="2"/>
      <c r="H904" s="2"/>
      <c r="I904" s="2"/>
      <c r="J904" s="2"/>
      <c r="K904" s="2"/>
      <c r="L904" s="2"/>
      <c r="M904" s="2"/>
      <c r="N904" s="2"/>
      <c r="O904" s="2"/>
      <c r="P904" s="2"/>
      <c r="Q904" s="2"/>
      <c r="R904" s="2"/>
      <c r="S904" s="2"/>
      <c r="T904" s="2"/>
    </row>
    <row r="905" spans="1:20" ht="15.75" customHeight="1">
      <c r="A905" s="1"/>
      <c r="B905" s="2"/>
      <c r="C905" s="2"/>
      <c r="D905" s="2"/>
      <c r="E905" s="2"/>
      <c r="F905" s="2"/>
      <c r="G905" s="2"/>
      <c r="H905" s="2"/>
      <c r="I905" s="2"/>
      <c r="J905" s="2"/>
      <c r="K905" s="2"/>
      <c r="L905" s="2"/>
      <c r="M905" s="2"/>
      <c r="N905" s="2"/>
      <c r="O905" s="2"/>
      <c r="P905" s="2"/>
      <c r="Q905" s="2"/>
      <c r="R905" s="2"/>
      <c r="S905" s="2"/>
      <c r="T905" s="2"/>
    </row>
    <row r="906" spans="1:20" ht="15.75" customHeight="1">
      <c r="A906" s="1"/>
      <c r="B906" s="2"/>
      <c r="C906" s="2"/>
      <c r="D906" s="2"/>
      <c r="E906" s="2"/>
      <c r="F906" s="2"/>
      <c r="G906" s="2"/>
      <c r="H906" s="2"/>
      <c r="I906" s="2"/>
      <c r="J906" s="2"/>
      <c r="K906" s="2"/>
      <c r="L906" s="2"/>
      <c r="M906" s="2"/>
      <c r="N906" s="2"/>
      <c r="O906" s="2"/>
      <c r="P906" s="2"/>
      <c r="Q906" s="2"/>
      <c r="R906" s="2"/>
      <c r="S906" s="2"/>
      <c r="T906" s="2"/>
    </row>
    <row r="907" spans="1:20" ht="15.75" customHeight="1">
      <c r="A907" s="1"/>
      <c r="B907" s="2"/>
      <c r="C907" s="2"/>
      <c r="D907" s="2"/>
      <c r="E907" s="2"/>
      <c r="F907" s="2"/>
      <c r="G907" s="2"/>
      <c r="H907" s="2"/>
      <c r="I907" s="2"/>
      <c r="J907" s="2"/>
      <c r="K907" s="2"/>
      <c r="L907" s="2"/>
      <c r="M907" s="2"/>
      <c r="N907" s="2"/>
      <c r="O907" s="2"/>
      <c r="P907" s="2"/>
      <c r="Q907" s="2"/>
      <c r="R907" s="2"/>
      <c r="S907" s="2"/>
      <c r="T907" s="2"/>
    </row>
    <row r="908" spans="1:20" ht="15.75" customHeight="1">
      <c r="A908" s="1"/>
      <c r="B908" s="2"/>
      <c r="C908" s="2"/>
      <c r="D908" s="2"/>
      <c r="E908" s="2"/>
      <c r="F908" s="2"/>
      <c r="G908" s="2"/>
      <c r="H908" s="2"/>
      <c r="I908" s="2"/>
      <c r="J908" s="2"/>
      <c r="K908" s="2"/>
      <c r="L908" s="2"/>
      <c r="M908" s="2"/>
      <c r="N908" s="2"/>
      <c r="O908" s="2"/>
      <c r="P908" s="2"/>
      <c r="Q908" s="2"/>
      <c r="R908" s="2"/>
      <c r="S908" s="2"/>
      <c r="T908" s="2"/>
    </row>
    <row r="909" spans="1:20" ht="15.75" customHeight="1">
      <c r="A909" s="1"/>
      <c r="B909" s="2"/>
      <c r="C909" s="2"/>
      <c r="D909" s="2"/>
      <c r="E909" s="2"/>
      <c r="F909" s="2"/>
      <c r="G909" s="2"/>
      <c r="H909" s="2"/>
      <c r="I909" s="2"/>
      <c r="J909" s="2"/>
      <c r="K909" s="2"/>
      <c r="L909" s="2"/>
      <c r="M909" s="2"/>
      <c r="N909" s="2"/>
      <c r="O909" s="2"/>
      <c r="P909" s="2"/>
      <c r="Q909" s="2"/>
      <c r="R909" s="2"/>
      <c r="S909" s="2"/>
      <c r="T909" s="2"/>
    </row>
    <row r="910" spans="1:20" ht="15.75" customHeight="1">
      <c r="A910" s="1"/>
      <c r="B910" s="2"/>
      <c r="C910" s="2"/>
      <c r="D910" s="2"/>
      <c r="E910" s="2"/>
      <c r="F910" s="2"/>
      <c r="G910" s="2"/>
      <c r="H910" s="2"/>
      <c r="I910" s="2"/>
      <c r="J910" s="2"/>
      <c r="K910" s="2"/>
      <c r="L910" s="2"/>
      <c r="M910" s="2"/>
      <c r="N910" s="2"/>
      <c r="O910" s="2"/>
      <c r="P910" s="2"/>
      <c r="Q910" s="2"/>
      <c r="R910" s="2"/>
      <c r="S910" s="2"/>
      <c r="T910" s="2"/>
    </row>
    <row r="911" spans="1:20" ht="15.75" customHeight="1">
      <c r="A911" s="1"/>
      <c r="B911" s="2"/>
      <c r="C911" s="2"/>
      <c r="D911" s="2"/>
      <c r="E911" s="2"/>
      <c r="F911" s="2"/>
      <c r="G911" s="2"/>
      <c r="H911" s="2"/>
      <c r="I911" s="2"/>
      <c r="J911" s="2"/>
      <c r="K911" s="2"/>
      <c r="L911" s="2"/>
      <c r="M911" s="2"/>
      <c r="N911" s="2"/>
      <c r="O911" s="2"/>
      <c r="P911" s="2"/>
      <c r="Q911" s="2"/>
      <c r="R911" s="2"/>
      <c r="S911" s="2"/>
      <c r="T911" s="2"/>
    </row>
    <row r="912" spans="1:20" ht="15.75" customHeight="1">
      <c r="A912" s="1"/>
      <c r="B912" s="2"/>
      <c r="C912" s="2"/>
      <c r="D912" s="2"/>
      <c r="E912" s="2"/>
      <c r="F912" s="2"/>
      <c r="G912" s="2"/>
      <c r="H912" s="2"/>
      <c r="I912" s="2"/>
      <c r="J912" s="2"/>
      <c r="K912" s="2"/>
      <c r="L912" s="2"/>
      <c r="M912" s="2"/>
      <c r="N912" s="2"/>
      <c r="O912" s="2"/>
      <c r="P912" s="2"/>
      <c r="Q912" s="2"/>
      <c r="R912" s="2"/>
      <c r="S912" s="2"/>
      <c r="T912" s="2"/>
    </row>
    <row r="913" spans="1:20" ht="15.75" customHeight="1">
      <c r="A913" s="1"/>
      <c r="B913" s="2"/>
      <c r="C913" s="2"/>
      <c r="D913" s="2"/>
      <c r="E913" s="2"/>
      <c r="F913" s="2"/>
      <c r="G913" s="2"/>
      <c r="H913" s="2"/>
      <c r="I913" s="2"/>
      <c r="J913" s="2"/>
      <c r="K913" s="2"/>
      <c r="L913" s="2"/>
      <c r="M913" s="2"/>
      <c r="N913" s="2"/>
      <c r="O913" s="2"/>
      <c r="P913" s="2"/>
      <c r="Q913" s="2"/>
      <c r="R913" s="2"/>
      <c r="S913" s="2"/>
      <c r="T913" s="2"/>
    </row>
    <row r="914" spans="1:20" ht="15.75" customHeight="1">
      <c r="A914" s="1"/>
      <c r="B914" s="2"/>
      <c r="C914" s="2"/>
      <c r="D914" s="2"/>
      <c r="E914" s="2"/>
      <c r="F914" s="2"/>
      <c r="G914" s="2"/>
      <c r="H914" s="2"/>
      <c r="I914" s="2"/>
      <c r="J914" s="2"/>
      <c r="K914" s="2"/>
      <c r="L914" s="2"/>
      <c r="M914" s="2"/>
      <c r="N914" s="2"/>
      <c r="O914" s="2"/>
      <c r="P914" s="2"/>
      <c r="Q914" s="2"/>
      <c r="R914" s="2"/>
      <c r="S914" s="2"/>
      <c r="T914" s="2"/>
    </row>
    <row r="915" spans="1:20" ht="15.75" customHeight="1">
      <c r="A915" s="1"/>
      <c r="B915" s="2"/>
      <c r="C915" s="2"/>
      <c r="D915" s="2"/>
      <c r="E915" s="2"/>
      <c r="F915" s="2"/>
      <c r="G915" s="2"/>
      <c r="H915" s="2"/>
      <c r="I915" s="2"/>
      <c r="J915" s="2"/>
      <c r="K915" s="2"/>
      <c r="L915" s="2"/>
      <c r="M915" s="2"/>
      <c r="N915" s="2"/>
      <c r="O915" s="2"/>
      <c r="P915" s="2"/>
      <c r="Q915" s="2"/>
      <c r="R915" s="2"/>
      <c r="S915" s="2"/>
      <c r="T915" s="2"/>
    </row>
    <row r="916" spans="1:20" ht="15.75" customHeight="1">
      <c r="A916" s="1"/>
      <c r="B916" s="2"/>
      <c r="C916" s="2"/>
      <c r="D916" s="2"/>
      <c r="E916" s="2"/>
      <c r="F916" s="2"/>
      <c r="G916" s="2"/>
      <c r="H916" s="2"/>
      <c r="I916" s="2"/>
      <c r="J916" s="2"/>
      <c r="K916" s="2"/>
      <c r="L916" s="2"/>
      <c r="M916" s="2"/>
      <c r="N916" s="2"/>
      <c r="O916" s="2"/>
      <c r="P916" s="2"/>
      <c r="Q916" s="2"/>
      <c r="R916" s="2"/>
      <c r="S916" s="2"/>
      <c r="T916" s="2"/>
    </row>
    <row r="917" spans="1:20" ht="15.75" customHeight="1">
      <c r="A917" s="1"/>
      <c r="B917" s="2"/>
      <c r="C917" s="2"/>
      <c r="D917" s="2"/>
      <c r="E917" s="2"/>
      <c r="F917" s="2"/>
      <c r="G917" s="2"/>
      <c r="H917" s="2"/>
      <c r="I917" s="2"/>
      <c r="J917" s="2"/>
      <c r="K917" s="2"/>
      <c r="L917" s="2"/>
      <c r="M917" s="2"/>
      <c r="N917" s="2"/>
      <c r="O917" s="2"/>
      <c r="P917" s="2"/>
      <c r="Q917" s="2"/>
      <c r="R917" s="2"/>
      <c r="S917" s="2"/>
      <c r="T917" s="2"/>
    </row>
    <row r="918" spans="1:20" ht="15.75" customHeight="1">
      <c r="A918" s="1"/>
      <c r="B918" s="2"/>
      <c r="C918" s="2"/>
      <c r="D918" s="2"/>
      <c r="E918" s="2"/>
      <c r="F918" s="2"/>
      <c r="G918" s="2"/>
      <c r="H918" s="2"/>
      <c r="I918" s="2"/>
      <c r="J918" s="2"/>
      <c r="K918" s="2"/>
      <c r="L918" s="2"/>
      <c r="M918" s="2"/>
      <c r="N918" s="2"/>
      <c r="O918" s="2"/>
      <c r="P918" s="2"/>
      <c r="Q918" s="2"/>
      <c r="R918" s="2"/>
      <c r="S918" s="2"/>
      <c r="T918" s="2"/>
    </row>
    <row r="919" spans="1:20" ht="15.75" customHeight="1">
      <c r="A919" s="1"/>
      <c r="B919" s="2"/>
      <c r="C919" s="2"/>
      <c r="D919" s="2"/>
      <c r="E919" s="2"/>
      <c r="F919" s="2"/>
      <c r="G919" s="2"/>
      <c r="H919" s="2"/>
      <c r="I919" s="2"/>
      <c r="J919" s="2"/>
      <c r="K919" s="2"/>
      <c r="L919" s="2"/>
      <c r="M919" s="2"/>
      <c r="N919" s="2"/>
      <c r="O919" s="2"/>
      <c r="P919" s="2"/>
      <c r="Q919" s="2"/>
      <c r="R919" s="2"/>
      <c r="S919" s="2"/>
      <c r="T919" s="2"/>
    </row>
    <row r="920" spans="1:20" ht="15.75" customHeight="1">
      <c r="A920" s="1"/>
      <c r="B920" s="2"/>
      <c r="C920" s="2"/>
      <c r="D920" s="2"/>
      <c r="E920" s="2"/>
      <c r="F920" s="2"/>
      <c r="G920" s="2"/>
      <c r="H920" s="2"/>
      <c r="I920" s="2"/>
      <c r="J920" s="2"/>
      <c r="K920" s="2"/>
      <c r="L920" s="2"/>
      <c r="M920" s="2"/>
      <c r="N920" s="2"/>
      <c r="O920" s="2"/>
      <c r="P920" s="2"/>
      <c r="Q920" s="2"/>
      <c r="R920" s="2"/>
      <c r="S920" s="2"/>
      <c r="T920" s="2"/>
    </row>
    <row r="921" spans="1:20" ht="15.75" customHeight="1">
      <c r="A921" s="1"/>
      <c r="B921" s="2"/>
      <c r="C921" s="2"/>
      <c r="D921" s="2"/>
      <c r="E921" s="2"/>
      <c r="F921" s="2"/>
      <c r="G921" s="2"/>
      <c r="H921" s="2"/>
      <c r="I921" s="2"/>
      <c r="J921" s="2"/>
      <c r="K921" s="2"/>
      <c r="L921" s="2"/>
      <c r="M921" s="2"/>
      <c r="N921" s="2"/>
      <c r="O921" s="2"/>
      <c r="P921" s="2"/>
      <c r="Q921" s="2"/>
      <c r="R921" s="2"/>
      <c r="S921" s="2"/>
      <c r="T921" s="2"/>
    </row>
    <row r="922" spans="1:20" ht="15.75" customHeight="1">
      <c r="A922" s="1"/>
      <c r="B922" s="2"/>
      <c r="C922" s="2"/>
      <c r="D922" s="2"/>
      <c r="E922" s="2"/>
      <c r="F922" s="2"/>
      <c r="G922" s="2"/>
      <c r="H922" s="2"/>
      <c r="I922" s="2"/>
      <c r="J922" s="2"/>
      <c r="K922" s="2"/>
      <c r="L922" s="2"/>
      <c r="M922" s="2"/>
      <c r="N922" s="2"/>
      <c r="O922" s="2"/>
      <c r="P922" s="2"/>
      <c r="Q922" s="2"/>
      <c r="R922" s="2"/>
      <c r="S922" s="2"/>
      <c r="T922" s="2"/>
    </row>
    <row r="923" spans="1:20" ht="15.75" customHeight="1">
      <c r="A923" s="1"/>
      <c r="B923" s="2"/>
      <c r="C923" s="2"/>
      <c r="D923" s="2"/>
      <c r="E923" s="2"/>
      <c r="F923" s="2"/>
      <c r="G923" s="2"/>
      <c r="H923" s="2"/>
      <c r="I923" s="2"/>
      <c r="J923" s="2"/>
      <c r="K923" s="2"/>
      <c r="L923" s="2"/>
      <c r="M923" s="2"/>
      <c r="N923" s="2"/>
      <c r="O923" s="2"/>
      <c r="P923" s="2"/>
      <c r="Q923" s="2"/>
      <c r="R923" s="2"/>
      <c r="S923" s="2"/>
      <c r="T923" s="2"/>
    </row>
    <row r="924" spans="1:20" ht="15.75" customHeight="1">
      <c r="A924" s="1"/>
      <c r="B924" s="2"/>
      <c r="C924" s="2"/>
      <c r="D924" s="2"/>
      <c r="E924" s="2"/>
      <c r="F924" s="2"/>
      <c r="G924" s="2"/>
      <c r="H924" s="2"/>
      <c r="I924" s="2"/>
      <c r="J924" s="2"/>
      <c r="K924" s="2"/>
      <c r="L924" s="2"/>
      <c r="M924" s="2"/>
      <c r="N924" s="2"/>
      <c r="O924" s="2"/>
      <c r="P924" s="2"/>
      <c r="Q924" s="2"/>
      <c r="R924" s="2"/>
      <c r="S924" s="2"/>
      <c r="T924" s="2"/>
    </row>
    <row r="925" spans="1:20" ht="15.75" customHeight="1">
      <c r="A925" s="1"/>
      <c r="B925" s="2"/>
      <c r="C925" s="2"/>
      <c r="D925" s="2"/>
      <c r="E925" s="2"/>
      <c r="F925" s="2"/>
      <c r="G925" s="2"/>
      <c r="H925" s="2"/>
      <c r="I925" s="2"/>
      <c r="J925" s="2"/>
      <c r="K925" s="2"/>
      <c r="L925" s="2"/>
      <c r="M925" s="2"/>
      <c r="N925" s="2"/>
      <c r="O925" s="2"/>
      <c r="P925" s="2"/>
      <c r="Q925" s="2"/>
      <c r="R925" s="2"/>
      <c r="S925" s="2"/>
      <c r="T925" s="2"/>
    </row>
    <row r="926" spans="1:20" ht="15.75" customHeight="1">
      <c r="A926" s="1"/>
      <c r="B926" s="2"/>
      <c r="C926" s="2"/>
      <c r="D926" s="2"/>
      <c r="E926" s="2"/>
      <c r="F926" s="2"/>
      <c r="G926" s="2"/>
      <c r="H926" s="2"/>
      <c r="I926" s="2"/>
      <c r="J926" s="2"/>
      <c r="K926" s="2"/>
      <c r="L926" s="2"/>
      <c r="M926" s="2"/>
      <c r="N926" s="2"/>
      <c r="O926" s="2"/>
      <c r="P926" s="2"/>
      <c r="Q926" s="2"/>
      <c r="R926" s="2"/>
      <c r="S926" s="2"/>
      <c r="T926" s="2"/>
    </row>
    <row r="927" spans="1:20" ht="15.75" customHeight="1">
      <c r="A927" s="1"/>
      <c r="B927" s="2"/>
      <c r="C927" s="2"/>
      <c r="D927" s="2"/>
      <c r="E927" s="2"/>
      <c r="F927" s="2"/>
      <c r="G927" s="2"/>
      <c r="H927" s="2"/>
      <c r="I927" s="2"/>
      <c r="J927" s="2"/>
      <c r="K927" s="2"/>
      <c r="L927" s="2"/>
      <c r="M927" s="2"/>
      <c r="N927" s="2"/>
      <c r="O927" s="2"/>
      <c r="P927" s="2"/>
      <c r="Q927" s="2"/>
      <c r="R927" s="2"/>
      <c r="S927" s="2"/>
      <c r="T927" s="2"/>
    </row>
    <row r="928" spans="1:20" ht="15.75" customHeight="1">
      <c r="A928" s="1"/>
      <c r="B928" s="2"/>
      <c r="C928" s="2"/>
      <c r="D928" s="2"/>
      <c r="E928" s="2"/>
      <c r="F928" s="2"/>
      <c r="G928" s="2"/>
      <c r="H928" s="2"/>
      <c r="I928" s="2"/>
      <c r="J928" s="2"/>
      <c r="K928" s="2"/>
      <c r="L928" s="2"/>
      <c r="M928" s="2"/>
      <c r="N928" s="2"/>
      <c r="O928" s="2"/>
      <c r="P928" s="2"/>
      <c r="Q928" s="2"/>
      <c r="R928" s="2"/>
      <c r="S928" s="2"/>
      <c r="T928" s="2"/>
    </row>
    <row r="929" spans="1:20" ht="15.75" customHeight="1">
      <c r="A929" s="1"/>
      <c r="B929" s="2"/>
      <c r="C929" s="2"/>
      <c r="D929" s="2"/>
      <c r="E929" s="2"/>
      <c r="F929" s="2"/>
      <c r="G929" s="2"/>
      <c r="H929" s="2"/>
      <c r="I929" s="2"/>
      <c r="J929" s="2"/>
      <c r="K929" s="2"/>
      <c r="L929" s="2"/>
      <c r="M929" s="2"/>
      <c r="N929" s="2"/>
      <c r="O929" s="2"/>
      <c r="P929" s="2"/>
      <c r="Q929" s="2"/>
      <c r="R929" s="2"/>
      <c r="S929" s="2"/>
      <c r="T929" s="2"/>
    </row>
    <row r="930" spans="1:20" ht="15.75" customHeight="1">
      <c r="A930" s="1"/>
      <c r="B930" s="2"/>
      <c r="C930" s="2"/>
      <c r="D930" s="2"/>
      <c r="E930" s="2"/>
      <c r="F930" s="2"/>
      <c r="G930" s="2"/>
      <c r="H930" s="2"/>
      <c r="I930" s="2"/>
      <c r="J930" s="2"/>
      <c r="K930" s="2"/>
      <c r="L930" s="2"/>
      <c r="M930" s="2"/>
      <c r="N930" s="2"/>
      <c r="O930" s="2"/>
      <c r="P930" s="2"/>
      <c r="Q930" s="2"/>
      <c r="R930" s="2"/>
      <c r="S930" s="2"/>
      <c r="T930" s="2"/>
    </row>
    <row r="931" spans="1:20" ht="15.75" customHeight="1">
      <c r="A931" s="1"/>
      <c r="B931" s="2"/>
      <c r="C931" s="2"/>
      <c r="D931" s="2"/>
      <c r="E931" s="2"/>
      <c r="F931" s="2"/>
      <c r="G931" s="2"/>
      <c r="H931" s="2"/>
      <c r="I931" s="2"/>
      <c r="J931" s="2"/>
      <c r="K931" s="2"/>
      <c r="L931" s="2"/>
      <c r="M931" s="2"/>
      <c r="N931" s="2"/>
      <c r="O931" s="2"/>
      <c r="P931" s="2"/>
      <c r="Q931" s="2"/>
      <c r="R931" s="2"/>
      <c r="S931" s="2"/>
      <c r="T931" s="2"/>
    </row>
    <row r="932" spans="1:20" ht="15.75" customHeight="1">
      <c r="A932" s="1"/>
      <c r="B932" s="2"/>
      <c r="C932" s="2"/>
      <c r="D932" s="2"/>
      <c r="E932" s="2"/>
      <c r="F932" s="2"/>
      <c r="G932" s="2"/>
      <c r="H932" s="2"/>
      <c r="I932" s="2"/>
      <c r="J932" s="2"/>
      <c r="K932" s="2"/>
      <c r="L932" s="2"/>
      <c r="M932" s="2"/>
      <c r="N932" s="2"/>
      <c r="O932" s="2"/>
      <c r="P932" s="2"/>
      <c r="Q932" s="2"/>
      <c r="R932" s="2"/>
      <c r="S932" s="2"/>
      <c r="T932" s="2"/>
    </row>
    <row r="933" spans="1:20" ht="15.75" customHeight="1">
      <c r="A933" s="1"/>
      <c r="B933" s="2"/>
      <c r="C933" s="2"/>
      <c r="D933" s="2"/>
      <c r="E933" s="2"/>
      <c r="F933" s="2"/>
      <c r="G933" s="2"/>
      <c r="H933" s="2"/>
      <c r="I933" s="2"/>
      <c r="J933" s="2"/>
      <c r="K933" s="2"/>
      <c r="L933" s="2"/>
      <c r="M933" s="2"/>
      <c r="N933" s="2"/>
      <c r="O933" s="2"/>
      <c r="P933" s="2"/>
      <c r="Q933" s="2"/>
      <c r="R933" s="2"/>
      <c r="S933" s="2"/>
      <c r="T933" s="2"/>
    </row>
    <row r="934" spans="1:20" ht="15.75" customHeight="1">
      <c r="A934" s="1"/>
      <c r="B934" s="2"/>
      <c r="C934" s="2"/>
      <c r="D934" s="2"/>
      <c r="E934" s="2"/>
      <c r="F934" s="2"/>
      <c r="G934" s="2"/>
      <c r="H934" s="2"/>
      <c r="I934" s="2"/>
      <c r="J934" s="2"/>
      <c r="K934" s="2"/>
      <c r="L934" s="2"/>
      <c r="M934" s="2"/>
      <c r="N934" s="2"/>
      <c r="O934" s="2"/>
      <c r="P934" s="2"/>
      <c r="Q934" s="2"/>
      <c r="R934" s="2"/>
      <c r="S934" s="2"/>
      <c r="T934" s="2"/>
    </row>
    <row r="935" spans="1:20" ht="15.75" customHeight="1">
      <c r="A935" s="1"/>
      <c r="B935" s="2"/>
      <c r="C935" s="2"/>
      <c r="D935" s="2"/>
      <c r="E935" s="2"/>
      <c r="F935" s="2"/>
      <c r="G935" s="2"/>
      <c r="H935" s="2"/>
      <c r="I935" s="2"/>
      <c r="J935" s="2"/>
      <c r="K935" s="2"/>
      <c r="L935" s="2"/>
      <c r="M935" s="2"/>
      <c r="N935" s="2"/>
      <c r="O935" s="2"/>
      <c r="P935" s="2"/>
      <c r="Q935" s="2"/>
      <c r="R935" s="2"/>
      <c r="S935" s="2"/>
      <c r="T935" s="2"/>
    </row>
    <row r="936" spans="1:20" ht="15.75" customHeight="1">
      <c r="A936" s="1"/>
      <c r="B936" s="2"/>
      <c r="C936" s="2"/>
      <c r="D936" s="2"/>
      <c r="E936" s="2"/>
      <c r="F936" s="2"/>
      <c r="G936" s="2"/>
      <c r="H936" s="2"/>
      <c r="I936" s="2"/>
      <c r="J936" s="2"/>
      <c r="K936" s="2"/>
      <c r="L936" s="2"/>
      <c r="M936" s="2"/>
      <c r="N936" s="2"/>
      <c r="O936" s="2"/>
      <c r="P936" s="2"/>
      <c r="Q936" s="2"/>
      <c r="R936" s="2"/>
      <c r="S936" s="2"/>
      <c r="T936" s="2"/>
    </row>
    <row r="937" spans="1:20" ht="15.75" customHeight="1">
      <c r="A937" s="1"/>
      <c r="B937" s="2"/>
      <c r="C937" s="2"/>
      <c r="D937" s="2"/>
      <c r="E937" s="2"/>
      <c r="F937" s="2"/>
      <c r="G937" s="2"/>
      <c r="H937" s="2"/>
      <c r="I937" s="2"/>
      <c r="J937" s="2"/>
      <c r="K937" s="2"/>
      <c r="L937" s="2"/>
      <c r="M937" s="2"/>
      <c r="N937" s="2"/>
      <c r="O937" s="2"/>
      <c r="P937" s="2"/>
      <c r="Q937" s="2"/>
      <c r="R937" s="2"/>
      <c r="S937" s="2"/>
      <c r="T937" s="2"/>
    </row>
    <row r="938" spans="1:20" ht="15.75" customHeight="1">
      <c r="A938" s="1"/>
      <c r="B938" s="2"/>
      <c r="C938" s="2"/>
      <c r="D938" s="2"/>
      <c r="E938" s="2"/>
      <c r="F938" s="2"/>
      <c r="G938" s="2"/>
      <c r="H938" s="2"/>
      <c r="I938" s="2"/>
      <c r="J938" s="2"/>
      <c r="K938" s="2"/>
      <c r="L938" s="2"/>
      <c r="M938" s="2"/>
      <c r="N938" s="2"/>
      <c r="O938" s="2"/>
      <c r="P938" s="2"/>
      <c r="Q938" s="2"/>
      <c r="R938" s="2"/>
      <c r="S938" s="2"/>
      <c r="T938" s="2"/>
    </row>
    <row r="939" spans="1:20" ht="15.75" customHeight="1">
      <c r="A939" s="1"/>
      <c r="B939" s="2"/>
      <c r="C939" s="2"/>
      <c r="D939" s="2"/>
      <c r="E939" s="2"/>
      <c r="F939" s="2"/>
      <c r="G939" s="2"/>
      <c r="H939" s="2"/>
      <c r="I939" s="2"/>
      <c r="J939" s="2"/>
      <c r="K939" s="2"/>
      <c r="L939" s="2"/>
      <c r="M939" s="2"/>
      <c r="N939" s="2"/>
      <c r="O939" s="2"/>
      <c r="P939" s="2"/>
      <c r="Q939" s="2"/>
      <c r="R939" s="2"/>
      <c r="S939" s="2"/>
      <c r="T939" s="2"/>
    </row>
    <row r="940" spans="1:20" ht="15.75" customHeight="1">
      <c r="A940" s="1"/>
      <c r="B940" s="2"/>
      <c r="C940" s="2"/>
      <c r="D940" s="2"/>
      <c r="E940" s="2"/>
      <c r="F940" s="2"/>
      <c r="G940" s="2"/>
      <c r="H940" s="2"/>
      <c r="I940" s="2"/>
      <c r="J940" s="2"/>
      <c r="K940" s="2"/>
      <c r="L940" s="2"/>
      <c r="M940" s="2"/>
      <c r="N940" s="2"/>
      <c r="O940" s="2"/>
      <c r="P940" s="2"/>
      <c r="Q940" s="2"/>
      <c r="R940" s="2"/>
      <c r="S940" s="2"/>
      <c r="T940" s="2"/>
    </row>
    <row r="941" spans="1:20" ht="15.75" customHeight="1">
      <c r="A941" s="1"/>
      <c r="B941" s="2"/>
      <c r="C941" s="2"/>
      <c r="D941" s="2"/>
      <c r="E941" s="2"/>
      <c r="F941" s="2"/>
      <c r="G941" s="2"/>
      <c r="H941" s="2"/>
      <c r="I941" s="2"/>
      <c r="J941" s="2"/>
      <c r="K941" s="2"/>
      <c r="L941" s="2"/>
      <c r="M941" s="2"/>
      <c r="N941" s="2"/>
      <c r="O941" s="2"/>
      <c r="P941" s="2"/>
      <c r="Q941" s="2"/>
      <c r="R941" s="2"/>
      <c r="S941" s="2"/>
      <c r="T941" s="2"/>
    </row>
    <row r="942" spans="1:20" ht="15.75" customHeight="1">
      <c r="A942" s="1"/>
      <c r="B942" s="2"/>
      <c r="C942" s="2"/>
      <c r="D942" s="2"/>
      <c r="E942" s="2"/>
      <c r="F942" s="2"/>
      <c r="G942" s="2"/>
      <c r="H942" s="2"/>
      <c r="I942" s="2"/>
      <c r="J942" s="2"/>
      <c r="K942" s="2"/>
      <c r="L942" s="2"/>
      <c r="M942" s="2"/>
      <c r="N942" s="2"/>
      <c r="O942" s="2"/>
      <c r="P942" s="2"/>
      <c r="Q942" s="2"/>
      <c r="R942" s="2"/>
      <c r="S942" s="2"/>
      <c r="T942" s="2"/>
    </row>
    <row r="943" spans="1:20" ht="15.75" customHeight="1">
      <c r="A943" s="1"/>
      <c r="B943" s="2"/>
      <c r="C943" s="2"/>
      <c r="D943" s="2"/>
      <c r="E943" s="2"/>
      <c r="F943" s="2"/>
      <c r="G943" s="2"/>
      <c r="H943" s="2"/>
      <c r="I943" s="2"/>
      <c r="J943" s="2"/>
      <c r="K943" s="2"/>
      <c r="L943" s="2"/>
      <c r="M943" s="2"/>
      <c r="N943" s="2"/>
      <c r="O943" s="2"/>
      <c r="P943" s="2"/>
      <c r="Q943" s="2"/>
      <c r="R943" s="2"/>
      <c r="S943" s="2"/>
      <c r="T943" s="2"/>
    </row>
    <row r="944" spans="1:20" ht="15.75" customHeight="1">
      <c r="A944" s="1"/>
      <c r="B944" s="2"/>
      <c r="C944" s="2"/>
      <c r="D944" s="2"/>
      <c r="E944" s="2"/>
      <c r="F944" s="2"/>
      <c r="G944" s="2"/>
      <c r="H944" s="2"/>
      <c r="I944" s="2"/>
      <c r="J944" s="2"/>
      <c r="K944" s="2"/>
      <c r="L944" s="2"/>
      <c r="M944" s="2"/>
      <c r="N944" s="2"/>
      <c r="O944" s="2"/>
      <c r="P944" s="2"/>
      <c r="Q944" s="2"/>
      <c r="R944" s="2"/>
      <c r="S944" s="2"/>
      <c r="T944" s="2"/>
    </row>
    <row r="945" spans="1:20" ht="15.75" customHeight="1">
      <c r="A945" s="1"/>
      <c r="B945" s="2"/>
      <c r="C945" s="2"/>
      <c r="D945" s="2"/>
      <c r="E945" s="2"/>
      <c r="F945" s="2"/>
      <c r="G945" s="2"/>
      <c r="H945" s="2"/>
      <c r="I945" s="2"/>
      <c r="J945" s="2"/>
      <c r="K945" s="2"/>
      <c r="L945" s="2"/>
      <c r="M945" s="2"/>
      <c r="N945" s="2"/>
      <c r="O945" s="2"/>
      <c r="P945" s="2"/>
      <c r="Q945" s="2"/>
      <c r="R945" s="2"/>
      <c r="S945" s="2"/>
      <c r="T945" s="2"/>
    </row>
    <row r="946" spans="1:20" ht="15.75" customHeight="1">
      <c r="A946" s="1"/>
      <c r="B946" s="2"/>
      <c r="C946" s="2"/>
      <c r="D946" s="2"/>
      <c r="E946" s="2"/>
      <c r="F946" s="2"/>
      <c r="G946" s="2"/>
      <c r="H946" s="2"/>
      <c r="I946" s="2"/>
      <c r="J946" s="2"/>
      <c r="K946" s="2"/>
      <c r="L946" s="2"/>
      <c r="M946" s="2"/>
      <c r="N946" s="2"/>
      <c r="O946" s="2"/>
      <c r="P946" s="2"/>
      <c r="Q946" s="2"/>
      <c r="R946" s="2"/>
      <c r="S946" s="2"/>
      <c r="T946" s="2"/>
    </row>
    <row r="947" spans="1:20" ht="15.75" customHeight="1">
      <c r="A947" s="1"/>
      <c r="B947" s="2"/>
      <c r="C947" s="2"/>
      <c r="D947" s="2"/>
      <c r="E947" s="2"/>
      <c r="F947" s="2"/>
      <c r="G947" s="2"/>
      <c r="H947" s="2"/>
      <c r="I947" s="2"/>
      <c r="J947" s="2"/>
      <c r="K947" s="2"/>
      <c r="L947" s="2"/>
      <c r="M947" s="2"/>
      <c r="N947" s="2"/>
      <c r="O947" s="2"/>
      <c r="P947" s="2"/>
      <c r="Q947" s="2"/>
      <c r="R947" s="2"/>
      <c r="S947" s="2"/>
      <c r="T947" s="2"/>
    </row>
    <row r="948" spans="1:20" ht="15.75" customHeight="1">
      <c r="A948" s="1"/>
      <c r="B948" s="2"/>
      <c r="C948" s="2"/>
      <c r="D948" s="2"/>
      <c r="E948" s="2"/>
      <c r="F948" s="2"/>
      <c r="G948" s="2"/>
      <c r="H948" s="2"/>
      <c r="I948" s="2"/>
      <c r="J948" s="2"/>
      <c r="K948" s="2"/>
      <c r="L948" s="2"/>
      <c r="M948" s="2"/>
      <c r="N948" s="2"/>
      <c r="O948" s="2"/>
      <c r="P948" s="2"/>
      <c r="Q948" s="2"/>
      <c r="R948" s="2"/>
      <c r="S948" s="2"/>
      <c r="T948" s="2"/>
    </row>
    <row r="949" spans="1:20" ht="15.75" customHeight="1">
      <c r="A949" s="1"/>
      <c r="B949" s="2"/>
      <c r="C949" s="2"/>
      <c r="D949" s="2"/>
      <c r="E949" s="2"/>
      <c r="F949" s="2"/>
      <c r="G949" s="2"/>
      <c r="H949" s="2"/>
      <c r="I949" s="2"/>
      <c r="J949" s="2"/>
      <c r="K949" s="2"/>
      <c r="L949" s="2"/>
      <c r="M949" s="2"/>
      <c r="N949" s="2"/>
      <c r="O949" s="2"/>
      <c r="P949" s="2"/>
      <c r="Q949" s="2"/>
      <c r="R949" s="2"/>
      <c r="S949" s="2"/>
      <c r="T949" s="2"/>
    </row>
    <row r="950" spans="1:20" ht="15.75" customHeight="1">
      <c r="A950" s="1"/>
      <c r="B950" s="2"/>
      <c r="C950" s="2"/>
      <c r="D950" s="2"/>
      <c r="E950" s="2"/>
      <c r="F950" s="2"/>
      <c r="G950" s="2"/>
      <c r="H950" s="2"/>
      <c r="I950" s="2"/>
      <c r="J950" s="2"/>
      <c r="K950" s="2"/>
      <c r="L950" s="2"/>
      <c r="M950" s="2"/>
      <c r="N950" s="2"/>
      <c r="O950" s="2"/>
      <c r="P950" s="2"/>
      <c r="Q950" s="2"/>
      <c r="R950" s="2"/>
      <c r="S950" s="2"/>
      <c r="T950" s="2"/>
    </row>
    <row r="951" spans="1:20" ht="15.75" customHeight="1">
      <c r="A951" s="1"/>
      <c r="B951" s="2"/>
      <c r="C951" s="2"/>
      <c r="D951" s="2"/>
      <c r="E951" s="2"/>
      <c r="F951" s="2"/>
      <c r="G951" s="2"/>
      <c r="H951" s="2"/>
      <c r="I951" s="2"/>
      <c r="J951" s="2"/>
      <c r="K951" s="2"/>
      <c r="L951" s="2"/>
      <c r="M951" s="2"/>
      <c r="N951" s="2"/>
      <c r="O951" s="2"/>
      <c r="P951" s="2"/>
      <c r="Q951" s="2"/>
      <c r="R951" s="2"/>
      <c r="S951" s="2"/>
      <c r="T951" s="2"/>
    </row>
    <row r="952" spans="1:20" ht="15.75" customHeight="1">
      <c r="A952" s="1"/>
      <c r="B952" s="2"/>
      <c r="C952" s="2"/>
      <c r="D952" s="2"/>
      <c r="E952" s="2"/>
      <c r="F952" s="2"/>
      <c r="G952" s="2"/>
      <c r="H952" s="2"/>
      <c r="I952" s="2"/>
      <c r="J952" s="2"/>
      <c r="K952" s="2"/>
      <c r="L952" s="2"/>
      <c r="M952" s="2"/>
      <c r="N952" s="2"/>
      <c r="O952" s="2"/>
      <c r="P952" s="2"/>
      <c r="Q952" s="2"/>
      <c r="R952" s="2"/>
      <c r="S952" s="2"/>
      <c r="T952" s="2"/>
    </row>
    <row r="953" spans="1:20" ht="15.75" customHeight="1">
      <c r="A953" s="1"/>
      <c r="B953" s="2"/>
      <c r="C953" s="2"/>
      <c r="D953" s="2"/>
      <c r="E953" s="2"/>
      <c r="F953" s="2"/>
      <c r="G953" s="2"/>
      <c r="H953" s="2"/>
      <c r="I953" s="2"/>
      <c r="J953" s="2"/>
      <c r="K953" s="2"/>
      <c r="L953" s="2"/>
      <c r="M953" s="2"/>
      <c r="N953" s="2"/>
      <c r="O953" s="2"/>
      <c r="P953" s="2"/>
      <c r="Q953" s="2"/>
      <c r="R953" s="2"/>
      <c r="S953" s="2"/>
      <c r="T953" s="2"/>
    </row>
    <row r="954" spans="1:20" ht="15.75" customHeight="1">
      <c r="A954" s="1"/>
      <c r="B954" s="2"/>
      <c r="C954" s="2"/>
      <c r="D954" s="2"/>
      <c r="E954" s="2"/>
      <c r="F954" s="2"/>
      <c r="G954" s="2"/>
      <c r="H954" s="2"/>
      <c r="I954" s="2"/>
      <c r="J954" s="2"/>
      <c r="K954" s="2"/>
      <c r="L954" s="2"/>
      <c r="M954" s="2"/>
      <c r="N954" s="2"/>
      <c r="O954" s="2"/>
      <c r="P954" s="2"/>
      <c r="Q954" s="2"/>
      <c r="R954" s="2"/>
      <c r="S954" s="2"/>
      <c r="T954" s="2"/>
    </row>
    <row r="955" spans="1:20" ht="15.75" customHeight="1">
      <c r="A955" s="1"/>
      <c r="B955" s="2"/>
      <c r="C955" s="2"/>
      <c r="D955" s="2"/>
      <c r="E955" s="2"/>
      <c r="F955" s="2"/>
      <c r="G955" s="2"/>
      <c r="H955" s="2"/>
      <c r="I955" s="2"/>
      <c r="J955" s="2"/>
      <c r="K955" s="2"/>
      <c r="L955" s="2"/>
      <c r="M955" s="2"/>
      <c r="N955" s="2"/>
      <c r="O955" s="2"/>
      <c r="P955" s="2"/>
      <c r="Q955" s="2"/>
      <c r="R955" s="2"/>
      <c r="S955" s="2"/>
      <c r="T955" s="2"/>
    </row>
    <row r="956" spans="1:20" ht="15.75" customHeight="1">
      <c r="A956" s="1"/>
      <c r="B956" s="2"/>
      <c r="C956" s="2"/>
      <c r="D956" s="2"/>
      <c r="E956" s="2"/>
      <c r="F956" s="2"/>
      <c r="G956" s="2"/>
      <c r="H956" s="2"/>
      <c r="I956" s="2"/>
      <c r="J956" s="2"/>
      <c r="K956" s="2"/>
      <c r="L956" s="2"/>
      <c r="M956" s="2"/>
      <c r="N956" s="2"/>
      <c r="O956" s="2"/>
      <c r="P956" s="2"/>
      <c r="Q956" s="2"/>
      <c r="R956" s="2"/>
      <c r="S956" s="2"/>
      <c r="T956" s="2"/>
    </row>
    <row r="957" spans="1:20" ht="15.75" customHeight="1">
      <c r="A957" s="1"/>
      <c r="B957" s="2"/>
      <c r="C957" s="2"/>
      <c r="D957" s="2"/>
      <c r="E957" s="2"/>
      <c r="F957" s="2"/>
      <c r="G957" s="2"/>
      <c r="H957" s="2"/>
      <c r="I957" s="2"/>
      <c r="J957" s="2"/>
      <c r="K957" s="2"/>
      <c r="L957" s="2"/>
      <c r="M957" s="2"/>
      <c r="N957" s="2"/>
      <c r="O957" s="2"/>
      <c r="P957" s="2"/>
      <c r="Q957" s="2"/>
      <c r="R957" s="2"/>
      <c r="S957" s="2"/>
      <c r="T957" s="2"/>
    </row>
    <row r="958" spans="1:20" ht="15.75" customHeight="1">
      <c r="A958" s="1"/>
      <c r="B958" s="2"/>
      <c r="C958" s="2"/>
      <c r="D958" s="2"/>
      <c r="E958" s="2"/>
      <c r="F958" s="2"/>
      <c r="G958" s="2"/>
      <c r="H958" s="2"/>
      <c r="I958" s="2"/>
      <c r="J958" s="2"/>
      <c r="K958" s="2"/>
      <c r="L958" s="2"/>
      <c r="M958" s="2"/>
      <c r="N958" s="2"/>
      <c r="O958" s="2"/>
      <c r="P958" s="2"/>
      <c r="Q958" s="2"/>
      <c r="R958" s="2"/>
      <c r="S958" s="2"/>
      <c r="T958" s="2"/>
    </row>
    <row r="959" spans="1:20" ht="15.75" customHeight="1">
      <c r="A959" s="1"/>
      <c r="B959" s="2"/>
      <c r="C959" s="2"/>
      <c r="D959" s="2"/>
      <c r="E959" s="2"/>
      <c r="F959" s="2"/>
      <c r="G959" s="2"/>
      <c r="H959" s="2"/>
      <c r="I959" s="2"/>
      <c r="J959" s="2"/>
      <c r="K959" s="2"/>
      <c r="L959" s="2"/>
      <c r="M959" s="2"/>
      <c r="N959" s="2"/>
      <c r="O959" s="2"/>
      <c r="P959" s="2"/>
      <c r="Q959" s="2"/>
      <c r="R959" s="2"/>
      <c r="S959" s="2"/>
      <c r="T959" s="2"/>
    </row>
    <row r="960" spans="1:20" ht="15.75" customHeight="1">
      <c r="A960" s="1"/>
      <c r="B960" s="2"/>
      <c r="C960" s="2"/>
      <c r="D960" s="2"/>
      <c r="E960" s="2"/>
      <c r="F960" s="2"/>
      <c r="G960" s="2"/>
      <c r="H960" s="2"/>
      <c r="I960" s="2"/>
      <c r="J960" s="2"/>
      <c r="K960" s="2"/>
      <c r="L960" s="2"/>
      <c r="M960" s="2"/>
      <c r="N960" s="2"/>
      <c r="O960" s="2"/>
      <c r="P960" s="2"/>
      <c r="Q960" s="2"/>
      <c r="R960" s="2"/>
      <c r="S960" s="2"/>
      <c r="T960" s="2"/>
    </row>
    <row r="961" spans="1:20" ht="15.75" customHeight="1">
      <c r="A961" s="1"/>
      <c r="B961" s="2"/>
      <c r="C961" s="2"/>
      <c r="D961" s="2"/>
      <c r="E961" s="2"/>
      <c r="F961" s="2"/>
      <c r="G961" s="2"/>
      <c r="H961" s="2"/>
      <c r="I961" s="2"/>
      <c r="J961" s="2"/>
      <c r="K961" s="2"/>
      <c r="L961" s="2"/>
      <c r="M961" s="2"/>
      <c r="N961" s="2"/>
      <c r="O961" s="2"/>
      <c r="P961" s="2"/>
      <c r="Q961" s="2"/>
      <c r="R961" s="2"/>
      <c r="S961" s="2"/>
      <c r="T961" s="2"/>
    </row>
    <row r="962" spans="1:20" ht="15.75" customHeight="1">
      <c r="A962" s="1"/>
      <c r="B962" s="2"/>
      <c r="C962" s="2"/>
      <c r="D962" s="2"/>
      <c r="E962" s="2"/>
      <c r="F962" s="2"/>
      <c r="G962" s="2"/>
      <c r="H962" s="2"/>
      <c r="I962" s="2"/>
      <c r="J962" s="2"/>
      <c r="K962" s="2"/>
      <c r="L962" s="2"/>
      <c r="M962" s="2"/>
      <c r="N962" s="2"/>
      <c r="O962" s="2"/>
      <c r="P962" s="2"/>
      <c r="Q962" s="2"/>
      <c r="R962" s="2"/>
      <c r="S962" s="2"/>
      <c r="T962" s="2"/>
    </row>
    <row r="963" spans="1:20" ht="15.75" customHeight="1">
      <c r="A963" s="1"/>
      <c r="B963" s="2"/>
      <c r="C963" s="2"/>
      <c r="D963" s="2"/>
      <c r="E963" s="2"/>
      <c r="F963" s="2"/>
      <c r="G963" s="2"/>
      <c r="H963" s="2"/>
      <c r="I963" s="2"/>
      <c r="J963" s="2"/>
      <c r="K963" s="2"/>
      <c r="L963" s="2"/>
      <c r="M963" s="2"/>
      <c r="N963" s="2"/>
      <c r="O963" s="2"/>
      <c r="P963" s="2"/>
      <c r="Q963" s="2"/>
      <c r="R963" s="2"/>
      <c r="S963" s="2"/>
      <c r="T963" s="2"/>
    </row>
    <row r="964" spans="1:20" ht="15.75" customHeight="1">
      <c r="A964" s="1"/>
      <c r="B964" s="2"/>
      <c r="C964" s="2"/>
      <c r="D964" s="2"/>
      <c r="E964" s="2"/>
      <c r="F964" s="2"/>
      <c r="G964" s="2"/>
      <c r="H964" s="2"/>
      <c r="I964" s="2"/>
      <c r="J964" s="2"/>
      <c r="K964" s="2"/>
      <c r="L964" s="2"/>
      <c r="M964" s="2"/>
      <c r="N964" s="2"/>
      <c r="O964" s="2"/>
      <c r="P964" s="2"/>
      <c r="Q964" s="2"/>
      <c r="R964" s="2"/>
      <c r="S964" s="2"/>
      <c r="T964" s="2"/>
    </row>
    <row r="965" spans="1:20" ht="15.75" customHeight="1">
      <c r="A965" s="1"/>
      <c r="B965" s="2"/>
      <c r="C965" s="2"/>
      <c r="D965" s="2"/>
      <c r="E965" s="2"/>
      <c r="F965" s="2"/>
      <c r="G965" s="2"/>
      <c r="H965" s="2"/>
      <c r="I965" s="2"/>
      <c r="J965" s="2"/>
      <c r="K965" s="2"/>
      <c r="L965" s="2"/>
      <c r="M965" s="2"/>
      <c r="N965" s="2"/>
      <c r="O965" s="2"/>
      <c r="P965" s="2"/>
      <c r="Q965" s="2"/>
      <c r="R965" s="2"/>
      <c r="S965" s="2"/>
      <c r="T965" s="2"/>
    </row>
    <row r="966" spans="1:20" ht="15.75" customHeight="1">
      <c r="A966" s="1"/>
      <c r="B966" s="2"/>
      <c r="C966" s="2"/>
      <c r="D966" s="2"/>
      <c r="E966" s="2"/>
      <c r="F966" s="2"/>
      <c r="G966" s="2"/>
      <c r="H966" s="2"/>
      <c r="I966" s="2"/>
      <c r="J966" s="2"/>
      <c r="K966" s="2"/>
      <c r="L966" s="2"/>
      <c r="M966" s="2"/>
      <c r="N966" s="2"/>
      <c r="O966" s="2"/>
      <c r="P966" s="2"/>
      <c r="Q966" s="2"/>
      <c r="R966" s="2"/>
      <c r="S966" s="2"/>
      <c r="T966" s="2"/>
    </row>
    <row r="967" spans="1:20" ht="15.75" customHeight="1">
      <c r="A967" s="1"/>
      <c r="B967" s="2"/>
      <c r="C967" s="2"/>
      <c r="D967" s="2"/>
      <c r="E967" s="2"/>
      <c r="F967" s="2"/>
      <c r="G967" s="2"/>
      <c r="H967" s="2"/>
      <c r="I967" s="2"/>
      <c r="J967" s="2"/>
      <c r="K967" s="2"/>
      <c r="L967" s="2"/>
      <c r="M967" s="2"/>
      <c r="N967" s="2"/>
      <c r="O967" s="2"/>
      <c r="P967" s="2"/>
      <c r="Q967" s="2"/>
      <c r="R967" s="2"/>
      <c r="S967" s="2"/>
      <c r="T967" s="2"/>
    </row>
    <row r="968" spans="1:20" ht="15.75" customHeight="1">
      <c r="A968" s="1"/>
      <c r="B968" s="2"/>
      <c r="C968" s="2"/>
      <c r="D968" s="2"/>
      <c r="E968" s="2"/>
      <c r="F968" s="2"/>
      <c r="G968" s="2"/>
      <c r="H968" s="2"/>
      <c r="I968" s="2"/>
      <c r="J968" s="2"/>
      <c r="K968" s="2"/>
      <c r="L968" s="2"/>
      <c r="M968" s="2"/>
      <c r="N968" s="2"/>
      <c r="O968" s="2"/>
      <c r="P968" s="2"/>
      <c r="Q968" s="2"/>
      <c r="R968" s="2"/>
      <c r="S968" s="2"/>
      <c r="T968" s="2"/>
    </row>
    <row r="969" spans="1:20" ht="15.75" customHeight="1">
      <c r="A969" s="1"/>
      <c r="B969" s="2"/>
      <c r="C969" s="2"/>
      <c r="D969" s="2"/>
      <c r="E969" s="2"/>
      <c r="F969" s="2"/>
      <c r="G969" s="2"/>
      <c r="H969" s="2"/>
      <c r="I969" s="2"/>
      <c r="J969" s="2"/>
      <c r="K969" s="2"/>
      <c r="L969" s="2"/>
      <c r="M969" s="2"/>
      <c r="N969" s="2"/>
      <c r="O969" s="2"/>
      <c r="P969" s="2"/>
      <c r="Q969" s="2"/>
      <c r="R969" s="2"/>
      <c r="S969" s="2"/>
      <c r="T969" s="2"/>
    </row>
    <row r="970" spans="1:20" ht="15.75" customHeight="1">
      <c r="A970" s="1"/>
      <c r="B970" s="2"/>
      <c r="C970" s="2"/>
      <c r="D970" s="2"/>
      <c r="E970" s="2"/>
      <c r="F970" s="2"/>
      <c r="G970" s="2"/>
      <c r="H970" s="2"/>
      <c r="I970" s="2"/>
      <c r="J970" s="2"/>
      <c r="K970" s="2"/>
      <c r="L970" s="2"/>
      <c r="M970" s="2"/>
      <c r="N970" s="2"/>
      <c r="O970" s="2"/>
      <c r="P970" s="2"/>
      <c r="Q970" s="2"/>
      <c r="R970" s="2"/>
      <c r="S970" s="2"/>
      <c r="T970" s="2"/>
    </row>
    <row r="971" spans="1:20" ht="15.75" customHeight="1">
      <c r="A971" s="1"/>
      <c r="B971" s="2"/>
      <c r="C971" s="2"/>
      <c r="D971" s="2"/>
      <c r="E971" s="2"/>
      <c r="F971" s="2"/>
      <c r="G971" s="2"/>
      <c r="H971" s="2"/>
      <c r="I971" s="2"/>
      <c r="J971" s="2"/>
      <c r="K971" s="2"/>
      <c r="L971" s="2"/>
      <c r="M971" s="2"/>
      <c r="N971" s="2"/>
      <c r="O971" s="2"/>
      <c r="P971" s="2"/>
      <c r="Q971" s="2"/>
      <c r="R971" s="2"/>
      <c r="S971" s="2"/>
      <c r="T971" s="2"/>
    </row>
    <row r="972" spans="1:20" ht="15.75" customHeight="1">
      <c r="A972" s="1"/>
      <c r="B972" s="2"/>
      <c r="C972" s="2"/>
      <c r="D972" s="2"/>
      <c r="E972" s="2"/>
      <c r="F972" s="2"/>
      <c r="G972" s="2"/>
      <c r="H972" s="2"/>
      <c r="I972" s="2"/>
      <c r="J972" s="2"/>
      <c r="K972" s="2"/>
      <c r="L972" s="2"/>
      <c r="M972" s="2"/>
      <c r="N972" s="2"/>
      <c r="O972" s="2"/>
      <c r="P972" s="2"/>
      <c r="Q972" s="2"/>
      <c r="R972" s="2"/>
      <c r="S972" s="2"/>
      <c r="T972" s="2"/>
    </row>
    <row r="973" spans="1:20" ht="15.75" customHeight="1">
      <c r="A973" s="1"/>
      <c r="B973" s="2"/>
      <c r="C973" s="2"/>
      <c r="D973" s="2"/>
      <c r="E973" s="2"/>
      <c r="F973" s="2"/>
      <c r="G973" s="2"/>
      <c r="H973" s="2"/>
      <c r="I973" s="2"/>
      <c r="J973" s="2"/>
      <c r="K973" s="2"/>
      <c r="L973" s="2"/>
      <c r="M973" s="2"/>
      <c r="N973" s="2"/>
      <c r="O973" s="2"/>
      <c r="P973" s="2"/>
      <c r="Q973" s="2"/>
      <c r="R973" s="2"/>
      <c r="S973" s="2"/>
      <c r="T973" s="2"/>
    </row>
    <row r="974" spans="1:20" ht="15.75" customHeight="1">
      <c r="A974" s="1"/>
      <c r="B974" s="2"/>
      <c r="C974" s="2"/>
      <c r="D974" s="2"/>
      <c r="E974" s="2"/>
      <c r="F974" s="2"/>
      <c r="G974" s="2"/>
      <c r="H974" s="2"/>
      <c r="I974" s="2"/>
      <c r="J974" s="2"/>
      <c r="K974" s="2"/>
      <c r="L974" s="2"/>
      <c r="M974" s="2"/>
      <c r="N974" s="2"/>
      <c r="O974" s="2"/>
      <c r="P974" s="2"/>
      <c r="Q974" s="2"/>
      <c r="R974" s="2"/>
      <c r="S974" s="2"/>
      <c r="T974" s="2"/>
    </row>
    <row r="975" spans="1:20" ht="15.75" customHeight="1">
      <c r="A975" s="1"/>
      <c r="B975" s="2"/>
      <c r="C975" s="2"/>
      <c r="D975" s="2"/>
      <c r="E975" s="2"/>
      <c r="F975" s="2"/>
      <c r="G975" s="2"/>
      <c r="H975" s="2"/>
      <c r="I975" s="2"/>
      <c r="J975" s="2"/>
      <c r="K975" s="2"/>
      <c r="L975" s="2"/>
      <c r="M975" s="2"/>
      <c r="N975" s="2"/>
      <c r="O975" s="2"/>
      <c r="P975" s="2"/>
      <c r="Q975" s="2"/>
      <c r="R975" s="2"/>
      <c r="S975" s="2"/>
      <c r="T975" s="2"/>
    </row>
    <row r="976" spans="1:20" ht="15.75" customHeight="1">
      <c r="A976" s="1"/>
      <c r="B976" s="2"/>
      <c r="C976" s="2"/>
      <c r="D976" s="2"/>
      <c r="E976" s="2"/>
      <c r="F976" s="2"/>
      <c r="G976" s="2"/>
      <c r="H976" s="2"/>
      <c r="I976" s="2"/>
      <c r="J976" s="2"/>
      <c r="K976" s="2"/>
      <c r="L976" s="2"/>
      <c r="M976" s="2"/>
      <c r="N976" s="2"/>
      <c r="O976" s="2"/>
      <c r="P976" s="2"/>
      <c r="Q976" s="2"/>
      <c r="R976" s="2"/>
      <c r="S976" s="2"/>
      <c r="T976" s="2"/>
    </row>
    <row r="977" spans="1:20" ht="15.75" customHeight="1">
      <c r="A977" s="1"/>
      <c r="B977" s="2"/>
      <c r="C977" s="2"/>
      <c r="D977" s="2"/>
      <c r="E977" s="2"/>
      <c r="F977" s="2"/>
      <c r="G977" s="2"/>
      <c r="H977" s="2"/>
      <c r="I977" s="2"/>
      <c r="J977" s="2"/>
      <c r="K977" s="2"/>
      <c r="L977" s="2"/>
      <c r="M977" s="2"/>
      <c r="N977" s="2"/>
      <c r="O977" s="2"/>
      <c r="P977" s="2"/>
      <c r="Q977" s="2"/>
      <c r="R977" s="2"/>
      <c r="S977" s="2"/>
      <c r="T977" s="2"/>
    </row>
    <row r="978" spans="1:20" ht="15.75" customHeight="1">
      <c r="A978" s="1"/>
      <c r="B978" s="2"/>
      <c r="C978" s="2"/>
      <c r="D978" s="2"/>
      <c r="E978" s="2"/>
      <c r="F978" s="2"/>
      <c r="G978" s="2"/>
      <c r="H978" s="2"/>
      <c r="I978" s="2"/>
      <c r="J978" s="2"/>
      <c r="K978" s="2"/>
      <c r="L978" s="2"/>
      <c r="M978" s="2"/>
      <c r="N978" s="2"/>
      <c r="O978" s="2"/>
      <c r="P978" s="2"/>
      <c r="Q978" s="2"/>
      <c r="R978" s="2"/>
      <c r="S978" s="2"/>
      <c r="T978" s="2"/>
    </row>
    <row r="979" spans="1:20" ht="15.75" customHeight="1">
      <c r="A979" s="1"/>
      <c r="B979" s="2"/>
      <c r="C979" s="2"/>
      <c r="D979" s="2"/>
      <c r="E979" s="2"/>
      <c r="F979" s="2"/>
      <c r="G979" s="2"/>
      <c r="H979" s="2"/>
      <c r="I979" s="2"/>
      <c r="J979" s="2"/>
      <c r="K979" s="2"/>
      <c r="L979" s="2"/>
      <c r="M979" s="2"/>
      <c r="N979" s="2"/>
      <c r="O979" s="2"/>
      <c r="P979" s="2"/>
      <c r="Q979" s="2"/>
      <c r="R979" s="2"/>
      <c r="S979" s="2"/>
      <c r="T979" s="2"/>
    </row>
    <row r="980" spans="1:20" ht="15.75" customHeight="1">
      <c r="A980" s="1"/>
      <c r="B980" s="2"/>
      <c r="C980" s="2"/>
      <c r="D980" s="2"/>
      <c r="E980" s="2"/>
      <c r="F980" s="2"/>
      <c r="G980" s="2"/>
      <c r="H980" s="2"/>
      <c r="I980" s="2"/>
      <c r="J980" s="2"/>
      <c r="K980" s="2"/>
      <c r="L980" s="2"/>
      <c r="M980" s="2"/>
      <c r="N980" s="2"/>
      <c r="O980" s="2"/>
      <c r="P980" s="2"/>
      <c r="Q980" s="2"/>
      <c r="R980" s="2"/>
      <c r="S980" s="2"/>
      <c r="T980" s="2"/>
    </row>
    <row r="981" spans="1:20" ht="15.75" customHeight="1">
      <c r="A981" s="1"/>
      <c r="B981" s="2"/>
      <c r="C981" s="2"/>
      <c r="D981" s="2"/>
      <c r="E981" s="2"/>
      <c r="F981" s="2"/>
      <c r="G981" s="2"/>
      <c r="H981" s="2"/>
      <c r="I981" s="2"/>
      <c r="J981" s="2"/>
      <c r="K981" s="2"/>
      <c r="L981" s="2"/>
      <c r="M981" s="2"/>
      <c r="N981" s="2"/>
      <c r="O981" s="2"/>
      <c r="P981" s="2"/>
      <c r="Q981" s="2"/>
      <c r="R981" s="2"/>
      <c r="S981" s="2"/>
      <c r="T981" s="2"/>
    </row>
    <row r="982" spans="1:20" ht="15.75" customHeight="1">
      <c r="A982" s="1"/>
      <c r="B982" s="2"/>
      <c r="C982" s="2"/>
      <c r="D982" s="2"/>
      <c r="E982" s="2"/>
      <c r="F982" s="2"/>
      <c r="G982" s="2"/>
      <c r="H982" s="2"/>
      <c r="I982" s="2"/>
      <c r="J982" s="2"/>
      <c r="K982" s="2"/>
      <c r="L982" s="2"/>
      <c r="M982" s="2"/>
      <c r="N982" s="2"/>
      <c r="O982" s="2"/>
      <c r="P982" s="2"/>
      <c r="Q982" s="2"/>
      <c r="R982" s="2"/>
      <c r="S982" s="2"/>
      <c r="T982" s="2"/>
    </row>
    <row r="983" spans="1:20" ht="15.75" customHeight="1">
      <c r="A983" s="1"/>
      <c r="B983" s="2"/>
      <c r="C983" s="2"/>
      <c r="D983" s="2"/>
      <c r="E983" s="2"/>
      <c r="F983" s="2"/>
      <c r="G983" s="2"/>
      <c r="H983" s="2"/>
      <c r="I983" s="2"/>
      <c r="J983" s="2"/>
      <c r="K983" s="2"/>
      <c r="L983" s="2"/>
      <c r="M983" s="2"/>
      <c r="N983" s="2"/>
      <c r="O983" s="2"/>
      <c r="P983" s="2"/>
      <c r="Q983" s="2"/>
      <c r="R983" s="2"/>
      <c r="S983" s="2"/>
      <c r="T983" s="2"/>
    </row>
    <row r="984" spans="1:20" ht="15.75" customHeight="1">
      <c r="A984" s="1"/>
      <c r="B984" s="2"/>
      <c r="C984" s="2"/>
      <c r="D984" s="2"/>
      <c r="E984" s="2"/>
      <c r="F984" s="2"/>
      <c r="G984" s="2"/>
      <c r="H984" s="2"/>
      <c r="I984" s="2"/>
      <c r="J984" s="2"/>
      <c r="K984" s="2"/>
      <c r="L984" s="2"/>
      <c r="M984" s="2"/>
      <c r="N984" s="2"/>
      <c r="O984" s="2"/>
      <c r="P984" s="2"/>
      <c r="Q984" s="2"/>
      <c r="R984" s="2"/>
      <c r="S984" s="2"/>
      <c r="T984" s="2"/>
    </row>
    <row r="985" spans="1:20" ht="15.75" customHeight="1">
      <c r="A985" s="1"/>
      <c r="B985" s="2"/>
      <c r="C985" s="2"/>
      <c r="D985" s="2"/>
      <c r="E985" s="2"/>
      <c r="F985" s="2"/>
      <c r="G985" s="2"/>
      <c r="H985" s="2"/>
      <c r="I985" s="2"/>
      <c r="J985" s="2"/>
      <c r="K985" s="2"/>
      <c r="L985" s="2"/>
      <c r="M985" s="2"/>
      <c r="N985" s="2"/>
      <c r="O985" s="2"/>
      <c r="P985" s="2"/>
      <c r="Q985" s="2"/>
      <c r="R985" s="2"/>
      <c r="S985" s="2"/>
      <c r="T985" s="2"/>
    </row>
    <row r="986" spans="1:20" ht="15.75" customHeight="1">
      <c r="A986" s="1"/>
      <c r="B986" s="2"/>
      <c r="C986" s="2"/>
      <c r="D986" s="2"/>
      <c r="E986" s="2"/>
      <c r="F986" s="2"/>
      <c r="G986" s="2"/>
      <c r="H986" s="2"/>
      <c r="I986" s="2"/>
      <c r="J986" s="2"/>
      <c r="K986" s="2"/>
      <c r="L986" s="2"/>
      <c r="M986" s="2"/>
      <c r="N986" s="2"/>
      <c r="O986" s="2"/>
      <c r="P986" s="2"/>
      <c r="Q986" s="2"/>
      <c r="R986" s="2"/>
      <c r="S986" s="2"/>
      <c r="T986" s="2"/>
    </row>
    <row r="987" spans="1:20" ht="15.75" customHeight="1">
      <c r="A987" s="1"/>
      <c r="B987" s="2"/>
      <c r="C987" s="2"/>
      <c r="D987" s="2"/>
      <c r="E987" s="2"/>
      <c r="F987" s="2"/>
      <c r="G987" s="2"/>
      <c r="H987" s="2"/>
      <c r="I987" s="2"/>
      <c r="J987" s="2"/>
      <c r="K987" s="2"/>
      <c r="L987" s="2"/>
      <c r="M987" s="2"/>
      <c r="N987" s="2"/>
      <c r="O987" s="2"/>
      <c r="P987" s="2"/>
      <c r="Q987" s="2"/>
      <c r="R987" s="2"/>
      <c r="S987" s="2"/>
      <c r="T987" s="2"/>
    </row>
    <row r="988" spans="1:20" ht="15.75" customHeight="1">
      <c r="A988" s="1"/>
      <c r="B988" s="2"/>
      <c r="C988" s="2"/>
      <c r="D988" s="2"/>
      <c r="E988" s="2"/>
      <c r="F988" s="2"/>
      <c r="G988" s="2"/>
      <c r="H988" s="2"/>
      <c r="I988" s="2"/>
      <c r="J988" s="2"/>
      <c r="K988" s="2"/>
      <c r="L988" s="2"/>
      <c r="M988" s="2"/>
      <c r="N988" s="2"/>
      <c r="O988" s="2"/>
      <c r="P988" s="2"/>
      <c r="Q988" s="2"/>
      <c r="R988" s="2"/>
      <c r="S988" s="2"/>
      <c r="T988" s="2"/>
    </row>
    <row r="989" spans="1:20" ht="15.75" customHeight="1">
      <c r="A989" s="1"/>
      <c r="B989" s="2"/>
      <c r="C989" s="2"/>
      <c r="D989" s="2"/>
      <c r="E989" s="2"/>
      <c r="F989" s="2"/>
      <c r="G989" s="2"/>
      <c r="H989" s="2"/>
      <c r="I989" s="2"/>
      <c r="J989" s="2"/>
      <c r="K989" s="2"/>
      <c r="L989" s="2"/>
      <c r="M989" s="2"/>
      <c r="N989" s="2"/>
      <c r="O989" s="2"/>
      <c r="P989" s="2"/>
      <c r="Q989" s="2"/>
      <c r="R989" s="2"/>
      <c r="S989" s="2"/>
      <c r="T989" s="2"/>
    </row>
    <row r="990" spans="1:20" ht="15.75" customHeight="1">
      <c r="A990" s="1"/>
      <c r="B990" s="2"/>
      <c r="C990" s="2"/>
      <c r="D990" s="2"/>
      <c r="E990" s="2"/>
      <c r="F990" s="2"/>
      <c r="G990" s="2"/>
      <c r="H990" s="2"/>
      <c r="I990" s="2"/>
      <c r="J990" s="2"/>
      <c r="K990" s="2"/>
      <c r="L990" s="2"/>
      <c r="M990" s="2"/>
      <c r="N990" s="2"/>
      <c r="O990" s="2"/>
      <c r="P990" s="2"/>
      <c r="Q990" s="2"/>
      <c r="R990" s="2"/>
      <c r="S990" s="2"/>
      <c r="T990" s="2"/>
    </row>
    <row r="991" spans="1:20" ht="15.75" customHeight="1">
      <c r="A991" s="1"/>
      <c r="B991" s="2"/>
      <c r="C991" s="2"/>
      <c r="D991" s="2"/>
      <c r="E991" s="2"/>
      <c r="F991" s="2"/>
      <c r="G991" s="2"/>
      <c r="H991" s="2"/>
      <c r="I991" s="2"/>
      <c r="J991" s="2"/>
      <c r="K991" s="2"/>
      <c r="L991" s="2"/>
      <c r="M991" s="2"/>
      <c r="N991" s="2"/>
      <c r="O991" s="2"/>
      <c r="P991" s="2"/>
      <c r="Q991" s="2"/>
      <c r="R991" s="2"/>
      <c r="S991" s="2"/>
      <c r="T991" s="2"/>
    </row>
    <row r="992" spans="1:20" ht="15.75" customHeight="1">
      <c r="A992" s="1"/>
      <c r="B992" s="2"/>
      <c r="C992" s="2"/>
      <c r="D992" s="2"/>
      <c r="E992" s="2"/>
      <c r="F992" s="2"/>
      <c r="G992" s="2"/>
      <c r="H992" s="2"/>
      <c r="I992" s="2"/>
      <c r="J992" s="2"/>
      <c r="K992" s="2"/>
      <c r="L992" s="2"/>
      <c r="M992" s="2"/>
      <c r="N992" s="2"/>
      <c r="O992" s="2"/>
      <c r="P992" s="2"/>
      <c r="Q992" s="2"/>
      <c r="R992" s="2"/>
      <c r="S992" s="2"/>
      <c r="T992" s="2"/>
    </row>
    <row r="993" spans="1:20" ht="15.75" customHeight="1">
      <c r="A993" s="1"/>
      <c r="B993" s="2"/>
      <c r="C993" s="2"/>
      <c r="D993" s="2"/>
      <c r="E993" s="2"/>
      <c r="F993" s="2"/>
      <c r="G993" s="2"/>
      <c r="H993" s="2"/>
      <c r="I993" s="2"/>
      <c r="J993" s="2"/>
      <c r="K993" s="2"/>
      <c r="L993" s="2"/>
      <c r="M993" s="2"/>
      <c r="N993" s="2"/>
      <c r="O993" s="2"/>
      <c r="P993" s="2"/>
      <c r="Q993" s="2"/>
      <c r="R993" s="2"/>
      <c r="S993" s="2"/>
      <c r="T993" s="2"/>
    </row>
    <row r="994" spans="1:20" ht="15.75" customHeight="1">
      <c r="A994" s="1"/>
      <c r="B994" s="2"/>
      <c r="C994" s="2"/>
      <c r="D994" s="2"/>
      <c r="E994" s="2"/>
      <c r="F994" s="2"/>
      <c r="G994" s="2"/>
      <c r="H994" s="2"/>
      <c r="I994" s="2"/>
      <c r="J994" s="2"/>
      <c r="K994" s="2"/>
      <c r="L994" s="2"/>
      <c r="M994" s="2"/>
      <c r="N994" s="2"/>
      <c r="O994" s="2"/>
      <c r="P994" s="2"/>
      <c r="Q994" s="2"/>
      <c r="R994" s="2"/>
      <c r="S994" s="2"/>
      <c r="T994" s="2"/>
    </row>
    <row r="995" spans="1:20" ht="15.75" customHeight="1">
      <c r="A995" s="1"/>
      <c r="B995" s="2"/>
      <c r="C995" s="2"/>
      <c r="D995" s="2"/>
      <c r="E995" s="2"/>
      <c r="F995" s="2"/>
      <c r="G995" s="2"/>
      <c r="H995" s="2"/>
      <c r="I995" s="2"/>
      <c r="J995" s="2"/>
      <c r="K995" s="2"/>
      <c r="L995" s="2"/>
      <c r="M995" s="2"/>
      <c r="N995" s="2"/>
      <c r="O995" s="2"/>
      <c r="P995" s="2"/>
      <c r="Q995" s="2"/>
      <c r="R995" s="2"/>
      <c r="S995" s="2"/>
      <c r="T995" s="2"/>
    </row>
    <row r="996" spans="1:20" ht="15.75" customHeight="1">
      <c r="A996" s="1"/>
      <c r="B996" s="2"/>
      <c r="C996" s="2"/>
      <c r="D996" s="2"/>
      <c r="E996" s="2"/>
      <c r="F996" s="2"/>
      <c r="G996" s="2"/>
      <c r="H996" s="2"/>
      <c r="I996" s="2"/>
      <c r="J996" s="2"/>
      <c r="K996" s="2"/>
      <c r="L996" s="2"/>
      <c r="M996" s="2"/>
      <c r="N996" s="2"/>
      <c r="O996" s="2"/>
      <c r="P996" s="2"/>
      <c r="Q996" s="2"/>
      <c r="R996" s="2"/>
      <c r="S996" s="2"/>
      <c r="T996" s="2"/>
    </row>
    <row r="997" spans="1:20" ht="15.75" customHeight="1">
      <c r="A997" s="1"/>
      <c r="B997" s="2"/>
      <c r="C997" s="2"/>
      <c r="D997" s="2"/>
      <c r="E997" s="2"/>
      <c r="F997" s="2"/>
      <c r="G997" s="2"/>
      <c r="H997" s="2"/>
      <c r="I997" s="2"/>
      <c r="J997" s="2"/>
      <c r="K997" s="2"/>
      <c r="L997" s="2"/>
      <c r="M997" s="2"/>
      <c r="N997" s="2"/>
      <c r="O997" s="2"/>
      <c r="P997" s="2"/>
      <c r="Q997" s="2"/>
      <c r="R997" s="2"/>
      <c r="S997" s="2"/>
      <c r="T997" s="2"/>
    </row>
    <row r="998" spans="1:20" ht="15.75" customHeight="1">
      <c r="A998" s="1"/>
      <c r="B998" s="2"/>
      <c r="C998" s="2"/>
      <c r="D998" s="2"/>
      <c r="E998" s="2"/>
      <c r="F998" s="2"/>
      <c r="G998" s="2"/>
      <c r="H998" s="2"/>
      <c r="I998" s="2"/>
      <c r="J998" s="2"/>
      <c r="K998" s="2"/>
      <c r="L998" s="2"/>
      <c r="M998" s="2"/>
      <c r="N998" s="2"/>
      <c r="O998" s="2"/>
      <c r="P998" s="2"/>
      <c r="Q998" s="2"/>
      <c r="R998" s="2"/>
      <c r="S998" s="2"/>
      <c r="T998" s="2"/>
    </row>
    <row r="999" spans="1:20" ht="15.75" customHeight="1">
      <c r="A999" s="1"/>
      <c r="B999" s="2"/>
      <c r="C999" s="2"/>
      <c r="D999" s="2"/>
      <c r="E999" s="2"/>
      <c r="F999" s="2"/>
      <c r="G999" s="2"/>
      <c r="H999" s="2"/>
      <c r="I999" s="2"/>
      <c r="J999" s="2"/>
      <c r="K999" s="2"/>
      <c r="L999" s="2"/>
      <c r="M999" s="2"/>
      <c r="N999" s="2"/>
      <c r="O999" s="2"/>
      <c r="P999" s="2"/>
      <c r="Q999" s="2"/>
      <c r="R999" s="2"/>
      <c r="S999" s="2"/>
      <c r="T999" s="2"/>
    </row>
    <row r="1000" spans="1:20" ht="15.75" customHeight="1">
      <c r="A1000" s="1"/>
      <c r="B1000" s="2"/>
      <c r="C1000" s="2"/>
      <c r="D1000" s="2"/>
      <c r="E1000" s="2"/>
      <c r="F1000" s="2"/>
      <c r="G1000" s="2"/>
      <c r="H1000" s="2"/>
      <c r="I1000" s="2"/>
      <c r="J1000" s="2"/>
      <c r="K1000" s="2"/>
      <c r="L1000" s="2"/>
      <c r="M1000" s="2"/>
      <c r="N1000" s="2"/>
      <c r="O1000" s="2"/>
      <c r="P1000" s="2"/>
      <c r="Q1000" s="2"/>
      <c r="R1000" s="2"/>
      <c r="S1000" s="2"/>
      <c r="T1000" s="2"/>
    </row>
  </sheetData>
  <conditionalFormatting sqref="E98:T98">
    <cfRule type="containsText" dxfId="11" priority="6" operator="containsText" text="TRUE">
      <formula>NOT(ISERROR(SEARCH(("TRUE"),(E98))))</formula>
    </cfRule>
  </conditionalFormatting>
  <conditionalFormatting sqref="E118:T118">
    <cfRule type="containsText" dxfId="10" priority="5" operator="containsText" text="TRUE">
      <formula>NOT(ISERROR(SEARCH(("TRUE"),(E118))))</formula>
    </cfRule>
  </conditionalFormatting>
  <conditionalFormatting sqref="E153:T153">
    <cfRule type="containsText" dxfId="9" priority="4" operator="containsText" text="TRUE">
      <formula>NOT(ISERROR(SEARCH(("TRUE"),(E153))))</formula>
    </cfRule>
  </conditionalFormatting>
  <pageMargins left="0.7" right="0.7" top="0.75" bottom="0.75" header="0" footer="0"/>
  <pageSetup paperSize="9"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496B0"/>
  </sheetPr>
  <dimension ref="A1:AC1000"/>
  <sheetViews>
    <sheetView zoomScale="71" zoomScaleNormal="50" workbookViewId="0">
      <pane xSplit="3" ySplit="3" topLeftCell="S137" activePane="bottomRight" state="frozen"/>
      <selection pane="topRight" activeCell="D1" sqref="D1"/>
      <selection pane="bottomLeft" activeCell="A4" sqref="A4"/>
      <selection pane="bottomRight" activeCell="V1" sqref="V1:AD1048576"/>
    </sheetView>
  </sheetViews>
  <sheetFormatPr defaultColWidth="14.42578125" defaultRowHeight="15" customHeight="1"/>
  <cols>
    <col min="1" max="1" width="5.5703125" customWidth="1"/>
    <col min="2" max="2" width="41.28515625" customWidth="1"/>
    <col min="3" max="3" width="18.42578125" customWidth="1"/>
    <col min="4" max="8" width="14.42578125" hidden="1" customWidth="1"/>
    <col min="9" max="9" width="15.42578125" hidden="1" customWidth="1"/>
    <col min="10" max="11" width="16.42578125" hidden="1" customWidth="1"/>
    <col min="12" max="12" width="17.28515625" customWidth="1"/>
    <col min="13" max="13" width="16.42578125" customWidth="1"/>
    <col min="14" max="14" width="17.28515625" customWidth="1"/>
    <col min="15" max="15" width="17.5703125" customWidth="1"/>
    <col min="16" max="20" width="25.28515625" customWidth="1"/>
  </cols>
  <sheetData>
    <row r="1" spans="1:29" ht="15.75" customHeight="1">
      <c r="A1" s="1"/>
      <c r="B1" s="2"/>
      <c r="C1" s="2"/>
      <c r="D1" s="2"/>
      <c r="E1" s="2"/>
      <c r="F1" s="2"/>
      <c r="G1" s="2"/>
      <c r="H1" s="2"/>
      <c r="I1" s="2"/>
      <c r="J1" s="2"/>
      <c r="K1" s="2"/>
      <c r="L1" s="2"/>
      <c r="M1" s="2"/>
      <c r="N1" s="2"/>
      <c r="O1" s="2"/>
      <c r="P1" s="2"/>
      <c r="Q1" s="2"/>
      <c r="R1" s="2"/>
      <c r="S1" s="2"/>
      <c r="T1" s="2"/>
    </row>
    <row r="2" spans="1:29" ht="15.75" customHeight="1" thickBot="1">
      <c r="A2" s="1"/>
      <c r="B2" s="2"/>
      <c r="C2" s="2"/>
      <c r="D2" s="2"/>
      <c r="E2" s="2"/>
      <c r="F2" s="2"/>
      <c r="G2" s="2"/>
      <c r="H2" s="2"/>
      <c r="I2" s="2"/>
      <c r="J2" s="2"/>
      <c r="K2" s="2"/>
      <c r="L2" s="2"/>
      <c r="M2" s="2"/>
      <c r="N2" s="2"/>
      <c r="O2" s="2"/>
      <c r="P2" s="2"/>
      <c r="Q2" s="2"/>
      <c r="R2" s="2"/>
      <c r="S2" s="2"/>
      <c r="T2" s="2"/>
    </row>
    <row r="3" spans="1:29" ht="15.75" customHeight="1" thickBot="1">
      <c r="A3" s="95"/>
      <c r="B3" s="96" t="s">
        <v>117</v>
      </c>
      <c r="C3" s="97" t="s">
        <v>1</v>
      </c>
      <c r="D3" s="97">
        <v>2008</v>
      </c>
      <c r="E3" s="97">
        <f t="shared" ref="E3:T3" si="0">D3+1</f>
        <v>2009</v>
      </c>
      <c r="F3" s="97">
        <f t="shared" si="0"/>
        <v>2010</v>
      </c>
      <c r="G3" s="97">
        <f t="shared" si="0"/>
        <v>2011</v>
      </c>
      <c r="H3" s="97">
        <f t="shared" si="0"/>
        <v>2012</v>
      </c>
      <c r="I3" s="97">
        <f t="shared" si="0"/>
        <v>2013</v>
      </c>
      <c r="J3" s="97">
        <f t="shared" si="0"/>
        <v>2014</v>
      </c>
      <c r="K3" s="97">
        <f t="shared" si="0"/>
        <v>2015</v>
      </c>
      <c r="L3" s="97">
        <f t="shared" si="0"/>
        <v>2016</v>
      </c>
      <c r="M3" s="97">
        <f t="shared" si="0"/>
        <v>2017</v>
      </c>
      <c r="N3" s="97">
        <f t="shared" si="0"/>
        <v>2018</v>
      </c>
      <c r="O3" s="97">
        <f t="shared" si="0"/>
        <v>2019</v>
      </c>
      <c r="P3" s="97">
        <f t="shared" si="0"/>
        <v>2020</v>
      </c>
      <c r="Q3" s="97">
        <f t="shared" si="0"/>
        <v>2021</v>
      </c>
      <c r="R3" s="97">
        <f t="shared" si="0"/>
        <v>2022</v>
      </c>
      <c r="S3" s="97">
        <f t="shared" si="0"/>
        <v>2023</v>
      </c>
      <c r="T3" s="97">
        <f t="shared" si="0"/>
        <v>2024</v>
      </c>
    </row>
    <row r="4" spans="1:29" ht="15.75" customHeight="1">
      <c r="A4" s="1"/>
      <c r="B4" s="2"/>
      <c r="C4" s="2"/>
      <c r="D4" s="2"/>
      <c r="E4" s="2"/>
      <c r="F4" s="2"/>
      <c r="G4" s="2"/>
      <c r="H4" s="2"/>
      <c r="I4" s="2"/>
      <c r="J4" s="2"/>
      <c r="K4" s="2"/>
      <c r="L4" s="2"/>
      <c r="M4" s="2"/>
      <c r="N4" s="2"/>
      <c r="O4" s="2"/>
      <c r="P4" s="2"/>
      <c r="Q4" s="2"/>
      <c r="R4" s="2"/>
      <c r="S4" s="2"/>
      <c r="T4" s="2"/>
    </row>
    <row r="5" spans="1:29" ht="15.75" customHeight="1">
      <c r="A5" s="6" t="s">
        <v>89</v>
      </c>
      <c r="B5" s="2"/>
      <c r="C5" s="2"/>
      <c r="D5" s="2"/>
      <c r="E5" s="2"/>
      <c r="F5" s="2"/>
      <c r="G5" s="2"/>
      <c r="H5" s="2"/>
      <c r="I5" s="2"/>
      <c r="J5" s="2"/>
      <c r="K5" s="2"/>
      <c r="L5" s="2"/>
      <c r="M5" s="2"/>
      <c r="N5" s="2"/>
      <c r="O5" s="2"/>
      <c r="P5" s="2"/>
      <c r="Q5" s="2"/>
      <c r="R5" s="2"/>
      <c r="S5" s="2"/>
      <c r="T5" s="2"/>
    </row>
    <row r="6" spans="1:29" ht="6.75" customHeight="1" thickBot="1">
      <c r="A6" s="7"/>
      <c r="B6" s="2"/>
      <c r="C6" s="2"/>
      <c r="D6" s="2"/>
      <c r="E6" s="2"/>
      <c r="F6" s="2"/>
      <c r="G6" s="2"/>
      <c r="H6" s="2"/>
      <c r="I6" s="2"/>
      <c r="J6" s="2"/>
      <c r="K6" s="2"/>
      <c r="L6" s="2"/>
      <c r="M6" s="2"/>
      <c r="N6" s="2"/>
      <c r="O6" s="2"/>
      <c r="P6" s="2"/>
      <c r="Q6" s="2"/>
      <c r="R6" s="2"/>
      <c r="S6" s="2"/>
      <c r="T6" s="2"/>
    </row>
    <row r="7" spans="1:29" ht="15.75" customHeight="1" thickBot="1">
      <c r="A7" s="98" t="s">
        <v>3</v>
      </c>
      <c r="B7" s="96" t="s">
        <v>4</v>
      </c>
      <c r="C7" s="97" t="s">
        <v>5</v>
      </c>
      <c r="D7" s="97">
        <f t="shared" ref="D7:N7" si="1">D$3</f>
        <v>2008</v>
      </c>
      <c r="E7" s="97">
        <f t="shared" si="1"/>
        <v>2009</v>
      </c>
      <c r="F7" s="97">
        <f t="shared" si="1"/>
        <v>2010</v>
      </c>
      <c r="G7" s="97">
        <f t="shared" si="1"/>
        <v>2011</v>
      </c>
      <c r="H7" s="97">
        <f t="shared" si="1"/>
        <v>2012</v>
      </c>
      <c r="I7" s="97">
        <f t="shared" si="1"/>
        <v>2013</v>
      </c>
      <c r="J7" s="97">
        <f t="shared" si="1"/>
        <v>2014</v>
      </c>
      <c r="K7" s="97">
        <f t="shared" si="1"/>
        <v>2015</v>
      </c>
      <c r="L7" s="97">
        <f t="shared" si="1"/>
        <v>2016</v>
      </c>
      <c r="M7" s="97">
        <f t="shared" si="1"/>
        <v>2017</v>
      </c>
      <c r="N7" s="97">
        <f t="shared" si="1"/>
        <v>2018</v>
      </c>
      <c r="O7" s="97">
        <f t="shared" ref="O7:T7" si="2">O$3</f>
        <v>2019</v>
      </c>
      <c r="P7" s="97">
        <f t="shared" si="2"/>
        <v>2020</v>
      </c>
      <c r="Q7" s="97">
        <f t="shared" si="2"/>
        <v>2021</v>
      </c>
      <c r="R7" s="97">
        <f t="shared" si="2"/>
        <v>2022</v>
      </c>
      <c r="S7" s="97">
        <f t="shared" si="2"/>
        <v>2023</v>
      </c>
      <c r="T7" s="97">
        <f t="shared" si="2"/>
        <v>2024</v>
      </c>
    </row>
    <row r="8" spans="1:29" ht="15.75" customHeight="1">
      <c r="A8" s="9">
        <v>-1</v>
      </c>
      <c r="B8" s="9">
        <f t="shared" ref="B8:T8" si="3">A8-1</f>
        <v>-2</v>
      </c>
      <c r="C8" s="9">
        <f t="shared" si="3"/>
        <v>-3</v>
      </c>
      <c r="D8" s="9">
        <f t="shared" si="3"/>
        <v>-4</v>
      </c>
      <c r="E8" s="9">
        <f t="shared" si="3"/>
        <v>-5</v>
      </c>
      <c r="F8" s="9">
        <f t="shared" si="3"/>
        <v>-6</v>
      </c>
      <c r="G8" s="9">
        <f t="shared" si="3"/>
        <v>-7</v>
      </c>
      <c r="H8" s="9">
        <f t="shared" si="3"/>
        <v>-8</v>
      </c>
      <c r="I8" s="9">
        <f t="shared" si="3"/>
        <v>-9</v>
      </c>
      <c r="J8" s="9">
        <f t="shared" si="3"/>
        <v>-10</v>
      </c>
      <c r="K8" s="9">
        <f t="shared" si="3"/>
        <v>-11</v>
      </c>
      <c r="L8" s="9">
        <f t="shared" si="3"/>
        <v>-12</v>
      </c>
      <c r="M8" s="9">
        <f t="shared" si="3"/>
        <v>-13</v>
      </c>
      <c r="N8" s="9">
        <f t="shared" si="3"/>
        <v>-14</v>
      </c>
      <c r="O8" s="9">
        <f t="shared" si="3"/>
        <v>-15</v>
      </c>
      <c r="P8" s="9">
        <f t="shared" si="3"/>
        <v>-16</v>
      </c>
      <c r="Q8" s="9">
        <f t="shared" si="3"/>
        <v>-17</v>
      </c>
      <c r="R8" s="9">
        <f t="shared" si="3"/>
        <v>-18</v>
      </c>
      <c r="S8" s="9">
        <f t="shared" si="3"/>
        <v>-19</v>
      </c>
      <c r="T8" s="9">
        <f t="shared" si="3"/>
        <v>-20</v>
      </c>
    </row>
    <row r="9" spans="1:29" ht="15.75" customHeight="1">
      <c r="A9" s="23">
        <v>1</v>
      </c>
      <c r="B9" s="24" t="s">
        <v>6</v>
      </c>
      <c r="C9" s="23" t="s">
        <v>84</v>
      </c>
      <c r="D9" s="34">
        <f t="shared" ref="D9:Q9" si="4">SUM(D10:D11)</f>
        <v>0</v>
      </c>
      <c r="E9" s="34">
        <f t="shared" si="4"/>
        <v>0</v>
      </c>
      <c r="F9" s="34">
        <f t="shared" si="4"/>
        <v>0</v>
      </c>
      <c r="G9" s="34">
        <f t="shared" si="4"/>
        <v>773270000</v>
      </c>
      <c r="H9" s="34">
        <f t="shared" si="4"/>
        <v>801250000</v>
      </c>
      <c r="I9" s="34">
        <f t="shared" si="4"/>
        <v>1276926947</v>
      </c>
      <c r="J9" s="34">
        <f t="shared" si="4"/>
        <v>1322471947</v>
      </c>
      <c r="K9" s="34">
        <f t="shared" si="4"/>
        <v>1592208743</v>
      </c>
      <c r="L9" s="34">
        <f t="shared" si="4"/>
        <v>1861236748.8001027</v>
      </c>
      <c r="M9" s="34">
        <f t="shared" si="4"/>
        <v>1956921248.9400978</v>
      </c>
      <c r="N9" s="34">
        <f t="shared" si="4"/>
        <v>1209948367.7540998</v>
      </c>
      <c r="O9" s="34">
        <f t="shared" si="4"/>
        <v>2292150136.0509543</v>
      </c>
      <c r="P9" s="34">
        <f t="shared" si="4"/>
        <v>7491882976.8897495</v>
      </c>
      <c r="Q9" s="34">
        <f t="shared" si="4"/>
        <v>6840343359</v>
      </c>
      <c r="R9" s="34">
        <f t="shared" ref="R9:S9" si="5">SUM(R10:R11)</f>
        <v>6927280363</v>
      </c>
      <c r="S9" s="34">
        <f t="shared" si="5"/>
        <v>6361967123.8776083</v>
      </c>
      <c r="T9" s="34">
        <f t="shared" ref="T9" si="6">SUM(T10:T11)</f>
        <v>6430661658</v>
      </c>
      <c r="Z9" s="209"/>
      <c r="AA9" s="209"/>
      <c r="AB9" s="209"/>
      <c r="AC9" s="209"/>
    </row>
    <row r="10" spans="1:29" ht="15.75" customHeight="1">
      <c r="A10" s="14">
        <v>1.1000000000000001</v>
      </c>
      <c r="B10" s="15" t="s">
        <v>8</v>
      </c>
      <c r="C10" s="14" t="s">
        <v>84</v>
      </c>
      <c r="D10" s="16"/>
      <c r="E10" s="16"/>
      <c r="F10" s="16"/>
      <c r="G10" s="16">
        <v>773270000</v>
      </c>
      <c r="H10" s="16">
        <v>801250000</v>
      </c>
      <c r="I10" s="16">
        <v>1276924474</v>
      </c>
      <c r="J10" s="16">
        <v>1322469474</v>
      </c>
      <c r="K10" s="16">
        <v>1591499474</v>
      </c>
      <c r="L10" s="16">
        <v>826218765.80010283</v>
      </c>
      <c r="M10" s="16">
        <v>554041655.20344698</v>
      </c>
      <c r="N10" s="16">
        <v>465780990.35044372</v>
      </c>
      <c r="O10" s="16">
        <v>983205244.41922057</v>
      </c>
      <c r="P10" s="16">
        <v>1302321886.4066501</v>
      </c>
      <c r="Q10" s="16">
        <v>1253734016</v>
      </c>
      <c r="R10" s="16">
        <v>1337270869</v>
      </c>
      <c r="S10" s="16">
        <v>1252053220.3749254</v>
      </c>
      <c r="T10" s="16">
        <v>1292496834</v>
      </c>
      <c r="Z10" s="209"/>
      <c r="AA10" s="209"/>
      <c r="AB10" s="209"/>
      <c r="AC10" s="209"/>
    </row>
    <row r="11" spans="1:29" ht="15.75" customHeight="1">
      <c r="A11" s="14">
        <v>1.2</v>
      </c>
      <c r="B11" s="15" t="s">
        <v>9</v>
      </c>
      <c r="C11" s="14" t="s">
        <v>84</v>
      </c>
      <c r="D11" s="16"/>
      <c r="E11" s="16"/>
      <c r="F11" s="16"/>
      <c r="G11" s="16">
        <v>0</v>
      </c>
      <c r="H11" s="16">
        <v>0</v>
      </c>
      <c r="I11" s="16">
        <v>2473</v>
      </c>
      <c r="J11" s="16">
        <v>2473</v>
      </c>
      <c r="K11" s="16">
        <v>709269</v>
      </c>
      <c r="L11" s="16">
        <v>1035017983</v>
      </c>
      <c r="M11" s="16">
        <v>1402879593.7366507</v>
      </c>
      <c r="N11" s="16">
        <v>744167377.40365601</v>
      </c>
      <c r="O11" s="16">
        <v>1308944891.6317337</v>
      </c>
      <c r="P11" s="16">
        <v>6189561090.4830999</v>
      </c>
      <c r="Q11" s="16">
        <v>5586609343</v>
      </c>
      <c r="R11" s="16">
        <v>5590009494</v>
      </c>
      <c r="S11" s="16">
        <v>5109913903.5026827</v>
      </c>
      <c r="T11" s="16">
        <v>5138164824</v>
      </c>
      <c r="Z11" s="209"/>
      <c r="AA11" s="209"/>
      <c r="AB11" s="209"/>
      <c r="AC11" s="209"/>
    </row>
    <row r="12" spans="1:29" ht="15.75" customHeight="1">
      <c r="A12" s="23">
        <v>2</v>
      </c>
      <c r="B12" s="24" t="s">
        <v>10</v>
      </c>
      <c r="C12" s="23" t="s">
        <v>84</v>
      </c>
      <c r="D12" s="34">
        <f t="shared" ref="D12:S12" si="7">SUM(D13:D16)</f>
        <v>0</v>
      </c>
      <c r="E12" s="34">
        <f t="shared" si="7"/>
        <v>0</v>
      </c>
      <c r="F12" s="34">
        <f t="shared" si="7"/>
        <v>0</v>
      </c>
      <c r="G12" s="34">
        <f t="shared" si="7"/>
        <v>449420000</v>
      </c>
      <c r="H12" s="34">
        <f t="shared" si="7"/>
        <v>449420000</v>
      </c>
      <c r="I12" s="34">
        <f t="shared" si="7"/>
        <v>3492052597.8699999</v>
      </c>
      <c r="J12" s="34">
        <f t="shared" si="7"/>
        <v>3945572597.8699999</v>
      </c>
      <c r="K12" s="34">
        <f t="shared" si="7"/>
        <v>3924474107.8699999</v>
      </c>
      <c r="L12" s="34">
        <f t="shared" si="7"/>
        <v>4865653853.0701027</v>
      </c>
      <c r="M12" s="34">
        <f t="shared" si="7"/>
        <v>5659885315.101759</v>
      </c>
      <c r="N12" s="34">
        <f t="shared" si="7"/>
        <v>3878298482.121273</v>
      </c>
      <c r="O12" s="34">
        <f t="shared" si="7"/>
        <v>10784640972.699589</v>
      </c>
      <c r="P12" s="34">
        <f t="shared" si="7"/>
        <v>10588346207.089739</v>
      </c>
      <c r="Q12" s="34">
        <f t="shared" si="7"/>
        <v>7260462431</v>
      </c>
      <c r="R12" s="34">
        <v>7390990753</v>
      </c>
      <c r="S12" s="34">
        <f t="shared" si="7"/>
        <v>8185257879.3792744</v>
      </c>
      <c r="T12" s="34">
        <f t="shared" ref="T12" si="8">SUM(T13:T16)</f>
        <v>8275405054</v>
      </c>
      <c r="Z12" s="209"/>
      <c r="AA12" s="209"/>
      <c r="AB12" s="209"/>
      <c r="AC12" s="209"/>
    </row>
    <row r="13" spans="1:29" ht="15.75" customHeight="1">
      <c r="A13" s="14">
        <v>2.1</v>
      </c>
      <c r="B13" s="15" t="s">
        <v>11</v>
      </c>
      <c r="C13" s="14" t="s">
        <v>84</v>
      </c>
      <c r="D13" s="16"/>
      <c r="E13" s="16"/>
      <c r="F13" s="16"/>
      <c r="G13" s="16">
        <v>449420000</v>
      </c>
      <c r="H13" s="16">
        <v>449420000</v>
      </c>
      <c r="I13" s="16">
        <v>440675000</v>
      </c>
      <c r="J13" s="16">
        <v>440675000</v>
      </c>
      <c r="K13" s="16">
        <v>440675000</v>
      </c>
      <c r="L13" s="16">
        <v>440675000</v>
      </c>
      <c r="M13" s="16">
        <v>92075000</v>
      </c>
      <c r="N13" s="16">
        <v>12002000.340908714</v>
      </c>
      <c r="O13" s="16">
        <v>11904625.71891892</v>
      </c>
      <c r="P13" s="16">
        <v>102578358.918919</v>
      </c>
      <c r="Q13" s="16">
        <v>100793919</v>
      </c>
      <c r="R13" s="16">
        <v>100793919</v>
      </c>
      <c r="S13" s="16">
        <v>100793918.91891892</v>
      </c>
      <c r="T13" s="16"/>
      <c r="Z13" s="209"/>
      <c r="AA13" s="209"/>
      <c r="AB13" s="209"/>
      <c r="AC13" s="209"/>
    </row>
    <row r="14" spans="1:29" ht="15.75" customHeight="1">
      <c r="A14" s="14">
        <v>2.2000000000000002</v>
      </c>
      <c r="B14" s="15" t="s">
        <v>12</v>
      </c>
      <c r="C14" s="14" t="s">
        <v>84</v>
      </c>
      <c r="D14" s="16"/>
      <c r="E14" s="16"/>
      <c r="F14" s="16"/>
      <c r="G14" s="16">
        <v>0</v>
      </c>
      <c r="H14" s="16">
        <v>0</v>
      </c>
      <c r="I14" s="16">
        <v>7553000</v>
      </c>
      <c r="J14" s="16">
        <v>3504178000</v>
      </c>
      <c r="K14" s="16">
        <v>3482693000</v>
      </c>
      <c r="L14" s="16">
        <v>1454929816</v>
      </c>
      <c r="M14" s="16">
        <v>1560309604.4543252</v>
      </c>
      <c r="N14" s="16">
        <v>1269434582.9682069</v>
      </c>
      <c r="O14" s="16">
        <v>6263678690.2433367</v>
      </c>
      <c r="P14" s="16">
        <v>2316375570.3724799</v>
      </c>
      <c r="Q14" s="16">
        <v>2329927837</v>
      </c>
      <c r="R14" s="16">
        <v>2397460223</v>
      </c>
      <c r="S14" s="16">
        <v>2432993868.672019</v>
      </c>
      <c r="T14" s="16">
        <v>2545995488</v>
      </c>
      <c r="Z14" s="209"/>
      <c r="AA14" s="209"/>
      <c r="AB14" s="209"/>
      <c r="AC14" s="209"/>
    </row>
    <row r="15" spans="1:29" ht="15.75" customHeight="1">
      <c r="A15" s="14">
        <v>2.2999999999999998</v>
      </c>
      <c r="B15" s="15" t="s">
        <v>13</v>
      </c>
      <c r="C15" s="14" t="s">
        <v>84</v>
      </c>
      <c r="D15" s="16"/>
      <c r="E15" s="16"/>
      <c r="F15" s="16"/>
      <c r="G15" s="16">
        <v>0</v>
      </c>
      <c r="H15" s="16">
        <v>0</v>
      </c>
      <c r="I15" s="16">
        <v>319435.87</v>
      </c>
      <c r="J15" s="16">
        <v>319435.87</v>
      </c>
      <c r="K15" s="16">
        <v>705945.87</v>
      </c>
      <c r="L15" s="16">
        <v>564766674.87</v>
      </c>
      <c r="M15" s="16">
        <v>1773383078.7708521</v>
      </c>
      <c r="N15" s="16">
        <v>668011928.89285672</v>
      </c>
      <c r="O15" s="16">
        <v>1654375536.6540585</v>
      </c>
      <c r="P15" s="16">
        <v>5093675231.81215</v>
      </c>
      <c r="Q15" s="16">
        <v>1655786897</v>
      </c>
      <c r="R15" s="16">
        <v>1702737913</v>
      </c>
      <c r="S15" s="16">
        <v>2016084151.6391869</v>
      </c>
      <c r="T15" s="16">
        <v>2024364687</v>
      </c>
      <c r="Z15" s="209"/>
      <c r="AA15" s="209"/>
      <c r="AB15" s="209"/>
      <c r="AC15" s="209"/>
    </row>
    <row r="16" spans="1:29" ht="15.75" customHeight="1">
      <c r="A16" s="14">
        <v>2.4</v>
      </c>
      <c r="B16" s="15" t="s">
        <v>14</v>
      </c>
      <c r="C16" s="14" t="s">
        <v>84</v>
      </c>
      <c r="D16" s="16"/>
      <c r="E16" s="16"/>
      <c r="F16" s="16"/>
      <c r="G16" s="16">
        <v>0</v>
      </c>
      <c r="H16" s="16">
        <v>0</v>
      </c>
      <c r="I16" s="16">
        <v>3043505162</v>
      </c>
      <c r="J16" s="16">
        <v>400162</v>
      </c>
      <c r="K16" s="16">
        <v>400162</v>
      </c>
      <c r="L16" s="16">
        <v>2405282362.2001023</v>
      </c>
      <c r="M16" s="16">
        <v>2234117631.8765812</v>
      </c>
      <c r="N16" s="16">
        <v>1928849969.9193006</v>
      </c>
      <c r="O16" s="16">
        <v>2854682120.0832744</v>
      </c>
      <c r="P16" s="16">
        <v>3075717045.9861898</v>
      </c>
      <c r="Q16" s="16">
        <v>3173953778</v>
      </c>
      <c r="R16" s="16">
        <v>3290792617</v>
      </c>
      <c r="S16" s="16">
        <v>3635385940.1491485</v>
      </c>
      <c r="T16" s="16">
        <v>3705044879</v>
      </c>
      <c r="Z16" s="209"/>
      <c r="AA16" s="209"/>
      <c r="AB16" s="209"/>
      <c r="AC16" s="209"/>
    </row>
    <row r="17" spans="1:29" ht="15.75" customHeight="1">
      <c r="A17" s="17" t="s">
        <v>15</v>
      </c>
      <c r="B17" s="2"/>
      <c r="C17" s="2"/>
      <c r="D17" s="2"/>
      <c r="E17" s="2"/>
      <c r="F17" s="2"/>
      <c r="G17" s="2"/>
      <c r="H17" s="2"/>
      <c r="I17" s="2"/>
      <c r="J17" s="2"/>
      <c r="K17" s="2"/>
      <c r="L17" s="2"/>
      <c r="M17" s="2"/>
      <c r="N17" s="2"/>
      <c r="O17" s="2"/>
      <c r="P17" s="2"/>
      <c r="Q17" s="2"/>
      <c r="R17" s="2"/>
      <c r="S17" s="2"/>
      <c r="T17" s="2"/>
    </row>
    <row r="18" spans="1:29" ht="15.75" customHeight="1">
      <c r="A18" s="99" t="s">
        <v>118</v>
      </c>
      <c r="B18" s="2" t="s">
        <v>119</v>
      </c>
      <c r="C18" s="2"/>
      <c r="D18" s="2"/>
      <c r="E18" s="2"/>
      <c r="F18" s="2"/>
      <c r="G18" s="2"/>
      <c r="H18" s="2"/>
      <c r="I18" s="2"/>
      <c r="J18" s="2"/>
      <c r="K18" s="2"/>
      <c r="L18" s="2"/>
      <c r="M18" s="2"/>
      <c r="N18" s="2"/>
      <c r="O18" s="2"/>
      <c r="P18" s="185"/>
      <c r="Q18" s="185"/>
      <c r="R18" s="185"/>
      <c r="S18" s="185"/>
      <c r="T18" s="185"/>
    </row>
    <row r="19" spans="1:29" ht="15.75" customHeight="1">
      <c r="A19" s="1"/>
      <c r="B19" s="2"/>
      <c r="C19" s="2"/>
      <c r="D19" s="2"/>
      <c r="E19" s="2"/>
      <c r="F19" s="2"/>
      <c r="G19" s="2"/>
      <c r="H19" s="2"/>
      <c r="I19" s="2"/>
      <c r="J19" s="2"/>
      <c r="K19" s="2"/>
      <c r="L19" s="2"/>
      <c r="M19" s="2"/>
      <c r="N19" s="2"/>
      <c r="O19" s="2"/>
      <c r="P19" s="2"/>
      <c r="Q19" s="2"/>
      <c r="R19" s="2"/>
      <c r="S19" s="2"/>
      <c r="T19" s="2"/>
    </row>
    <row r="20" spans="1:29" ht="15.75" customHeight="1">
      <c r="A20" s="6" t="s">
        <v>90</v>
      </c>
      <c r="B20" s="2"/>
      <c r="C20" s="2"/>
      <c r="D20" s="2"/>
      <c r="E20" s="2"/>
      <c r="F20" s="2"/>
      <c r="G20" s="2"/>
      <c r="H20" s="2"/>
      <c r="I20" s="2"/>
      <c r="J20" s="2"/>
      <c r="K20" s="2"/>
      <c r="L20" s="2"/>
      <c r="M20" s="2"/>
      <c r="N20" s="2"/>
      <c r="O20" s="2"/>
      <c r="P20" s="192"/>
      <c r="Q20" s="192"/>
      <c r="R20" s="192"/>
      <c r="S20" s="192"/>
      <c r="T20" s="192"/>
    </row>
    <row r="21" spans="1:29" ht="6.75" customHeight="1" thickBot="1">
      <c r="A21" s="7"/>
      <c r="B21" s="2"/>
      <c r="C21" s="2"/>
      <c r="D21" s="2"/>
      <c r="E21" s="2"/>
      <c r="F21" s="2"/>
      <c r="G21" s="2"/>
      <c r="H21" s="2"/>
      <c r="I21" s="2"/>
      <c r="J21" s="2"/>
      <c r="K21" s="2"/>
      <c r="L21" s="2"/>
      <c r="M21" s="2"/>
      <c r="N21" s="2"/>
      <c r="O21" s="2"/>
      <c r="P21" s="2"/>
      <c r="Q21" s="2"/>
      <c r="R21" s="2"/>
      <c r="S21" s="2"/>
      <c r="T21" s="2"/>
    </row>
    <row r="22" spans="1:29" ht="15.75" customHeight="1" thickBot="1">
      <c r="A22" s="98" t="s">
        <v>3</v>
      </c>
      <c r="B22" s="96" t="s">
        <v>4</v>
      </c>
      <c r="C22" s="97" t="s">
        <v>5</v>
      </c>
      <c r="D22" s="97">
        <f t="shared" ref="D22:N22" si="9">D$3</f>
        <v>2008</v>
      </c>
      <c r="E22" s="97">
        <f t="shared" si="9"/>
        <v>2009</v>
      </c>
      <c r="F22" s="97">
        <f t="shared" si="9"/>
        <v>2010</v>
      </c>
      <c r="G22" s="97">
        <f t="shared" si="9"/>
        <v>2011</v>
      </c>
      <c r="H22" s="97">
        <f t="shared" si="9"/>
        <v>2012</v>
      </c>
      <c r="I22" s="97">
        <f t="shared" si="9"/>
        <v>2013</v>
      </c>
      <c r="J22" s="97">
        <f t="shared" si="9"/>
        <v>2014</v>
      </c>
      <c r="K22" s="97">
        <f t="shared" si="9"/>
        <v>2015</v>
      </c>
      <c r="L22" s="97">
        <f t="shared" si="9"/>
        <v>2016</v>
      </c>
      <c r="M22" s="97">
        <f t="shared" si="9"/>
        <v>2017</v>
      </c>
      <c r="N22" s="97">
        <f t="shared" si="9"/>
        <v>2018</v>
      </c>
      <c r="O22" s="97">
        <f t="shared" ref="O22:T22" si="10">O$3</f>
        <v>2019</v>
      </c>
      <c r="P22" s="97">
        <f t="shared" si="10"/>
        <v>2020</v>
      </c>
      <c r="Q22" s="97">
        <f t="shared" si="10"/>
        <v>2021</v>
      </c>
      <c r="R22" s="97">
        <f t="shared" si="10"/>
        <v>2022</v>
      </c>
      <c r="S22" s="97">
        <f t="shared" si="10"/>
        <v>2023</v>
      </c>
      <c r="T22" s="97">
        <f t="shared" si="10"/>
        <v>2024</v>
      </c>
    </row>
    <row r="23" spans="1:29" ht="15.75" customHeight="1">
      <c r="A23" s="9">
        <v>-1</v>
      </c>
      <c r="B23" s="9">
        <f t="shared" ref="B23:T23" si="11">A23-1</f>
        <v>-2</v>
      </c>
      <c r="C23" s="9">
        <f t="shared" si="11"/>
        <v>-3</v>
      </c>
      <c r="D23" s="9">
        <f t="shared" si="11"/>
        <v>-4</v>
      </c>
      <c r="E23" s="9">
        <f t="shared" si="11"/>
        <v>-5</v>
      </c>
      <c r="F23" s="9">
        <f t="shared" si="11"/>
        <v>-6</v>
      </c>
      <c r="G23" s="9">
        <f t="shared" si="11"/>
        <v>-7</v>
      </c>
      <c r="H23" s="9">
        <f t="shared" si="11"/>
        <v>-8</v>
      </c>
      <c r="I23" s="9">
        <f t="shared" si="11"/>
        <v>-9</v>
      </c>
      <c r="J23" s="9">
        <f t="shared" si="11"/>
        <v>-10</v>
      </c>
      <c r="K23" s="9">
        <f t="shared" si="11"/>
        <v>-11</v>
      </c>
      <c r="L23" s="9">
        <f t="shared" si="11"/>
        <v>-12</v>
      </c>
      <c r="M23" s="9">
        <f t="shared" si="11"/>
        <v>-13</v>
      </c>
      <c r="N23" s="9">
        <f t="shared" si="11"/>
        <v>-14</v>
      </c>
      <c r="O23" s="9">
        <f t="shared" si="11"/>
        <v>-15</v>
      </c>
      <c r="P23" s="9">
        <f t="shared" si="11"/>
        <v>-16</v>
      </c>
      <c r="Q23" s="9">
        <f t="shared" si="11"/>
        <v>-17</v>
      </c>
      <c r="R23" s="9">
        <f t="shared" si="11"/>
        <v>-18</v>
      </c>
      <c r="S23" s="9">
        <f t="shared" si="11"/>
        <v>-19</v>
      </c>
      <c r="T23" s="9">
        <f t="shared" si="11"/>
        <v>-20</v>
      </c>
    </row>
    <row r="24" spans="1:29" ht="15.75" customHeight="1">
      <c r="A24" s="23">
        <v>1</v>
      </c>
      <c r="B24" s="24" t="s">
        <v>6</v>
      </c>
      <c r="C24" s="23" t="s">
        <v>84</v>
      </c>
      <c r="D24" s="34">
        <f t="shared" ref="D24:Q24" si="12">SUM(D25:D26)</f>
        <v>0</v>
      </c>
      <c r="E24" s="34">
        <f t="shared" si="12"/>
        <v>0</v>
      </c>
      <c r="F24" s="34">
        <f t="shared" si="12"/>
        <v>581000</v>
      </c>
      <c r="G24" s="34">
        <f t="shared" si="12"/>
        <v>410000</v>
      </c>
      <c r="H24" s="34">
        <f t="shared" si="12"/>
        <v>410000</v>
      </c>
      <c r="I24" s="34">
        <f t="shared" si="12"/>
        <v>272847</v>
      </c>
      <c r="J24" s="34">
        <f t="shared" si="12"/>
        <v>281956</v>
      </c>
      <c r="K24" s="34">
        <f t="shared" si="12"/>
        <v>572349.41</v>
      </c>
      <c r="L24" s="34">
        <f t="shared" si="12"/>
        <v>890774.52300000004</v>
      </c>
      <c r="M24" s="34">
        <f t="shared" si="12"/>
        <v>676822.2548</v>
      </c>
      <c r="N24" s="34">
        <f t="shared" si="12"/>
        <v>2458959.6746440278</v>
      </c>
      <c r="O24" s="34">
        <f t="shared" si="12"/>
        <v>2233158.3634743961</v>
      </c>
      <c r="P24" s="34">
        <f t="shared" si="12"/>
        <v>2720136.7016072702</v>
      </c>
      <c r="Q24" s="34">
        <f t="shared" si="12"/>
        <v>2165905</v>
      </c>
      <c r="R24" s="34">
        <f t="shared" ref="R24:S24" si="13">SUM(R25:R26)</f>
        <v>2247030</v>
      </c>
      <c r="S24" s="34">
        <f t="shared" si="13"/>
        <v>1367502.4024674003</v>
      </c>
      <c r="T24" s="34">
        <f t="shared" ref="T24" si="14">SUM(T25:T26)</f>
        <v>1438663</v>
      </c>
      <c r="Z24" s="209"/>
      <c r="AA24" s="209"/>
      <c r="AB24" s="209"/>
      <c r="AC24" s="209"/>
    </row>
    <row r="25" spans="1:29" ht="15.75" customHeight="1">
      <c r="A25" s="14">
        <v>1.1000000000000001</v>
      </c>
      <c r="B25" s="15" t="s">
        <v>8</v>
      </c>
      <c r="C25" s="14" t="s">
        <v>84</v>
      </c>
      <c r="D25" s="16"/>
      <c r="E25" s="16"/>
      <c r="F25" s="16">
        <v>581000</v>
      </c>
      <c r="G25" s="16">
        <v>410000</v>
      </c>
      <c r="H25" s="16">
        <v>410000</v>
      </c>
      <c r="I25" s="16">
        <v>272122</v>
      </c>
      <c r="J25" s="16">
        <v>281231</v>
      </c>
      <c r="K25" s="16">
        <v>335037</v>
      </c>
      <c r="L25" s="16">
        <v>207425.63500000001</v>
      </c>
      <c r="M25" s="16">
        <v>177948.65539999999</v>
      </c>
      <c r="N25" s="16">
        <v>952549.18431402871</v>
      </c>
      <c r="O25" s="16">
        <v>1193012.474783039</v>
      </c>
      <c r="P25" s="16">
        <v>1244787.9550841399</v>
      </c>
      <c r="Q25" s="16">
        <v>990522</v>
      </c>
      <c r="R25" s="16">
        <v>1068966</v>
      </c>
      <c r="S25" s="16">
        <v>577872.58334239991</v>
      </c>
      <c r="T25" s="16">
        <v>618043</v>
      </c>
      <c r="Z25" s="209"/>
      <c r="AA25" s="209"/>
      <c r="AB25" s="209"/>
      <c r="AC25" s="209"/>
    </row>
    <row r="26" spans="1:29" ht="15.75" customHeight="1">
      <c r="A26" s="14">
        <v>1.2</v>
      </c>
      <c r="B26" s="15" t="s">
        <v>9</v>
      </c>
      <c r="C26" s="14" t="s">
        <v>84</v>
      </c>
      <c r="D26" s="16"/>
      <c r="E26" s="16"/>
      <c r="F26" s="16">
        <v>0</v>
      </c>
      <c r="G26" s="16">
        <v>0</v>
      </c>
      <c r="H26" s="16">
        <v>0</v>
      </c>
      <c r="I26" s="16">
        <v>725</v>
      </c>
      <c r="J26" s="16">
        <v>725</v>
      </c>
      <c r="K26" s="16">
        <v>237312.41</v>
      </c>
      <c r="L26" s="16">
        <v>683348.88800000004</v>
      </c>
      <c r="M26" s="16">
        <v>498873.59940000001</v>
      </c>
      <c r="N26" s="16">
        <v>1506410.4903299992</v>
      </c>
      <c r="O26" s="16">
        <v>1040145.888691357</v>
      </c>
      <c r="P26" s="16">
        <v>1475348.74652313</v>
      </c>
      <c r="Q26" s="16">
        <v>1175383</v>
      </c>
      <c r="R26" s="16">
        <v>1178064</v>
      </c>
      <c r="S26" s="16">
        <v>789629.81912500027</v>
      </c>
      <c r="T26" s="16">
        <v>820620</v>
      </c>
      <c r="Z26" s="209"/>
      <c r="AA26" s="209"/>
      <c r="AB26" s="209"/>
      <c r="AC26" s="209"/>
    </row>
    <row r="27" spans="1:29" ht="15.75" customHeight="1">
      <c r="A27" s="23">
        <v>2</v>
      </c>
      <c r="B27" s="24" t="s">
        <v>10</v>
      </c>
      <c r="C27" s="23" t="s">
        <v>84</v>
      </c>
      <c r="D27" s="34">
        <f t="shared" ref="D27:Q27" si="15">SUM(D28:D31)</f>
        <v>0</v>
      </c>
      <c r="E27" s="34">
        <f t="shared" si="15"/>
        <v>0</v>
      </c>
      <c r="F27" s="34">
        <f t="shared" si="15"/>
        <v>2062000</v>
      </c>
      <c r="G27" s="34">
        <f t="shared" si="15"/>
        <v>2076000</v>
      </c>
      <c r="H27" s="34">
        <f t="shared" si="15"/>
        <v>2076000</v>
      </c>
      <c r="I27" s="34">
        <f t="shared" si="15"/>
        <v>2259285.6367500001</v>
      </c>
      <c r="J27" s="34">
        <f t="shared" si="15"/>
        <v>2355214.8567499998</v>
      </c>
      <c r="K27" s="34">
        <f t="shared" si="15"/>
        <v>2464170.6767499996</v>
      </c>
      <c r="L27" s="34">
        <f t="shared" si="15"/>
        <v>2974582.6547500002</v>
      </c>
      <c r="M27" s="34">
        <f t="shared" si="15"/>
        <v>1757855.779145</v>
      </c>
      <c r="N27" s="34">
        <f t="shared" si="15"/>
        <v>2955564.0875038542</v>
      </c>
      <c r="O27" s="34">
        <f t="shared" si="15"/>
        <v>2894975.6581218531</v>
      </c>
      <c r="P27" s="34">
        <f t="shared" si="15"/>
        <v>2772755.929448328</v>
      </c>
      <c r="Q27" s="34">
        <f t="shared" si="15"/>
        <v>2413789</v>
      </c>
      <c r="R27" s="34">
        <v>2503695</v>
      </c>
      <c r="S27" s="34">
        <f>SUM(S28:S31)</f>
        <v>2717053.3194547542</v>
      </c>
      <c r="T27" s="34">
        <f t="shared" ref="T27" si="16">SUM(T28:T31)</f>
        <v>2533915</v>
      </c>
      <c r="Z27" s="209"/>
      <c r="AA27" s="209"/>
      <c r="AB27" s="209"/>
      <c r="AC27" s="209"/>
    </row>
    <row r="28" spans="1:29" ht="15.75" customHeight="1">
      <c r="A28" s="14">
        <v>2.1</v>
      </c>
      <c r="B28" s="15" t="s">
        <v>11</v>
      </c>
      <c r="C28" s="14" t="s">
        <v>84</v>
      </c>
      <c r="D28" s="16"/>
      <c r="E28" s="16"/>
      <c r="F28" s="16">
        <v>2062000</v>
      </c>
      <c r="G28" s="16">
        <v>2076000</v>
      </c>
      <c r="H28" s="16">
        <v>2076000</v>
      </c>
      <c r="I28" s="16">
        <v>1401266.8</v>
      </c>
      <c r="J28" s="16">
        <v>1401266.8</v>
      </c>
      <c r="K28" s="16">
        <v>1401266.8</v>
      </c>
      <c r="L28" s="16">
        <v>1401266.8</v>
      </c>
      <c r="M28" s="16">
        <v>423165.3775</v>
      </c>
      <c r="N28" s="16">
        <v>93967.820990814987</v>
      </c>
      <c r="O28" s="16">
        <v>104331.68318979444</v>
      </c>
      <c r="P28" s="16">
        <v>12718.0147</v>
      </c>
      <c r="Q28" s="16">
        <v>6909</v>
      </c>
      <c r="R28" s="16">
        <v>6909</v>
      </c>
      <c r="S28" s="16">
        <v>4974.7518</v>
      </c>
      <c r="T28" s="16"/>
      <c r="Z28" s="209"/>
      <c r="AA28" s="209"/>
      <c r="AB28" s="209"/>
      <c r="AC28" s="209"/>
    </row>
    <row r="29" spans="1:29" ht="15.75" customHeight="1">
      <c r="A29" s="14">
        <v>2.2000000000000002</v>
      </c>
      <c r="B29" s="15" t="s">
        <v>12</v>
      </c>
      <c r="C29" s="14" t="s">
        <v>84</v>
      </c>
      <c r="D29" s="16"/>
      <c r="E29" s="16"/>
      <c r="F29" s="16">
        <v>0</v>
      </c>
      <c r="G29" s="16">
        <v>0</v>
      </c>
      <c r="H29" s="16">
        <v>0</v>
      </c>
      <c r="I29" s="16">
        <v>63101.89</v>
      </c>
      <c r="J29" s="16">
        <v>767652.11</v>
      </c>
      <c r="K29" s="16">
        <v>758129.89</v>
      </c>
      <c r="L29" s="16">
        <v>430708.755</v>
      </c>
      <c r="M29" s="16">
        <v>293026.48811999994</v>
      </c>
      <c r="N29" s="16">
        <v>495211.7601764322</v>
      </c>
      <c r="O29" s="16">
        <v>873782.24452057166</v>
      </c>
      <c r="P29" s="16">
        <v>715918.804872707</v>
      </c>
      <c r="Q29" s="16">
        <v>666049</v>
      </c>
      <c r="R29" s="16">
        <v>683192</v>
      </c>
      <c r="S29" s="16">
        <v>881923.12379781227</v>
      </c>
      <c r="T29" s="16">
        <v>656756</v>
      </c>
      <c r="Z29" s="209"/>
      <c r="AA29" s="209"/>
      <c r="AB29" s="209"/>
      <c r="AC29" s="209"/>
    </row>
    <row r="30" spans="1:29" ht="15.75" customHeight="1">
      <c r="A30" s="14">
        <v>2.2999999999999998</v>
      </c>
      <c r="B30" s="15" t="s">
        <v>13</v>
      </c>
      <c r="C30" s="14" t="s">
        <v>84</v>
      </c>
      <c r="D30" s="16"/>
      <c r="E30" s="16"/>
      <c r="F30" s="16">
        <v>0</v>
      </c>
      <c r="G30" s="16">
        <v>0</v>
      </c>
      <c r="H30" s="16">
        <v>0</v>
      </c>
      <c r="I30" s="16">
        <v>24063.146750000004</v>
      </c>
      <c r="J30" s="16">
        <v>24063.146750000004</v>
      </c>
      <c r="K30" s="16">
        <v>142541.18674999999</v>
      </c>
      <c r="L30" s="16">
        <v>487170.66475</v>
      </c>
      <c r="M30" s="16">
        <v>405500.83546500013</v>
      </c>
      <c r="N30" s="16">
        <v>531096.04751653329</v>
      </c>
      <c r="O30" s="16">
        <v>716234.43515534257</v>
      </c>
      <c r="P30" s="16">
        <v>919181.35715633095</v>
      </c>
      <c r="Q30" s="16">
        <v>617315</v>
      </c>
      <c r="R30" s="16">
        <v>619621</v>
      </c>
      <c r="S30" s="16">
        <v>653111.21028670238</v>
      </c>
      <c r="T30" s="16">
        <v>665055</v>
      </c>
      <c r="Z30" s="209"/>
      <c r="AA30" s="209"/>
      <c r="AB30" s="209"/>
      <c r="AC30" s="209"/>
    </row>
    <row r="31" spans="1:29" ht="15.75" customHeight="1">
      <c r="A31" s="14">
        <v>2.4</v>
      </c>
      <c r="B31" s="15" t="s">
        <v>14</v>
      </c>
      <c r="C31" s="14" t="s">
        <v>84</v>
      </c>
      <c r="D31" s="16"/>
      <c r="E31" s="16"/>
      <c r="F31" s="16">
        <v>0</v>
      </c>
      <c r="G31" s="16">
        <v>0</v>
      </c>
      <c r="H31" s="16">
        <v>0</v>
      </c>
      <c r="I31" s="16">
        <v>770853.79999999993</v>
      </c>
      <c r="J31" s="16">
        <v>162232.79999999999</v>
      </c>
      <c r="K31" s="16">
        <v>162232.79999999999</v>
      </c>
      <c r="L31" s="16">
        <v>655436.43499999994</v>
      </c>
      <c r="M31" s="16">
        <v>636163.07805999997</v>
      </c>
      <c r="N31" s="16">
        <v>1835288.4588200736</v>
      </c>
      <c r="O31" s="16">
        <v>1200627.2952561441</v>
      </c>
      <c r="P31" s="16">
        <v>1124937.7527192901</v>
      </c>
      <c r="Q31" s="16">
        <v>1123516</v>
      </c>
      <c r="R31" s="16">
        <v>1200881</v>
      </c>
      <c r="S31" s="16">
        <v>1177044.2335702395</v>
      </c>
      <c r="T31" s="16">
        <v>1212104</v>
      </c>
      <c r="Z31" s="209"/>
      <c r="AA31" s="209"/>
      <c r="AB31" s="209"/>
      <c r="AC31" s="209"/>
    </row>
    <row r="32" spans="1:29" ht="15.75" customHeight="1">
      <c r="A32" s="17" t="s">
        <v>15</v>
      </c>
      <c r="B32" s="2"/>
      <c r="C32" s="2"/>
      <c r="D32" s="2"/>
      <c r="E32" s="2"/>
      <c r="F32" s="2"/>
      <c r="G32" s="2"/>
      <c r="H32" s="2"/>
      <c r="I32" s="2"/>
      <c r="J32" s="2"/>
      <c r="K32" s="2"/>
      <c r="L32" s="2"/>
      <c r="M32" s="2"/>
      <c r="N32" s="2"/>
      <c r="O32" s="2"/>
      <c r="P32" s="185"/>
      <c r="Q32" s="185"/>
      <c r="R32" s="185"/>
      <c r="S32" s="185"/>
      <c r="T32" s="2"/>
    </row>
    <row r="33" spans="1:29" ht="15.75" customHeight="1">
      <c r="A33" s="1"/>
      <c r="B33" s="2"/>
      <c r="C33" s="2"/>
      <c r="D33" s="2"/>
      <c r="E33" s="2"/>
      <c r="F33" s="2"/>
      <c r="G33" s="2"/>
      <c r="H33" s="2"/>
      <c r="I33" s="2"/>
      <c r="J33" s="2"/>
      <c r="K33" s="2"/>
      <c r="L33" s="2"/>
      <c r="M33" s="2"/>
      <c r="N33" s="2"/>
      <c r="O33" s="2"/>
      <c r="P33" s="185"/>
      <c r="Q33" s="185"/>
      <c r="R33" s="185"/>
      <c r="S33" s="185"/>
      <c r="T33" s="2"/>
    </row>
    <row r="34" spans="1:29" ht="15.75" customHeight="1">
      <c r="A34" s="1"/>
      <c r="B34" s="2"/>
      <c r="C34" s="2"/>
      <c r="D34" s="2"/>
      <c r="E34" s="2"/>
      <c r="F34" s="2"/>
      <c r="G34" s="2"/>
      <c r="H34" s="2"/>
      <c r="I34" s="2"/>
      <c r="J34" s="2"/>
      <c r="K34" s="2"/>
      <c r="L34" s="2"/>
      <c r="M34" s="2"/>
      <c r="N34" s="2"/>
      <c r="O34" s="2"/>
      <c r="P34" s="192"/>
      <c r="Q34" s="192"/>
      <c r="R34" s="192"/>
      <c r="S34" s="192"/>
      <c r="T34" s="192"/>
    </row>
    <row r="35" spans="1:29" ht="15.75" customHeight="1">
      <c r="A35" s="6" t="s">
        <v>91</v>
      </c>
      <c r="B35" s="2"/>
      <c r="C35" s="2"/>
      <c r="D35" s="2"/>
      <c r="E35" s="2"/>
      <c r="F35" s="2"/>
      <c r="G35" s="2"/>
      <c r="H35" s="2"/>
      <c r="I35" s="2"/>
      <c r="J35" s="2"/>
      <c r="K35" s="2"/>
      <c r="L35" s="2"/>
      <c r="M35" s="2"/>
      <c r="N35" s="2"/>
      <c r="O35" s="2"/>
      <c r="P35" s="192"/>
      <c r="Q35" s="192"/>
      <c r="R35" s="192"/>
      <c r="S35" s="192"/>
      <c r="T35" s="192"/>
    </row>
    <row r="36" spans="1:29" ht="7.5" customHeight="1" thickBot="1">
      <c r="A36" s="7"/>
      <c r="B36" s="2"/>
      <c r="C36" s="2"/>
      <c r="D36" s="2"/>
      <c r="E36" s="2"/>
      <c r="F36" s="2"/>
      <c r="G36" s="2"/>
      <c r="H36" s="2"/>
      <c r="I36" s="2"/>
      <c r="J36" s="2"/>
      <c r="K36" s="2"/>
      <c r="L36" s="2"/>
      <c r="M36" s="2"/>
      <c r="N36" s="2"/>
      <c r="O36" s="2"/>
      <c r="P36" s="2"/>
      <c r="Q36" s="2"/>
      <c r="R36" s="2"/>
      <c r="S36" s="2"/>
      <c r="T36" s="2"/>
    </row>
    <row r="37" spans="1:29" ht="15.75" customHeight="1" thickBot="1">
      <c r="A37" s="98" t="s">
        <v>3</v>
      </c>
      <c r="B37" s="96" t="s">
        <v>4</v>
      </c>
      <c r="C37" s="97" t="s">
        <v>5</v>
      </c>
      <c r="D37" s="97">
        <f t="shared" ref="D37:T37" si="17">D$3</f>
        <v>2008</v>
      </c>
      <c r="E37" s="97">
        <f t="shared" si="17"/>
        <v>2009</v>
      </c>
      <c r="F37" s="97">
        <f t="shared" si="17"/>
        <v>2010</v>
      </c>
      <c r="G37" s="97">
        <f t="shared" si="17"/>
        <v>2011</v>
      </c>
      <c r="H37" s="97">
        <f t="shared" si="17"/>
        <v>2012</v>
      </c>
      <c r="I37" s="97">
        <f t="shared" si="17"/>
        <v>2013</v>
      </c>
      <c r="J37" s="97">
        <f t="shared" si="17"/>
        <v>2014</v>
      </c>
      <c r="K37" s="97">
        <f t="shared" si="17"/>
        <v>2015</v>
      </c>
      <c r="L37" s="97">
        <f t="shared" si="17"/>
        <v>2016</v>
      </c>
      <c r="M37" s="97">
        <f t="shared" si="17"/>
        <v>2017</v>
      </c>
      <c r="N37" s="97">
        <f t="shared" si="17"/>
        <v>2018</v>
      </c>
      <c r="O37" s="97">
        <f t="shared" si="17"/>
        <v>2019</v>
      </c>
      <c r="P37" s="97">
        <f t="shared" si="17"/>
        <v>2020</v>
      </c>
      <c r="Q37" s="97">
        <f t="shared" si="17"/>
        <v>2021</v>
      </c>
      <c r="R37" s="97">
        <f t="shared" si="17"/>
        <v>2022</v>
      </c>
      <c r="S37" s="97">
        <f t="shared" si="17"/>
        <v>2023</v>
      </c>
      <c r="T37" s="97">
        <f t="shared" si="17"/>
        <v>2024</v>
      </c>
    </row>
    <row r="38" spans="1:29" ht="15.75" customHeight="1">
      <c r="A38" s="9">
        <v>-1</v>
      </c>
      <c r="B38" s="9">
        <f t="shared" ref="B38:T38" si="18">A38-1</f>
        <v>-2</v>
      </c>
      <c r="C38" s="9">
        <f t="shared" si="18"/>
        <v>-3</v>
      </c>
      <c r="D38" s="9">
        <f t="shared" si="18"/>
        <v>-4</v>
      </c>
      <c r="E38" s="9">
        <f t="shared" si="18"/>
        <v>-5</v>
      </c>
      <c r="F38" s="9">
        <f t="shared" si="18"/>
        <v>-6</v>
      </c>
      <c r="G38" s="9">
        <f t="shared" si="18"/>
        <v>-7</v>
      </c>
      <c r="H38" s="9">
        <f t="shared" si="18"/>
        <v>-8</v>
      </c>
      <c r="I38" s="9">
        <f t="shared" si="18"/>
        <v>-9</v>
      </c>
      <c r="J38" s="9">
        <f t="shared" si="18"/>
        <v>-10</v>
      </c>
      <c r="K38" s="9">
        <f t="shared" si="18"/>
        <v>-11</v>
      </c>
      <c r="L38" s="9">
        <f t="shared" si="18"/>
        <v>-12</v>
      </c>
      <c r="M38" s="9">
        <f t="shared" si="18"/>
        <v>-13</v>
      </c>
      <c r="N38" s="9">
        <f t="shared" si="18"/>
        <v>-14</v>
      </c>
      <c r="O38" s="9">
        <f t="shared" si="18"/>
        <v>-15</v>
      </c>
      <c r="P38" s="9">
        <f t="shared" si="18"/>
        <v>-16</v>
      </c>
      <c r="Q38" s="9">
        <f t="shared" si="18"/>
        <v>-17</v>
      </c>
      <c r="R38" s="9">
        <f t="shared" si="18"/>
        <v>-18</v>
      </c>
      <c r="S38" s="9">
        <f t="shared" si="18"/>
        <v>-19</v>
      </c>
      <c r="T38" s="9">
        <f t="shared" si="18"/>
        <v>-20</v>
      </c>
    </row>
    <row r="39" spans="1:29" ht="15.75" customHeight="1">
      <c r="A39" s="14">
        <v>1</v>
      </c>
      <c r="B39" s="15" t="s">
        <v>92</v>
      </c>
      <c r="C39" s="14"/>
      <c r="D39" s="18"/>
      <c r="E39" s="18"/>
      <c r="F39" s="18"/>
      <c r="G39" s="18"/>
      <c r="H39" s="18"/>
      <c r="I39" s="18"/>
      <c r="J39" s="18"/>
      <c r="K39" s="18"/>
      <c r="L39" s="18"/>
      <c r="M39" s="18"/>
      <c r="N39" s="18"/>
      <c r="O39" s="18"/>
      <c r="P39" s="18"/>
      <c r="Q39" s="18"/>
      <c r="R39" s="18"/>
      <c r="S39" s="18"/>
      <c r="T39" s="18"/>
    </row>
    <row r="40" spans="1:29" ht="15.75" customHeight="1">
      <c r="A40" s="14"/>
      <c r="B40" s="15" t="s">
        <v>120</v>
      </c>
      <c r="C40" s="14" t="s">
        <v>84</v>
      </c>
      <c r="D40" s="18">
        <v>6663.6</v>
      </c>
      <c r="E40" s="18">
        <v>7339.1</v>
      </c>
      <c r="F40" s="18">
        <v>44502.080000000002</v>
      </c>
      <c r="G40" s="18">
        <v>28379.016199999998</v>
      </c>
      <c r="H40" s="18">
        <v>130808.59428999999</v>
      </c>
      <c r="I40" s="18">
        <v>82954.289999999994</v>
      </c>
      <c r="J40" s="18">
        <v>60037.73</v>
      </c>
      <c r="K40" s="18">
        <v>70072.55</v>
      </c>
      <c r="L40" s="18">
        <v>62877.342899999989</v>
      </c>
      <c r="M40" s="18">
        <v>78069.622300000003</v>
      </c>
      <c r="N40" s="18">
        <v>83015.252700000012</v>
      </c>
      <c r="O40" s="18">
        <v>76389.200000000012</v>
      </c>
      <c r="P40" s="18">
        <v>54267.38</v>
      </c>
      <c r="Q40" s="18">
        <v>34776</v>
      </c>
      <c r="R40" s="18">
        <v>56126.999999999993</v>
      </c>
      <c r="S40" s="18">
        <v>71450.080000000031</v>
      </c>
      <c r="T40" s="18">
        <v>39814</v>
      </c>
      <c r="Z40" s="209"/>
      <c r="AA40" s="209"/>
      <c r="AB40" s="209"/>
      <c r="AC40" s="209"/>
    </row>
    <row r="41" spans="1:29" ht="15.75" customHeight="1">
      <c r="A41" s="14"/>
      <c r="B41" s="15"/>
      <c r="C41" s="14"/>
      <c r="D41" s="18"/>
      <c r="E41" s="18"/>
      <c r="F41" s="18"/>
      <c r="G41" s="18"/>
      <c r="H41" s="18"/>
      <c r="I41" s="18"/>
      <c r="J41" s="18"/>
      <c r="K41" s="18"/>
      <c r="L41" s="18"/>
      <c r="M41" s="18"/>
      <c r="N41" s="18"/>
      <c r="O41" s="18"/>
      <c r="P41" s="18"/>
      <c r="Q41" s="18"/>
      <c r="R41" s="18"/>
      <c r="S41" s="18"/>
      <c r="T41" s="18"/>
      <c r="Z41" s="209"/>
      <c r="AA41" s="209"/>
      <c r="AB41" s="209"/>
      <c r="AC41" s="209"/>
    </row>
    <row r="42" spans="1:29" ht="15.75" customHeight="1">
      <c r="A42" s="14"/>
      <c r="B42" s="15"/>
      <c r="C42" s="14"/>
      <c r="D42" s="18"/>
      <c r="E42" s="18"/>
      <c r="F42" s="18"/>
      <c r="G42" s="18"/>
      <c r="H42" s="18"/>
      <c r="I42" s="18"/>
      <c r="J42" s="18"/>
      <c r="K42" s="18"/>
      <c r="L42" s="18"/>
      <c r="M42" s="18"/>
      <c r="N42" s="18"/>
      <c r="O42" s="18"/>
      <c r="P42" s="18"/>
      <c r="Q42" s="18"/>
      <c r="R42" s="18"/>
      <c r="S42" s="18"/>
      <c r="T42" s="18"/>
      <c r="Z42" s="209"/>
      <c r="AA42" s="209"/>
      <c r="AB42" s="209"/>
      <c r="AC42" s="209"/>
    </row>
    <row r="43" spans="1:29" ht="15.75" customHeight="1">
      <c r="A43" s="14"/>
      <c r="B43" s="15"/>
      <c r="C43" s="14"/>
      <c r="D43" s="18"/>
      <c r="E43" s="18"/>
      <c r="F43" s="18"/>
      <c r="G43" s="18"/>
      <c r="H43" s="18"/>
      <c r="I43" s="18"/>
      <c r="J43" s="18"/>
      <c r="K43" s="18"/>
      <c r="L43" s="18"/>
      <c r="M43" s="18"/>
      <c r="N43" s="18"/>
      <c r="O43" s="18"/>
      <c r="P43" s="18"/>
      <c r="Q43" s="18"/>
      <c r="R43" s="18"/>
      <c r="S43" s="18"/>
      <c r="T43" s="18"/>
      <c r="Z43" s="209"/>
      <c r="AA43" s="209"/>
      <c r="AB43" s="209"/>
      <c r="AC43" s="209"/>
    </row>
    <row r="44" spans="1:29" ht="15.75" customHeight="1">
      <c r="A44" s="14"/>
      <c r="B44" s="15"/>
      <c r="C44" s="14"/>
      <c r="D44" s="18"/>
      <c r="E44" s="18"/>
      <c r="F44" s="18"/>
      <c r="G44" s="18"/>
      <c r="H44" s="18"/>
      <c r="I44" s="18"/>
      <c r="J44" s="18"/>
      <c r="K44" s="18"/>
      <c r="L44" s="18"/>
      <c r="M44" s="18"/>
      <c r="N44" s="18"/>
      <c r="O44" s="18"/>
      <c r="P44" s="18"/>
      <c r="Q44" s="18"/>
      <c r="R44" s="18"/>
      <c r="S44" s="18"/>
      <c r="T44" s="18"/>
      <c r="Z44" s="209"/>
      <c r="AA44" s="209"/>
      <c r="AB44" s="209"/>
      <c r="AC44" s="209"/>
    </row>
    <row r="45" spans="1:29" ht="15.75" customHeight="1">
      <c r="A45" s="31">
        <v>2</v>
      </c>
      <c r="B45" s="32" t="s">
        <v>94</v>
      </c>
      <c r="C45" s="31" t="s">
        <v>84</v>
      </c>
      <c r="D45" s="35">
        <f t="shared" ref="D45:Q45" si="19">D40</f>
        <v>6663.6</v>
      </c>
      <c r="E45" s="35">
        <f t="shared" si="19"/>
        <v>7339.1</v>
      </c>
      <c r="F45" s="35">
        <f t="shared" si="19"/>
        <v>44502.080000000002</v>
      </c>
      <c r="G45" s="35">
        <f t="shared" si="19"/>
        <v>28379.016199999998</v>
      </c>
      <c r="H45" s="35">
        <f t="shared" si="19"/>
        <v>130808.59428999999</v>
      </c>
      <c r="I45" s="35">
        <f t="shared" si="19"/>
        <v>82954.289999999994</v>
      </c>
      <c r="J45" s="35">
        <f t="shared" si="19"/>
        <v>60037.73</v>
      </c>
      <c r="K45" s="35">
        <f t="shared" si="19"/>
        <v>70072.55</v>
      </c>
      <c r="L45" s="35">
        <f t="shared" si="19"/>
        <v>62877.342899999989</v>
      </c>
      <c r="M45" s="35">
        <f t="shared" si="19"/>
        <v>78069.622300000003</v>
      </c>
      <c r="N45" s="35">
        <f t="shared" si="19"/>
        <v>83015.252700000012</v>
      </c>
      <c r="O45" s="35">
        <f t="shared" si="19"/>
        <v>76389.200000000012</v>
      </c>
      <c r="P45" s="35">
        <f t="shared" si="19"/>
        <v>54267.38</v>
      </c>
      <c r="Q45" s="35">
        <f t="shared" si="19"/>
        <v>34776</v>
      </c>
      <c r="R45" s="35">
        <f t="shared" ref="R45:S45" si="20">R40</f>
        <v>56126.999999999993</v>
      </c>
      <c r="S45" s="35">
        <f t="shared" si="20"/>
        <v>71450.080000000031</v>
      </c>
      <c r="T45" s="35">
        <f t="shared" ref="T45" si="21">T40</f>
        <v>39814</v>
      </c>
      <c r="Z45" s="209"/>
      <c r="AA45" s="209"/>
      <c r="AB45" s="209"/>
      <c r="AC45" s="209"/>
    </row>
    <row r="46" spans="1:29" ht="15.75" customHeight="1">
      <c r="A46" s="31">
        <v>3</v>
      </c>
      <c r="B46" s="32" t="s">
        <v>95</v>
      </c>
      <c r="C46" s="31" t="s">
        <v>84</v>
      </c>
      <c r="D46" s="35">
        <f>D40/'Conversion Factor'!$B$10*100</f>
        <v>2776500.0000000005</v>
      </c>
      <c r="E46" s="35">
        <f>E40/'Conversion Factor'!$B$10*100</f>
        <v>3057958.3333333335</v>
      </c>
      <c r="F46" s="35">
        <f>F40/'Conversion Factor'!$B$10*100</f>
        <v>18542533.333333336</v>
      </c>
      <c r="G46" s="35">
        <f>G40/'Conversion Factor'!$B$10*100</f>
        <v>11824590.083333334</v>
      </c>
      <c r="H46" s="35">
        <f>H40/'Conversion Factor'!$B$10*100</f>
        <v>54503580.954166666</v>
      </c>
      <c r="I46" s="35">
        <f>I40/'Conversion Factor'!$B$10*100</f>
        <v>34564287.5</v>
      </c>
      <c r="J46" s="35">
        <f>J40/'Conversion Factor'!$B$10*100</f>
        <v>25015720.833333336</v>
      </c>
      <c r="K46" s="35">
        <f>K40/'Conversion Factor'!$B$10*100</f>
        <v>29196895.833333336</v>
      </c>
      <c r="L46" s="35">
        <f>L40/'Conversion Factor'!$B$10*100</f>
        <v>26198892.874999996</v>
      </c>
      <c r="M46" s="35">
        <f>M40/'Conversion Factor'!$B$10*100</f>
        <v>32529009.291666672</v>
      </c>
      <c r="N46" s="35">
        <f>N40/'Conversion Factor'!$B$10*100</f>
        <v>34589688.625000007</v>
      </c>
      <c r="O46" s="35">
        <f>O40/'Conversion Factor'!$B$10*100</f>
        <v>31828833.333333336</v>
      </c>
      <c r="P46" s="35">
        <f>P40/'Conversion Factor'!$B$10*100</f>
        <v>22611408.333333336</v>
      </c>
      <c r="Q46" s="35">
        <f>Q40/'Conversion Factor'!$B$10*100</f>
        <v>14490000</v>
      </c>
      <c r="R46" s="35">
        <f>R40/'Conversion Factor'!$B$10*100</f>
        <v>23386249.999999996</v>
      </c>
      <c r="S46" s="35">
        <f>S40/'Conversion Factor'!$B$10*100</f>
        <v>29770866.666666679</v>
      </c>
      <c r="T46" s="35">
        <f>T40/'Conversion Factor'!$B$10*100</f>
        <v>16589166.666666668</v>
      </c>
      <c r="Z46" s="209"/>
      <c r="AA46" s="209"/>
      <c r="AB46" s="209"/>
      <c r="AC46" s="209"/>
    </row>
    <row r="47" spans="1:29" ht="15.75" customHeight="1">
      <c r="A47" s="14">
        <v>4</v>
      </c>
      <c r="B47" s="15" t="s">
        <v>19</v>
      </c>
      <c r="C47" s="14" t="s">
        <v>96</v>
      </c>
      <c r="D47" s="18">
        <f t="shared" ref="D47:I47" si="22">D48/D45</f>
        <v>1184.989942595724</v>
      </c>
      <c r="E47" s="18">
        <f t="shared" si="22"/>
        <v>1131.4455746331805</v>
      </c>
      <c r="F47" s="18">
        <f t="shared" si="22"/>
        <v>178.86420431382371</v>
      </c>
      <c r="G47" s="18">
        <f t="shared" si="22"/>
        <v>243.91305575628408</v>
      </c>
      <c r="H47" s="18">
        <f t="shared" si="22"/>
        <v>89.622219022899969</v>
      </c>
      <c r="I47" s="18">
        <f t="shared" si="22"/>
        <v>521.22267488038426</v>
      </c>
      <c r="J47" s="18">
        <v>249.23999214930501</v>
      </c>
      <c r="K47" s="18">
        <v>206.27211584937706</v>
      </c>
      <c r="L47" s="18">
        <v>237.02498215758024</v>
      </c>
      <c r="M47" s="18">
        <v>269.06169790818001</v>
      </c>
      <c r="N47" s="18">
        <f t="shared" ref="N47:Q47" si="23">N48/N45</f>
        <v>348.91598833122862</v>
      </c>
      <c r="O47" s="18">
        <f t="shared" si="23"/>
        <v>346.36219161227763</v>
      </c>
      <c r="P47" s="18">
        <f t="shared" si="23"/>
        <v>545.94956315605259</v>
      </c>
      <c r="Q47" s="18">
        <f t="shared" si="23"/>
        <v>1324.8292353766039</v>
      </c>
      <c r="R47" s="18">
        <f t="shared" ref="R47:S47" si="24">R48/R45</f>
        <v>1006.4905892948914</v>
      </c>
      <c r="S47" s="18">
        <f t="shared" si="24"/>
        <v>886.09924144285617</v>
      </c>
      <c r="T47" s="18">
        <f t="shared" ref="T47" si="25">T48/T45</f>
        <v>2008.050015034469</v>
      </c>
      <c r="Z47" s="209"/>
      <c r="AA47" s="209"/>
      <c r="AB47" s="209"/>
      <c r="AC47" s="209"/>
    </row>
    <row r="48" spans="1:29" ht="15.75" customHeight="1">
      <c r="A48" s="14">
        <v>5</v>
      </c>
      <c r="B48" s="15" t="s">
        <v>21</v>
      </c>
      <c r="C48" s="14" t="s">
        <v>22</v>
      </c>
      <c r="D48" s="18">
        <v>7896298.9814808667</v>
      </c>
      <c r="E48" s="18">
        <v>8303792.2167903753</v>
      </c>
      <c r="F48" s="18">
        <v>7959829.1295101279</v>
      </c>
      <c r="G48" s="18">
        <v>6922012.5606990885</v>
      </c>
      <c r="H48" s="18">
        <v>11723356.487536041</v>
      </c>
      <c r="I48" s="18">
        <v>43237656.926603109</v>
      </c>
      <c r="J48" s="18">
        <f t="shared" ref="J48:M48" si="26">J45*J47</f>
        <v>14963803.353862094</v>
      </c>
      <c r="K48" s="18">
        <f t="shared" si="26"/>
        <v>14454013.151461268</v>
      </c>
      <c r="L48" s="18">
        <f t="shared" si="26"/>
        <v>14903501.078988552</v>
      </c>
      <c r="M48" s="18">
        <f t="shared" si="26"/>
        <v>21005545.131088313</v>
      </c>
      <c r="N48" s="18">
        <v>28965348.942387201</v>
      </c>
      <c r="O48" s="18">
        <v>26458330.727508601</v>
      </c>
      <c r="P48" s="18">
        <v>29627252.404623501</v>
      </c>
      <c r="Q48" s="18">
        <v>46072261.48945678</v>
      </c>
      <c r="R48" s="18">
        <v>56491297.305354364</v>
      </c>
      <c r="S48" s="18">
        <v>63311861.689031415</v>
      </c>
      <c r="T48" s="18">
        <v>79948503.298582345</v>
      </c>
      <c r="Z48" s="209"/>
      <c r="AA48" s="209"/>
      <c r="AB48" s="209"/>
      <c r="AC48" s="209"/>
    </row>
    <row r="49" spans="1:29" ht="15.75" customHeight="1">
      <c r="A49" s="17" t="s">
        <v>23</v>
      </c>
      <c r="B49" s="2"/>
      <c r="C49" s="2"/>
      <c r="D49" s="2"/>
      <c r="E49" s="2"/>
      <c r="F49" s="2"/>
      <c r="G49" s="2"/>
      <c r="H49" s="2"/>
      <c r="I49" s="2"/>
      <c r="J49" s="2"/>
      <c r="K49" s="2"/>
      <c r="L49" s="2"/>
      <c r="M49" s="2"/>
      <c r="N49" s="2"/>
      <c r="O49" s="2"/>
      <c r="P49" s="2"/>
      <c r="Q49" s="2"/>
      <c r="R49" s="2"/>
      <c r="S49" s="2"/>
      <c r="T49" s="2"/>
      <c r="Z49" s="209"/>
      <c r="AA49" s="209"/>
      <c r="AB49" s="209"/>
      <c r="AC49" s="209"/>
    </row>
    <row r="50" spans="1:29" ht="15.75" customHeight="1">
      <c r="A50" s="19"/>
      <c r="B50" s="2"/>
      <c r="C50" s="2"/>
      <c r="D50" s="2"/>
      <c r="E50" s="2"/>
      <c r="F50" s="2"/>
      <c r="G50" s="2"/>
      <c r="H50" s="2"/>
      <c r="I50" s="2"/>
      <c r="J50" s="2"/>
      <c r="K50" s="2"/>
      <c r="L50" s="2"/>
      <c r="M50" s="2"/>
      <c r="N50" s="60"/>
      <c r="O50" s="2"/>
      <c r="P50" s="2"/>
      <c r="Q50" s="2"/>
      <c r="R50" s="2"/>
      <c r="S50" s="2"/>
      <c r="T50" s="2"/>
      <c r="Z50" s="209"/>
      <c r="AA50" s="209"/>
      <c r="AB50" s="209"/>
      <c r="AC50" s="209"/>
    </row>
    <row r="51" spans="1:29" ht="15.75" customHeight="1">
      <c r="A51" s="19"/>
      <c r="B51" s="2"/>
      <c r="C51" s="2"/>
      <c r="D51" s="2"/>
      <c r="E51" s="2"/>
      <c r="F51" s="2"/>
      <c r="G51" s="2"/>
      <c r="H51" s="2"/>
      <c r="I51" s="2"/>
      <c r="J51" s="2"/>
      <c r="K51" s="2"/>
      <c r="L51" s="2"/>
      <c r="M51" s="2"/>
      <c r="N51" s="2"/>
      <c r="O51" s="2"/>
      <c r="P51" s="2"/>
      <c r="Q51" s="2"/>
      <c r="R51" s="2"/>
      <c r="S51" s="2"/>
      <c r="T51" s="2"/>
      <c r="Z51" s="209"/>
      <c r="AA51" s="209"/>
      <c r="AB51" s="209"/>
      <c r="AC51" s="209"/>
    </row>
    <row r="52" spans="1:29" ht="15.75" customHeight="1">
      <c r="A52" s="6" t="s">
        <v>97</v>
      </c>
      <c r="B52" s="2"/>
      <c r="C52" s="2"/>
      <c r="D52" s="2"/>
      <c r="E52" s="2"/>
      <c r="F52" s="2"/>
      <c r="G52" s="2"/>
      <c r="H52" s="2"/>
      <c r="I52" s="2"/>
      <c r="J52" s="2"/>
      <c r="K52" s="2"/>
      <c r="L52" s="2"/>
      <c r="M52" s="2"/>
      <c r="N52" s="2"/>
      <c r="O52" s="2"/>
      <c r="P52" s="2"/>
      <c r="Q52" s="2"/>
      <c r="R52" s="2"/>
      <c r="S52" s="2"/>
      <c r="T52" s="2"/>
      <c r="Z52" s="209"/>
      <c r="AA52" s="209"/>
      <c r="AB52" s="209"/>
      <c r="AC52" s="209"/>
    </row>
    <row r="53" spans="1:29" ht="7.5" customHeight="1" thickBot="1">
      <c r="A53" s="19"/>
      <c r="B53" s="2"/>
      <c r="C53" s="2"/>
      <c r="D53" s="2"/>
      <c r="E53" s="2"/>
      <c r="F53" s="2"/>
      <c r="G53" s="2"/>
      <c r="H53" s="2"/>
      <c r="I53" s="2"/>
      <c r="J53" s="2"/>
      <c r="K53" s="2"/>
      <c r="L53" s="2"/>
      <c r="M53" s="2"/>
      <c r="N53" s="2"/>
      <c r="O53" s="2"/>
      <c r="P53" s="2"/>
      <c r="Q53" s="2"/>
      <c r="R53" s="2"/>
      <c r="S53" s="2"/>
      <c r="T53" s="2"/>
      <c r="Z53" s="209"/>
      <c r="AA53" s="209"/>
      <c r="AB53" s="209"/>
      <c r="AC53" s="209"/>
    </row>
    <row r="54" spans="1:29" ht="15.75" customHeight="1" thickBot="1">
      <c r="A54" s="98" t="s">
        <v>3</v>
      </c>
      <c r="B54" s="96" t="s">
        <v>4</v>
      </c>
      <c r="C54" s="97" t="s">
        <v>5</v>
      </c>
      <c r="D54" s="97">
        <f t="shared" ref="D54:T54" si="27">D$3</f>
        <v>2008</v>
      </c>
      <c r="E54" s="97">
        <f t="shared" si="27"/>
        <v>2009</v>
      </c>
      <c r="F54" s="97">
        <f t="shared" si="27"/>
        <v>2010</v>
      </c>
      <c r="G54" s="97">
        <f t="shared" si="27"/>
        <v>2011</v>
      </c>
      <c r="H54" s="97">
        <f t="shared" si="27"/>
        <v>2012</v>
      </c>
      <c r="I54" s="97">
        <f t="shared" si="27"/>
        <v>2013</v>
      </c>
      <c r="J54" s="97">
        <f t="shared" si="27"/>
        <v>2014</v>
      </c>
      <c r="K54" s="97">
        <f t="shared" si="27"/>
        <v>2015</v>
      </c>
      <c r="L54" s="97">
        <f t="shared" si="27"/>
        <v>2016</v>
      </c>
      <c r="M54" s="97">
        <f t="shared" si="27"/>
        <v>2017</v>
      </c>
      <c r="N54" s="97">
        <f t="shared" si="27"/>
        <v>2018</v>
      </c>
      <c r="O54" s="97">
        <f t="shared" si="27"/>
        <v>2019</v>
      </c>
      <c r="P54" s="97">
        <f t="shared" si="27"/>
        <v>2020</v>
      </c>
      <c r="Q54" s="97">
        <f t="shared" si="27"/>
        <v>2021</v>
      </c>
      <c r="R54" s="97">
        <f t="shared" si="27"/>
        <v>2022</v>
      </c>
      <c r="S54" s="97">
        <f t="shared" si="27"/>
        <v>2023</v>
      </c>
      <c r="T54" s="97">
        <f t="shared" si="27"/>
        <v>2024</v>
      </c>
      <c r="Z54" s="209"/>
      <c r="AA54" s="209"/>
      <c r="AB54" s="209"/>
      <c r="AC54" s="209"/>
    </row>
    <row r="55" spans="1:29" ht="15.75" customHeight="1">
      <c r="A55" s="9">
        <v>-1</v>
      </c>
      <c r="B55" s="9">
        <f t="shared" ref="B55:T55" si="28">A55-1</f>
        <v>-2</v>
      </c>
      <c r="C55" s="9">
        <f t="shared" si="28"/>
        <v>-3</v>
      </c>
      <c r="D55" s="9">
        <f t="shared" si="28"/>
        <v>-4</v>
      </c>
      <c r="E55" s="9">
        <f t="shared" si="28"/>
        <v>-5</v>
      </c>
      <c r="F55" s="9">
        <f t="shared" si="28"/>
        <v>-6</v>
      </c>
      <c r="G55" s="9">
        <f t="shared" si="28"/>
        <v>-7</v>
      </c>
      <c r="H55" s="9">
        <f t="shared" si="28"/>
        <v>-8</v>
      </c>
      <c r="I55" s="9">
        <f t="shared" si="28"/>
        <v>-9</v>
      </c>
      <c r="J55" s="9">
        <f t="shared" si="28"/>
        <v>-10</v>
      </c>
      <c r="K55" s="9">
        <f t="shared" si="28"/>
        <v>-11</v>
      </c>
      <c r="L55" s="9">
        <f t="shared" si="28"/>
        <v>-12</v>
      </c>
      <c r="M55" s="9">
        <f t="shared" si="28"/>
        <v>-13</v>
      </c>
      <c r="N55" s="9">
        <f t="shared" si="28"/>
        <v>-14</v>
      </c>
      <c r="O55" s="9">
        <f t="shared" si="28"/>
        <v>-15</v>
      </c>
      <c r="P55" s="9">
        <f t="shared" si="28"/>
        <v>-16</v>
      </c>
      <c r="Q55" s="9">
        <f t="shared" si="28"/>
        <v>-17</v>
      </c>
      <c r="R55" s="9">
        <f t="shared" si="28"/>
        <v>-18</v>
      </c>
      <c r="S55" s="9">
        <f t="shared" si="28"/>
        <v>-19</v>
      </c>
      <c r="T55" s="9">
        <f t="shared" si="28"/>
        <v>-20</v>
      </c>
      <c r="Z55" s="209"/>
      <c r="AA55" s="209"/>
      <c r="AB55" s="209"/>
      <c r="AC55" s="209"/>
    </row>
    <row r="56" spans="1:29" ht="15.75" customHeight="1">
      <c r="A56" s="14">
        <v>1</v>
      </c>
      <c r="B56" s="21" t="s">
        <v>25</v>
      </c>
      <c r="C56" s="14" t="s">
        <v>22</v>
      </c>
      <c r="D56" s="18"/>
      <c r="E56" s="18"/>
      <c r="F56" s="22">
        <v>79145788</v>
      </c>
      <c r="G56" s="18"/>
      <c r="H56" s="18"/>
      <c r="I56" s="18"/>
      <c r="J56" s="18"/>
      <c r="K56" s="18"/>
      <c r="L56" s="18">
        <v>2969142</v>
      </c>
      <c r="M56" s="18"/>
      <c r="N56" s="18"/>
      <c r="O56" s="18"/>
      <c r="P56" s="18"/>
      <c r="Q56" s="18"/>
      <c r="R56" s="18"/>
      <c r="S56" s="18"/>
      <c r="T56" s="18"/>
      <c r="Z56" s="209"/>
      <c r="AA56" s="209"/>
      <c r="AB56" s="209"/>
      <c r="AC56" s="209"/>
    </row>
    <row r="57" spans="1:29" ht="15.75" customHeight="1">
      <c r="A57" s="14">
        <v>2</v>
      </c>
      <c r="B57" s="15" t="s">
        <v>26</v>
      </c>
      <c r="C57" s="14" t="s">
        <v>22</v>
      </c>
      <c r="D57" s="18"/>
      <c r="E57" s="18"/>
      <c r="F57" s="22">
        <v>18280023</v>
      </c>
      <c r="G57" s="18"/>
      <c r="H57" s="18"/>
      <c r="I57" s="18"/>
      <c r="J57" s="18"/>
      <c r="K57" s="18"/>
      <c r="L57" s="18">
        <v>1513631</v>
      </c>
      <c r="M57" s="18"/>
      <c r="N57" s="18"/>
      <c r="O57" s="18"/>
      <c r="P57" s="18"/>
      <c r="Q57" s="18"/>
      <c r="R57" s="18"/>
      <c r="S57" s="18"/>
      <c r="T57" s="18"/>
      <c r="Z57" s="209"/>
      <c r="AA57" s="209"/>
      <c r="AB57" s="209"/>
      <c r="AC57" s="209"/>
    </row>
    <row r="58" spans="1:29" ht="15.75" customHeight="1">
      <c r="A58" s="14">
        <v>3</v>
      </c>
      <c r="B58" s="21" t="s">
        <v>27</v>
      </c>
      <c r="C58" s="14" t="s">
        <v>22</v>
      </c>
      <c r="D58" s="18"/>
      <c r="E58" s="18"/>
      <c r="F58" s="22">
        <v>1506374</v>
      </c>
      <c r="G58" s="18"/>
      <c r="H58" s="18"/>
      <c r="I58" s="18"/>
      <c r="J58" s="18"/>
      <c r="K58" s="18"/>
      <c r="L58" s="18">
        <v>44155</v>
      </c>
      <c r="M58" s="18"/>
      <c r="N58" s="18"/>
      <c r="O58" s="18"/>
      <c r="P58" s="18"/>
      <c r="Q58" s="18"/>
      <c r="R58" s="18"/>
      <c r="S58" s="18"/>
      <c r="T58" s="18"/>
      <c r="Z58" s="209"/>
      <c r="AA58" s="209"/>
      <c r="AB58" s="209"/>
      <c r="AC58" s="209"/>
    </row>
    <row r="59" spans="1:29" ht="15.75" customHeight="1">
      <c r="A59" s="14">
        <v>4</v>
      </c>
      <c r="B59" s="21" t="s">
        <v>28</v>
      </c>
      <c r="C59" s="14" t="s">
        <v>22</v>
      </c>
      <c r="D59" s="18"/>
      <c r="E59" s="18"/>
      <c r="F59" s="22">
        <v>151748081</v>
      </c>
      <c r="G59" s="18"/>
      <c r="H59" s="18"/>
      <c r="I59" s="18"/>
      <c r="J59" s="18"/>
      <c r="K59" s="18"/>
      <c r="L59" s="18">
        <v>4577385</v>
      </c>
      <c r="M59" s="18"/>
      <c r="N59" s="18"/>
      <c r="O59" s="18"/>
      <c r="P59" s="18"/>
      <c r="Q59" s="18"/>
      <c r="R59" s="18"/>
      <c r="S59" s="18"/>
      <c r="T59" s="18"/>
      <c r="Z59" s="209"/>
      <c r="AA59" s="209"/>
      <c r="AB59" s="209"/>
      <c r="AC59" s="209"/>
    </row>
    <row r="60" spans="1:29" ht="15.75" customHeight="1">
      <c r="A60" s="14">
        <v>5</v>
      </c>
      <c r="B60" s="21" t="s">
        <v>29</v>
      </c>
      <c r="C60" s="14" t="s">
        <v>22</v>
      </c>
      <c r="D60" s="18"/>
      <c r="E60" s="18"/>
      <c r="F60" s="22">
        <v>250680266</v>
      </c>
      <c r="G60" s="18"/>
      <c r="H60" s="18"/>
      <c r="I60" s="18"/>
      <c r="J60" s="18"/>
      <c r="K60" s="18"/>
      <c r="L60" s="18">
        <v>9104313</v>
      </c>
      <c r="M60" s="18"/>
      <c r="N60" s="18"/>
      <c r="O60" s="18"/>
      <c r="P60" s="18"/>
      <c r="Q60" s="18"/>
      <c r="R60" s="18"/>
      <c r="S60" s="18"/>
      <c r="T60" s="18"/>
      <c r="Z60" s="209"/>
      <c r="AA60" s="209"/>
      <c r="AB60" s="209"/>
      <c r="AC60" s="209"/>
    </row>
    <row r="61" spans="1:29" ht="15.75" customHeight="1">
      <c r="A61" s="17" t="s">
        <v>30</v>
      </c>
      <c r="B61" s="2"/>
      <c r="C61" s="2"/>
      <c r="D61" s="2"/>
      <c r="E61" s="2"/>
      <c r="F61" s="2"/>
      <c r="G61" s="2"/>
      <c r="H61" s="2"/>
      <c r="I61" s="2"/>
      <c r="J61" s="2"/>
      <c r="K61" s="2"/>
      <c r="L61" s="2"/>
      <c r="M61" s="2"/>
      <c r="N61" s="2"/>
      <c r="O61" s="2"/>
      <c r="P61" s="2"/>
      <c r="Q61" s="2"/>
      <c r="R61" s="2"/>
      <c r="S61" s="2"/>
      <c r="T61" s="2"/>
      <c r="Z61" s="209"/>
      <c r="AA61" s="209"/>
      <c r="AB61" s="209"/>
      <c r="AC61" s="209"/>
    </row>
    <row r="62" spans="1:29" ht="15.75" customHeight="1">
      <c r="A62" s="19"/>
      <c r="B62" s="2"/>
      <c r="C62" s="2"/>
      <c r="D62" s="2"/>
      <c r="E62" s="2"/>
      <c r="F62" s="2"/>
      <c r="G62" s="2"/>
      <c r="H62" s="2"/>
      <c r="I62" s="2"/>
      <c r="J62" s="2"/>
      <c r="K62" s="2"/>
      <c r="L62" s="2"/>
      <c r="M62" s="2"/>
      <c r="N62" s="2"/>
      <c r="O62" s="2"/>
      <c r="P62" s="2"/>
      <c r="Q62" s="2"/>
      <c r="R62" s="2"/>
      <c r="S62" s="2"/>
      <c r="T62" s="2"/>
      <c r="Z62" s="209"/>
      <c r="AA62" s="209"/>
      <c r="AB62" s="209"/>
      <c r="AC62" s="209"/>
    </row>
    <row r="63" spans="1:29" ht="15.75" customHeight="1">
      <c r="A63" s="19"/>
      <c r="B63" s="2"/>
      <c r="C63" s="2"/>
      <c r="D63" s="2"/>
      <c r="E63" s="2"/>
      <c r="F63" s="2"/>
      <c r="G63" s="2"/>
      <c r="H63" s="2"/>
      <c r="I63" s="2"/>
      <c r="J63" s="2"/>
      <c r="K63" s="2"/>
      <c r="L63" s="2"/>
      <c r="M63" s="2"/>
      <c r="N63" s="2"/>
      <c r="O63" s="2"/>
      <c r="P63" s="2"/>
      <c r="Q63" s="2"/>
      <c r="R63" s="2"/>
      <c r="S63" s="2"/>
      <c r="T63" s="2"/>
      <c r="Z63" s="209"/>
      <c r="AA63" s="209"/>
      <c r="AB63" s="209"/>
      <c r="AC63" s="209"/>
    </row>
    <row r="64" spans="1:29" ht="15.75" customHeight="1">
      <c r="A64" s="6" t="s">
        <v>98</v>
      </c>
      <c r="B64" s="2"/>
      <c r="C64" s="2"/>
      <c r="D64" s="2"/>
      <c r="E64" s="2"/>
      <c r="F64" s="2"/>
      <c r="G64" s="2"/>
      <c r="H64" s="2"/>
      <c r="I64" s="2"/>
      <c r="J64" s="2"/>
      <c r="K64" s="2"/>
      <c r="L64" s="2"/>
      <c r="M64" s="2"/>
      <c r="N64" s="2"/>
      <c r="O64" s="2"/>
      <c r="P64" s="2"/>
      <c r="Q64" s="2"/>
      <c r="R64" s="2"/>
      <c r="S64" s="2"/>
      <c r="T64" s="2"/>
      <c r="Z64" s="209"/>
      <c r="AA64" s="209"/>
      <c r="AB64" s="209"/>
      <c r="AC64" s="209"/>
    </row>
    <row r="65" spans="1:29" ht="7.5" customHeight="1" thickBot="1">
      <c r="A65" s="7"/>
      <c r="B65" s="2"/>
      <c r="C65" s="2"/>
      <c r="D65" s="2"/>
      <c r="E65" s="2"/>
      <c r="F65" s="2"/>
      <c r="G65" s="2"/>
      <c r="H65" s="2"/>
      <c r="I65" s="2"/>
      <c r="J65" s="2"/>
      <c r="K65" s="2"/>
      <c r="L65" s="2"/>
      <c r="M65" s="2"/>
      <c r="N65" s="2"/>
      <c r="O65" s="2"/>
      <c r="P65" s="2"/>
      <c r="Q65" s="2"/>
      <c r="R65" s="2"/>
      <c r="S65" s="2"/>
      <c r="T65" s="2"/>
      <c r="Z65" s="209"/>
      <c r="AA65" s="209"/>
      <c r="AB65" s="209"/>
      <c r="AC65" s="209"/>
    </row>
    <row r="66" spans="1:29" ht="15.75" customHeight="1" thickBot="1">
      <c r="A66" s="98" t="s">
        <v>3</v>
      </c>
      <c r="B66" s="96" t="s">
        <v>4</v>
      </c>
      <c r="C66" s="97" t="s">
        <v>5</v>
      </c>
      <c r="D66" s="97">
        <f t="shared" ref="D66:T66" si="29">D$3</f>
        <v>2008</v>
      </c>
      <c r="E66" s="97">
        <f t="shared" si="29"/>
        <v>2009</v>
      </c>
      <c r="F66" s="97">
        <f t="shared" si="29"/>
        <v>2010</v>
      </c>
      <c r="G66" s="97">
        <f t="shared" si="29"/>
        <v>2011</v>
      </c>
      <c r="H66" s="97">
        <f t="shared" si="29"/>
        <v>2012</v>
      </c>
      <c r="I66" s="97">
        <f t="shared" si="29"/>
        <v>2013</v>
      </c>
      <c r="J66" s="97">
        <f t="shared" si="29"/>
        <v>2014</v>
      </c>
      <c r="K66" s="97">
        <f t="shared" si="29"/>
        <v>2015</v>
      </c>
      <c r="L66" s="97">
        <f t="shared" si="29"/>
        <v>2016</v>
      </c>
      <c r="M66" s="97">
        <f t="shared" si="29"/>
        <v>2017</v>
      </c>
      <c r="N66" s="97">
        <f t="shared" si="29"/>
        <v>2018</v>
      </c>
      <c r="O66" s="97">
        <f t="shared" si="29"/>
        <v>2019</v>
      </c>
      <c r="P66" s="97">
        <f t="shared" si="29"/>
        <v>2020</v>
      </c>
      <c r="Q66" s="97">
        <f t="shared" si="29"/>
        <v>2021</v>
      </c>
      <c r="R66" s="97">
        <f t="shared" si="29"/>
        <v>2022</v>
      </c>
      <c r="S66" s="97">
        <f t="shared" si="29"/>
        <v>2023</v>
      </c>
      <c r="T66" s="97">
        <f t="shared" si="29"/>
        <v>2024</v>
      </c>
      <c r="Z66" s="209"/>
      <c r="AA66" s="209"/>
      <c r="AB66" s="209"/>
      <c r="AC66" s="209"/>
    </row>
    <row r="67" spans="1:29" ht="15.75" customHeight="1">
      <c r="A67" s="9">
        <v>-1</v>
      </c>
      <c r="B67" s="9">
        <f t="shared" ref="B67:T67" si="30">A67-1</f>
        <v>-2</v>
      </c>
      <c r="C67" s="9">
        <f t="shared" si="30"/>
        <v>-3</v>
      </c>
      <c r="D67" s="9">
        <f t="shared" si="30"/>
        <v>-4</v>
      </c>
      <c r="E67" s="9">
        <f t="shared" si="30"/>
        <v>-5</v>
      </c>
      <c r="F67" s="9">
        <f t="shared" si="30"/>
        <v>-6</v>
      </c>
      <c r="G67" s="9">
        <f t="shared" si="30"/>
        <v>-7</v>
      </c>
      <c r="H67" s="9">
        <f t="shared" si="30"/>
        <v>-8</v>
      </c>
      <c r="I67" s="9">
        <f t="shared" si="30"/>
        <v>-9</v>
      </c>
      <c r="J67" s="9">
        <f t="shared" si="30"/>
        <v>-10</v>
      </c>
      <c r="K67" s="9">
        <f t="shared" si="30"/>
        <v>-11</v>
      </c>
      <c r="L67" s="9">
        <f t="shared" si="30"/>
        <v>-12</v>
      </c>
      <c r="M67" s="9">
        <f t="shared" si="30"/>
        <v>-13</v>
      </c>
      <c r="N67" s="9">
        <f t="shared" si="30"/>
        <v>-14</v>
      </c>
      <c r="O67" s="9">
        <f t="shared" si="30"/>
        <v>-15</v>
      </c>
      <c r="P67" s="9">
        <f t="shared" si="30"/>
        <v>-16</v>
      </c>
      <c r="Q67" s="9">
        <f t="shared" si="30"/>
        <v>-17</v>
      </c>
      <c r="R67" s="9">
        <f t="shared" si="30"/>
        <v>-18</v>
      </c>
      <c r="S67" s="9">
        <f t="shared" si="30"/>
        <v>-19</v>
      </c>
      <c r="T67" s="9">
        <f t="shared" si="30"/>
        <v>-20</v>
      </c>
      <c r="Z67" s="209"/>
      <c r="AA67" s="209"/>
      <c r="AB67" s="209"/>
      <c r="AC67" s="209"/>
    </row>
    <row r="68" spans="1:29" ht="15.75" customHeight="1">
      <c r="A68" s="14">
        <v>1</v>
      </c>
      <c r="B68" s="15" t="s">
        <v>21</v>
      </c>
      <c r="C68" s="14" t="s">
        <v>22</v>
      </c>
      <c r="D68" s="18">
        <f t="shared" ref="D68:Q68" si="31">D48</f>
        <v>7896298.9814808667</v>
      </c>
      <c r="E68" s="18">
        <f t="shared" si="31"/>
        <v>8303792.2167903753</v>
      </c>
      <c r="F68" s="18">
        <f t="shared" si="31"/>
        <v>7959829.1295101279</v>
      </c>
      <c r="G68" s="18">
        <f t="shared" si="31"/>
        <v>6922012.5606990885</v>
      </c>
      <c r="H68" s="18">
        <f t="shared" si="31"/>
        <v>11723356.487536041</v>
      </c>
      <c r="I68" s="18">
        <f t="shared" si="31"/>
        <v>43237656.926603109</v>
      </c>
      <c r="J68" s="18">
        <f t="shared" si="31"/>
        <v>14963803.353862094</v>
      </c>
      <c r="K68" s="18">
        <f t="shared" si="31"/>
        <v>14454013.151461268</v>
      </c>
      <c r="L68" s="18">
        <f t="shared" si="31"/>
        <v>14903501.078988552</v>
      </c>
      <c r="M68" s="18">
        <f t="shared" si="31"/>
        <v>21005545.131088313</v>
      </c>
      <c r="N68" s="18">
        <f t="shared" si="31"/>
        <v>28965348.942387201</v>
      </c>
      <c r="O68" s="18">
        <f t="shared" si="31"/>
        <v>26458330.727508601</v>
      </c>
      <c r="P68" s="18">
        <f t="shared" si="31"/>
        <v>29627252.404623501</v>
      </c>
      <c r="Q68" s="18">
        <f t="shared" si="31"/>
        <v>46072261.48945678</v>
      </c>
      <c r="R68" s="18">
        <f t="shared" ref="R68:S68" si="32">R48</f>
        <v>56491297.305354364</v>
      </c>
      <c r="S68" s="18">
        <f t="shared" si="32"/>
        <v>63311861.689031415</v>
      </c>
      <c r="T68" s="18">
        <f t="shared" ref="T68" si="33">T48</f>
        <v>79948503.298582345</v>
      </c>
      <c r="Z68" s="209"/>
      <c r="AA68" s="209"/>
      <c r="AB68" s="209"/>
      <c r="AC68" s="209"/>
    </row>
    <row r="69" spans="1:29" ht="15.75" customHeight="1">
      <c r="A69" s="14">
        <f t="shared" ref="A69:A78" si="34">A68+1</f>
        <v>2</v>
      </c>
      <c r="B69" s="15" t="s">
        <v>32</v>
      </c>
      <c r="C69" s="14" t="s">
        <v>22</v>
      </c>
      <c r="D69" s="18">
        <f t="shared" ref="D69:M69" si="35">$F56/$F$60*D$68</f>
        <v>2493051.4680916313</v>
      </c>
      <c r="E69" s="18">
        <f t="shared" si="35"/>
        <v>2621706.8813312217</v>
      </c>
      <c r="F69" s="18">
        <f t="shared" si="35"/>
        <v>2513109.4635125091</v>
      </c>
      <c r="G69" s="18">
        <f t="shared" si="35"/>
        <v>2185445.816713898</v>
      </c>
      <c r="H69" s="18">
        <f t="shared" si="35"/>
        <v>3701345.5507141999</v>
      </c>
      <c r="I69" s="18">
        <f t="shared" si="35"/>
        <v>13651168.013080301</v>
      </c>
      <c r="J69" s="18">
        <f t="shared" si="35"/>
        <v>4724432.5483461004</v>
      </c>
      <c r="K69" s="18">
        <f t="shared" si="35"/>
        <v>4563479.5226951186</v>
      </c>
      <c r="L69" s="18">
        <f t="shared" si="35"/>
        <v>4705393.6701000594</v>
      </c>
      <c r="M69" s="18">
        <f t="shared" si="35"/>
        <v>6631955.7111430056</v>
      </c>
      <c r="N69" s="18">
        <f t="shared" ref="N69:Q69" si="36">$L56/$L$60*N$68</f>
        <v>9446317.8154680561</v>
      </c>
      <c r="O69" s="18">
        <f t="shared" si="36"/>
        <v>8628717.0721103661</v>
      </c>
      <c r="P69" s="18">
        <f t="shared" si="36"/>
        <v>9662180.9310783409</v>
      </c>
      <c r="Q69" s="18">
        <f t="shared" si="36"/>
        <v>15025305.766984141</v>
      </c>
      <c r="R69" s="18">
        <f t="shared" ref="R69:S69" si="37">$L56/$L$60*R$68</f>
        <v>18423211.445368197</v>
      </c>
      <c r="S69" s="18">
        <f t="shared" si="37"/>
        <v>20647566.448901098</v>
      </c>
      <c r="T69" s="18">
        <f t="shared" ref="T69" si="38">$L56/$L$60*T$68</f>
        <v>26073187.398209989</v>
      </c>
      <c r="Z69" s="209"/>
      <c r="AA69" s="209"/>
      <c r="AB69" s="209"/>
      <c r="AC69" s="209"/>
    </row>
    <row r="70" spans="1:29" ht="15.75" customHeight="1">
      <c r="A70" s="14">
        <f t="shared" si="34"/>
        <v>3</v>
      </c>
      <c r="B70" s="15" t="s">
        <v>26</v>
      </c>
      <c r="C70" s="14" t="s">
        <v>22</v>
      </c>
      <c r="D70" s="18">
        <f t="shared" ref="D70:M70" si="39">$F57/$F$60*D$68</f>
        <v>575811.28861713759</v>
      </c>
      <c r="E70" s="18">
        <f t="shared" si="39"/>
        <v>605526.37482102017</v>
      </c>
      <c r="F70" s="18">
        <f t="shared" si="39"/>
        <v>580444.01294641639</v>
      </c>
      <c r="G70" s="18">
        <f t="shared" si="39"/>
        <v>504764.69821469003</v>
      </c>
      <c r="H70" s="18">
        <f t="shared" si="39"/>
        <v>854886.70348450181</v>
      </c>
      <c r="I70" s="18">
        <f t="shared" si="39"/>
        <v>3152962.0408349736</v>
      </c>
      <c r="J70" s="18">
        <f t="shared" si="39"/>
        <v>1091185.4923437659</v>
      </c>
      <c r="K70" s="18">
        <f t="shared" si="39"/>
        <v>1054010.7407218663</v>
      </c>
      <c r="L70" s="18">
        <f t="shared" si="39"/>
        <v>1086788.1499074025</v>
      </c>
      <c r="M70" s="18">
        <f t="shared" si="39"/>
        <v>1531759.3771973753</v>
      </c>
      <c r="N70" s="18">
        <f t="shared" ref="N70:Q70" si="40">$L57/$L$60*N$68</f>
        <v>4815613.2247446319</v>
      </c>
      <c r="O70" s="18">
        <f t="shared" si="40"/>
        <v>4398810.717229248</v>
      </c>
      <c r="P70" s="18">
        <f t="shared" si="40"/>
        <v>4925657.5080912393</v>
      </c>
      <c r="Q70" s="18">
        <f t="shared" si="40"/>
        <v>7659710.6481892653</v>
      </c>
      <c r="R70" s="18">
        <f t="shared" ref="R70:S70" si="41">$L57/$L$60*R$68</f>
        <v>9391919.9429545999</v>
      </c>
      <c r="S70" s="18">
        <f t="shared" si="41"/>
        <v>10525867.961726524</v>
      </c>
      <c r="T70" s="18">
        <f t="shared" ref="T70" si="42">$L57/$L$60*T$68</f>
        <v>13291780.829189032</v>
      </c>
      <c r="Z70" s="209"/>
      <c r="AA70" s="209"/>
      <c r="AB70" s="209"/>
      <c r="AC70" s="209"/>
    </row>
    <row r="71" spans="1:29" ht="15.75" customHeight="1">
      <c r="A71" s="14">
        <f t="shared" si="34"/>
        <v>4</v>
      </c>
      <c r="B71" s="21" t="s">
        <v>27</v>
      </c>
      <c r="C71" s="14" t="s">
        <v>22</v>
      </c>
      <c r="D71" s="18">
        <f t="shared" ref="D71:M71" si="43">$F58/$F$60*D$68</f>
        <v>47450.003431579491</v>
      </c>
      <c r="E71" s="18">
        <f t="shared" si="43"/>
        <v>49898.689260108673</v>
      </c>
      <c r="F71" s="18">
        <f t="shared" si="43"/>
        <v>47831.76528597065</v>
      </c>
      <c r="G71" s="18">
        <f t="shared" si="43"/>
        <v>41595.375318097547</v>
      </c>
      <c r="H71" s="18">
        <f t="shared" si="43"/>
        <v>70447.345885438044</v>
      </c>
      <c r="I71" s="18">
        <f t="shared" si="43"/>
        <v>259821.33837034795</v>
      </c>
      <c r="J71" s="18">
        <f t="shared" si="43"/>
        <v>89919.660103482805</v>
      </c>
      <c r="K71" s="18">
        <f t="shared" si="43"/>
        <v>86856.256993996154</v>
      </c>
      <c r="L71" s="18">
        <f t="shared" si="43"/>
        <v>89557.295006062821</v>
      </c>
      <c r="M71" s="18">
        <f t="shared" si="43"/>
        <v>126225.36087981502</v>
      </c>
      <c r="N71" s="18">
        <f t="shared" ref="N71:Q71" si="44">$L58/$L$60*N$68</f>
        <v>140479.02159680877</v>
      </c>
      <c r="O71" s="18">
        <f t="shared" si="44"/>
        <v>128320.23605439995</v>
      </c>
      <c r="P71" s="18">
        <f t="shared" si="44"/>
        <v>143689.18664441246</v>
      </c>
      <c r="Q71" s="18">
        <f t="shared" si="44"/>
        <v>223445.82244338086</v>
      </c>
      <c r="R71" s="18">
        <f t="shared" ref="R71:S71" si="45">$L58/$L$60*R$68</f>
        <v>273977.09552801203</v>
      </c>
      <c r="S71" s="18">
        <f t="shared" si="45"/>
        <v>307056.14502480108</v>
      </c>
      <c r="T71" s="18">
        <f t="shared" ref="T71" si="46">$L58/$L$60*T$68</f>
        <v>387742.17924503511</v>
      </c>
      <c r="Z71" s="209"/>
      <c r="AA71" s="209"/>
      <c r="AB71" s="209"/>
      <c r="AC71" s="209"/>
    </row>
    <row r="72" spans="1:29" ht="15.75" customHeight="1">
      <c r="A72" s="23">
        <f t="shared" si="34"/>
        <v>5</v>
      </c>
      <c r="B72" s="24" t="s">
        <v>33</v>
      </c>
      <c r="C72" s="23" t="s">
        <v>22</v>
      </c>
      <c r="D72" s="25">
        <f t="shared" ref="D72:M72" si="47">$F59/$F$60*D$68</f>
        <v>4779986.2213405184</v>
      </c>
      <c r="E72" s="25">
        <f t="shared" si="47"/>
        <v>5026660.2713780245</v>
      </c>
      <c r="F72" s="25">
        <f t="shared" si="47"/>
        <v>4818443.8877652315</v>
      </c>
      <c r="G72" s="25">
        <f t="shared" si="47"/>
        <v>4190206.6704524029</v>
      </c>
      <c r="H72" s="25">
        <f t="shared" si="47"/>
        <v>7096676.8874519011</v>
      </c>
      <c r="I72" s="25">
        <f t="shared" si="47"/>
        <v>26173705.534317486</v>
      </c>
      <c r="J72" s="25">
        <f t="shared" si="47"/>
        <v>9058265.6530687455</v>
      </c>
      <c r="K72" s="25">
        <f t="shared" si="47"/>
        <v>8749666.6310502868</v>
      </c>
      <c r="L72" s="25">
        <f t="shared" si="47"/>
        <v>9021761.9639750272</v>
      </c>
      <c r="M72" s="25">
        <f t="shared" si="47"/>
        <v>12715604.681868117</v>
      </c>
      <c r="N72" s="25">
        <f t="shared" ref="N72:Q72" si="48">$L59/$L$60*N$68</f>
        <v>14562938.880577702</v>
      </c>
      <c r="O72" s="25">
        <f t="shared" si="48"/>
        <v>13302482.702114586</v>
      </c>
      <c r="P72" s="25">
        <f t="shared" si="48"/>
        <v>14895724.778809508</v>
      </c>
      <c r="Q72" s="25">
        <f t="shared" si="48"/>
        <v>23163799.251839992</v>
      </c>
      <c r="R72" s="25">
        <f t="shared" ref="R72:S72" si="49">$L59/$L$60*R$68</f>
        <v>28402188.82150355</v>
      </c>
      <c r="S72" s="25">
        <f t="shared" si="49"/>
        <v>31831371.133378986</v>
      </c>
      <c r="T72" s="25">
        <f t="shared" ref="T72" si="50">$L59/$L$60*T$68</f>
        <v>40195792.891938284</v>
      </c>
      <c r="Z72" s="209"/>
      <c r="AA72" s="209"/>
      <c r="AB72" s="209"/>
      <c r="AC72" s="209"/>
    </row>
    <row r="73" spans="1:29" ht="15.75" customHeight="1">
      <c r="A73" s="14">
        <f t="shared" si="34"/>
        <v>6</v>
      </c>
      <c r="B73" s="21" t="s">
        <v>34</v>
      </c>
      <c r="C73" s="14" t="s">
        <v>22</v>
      </c>
      <c r="D73" s="18"/>
      <c r="E73" s="18"/>
      <c r="F73" s="18"/>
      <c r="G73" s="18"/>
      <c r="H73" s="18"/>
      <c r="I73" s="18"/>
      <c r="J73" s="18"/>
      <c r="K73" s="18"/>
      <c r="L73" s="18"/>
      <c r="M73" s="18"/>
      <c r="N73" s="18"/>
      <c r="O73" s="18"/>
      <c r="P73" s="18"/>
      <c r="Q73" s="18"/>
      <c r="R73" s="18"/>
      <c r="S73" s="18"/>
      <c r="T73" s="18"/>
      <c r="Z73" s="209"/>
      <c r="AA73" s="209"/>
      <c r="AB73" s="209"/>
      <c r="AC73" s="209"/>
    </row>
    <row r="74" spans="1:29" ht="15.75" customHeight="1">
      <c r="A74" s="14">
        <f t="shared" si="34"/>
        <v>7</v>
      </c>
      <c r="B74" s="15" t="s">
        <v>35</v>
      </c>
      <c r="C74" s="14" t="s">
        <v>22</v>
      </c>
      <c r="D74" s="18"/>
      <c r="E74" s="18"/>
      <c r="F74" s="18"/>
      <c r="G74" s="18"/>
      <c r="H74" s="18"/>
      <c r="I74" s="18"/>
      <c r="J74" s="18"/>
      <c r="K74" s="18"/>
      <c r="L74" s="18"/>
      <c r="M74" s="18"/>
      <c r="N74" s="18"/>
      <c r="O74" s="18"/>
      <c r="P74" s="18"/>
      <c r="Q74" s="18"/>
      <c r="R74" s="18"/>
      <c r="S74" s="18"/>
      <c r="T74" s="18"/>
      <c r="Z74" s="209"/>
      <c r="AA74" s="209"/>
      <c r="AB74" s="209"/>
      <c r="AC74" s="209"/>
    </row>
    <row r="75" spans="1:29" ht="15.75" customHeight="1">
      <c r="A75" s="14">
        <f t="shared" si="34"/>
        <v>8</v>
      </c>
      <c r="B75" s="21" t="s">
        <v>36</v>
      </c>
      <c r="C75" s="14" t="s">
        <v>22</v>
      </c>
      <c r="D75" s="18"/>
      <c r="E75" s="18"/>
      <c r="F75" s="18"/>
      <c r="G75" s="18"/>
      <c r="H75" s="18"/>
      <c r="I75" s="18"/>
      <c r="J75" s="18"/>
      <c r="K75" s="18"/>
      <c r="L75" s="18"/>
      <c r="M75" s="18"/>
      <c r="N75" s="18"/>
      <c r="O75" s="18"/>
      <c r="P75" s="18"/>
      <c r="Q75" s="18"/>
      <c r="R75" s="18"/>
      <c r="S75" s="18"/>
      <c r="T75" s="18"/>
      <c r="Z75" s="209"/>
      <c r="AA75" s="209"/>
      <c r="AB75" s="209"/>
      <c r="AC75" s="209"/>
    </row>
    <row r="76" spans="1:29" ht="15.75" customHeight="1">
      <c r="A76" s="23">
        <f t="shared" si="34"/>
        <v>9</v>
      </c>
      <c r="B76" s="24" t="s">
        <v>37</v>
      </c>
      <c r="C76" s="23" t="s">
        <v>22</v>
      </c>
      <c r="D76" s="25">
        <f t="shared" ref="D76:Q76" si="51">D72+D73-D74-D75</f>
        <v>4779986.2213405184</v>
      </c>
      <c r="E76" s="25">
        <f t="shared" si="51"/>
        <v>5026660.2713780245</v>
      </c>
      <c r="F76" s="25">
        <f t="shared" si="51"/>
        <v>4818443.8877652315</v>
      </c>
      <c r="G76" s="25">
        <f t="shared" si="51"/>
        <v>4190206.6704524029</v>
      </c>
      <c r="H76" s="25">
        <f t="shared" si="51"/>
        <v>7096676.8874519011</v>
      </c>
      <c r="I76" s="25">
        <f t="shared" si="51"/>
        <v>26173705.534317486</v>
      </c>
      <c r="J76" s="25">
        <f t="shared" si="51"/>
        <v>9058265.6530687455</v>
      </c>
      <c r="K76" s="25">
        <f t="shared" si="51"/>
        <v>8749666.6310502868</v>
      </c>
      <c r="L76" s="25">
        <f t="shared" si="51"/>
        <v>9021761.9639750272</v>
      </c>
      <c r="M76" s="25">
        <f t="shared" si="51"/>
        <v>12715604.681868117</v>
      </c>
      <c r="N76" s="25">
        <f t="shared" si="51"/>
        <v>14562938.880577702</v>
      </c>
      <c r="O76" s="25">
        <f t="shared" si="51"/>
        <v>13302482.702114586</v>
      </c>
      <c r="P76" s="25">
        <f t="shared" si="51"/>
        <v>14895724.778809508</v>
      </c>
      <c r="Q76" s="25">
        <f t="shared" si="51"/>
        <v>23163799.251839992</v>
      </c>
      <c r="R76" s="25">
        <f t="shared" ref="R76:S76" si="52">R72+R73-R74-R75</f>
        <v>28402188.82150355</v>
      </c>
      <c r="S76" s="25">
        <f t="shared" si="52"/>
        <v>31831371.133378986</v>
      </c>
      <c r="T76" s="25">
        <f t="shared" ref="T76" si="53">T72+T73-T74-T75</f>
        <v>40195792.891938284</v>
      </c>
      <c r="Z76" s="209"/>
      <c r="AA76" s="209"/>
      <c r="AB76" s="209"/>
      <c r="AC76" s="209"/>
    </row>
    <row r="77" spans="1:29" ht="15.75" customHeight="1">
      <c r="A77" s="14">
        <f t="shared" si="34"/>
        <v>10</v>
      </c>
      <c r="B77" s="21" t="s">
        <v>38</v>
      </c>
      <c r="C77" s="26" t="s">
        <v>84</v>
      </c>
      <c r="D77" s="18">
        <f t="shared" ref="D77:Q77" si="54">D45</f>
        <v>6663.6</v>
      </c>
      <c r="E77" s="18">
        <f t="shared" si="54"/>
        <v>7339.1</v>
      </c>
      <c r="F77" s="18">
        <f t="shared" si="54"/>
        <v>44502.080000000002</v>
      </c>
      <c r="G77" s="18">
        <f t="shared" si="54"/>
        <v>28379.016199999998</v>
      </c>
      <c r="H77" s="18">
        <f t="shared" si="54"/>
        <v>130808.59428999999</v>
      </c>
      <c r="I77" s="18">
        <f t="shared" si="54"/>
        <v>82954.289999999994</v>
      </c>
      <c r="J77" s="18">
        <f t="shared" si="54"/>
        <v>60037.73</v>
      </c>
      <c r="K77" s="18">
        <f t="shared" si="54"/>
        <v>70072.55</v>
      </c>
      <c r="L77" s="18">
        <f t="shared" si="54"/>
        <v>62877.342899999989</v>
      </c>
      <c r="M77" s="18">
        <f t="shared" si="54"/>
        <v>78069.622300000003</v>
      </c>
      <c r="N77" s="18">
        <f t="shared" si="54"/>
        <v>83015.252700000012</v>
      </c>
      <c r="O77" s="18">
        <f t="shared" si="54"/>
        <v>76389.200000000012</v>
      </c>
      <c r="P77" s="18">
        <f t="shared" si="54"/>
        <v>54267.38</v>
      </c>
      <c r="Q77" s="18">
        <f t="shared" si="54"/>
        <v>34776</v>
      </c>
      <c r="R77" s="18">
        <f t="shared" ref="R77:S77" si="55">R45</f>
        <v>56126.999999999993</v>
      </c>
      <c r="S77" s="18">
        <f t="shared" si="55"/>
        <v>71450.080000000031</v>
      </c>
      <c r="T77" s="18">
        <f t="shared" ref="T77" si="56">T45</f>
        <v>39814</v>
      </c>
      <c r="Z77" s="209"/>
      <c r="AA77" s="209"/>
      <c r="AB77" s="209"/>
      <c r="AC77" s="209"/>
    </row>
    <row r="78" spans="1:29" ht="15.75" customHeight="1">
      <c r="A78" s="23">
        <f t="shared" si="34"/>
        <v>11</v>
      </c>
      <c r="B78" s="24" t="s">
        <v>39</v>
      </c>
      <c r="C78" s="23" t="s">
        <v>96</v>
      </c>
      <c r="D78" s="25">
        <f t="shared" ref="D78:Q78" si="57">D76/D77</f>
        <v>717.32790403693468</v>
      </c>
      <c r="E78" s="25">
        <f t="shared" si="57"/>
        <v>684.9150810559911</v>
      </c>
      <c r="F78" s="25">
        <f t="shared" si="57"/>
        <v>108.27457700325988</v>
      </c>
      <c r="G78" s="25">
        <f t="shared" si="57"/>
        <v>147.65158315996885</v>
      </c>
      <c r="H78" s="25">
        <f t="shared" si="57"/>
        <v>54.252374822702492</v>
      </c>
      <c r="I78" s="25">
        <f t="shared" si="57"/>
        <v>315.51961368504857</v>
      </c>
      <c r="J78" s="25">
        <f t="shared" si="57"/>
        <v>150.87621822258677</v>
      </c>
      <c r="K78" s="25">
        <f t="shared" si="57"/>
        <v>124.86582307979782</v>
      </c>
      <c r="L78" s="25">
        <f t="shared" si="57"/>
        <v>143.48192127525525</v>
      </c>
      <c r="M78" s="25">
        <f t="shared" si="57"/>
        <v>162.87519149260848</v>
      </c>
      <c r="N78" s="25">
        <f t="shared" si="57"/>
        <v>175.42485756449068</v>
      </c>
      <c r="O78" s="25">
        <f t="shared" si="57"/>
        <v>174.14088250845126</v>
      </c>
      <c r="P78" s="25">
        <f t="shared" si="57"/>
        <v>274.4876347229129</v>
      </c>
      <c r="Q78" s="25">
        <f t="shared" si="57"/>
        <v>666.08578478950972</v>
      </c>
      <c r="R78" s="25">
        <f t="shared" ref="R78:S78" si="58">R76/R77</f>
        <v>506.0343296720572</v>
      </c>
      <c r="S78" s="25">
        <f t="shared" si="58"/>
        <v>445.50504538803835</v>
      </c>
      <c r="T78" s="25">
        <f t="shared" ref="T78" si="59">T76/T77</f>
        <v>1009.5894130692291</v>
      </c>
      <c r="Z78" s="209"/>
      <c r="AA78" s="209"/>
      <c r="AB78" s="209"/>
      <c r="AC78" s="209"/>
    </row>
    <row r="79" spans="1:29" ht="15.75" customHeight="1">
      <c r="A79" s="19"/>
      <c r="B79" s="2"/>
      <c r="C79" s="2"/>
      <c r="D79" s="2"/>
      <c r="E79" s="2"/>
      <c r="F79" s="2"/>
      <c r="G79" s="2"/>
      <c r="H79" s="2"/>
      <c r="I79" s="2"/>
      <c r="J79" s="2"/>
      <c r="K79" s="2"/>
      <c r="L79" s="2"/>
      <c r="M79" s="2"/>
      <c r="N79" s="2"/>
      <c r="O79" s="2"/>
      <c r="P79" s="2"/>
      <c r="Q79" s="2"/>
      <c r="R79" s="2"/>
      <c r="S79" s="2"/>
      <c r="T79" s="2"/>
      <c r="Z79" s="209"/>
      <c r="AA79" s="209"/>
      <c r="AB79" s="209"/>
      <c r="AC79" s="209"/>
    </row>
    <row r="80" spans="1:29" ht="15.75" customHeight="1">
      <c r="A80" s="19"/>
      <c r="B80" s="2"/>
      <c r="C80" s="2"/>
      <c r="D80" s="2"/>
      <c r="E80" s="2"/>
      <c r="F80" s="2"/>
      <c r="G80" s="2"/>
      <c r="H80" s="2"/>
      <c r="I80" s="2"/>
      <c r="J80" s="2"/>
      <c r="K80" s="2"/>
      <c r="L80" s="2"/>
      <c r="M80" s="2"/>
      <c r="N80" s="2"/>
      <c r="O80" s="2"/>
      <c r="P80" s="2"/>
      <c r="Q80" s="2"/>
      <c r="R80" s="2"/>
      <c r="S80" s="2"/>
      <c r="T80" s="2"/>
      <c r="Z80" s="209"/>
      <c r="AA80" s="209"/>
      <c r="AB80" s="209"/>
      <c r="AC80" s="209"/>
    </row>
    <row r="81" spans="1:29" ht="15.75" customHeight="1">
      <c r="A81" s="6" t="s">
        <v>100</v>
      </c>
      <c r="B81" s="2"/>
      <c r="C81" s="2"/>
      <c r="D81" s="2"/>
      <c r="E81" s="2"/>
      <c r="F81" s="2"/>
      <c r="G81" s="2"/>
      <c r="H81" s="2"/>
      <c r="I81" s="2"/>
      <c r="J81" s="2"/>
      <c r="K81" s="2"/>
      <c r="L81" s="2"/>
      <c r="M81" s="2"/>
      <c r="N81" s="2"/>
      <c r="O81" s="2"/>
      <c r="P81" s="2"/>
      <c r="Q81" s="2"/>
      <c r="R81" s="2"/>
      <c r="S81" s="2"/>
      <c r="T81" s="2"/>
      <c r="Z81" s="209"/>
      <c r="AA81" s="209"/>
      <c r="AB81" s="209"/>
      <c r="AC81" s="209"/>
    </row>
    <row r="82" spans="1:29" ht="15.75" customHeight="1" thickBot="1">
      <c r="A82" s="19"/>
      <c r="B82" s="2"/>
      <c r="C82" s="2"/>
      <c r="D82" s="2"/>
      <c r="E82" s="2"/>
      <c r="F82" s="2"/>
      <c r="G82" s="2"/>
      <c r="H82" s="2"/>
      <c r="I82" s="2"/>
      <c r="J82" s="2"/>
      <c r="K82" s="2"/>
      <c r="L82" s="2"/>
      <c r="M82" s="2"/>
      <c r="N82" s="2"/>
      <c r="O82" s="2"/>
      <c r="P82" s="2"/>
      <c r="Q82" s="2"/>
      <c r="R82" s="2"/>
      <c r="S82" s="2"/>
      <c r="T82" s="2"/>
      <c r="Z82" s="209"/>
      <c r="AA82" s="209"/>
      <c r="AB82" s="209"/>
      <c r="AC82" s="209"/>
    </row>
    <row r="83" spans="1:29" ht="15.75" customHeight="1" thickBot="1">
      <c r="A83" s="98" t="s">
        <v>3</v>
      </c>
      <c r="B83" s="96" t="s">
        <v>4</v>
      </c>
      <c r="C83" s="97" t="s">
        <v>5</v>
      </c>
      <c r="D83" s="97">
        <f t="shared" ref="D83:T83" si="60">D$3</f>
        <v>2008</v>
      </c>
      <c r="E83" s="97">
        <f t="shared" si="60"/>
        <v>2009</v>
      </c>
      <c r="F83" s="97">
        <f t="shared" si="60"/>
        <v>2010</v>
      </c>
      <c r="G83" s="97">
        <f t="shared" si="60"/>
        <v>2011</v>
      </c>
      <c r="H83" s="97">
        <f t="shared" si="60"/>
        <v>2012</v>
      </c>
      <c r="I83" s="97">
        <f t="shared" si="60"/>
        <v>2013</v>
      </c>
      <c r="J83" s="97">
        <f t="shared" si="60"/>
        <v>2014</v>
      </c>
      <c r="K83" s="97">
        <f t="shared" si="60"/>
        <v>2015</v>
      </c>
      <c r="L83" s="97">
        <f t="shared" si="60"/>
        <v>2016</v>
      </c>
      <c r="M83" s="97">
        <f t="shared" si="60"/>
        <v>2017</v>
      </c>
      <c r="N83" s="97">
        <f t="shared" si="60"/>
        <v>2018</v>
      </c>
      <c r="O83" s="97">
        <f t="shared" si="60"/>
        <v>2019</v>
      </c>
      <c r="P83" s="97">
        <f t="shared" si="60"/>
        <v>2020</v>
      </c>
      <c r="Q83" s="97">
        <f t="shared" si="60"/>
        <v>2021</v>
      </c>
      <c r="R83" s="97">
        <f t="shared" si="60"/>
        <v>2022</v>
      </c>
      <c r="S83" s="97">
        <f t="shared" si="60"/>
        <v>2023</v>
      </c>
      <c r="T83" s="97">
        <f t="shared" si="60"/>
        <v>2024</v>
      </c>
      <c r="Z83" s="209"/>
      <c r="AA83" s="209"/>
      <c r="AB83" s="209"/>
      <c r="AC83" s="209"/>
    </row>
    <row r="84" spans="1:29" ht="15.75" customHeight="1">
      <c r="A84" s="9">
        <v>-1</v>
      </c>
      <c r="B84" s="9">
        <f t="shared" ref="B84:T84" si="61">A84-1</f>
        <v>-2</v>
      </c>
      <c r="C84" s="9">
        <f t="shared" si="61"/>
        <v>-3</v>
      </c>
      <c r="D84" s="9">
        <f t="shared" si="61"/>
        <v>-4</v>
      </c>
      <c r="E84" s="9">
        <f t="shared" si="61"/>
        <v>-5</v>
      </c>
      <c r="F84" s="9">
        <f t="shared" si="61"/>
        <v>-6</v>
      </c>
      <c r="G84" s="9">
        <f t="shared" si="61"/>
        <v>-7</v>
      </c>
      <c r="H84" s="9">
        <f t="shared" si="61"/>
        <v>-8</v>
      </c>
      <c r="I84" s="9">
        <f t="shared" si="61"/>
        <v>-9</v>
      </c>
      <c r="J84" s="9">
        <f t="shared" si="61"/>
        <v>-10</v>
      </c>
      <c r="K84" s="9">
        <f t="shared" si="61"/>
        <v>-11</v>
      </c>
      <c r="L84" s="9">
        <f t="shared" si="61"/>
        <v>-12</v>
      </c>
      <c r="M84" s="9">
        <f t="shared" si="61"/>
        <v>-13</v>
      </c>
      <c r="N84" s="9">
        <f t="shared" si="61"/>
        <v>-14</v>
      </c>
      <c r="O84" s="9">
        <f t="shared" si="61"/>
        <v>-15</v>
      </c>
      <c r="P84" s="9">
        <f t="shared" si="61"/>
        <v>-16</v>
      </c>
      <c r="Q84" s="9">
        <f t="shared" si="61"/>
        <v>-17</v>
      </c>
      <c r="R84" s="9">
        <f t="shared" si="61"/>
        <v>-18</v>
      </c>
      <c r="S84" s="9">
        <f t="shared" si="61"/>
        <v>-19</v>
      </c>
      <c r="T84" s="9">
        <f t="shared" si="61"/>
        <v>-20</v>
      </c>
      <c r="Z84" s="209"/>
      <c r="AA84" s="209"/>
      <c r="AB84" s="209"/>
      <c r="AC84" s="209"/>
    </row>
    <row r="85" spans="1:29" ht="15.75" customHeight="1">
      <c r="A85" s="23">
        <v>1</v>
      </c>
      <c r="B85" s="24" t="s">
        <v>41</v>
      </c>
      <c r="C85" s="23" t="s">
        <v>86</v>
      </c>
      <c r="D85" s="25"/>
      <c r="E85" s="25">
        <f t="shared" ref="E85:T85" si="62">D9/1000000</f>
        <v>0</v>
      </c>
      <c r="F85" s="25">
        <f t="shared" si="62"/>
        <v>0</v>
      </c>
      <c r="G85" s="25">
        <f t="shared" si="62"/>
        <v>0</v>
      </c>
      <c r="H85" s="25">
        <f t="shared" si="62"/>
        <v>773.27</v>
      </c>
      <c r="I85" s="25">
        <f t="shared" si="62"/>
        <v>801.25</v>
      </c>
      <c r="J85" s="25">
        <f t="shared" si="62"/>
        <v>1276.9269469999999</v>
      </c>
      <c r="K85" s="25">
        <f t="shared" si="62"/>
        <v>1322.471947</v>
      </c>
      <c r="L85" s="25">
        <f t="shared" si="62"/>
        <v>1592.2087429999999</v>
      </c>
      <c r="M85" s="25">
        <f t="shared" si="62"/>
        <v>1861.2367488001028</v>
      </c>
      <c r="N85" s="25">
        <f t="shared" si="62"/>
        <v>1956.9212489400977</v>
      </c>
      <c r="O85" s="25">
        <f t="shared" si="62"/>
        <v>1209.9483677540998</v>
      </c>
      <c r="P85" s="25">
        <f t="shared" si="62"/>
        <v>2292.1501360509542</v>
      </c>
      <c r="Q85" s="25">
        <f t="shared" si="62"/>
        <v>7491.8829768897494</v>
      </c>
      <c r="R85" s="25">
        <f t="shared" si="62"/>
        <v>6840.3433590000004</v>
      </c>
      <c r="S85" s="25">
        <f t="shared" si="62"/>
        <v>6927.2803629999999</v>
      </c>
      <c r="T85" s="25">
        <f t="shared" si="62"/>
        <v>6361.9671238776082</v>
      </c>
      <c r="Z85" s="209"/>
      <c r="AA85" s="209"/>
      <c r="AB85" s="209"/>
      <c r="AC85" s="209"/>
    </row>
    <row r="86" spans="1:29" ht="15.75" customHeight="1">
      <c r="A86" s="23">
        <v>2</v>
      </c>
      <c r="B86" s="24" t="s">
        <v>43</v>
      </c>
      <c r="C86" s="23" t="s">
        <v>86</v>
      </c>
      <c r="D86" s="25">
        <f t="shared" ref="D86:Q86" si="63">SUM(D87:D89)</f>
        <v>0</v>
      </c>
      <c r="E86" s="25">
        <f t="shared" si="63"/>
        <v>0</v>
      </c>
      <c r="F86" s="25">
        <f t="shared" si="63"/>
        <v>0</v>
      </c>
      <c r="G86" s="25">
        <f t="shared" si="63"/>
        <v>0</v>
      </c>
      <c r="H86" s="25">
        <f t="shared" si="63"/>
        <v>0</v>
      </c>
      <c r="I86" s="25">
        <f t="shared" si="63"/>
        <v>0</v>
      </c>
      <c r="J86" s="25">
        <f t="shared" si="63"/>
        <v>0</v>
      </c>
      <c r="K86" s="25">
        <f t="shared" si="63"/>
        <v>0</v>
      </c>
      <c r="L86" s="25">
        <f t="shared" si="63"/>
        <v>0</v>
      </c>
      <c r="M86" s="25">
        <f t="shared" si="63"/>
        <v>0</v>
      </c>
      <c r="N86" s="25">
        <f t="shared" si="63"/>
        <v>0</v>
      </c>
      <c r="O86" s="25">
        <f t="shared" si="63"/>
        <v>0</v>
      </c>
      <c r="P86" s="25">
        <f t="shared" si="63"/>
        <v>0</v>
      </c>
      <c r="Q86" s="25">
        <f t="shared" si="63"/>
        <v>0</v>
      </c>
      <c r="R86" s="25">
        <f t="shared" ref="R86:S86" si="64">SUM(R87:R89)</f>
        <v>0</v>
      </c>
      <c r="S86" s="25">
        <f t="shared" si="64"/>
        <v>0</v>
      </c>
      <c r="T86" s="25">
        <f t="shared" ref="T86" si="65">SUM(T87:T89)</f>
        <v>0</v>
      </c>
      <c r="Z86" s="209"/>
      <c r="AA86" s="209"/>
      <c r="AB86" s="209"/>
      <c r="AC86" s="209"/>
    </row>
    <row r="87" spans="1:29" ht="15.75" customHeight="1">
      <c r="A87" s="14">
        <v>2.1</v>
      </c>
      <c r="B87" s="15" t="s">
        <v>44</v>
      </c>
      <c r="C87" s="14" t="s">
        <v>86</v>
      </c>
      <c r="D87" s="18"/>
      <c r="E87" s="18"/>
      <c r="F87" s="18"/>
      <c r="G87" s="18"/>
      <c r="H87" s="18"/>
      <c r="I87" s="18"/>
      <c r="J87" s="18"/>
      <c r="K87" s="18"/>
      <c r="L87" s="18"/>
      <c r="M87" s="18"/>
      <c r="N87" s="18"/>
      <c r="O87" s="18"/>
      <c r="P87" s="18"/>
      <c r="Q87" s="18"/>
      <c r="R87" s="18"/>
      <c r="S87" s="18"/>
      <c r="T87" s="18"/>
      <c r="Z87" s="209"/>
      <c r="AA87" s="209"/>
      <c r="AB87" s="209"/>
      <c r="AC87" s="209"/>
    </row>
    <row r="88" spans="1:29" ht="15.75" customHeight="1">
      <c r="A88" s="14">
        <v>2.2000000000000002</v>
      </c>
      <c r="B88" s="15" t="s">
        <v>45</v>
      </c>
      <c r="C88" s="14" t="s">
        <v>86</v>
      </c>
      <c r="D88" s="18"/>
      <c r="E88" s="18"/>
      <c r="F88" s="18"/>
      <c r="G88" s="18"/>
      <c r="H88" s="18"/>
      <c r="I88" s="18"/>
      <c r="J88" s="18"/>
      <c r="K88" s="18"/>
      <c r="L88" s="18"/>
      <c r="M88" s="18"/>
      <c r="N88" s="18"/>
      <c r="O88" s="18"/>
      <c r="P88" s="18"/>
      <c r="Q88" s="18"/>
      <c r="R88" s="18"/>
      <c r="S88" s="18"/>
      <c r="T88" s="18"/>
      <c r="Z88" s="209"/>
      <c r="AA88" s="209"/>
      <c r="AB88" s="209"/>
      <c r="AC88" s="209"/>
    </row>
    <row r="89" spans="1:29" ht="15.75" customHeight="1">
      <c r="A89" s="14">
        <v>2.2999999999999998</v>
      </c>
      <c r="B89" s="15" t="s">
        <v>46</v>
      </c>
      <c r="C89" s="14" t="s">
        <v>86</v>
      </c>
      <c r="D89" s="18"/>
      <c r="E89" s="18"/>
      <c r="F89" s="18"/>
      <c r="G89" s="18"/>
      <c r="H89" s="18"/>
      <c r="I89" s="18"/>
      <c r="J89" s="18"/>
      <c r="K89" s="18"/>
      <c r="L89" s="18"/>
      <c r="M89" s="18"/>
      <c r="N89" s="18"/>
      <c r="O89" s="18"/>
      <c r="P89" s="18"/>
      <c r="Q89" s="18"/>
      <c r="R89" s="18"/>
      <c r="S89" s="18"/>
      <c r="T89" s="18"/>
      <c r="Z89" s="209"/>
      <c r="AA89" s="209"/>
      <c r="AB89" s="209"/>
      <c r="AC89" s="209"/>
    </row>
    <row r="90" spans="1:29" ht="15.75" customHeight="1">
      <c r="A90" s="23">
        <v>3</v>
      </c>
      <c r="B90" s="24" t="s">
        <v>47</v>
      </c>
      <c r="C90" s="23" t="s">
        <v>86</v>
      </c>
      <c r="D90" s="25">
        <f t="shared" ref="D90:Q90" si="66">SUM(D91:D94)</f>
        <v>2.7765000000000004</v>
      </c>
      <c r="E90" s="25">
        <f t="shared" si="66"/>
        <v>3.0579583333333336</v>
      </c>
      <c r="F90" s="25">
        <f t="shared" si="66"/>
        <v>18.542533333333335</v>
      </c>
      <c r="G90" s="25">
        <f t="shared" si="66"/>
        <v>11.824590083333334</v>
      </c>
      <c r="H90" s="25">
        <f t="shared" si="66"/>
        <v>54.503580954166665</v>
      </c>
      <c r="I90" s="25">
        <f t="shared" si="66"/>
        <v>34.564287499999999</v>
      </c>
      <c r="J90" s="25">
        <f t="shared" si="66"/>
        <v>25.015720833333337</v>
      </c>
      <c r="K90" s="25">
        <f t="shared" si="66"/>
        <v>29.196895833333336</v>
      </c>
      <c r="L90" s="25">
        <f t="shared" si="66"/>
        <v>26.198892874999995</v>
      </c>
      <c r="M90" s="25">
        <f t="shared" si="66"/>
        <v>32.529009291666675</v>
      </c>
      <c r="N90" s="25">
        <f t="shared" si="66"/>
        <v>34.589688625000008</v>
      </c>
      <c r="O90" s="25">
        <f t="shared" si="66"/>
        <v>31.828833333333336</v>
      </c>
      <c r="P90" s="25">
        <f t="shared" si="66"/>
        <v>22.611408333333337</v>
      </c>
      <c r="Q90" s="25">
        <f t="shared" si="66"/>
        <v>14.49</v>
      </c>
      <c r="R90" s="25">
        <f t="shared" ref="R90:S90" si="67">SUM(R91:R94)</f>
        <v>23.386249999999997</v>
      </c>
      <c r="S90" s="25">
        <f t="shared" si="67"/>
        <v>29.770866666666681</v>
      </c>
      <c r="T90" s="25">
        <f t="shared" ref="T90" si="68">SUM(T91:T94)</f>
        <v>16.589166666666667</v>
      </c>
      <c r="Z90" s="209"/>
      <c r="AA90" s="209"/>
      <c r="AB90" s="209"/>
      <c r="AC90" s="209"/>
    </row>
    <row r="91" spans="1:29" ht="15.75" customHeight="1">
      <c r="A91" s="14">
        <v>3.1</v>
      </c>
      <c r="B91" s="15" t="s">
        <v>48</v>
      </c>
      <c r="C91" s="14" t="s">
        <v>86</v>
      </c>
      <c r="D91" s="18">
        <f t="shared" ref="D91:Q91" si="69">D46/1000000</f>
        <v>2.7765000000000004</v>
      </c>
      <c r="E91" s="18">
        <f t="shared" si="69"/>
        <v>3.0579583333333336</v>
      </c>
      <c r="F91" s="18">
        <f t="shared" si="69"/>
        <v>18.542533333333335</v>
      </c>
      <c r="G91" s="18">
        <f t="shared" si="69"/>
        <v>11.824590083333334</v>
      </c>
      <c r="H91" s="18">
        <f t="shared" si="69"/>
        <v>54.503580954166665</v>
      </c>
      <c r="I91" s="18">
        <f t="shared" si="69"/>
        <v>34.564287499999999</v>
      </c>
      <c r="J91" s="18">
        <f t="shared" si="69"/>
        <v>25.015720833333337</v>
      </c>
      <c r="K91" s="18">
        <f t="shared" si="69"/>
        <v>29.196895833333336</v>
      </c>
      <c r="L91" s="18">
        <f t="shared" si="69"/>
        <v>26.198892874999995</v>
      </c>
      <c r="M91" s="18">
        <f t="shared" si="69"/>
        <v>32.529009291666675</v>
      </c>
      <c r="N91" s="18">
        <f t="shared" si="69"/>
        <v>34.589688625000008</v>
      </c>
      <c r="O91" s="18">
        <f t="shared" si="69"/>
        <v>31.828833333333336</v>
      </c>
      <c r="P91" s="18">
        <f t="shared" si="69"/>
        <v>22.611408333333337</v>
      </c>
      <c r="Q91" s="18">
        <f t="shared" si="69"/>
        <v>14.49</v>
      </c>
      <c r="R91" s="18">
        <f t="shared" ref="R91:S91" si="70">R46/1000000</f>
        <v>23.386249999999997</v>
      </c>
      <c r="S91" s="18">
        <f t="shared" si="70"/>
        <v>29.770866666666681</v>
      </c>
      <c r="T91" s="18">
        <f t="shared" ref="T91" si="71">T46/1000000</f>
        <v>16.589166666666667</v>
      </c>
      <c r="Z91" s="209"/>
      <c r="AA91" s="209"/>
      <c r="AB91" s="209"/>
      <c r="AC91" s="209"/>
    </row>
    <row r="92" spans="1:29" ht="15.75" customHeight="1">
      <c r="A92" s="14">
        <v>3.2</v>
      </c>
      <c r="B92" s="15" t="s">
        <v>49</v>
      </c>
      <c r="C92" s="14" t="s">
        <v>86</v>
      </c>
      <c r="D92" s="18"/>
      <c r="E92" s="18"/>
      <c r="F92" s="18"/>
      <c r="G92" s="18"/>
      <c r="H92" s="18"/>
      <c r="I92" s="18"/>
      <c r="J92" s="18"/>
      <c r="K92" s="18"/>
      <c r="L92" s="18"/>
      <c r="M92" s="18"/>
      <c r="N92" s="18"/>
      <c r="O92" s="18"/>
      <c r="P92" s="18"/>
      <c r="Q92" s="18"/>
      <c r="R92" s="18"/>
      <c r="S92" s="18"/>
      <c r="T92" s="18"/>
      <c r="Z92" s="209"/>
      <c r="AA92" s="209"/>
      <c r="AB92" s="209"/>
      <c r="AC92" s="209"/>
    </row>
    <row r="93" spans="1:29" ht="15.75" customHeight="1">
      <c r="A93" s="14">
        <v>3.3</v>
      </c>
      <c r="B93" s="15" t="s">
        <v>50</v>
      </c>
      <c r="C93" s="14" t="s">
        <v>86</v>
      </c>
      <c r="D93" s="18"/>
      <c r="E93" s="18"/>
      <c r="F93" s="18"/>
      <c r="G93" s="18"/>
      <c r="H93" s="18"/>
      <c r="I93" s="18"/>
      <c r="J93" s="18"/>
      <c r="K93" s="18"/>
      <c r="L93" s="18"/>
      <c r="M93" s="18"/>
      <c r="N93" s="18"/>
      <c r="O93" s="18"/>
      <c r="P93" s="18"/>
      <c r="Q93" s="18"/>
      <c r="R93" s="18"/>
      <c r="S93" s="18"/>
      <c r="T93" s="18"/>
      <c r="Z93" s="209"/>
      <c r="AA93" s="209"/>
      <c r="AB93" s="209"/>
      <c r="AC93" s="209"/>
    </row>
    <row r="94" spans="1:29" ht="15.75" customHeight="1">
      <c r="A94" s="14">
        <v>3.4</v>
      </c>
      <c r="B94" s="15" t="s">
        <v>46</v>
      </c>
      <c r="C94" s="14" t="s">
        <v>86</v>
      </c>
      <c r="D94" s="18"/>
      <c r="E94" s="18"/>
      <c r="F94" s="18"/>
      <c r="G94" s="18"/>
      <c r="H94" s="18"/>
      <c r="I94" s="18"/>
      <c r="J94" s="18"/>
      <c r="K94" s="18"/>
      <c r="L94" s="18"/>
      <c r="M94" s="18"/>
      <c r="N94" s="18"/>
      <c r="O94" s="18"/>
      <c r="P94" s="18"/>
      <c r="Q94" s="18"/>
      <c r="R94" s="18"/>
      <c r="S94" s="18"/>
      <c r="T94" s="18"/>
      <c r="Z94" s="209"/>
      <c r="AA94" s="209"/>
      <c r="AB94" s="209"/>
      <c r="AC94" s="209"/>
    </row>
    <row r="95" spans="1:29" ht="15.75" customHeight="1">
      <c r="A95" s="23">
        <v>4</v>
      </c>
      <c r="B95" s="24" t="s">
        <v>51</v>
      </c>
      <c r="C95" s="23" t="s">
        <v>86</v>
      </c>
      <c r="D95" s="25">
        <f t="shared" ref="D95:Q95" si="72">D96-D85-D86+D90</f>
        <v>2.7765000000000004</v>
      </c>
      <c r="E95" s="25">
        <f t="shared" si="72"/>
        <v>3.0579583333333336</v>
      </c>
      <c r="F95" s="25">
        <f t="shared" si="72"/>
        <v>18.542533333333335</v>
      </c>
      <c r="G95" s="25">
        <f t="shared" si="72"/>
        <v>785.09459008333329</v>
      </c>
      <c r="H95" s="25">
        <f t="shared" si="72"/>
        <v>82.483580954166683</v>
      </c>
      <c r="I95" s="25">
        <f t="shared" si="72"/>
        <v>510.2412344999999</v>
      </c>
      <c r="J95" s="25">
        <f t="shared" si="72"/>
        <v>70.560720833333406</v>
      </c>
      <c r="K95" s="25">
        <f t="shared" si="72"/>
        <v>298.93369183333323</v>
      </c>
      <c r="L95" s="25">
        <f t="shared" si="72"/>
        <v>295.22689867510286</v>
      </c>
      <c r="M95" s="25">
        <f t="shared" si="72"/>
        <v>128.21350943166163</v>
      </c>
      <c r="N95" s="25">
        <f t="shared" si="72"/>
        <v>-712.38319256099794</v>
      </c>
      <c r="O95" s="25">
        <f t="shared" si="72"/>
        <v>1114.0306016301877</v>
      </c>
      <c r="P95" s="25">
        <f t="shared" si="72"/>
        <v>5222.344249172128</v>
      </c>
      <c r="Q95" s="25">
        <f t="shared" si="72"/>
        <v>-637.04961788974902</v>
      </c>
      <c r="R95" s="25">
        <f t="shared" ref="R95:S95" si="73">R96-R85-R86+R90</f>
        <v>110.32325399999942</v>
      </c>
      <c r="S95" s="25">
        <f t="shared" si="73"/>
        <v>-535.54237245572494</v>
      </c>
      <c r="T95" s="25">
        <f t="shared" ref="T95" si="74">T96-T85-T86+T90</f>
        <v>85.283700789058486</v>
      </c>
      <c r="Z95" s="209"/>
      <c r="AA95" s="209"/>
      <c r="AB95" s="209"/>
      <c r="AC95" s="209"/>
    </row>
    <row r="96" spans="1:29" ht="15.75" customHeight="1">
      <c r="A96" s="23">
        <v>5</v>
      </c>
      <c r="B96" s="24" t="s">
        <v>52</v>
      </c>
      <c r="C96" s="23" t="s">
        <v>86</v>
      </c>
      <c r="D96" s="25">
        <f t="shared" ref="D96:Q96" si="75">D9/1000000</f>
        <v>0</v>
      </c>
      <c r="E96" s="25">
        <f t="shared" si="75"/>
        <v>0</v>
      </c>
      <c r="F96" s="25">
        <f t="shared" si="75"/>
        <v>0</v>
      </c>
      <c r="G96" s="25">
        <f t="shared" si="75"/>
        <v>773.27</v>
      </c>
      <c r="H96" s="25">
        <f t="shared" si="75"/>
        <v>801.25</v>
      </c>
      <c r="I96" s="25">
        <f t="shared" si="75"/>
        <v>1276.9269469999999</v>
      </c>
      <c r="J96" s="25">
        <f t="shared" si="75"/>
        <v>1322.471947</v>
      </c>
      <c r="K96" s="25">
        <f t="shared" si="75"/>
        <v>1592.2087429999999</v>
      </c>
      <c r="L96" s="25">
        <f t="shared" si="75"/>
        <v>1861.2367488001028</v>
      </c>
      <c r="M96" s="25">
        <f t="shared" si="75"/>
        <v>1956.9212489400977</v>
      </c>
      <c r="N96" s="25">
        <f t="shared" si="75"/>
        <v>1209.9483677540998</v>
      </c>
      <c r="O96" s="25">
        <f t="shared" si="75"/>
        <v>2292.1501360509542</v>
      </c>
      <c r="P96" s="25">
        <f t="shared" si="75"/>
        <v>7491.8829768897494</v>
      </c>
      <c r="Q96" s="25">
        <f t="shared" si="75"/>
        <v>6840.3433590000004</v>
      </c>
      <c r="R96" s="25">
        <f t="shared" ref="R96:S96" si="76">R9/1000000</f>
        <v>6927.2803629999999</v>
      </c>
      <c r="S96" s="25">
        <f t="shared" si="76"/>
        <v>6361.9671238776082</v>
      </c>
      <c r="T96" s="25">
        <f t="shared" ref="T96" si="77">T9/1000000</f>
        <v>6430.661658</v>
      </c>
      <c r="Z96" s="209"/>
      <c r="AA96" s="209"/>
      <c r="AB96" s="209"/>
      <c r="AC96" s="209"/>
    </row>
    <row r="97" spans="1:29" ht="15.75" customHeight="1">
      <c r="A97" s="1"/>
      <c r="B97" s="2"/>
      <c r="C97" s="2"/>
      <c r="D97" s="20"/>
      <c r="E97" s="2"/>
      <c r="F97" s="2"/>
      <c r="G97" s="2"/>
      <c r="H97" s="2"/>
      <c r="I97" s="2"/>
      <c r="J97" s="2"/>
      <c r="K97" s="2"/>
      <c r="L97" s="2"/>
      <c r="M97" s="2"/>
      <c r="N97" s="2"/>
      <c r="O97" s="2"/>
      <c r="P97" s="2"/>
      <c r="Q97" s="2"/>
      <c r="R97" s="2"/>
      <c r="S97" s="2"/>
      <c r="T97" s="2"/>
      <c r="Z97" s="209"/>
      <c r="AA97" s="209"/>
      <c r="AB97" s="209"/>
      <c r="AC97" s="209"/>
    </row>
    <row r="98" spans="1:29" ht="15.75" customHeight="1">
      <c r="A98" s="28"/>
      <c r="B98" s="29" t="s">
        <v>53</v>
      </c>
      <c r="C98" s="30"/>
      <c r="D98" s="2"/>
      <c r="E98" s="2" t="b">
        <f t="shared" ref="E98:Q98" si="78">E85+E86-E90+E95=E96</f>
        <v>1</v>
      </c>
      <c r="F98" s="2" t="b">
        <f t="shared" si="78"/>
        <v>1</v>
      </c>
      <c r="G98" s="2" t="b">
        <f t="shared" si="78"/>
        <v>1</v>
      </c>
      <c r="H98" s="2" t="b">
        <f t="shared" si="78"/>
        <v>1</v>
      </c>
      <c r="I98" s="2" t="b">
        <f t="shared" si="78"/>
        <v>1</v>
      </c>
      <c r="J98" s="2" t="b">
        <f t="shared" si="78"/>
        <v>1</v>
      </c>
      <c r="K98" s="2" t="b">
        <f t="shared" si="78"/>
        <v>1</v>
      </c>
      <c r="L98" s="2" t="b">
        <f t="shared" si="78"/>
        <v>1</v>
      </c>
      <c r="M98" s="2" t="b">
        <f t="shared" si="78"/>
        <v>1</v>
      </c>
      <c r="N98" s="2" t="b">
        <f t="shared" si="78"/>
        <v>1</v>
      </c>
      <c r="O98" s="2" t="b">
        <f t="shared" si="78"/>
        <v>1</v>
      </c>
      <c r="P98" s="2" t="b">
        <f t="shared" si="78"/>
        <v>1</v>
      </c>
      <c r="Q98" s="2" t="b">
        <f t="shared" si="78"/>
        <v>1</v>
      </c>
      <c r="R98" s="2" t="b">
        <f t="shared" ref="R98:S98" si="79">R85+R86-R90+R95=R96</f>
        <v>1</v>
      </c>
      <c r="S98" s="2" t="b">
        <f t="shared" si="79"/>
        <v>1</v>
      </c>
      <c r="T98" s="2" t="b">
        <f t="shared" ref="T98" si="80">T85+T86-T90+T95=T96</f>
        <v>1</v>
      </c>
      <c r="Z98" s="209"/>
      <c r="AA98" s="209"/>
      <c r="AB98" s="209"/>
      <c r="AC98" s="209"/>
    </row>
    <row r="99" spans="1:29" ht="15.75" customHeight="1">
      <c r="A99" s="19"/>
      <c r="B99" s="2"/>
      <c r="C99" s="2"/>
      <c r="D99" s="2"/>
      <c r="E99" s="2"/>
      <c r="F99" s="2"/>
      <c r="G99" s="2"/>
      <c r="H99" s="2"/>
      <c r="I99" s="2"/>
      <c r="J99" s="2"/>
      <c r="K99" s="2"/>
      <c r="L99" s="2"/>
      <c r="M99" s="2"/>
      <c r="N99" s="2"/>
      <c r="O99" s="2"/>
      <c r="P99" s="2"/>
      <c r="Q99" s="2"/>
      <c r="R99" s="2"/>
      <c r="S99" s="2"/>
      <c r="T99" s="2"/>
      <c r="Z99" s="209"/>
      <c r="AA99" s="209"/>
      <c r="AB99" s="209"/>
      <c r="AC99" s="209"/>
    </row>
    <row r="100" spans="1:29" ht="15.75" customHeight="1">
      <c r="A100" s="19"/>
      <c r="B100" s="2"/>
      <c r="C100" s="2"/>
      <c r="D100" s="2"/>
      <c r="E100" s="2"/>
      <c r="F100" s="2"/>
      <c r="G100" s="2"/>
      <c r="H100" s="2"/>
      <c r="I100" s="2"/>
      <c r="J100" s="2"/>
      <c r="K100" s="2"/>
      <c r="L100" s="2"/>
      <c r="M100" s="2"/>
      <c r="N100" s="2"/>
      <c r="O100" s="2"/>
      <c r="P100" s="2"/>
      <c r="Q100" s="2"/>
      <c r="R100" s="2"/>
      <c r="S100" s="2"/>
      <c r="T100" s="2"/>
      <c r="Z100" s="209"/>
      <c r="AA100" s="209"/>
      <c r="AB100" s="209"/>
      <c r="AC100" s="209"/>
    </row>
    <row r="101" spans="1:29" ht="15.75" customHeight="1">
      <c r="A101" s="6" t="s">
        <v>101</v>
      </c>
      <c r="B101" s="2"/>
      <c r="C101" s="2"/>
      <c r="D101" s="2"/>
      <c r="E101" s="2"/>
      <c r="F101" s="2"/>
      <c r="G101" s="2"/>
      <c r="H101" s="2"/>
      <c r="I101" s="2"/>
      <c r="J101" s="2"/>
      <c r="K101" s="2"/>
      <c r="L101" s="2"/>
      <c r="M101" s="2"/>
      <c r="N101" s="2"/>
      <c r="O101" s="2"/>
      <c r="P101" s="2"/>
      <c r="Q101" s="2"/>
      <c r="R101" s="2"/>
      <c r="S101" s="2"/>
      <c r="T101" s="2"/>
      <c r="Z101" s="209"/>
      <c r="AA101" s="209"/>
      <c r="AB101" s="209"/>
      <c r="AC101" s="209"/>
    </row>
    <row r="102" spans="1:29" ht="15.75" customHeight="1" thickBot="1">
      <c r="A102" s="19"/>
      <c r="B102" s="2"/>
      <c r="C102" s="2"/>
      <c r="D102" s="2"/>
      <c r="E102" s="2"/>
      <c r="F102" s="2"/>
      <c r="G102" s="2"/>
      <c r="H102" s="2"/>
      <c r="I102" s="2"/>
      <c r="J102" s="2"/>
      <c r="K102" s="2"/>
      <c r="L102" s="2"/>
      <c r="M102" s="2"/>
      <c r="N102" s="2"/>
      <c r="O102" s="2"/>
      <c r="P102" s="2"/>
      <c r="Q102" s="2"/>
      <c r="R102" s="2"/>
      <c r="S102" s="2"/>
      <c r="T102" s="2"/>
      <c r="Z102" s="209"/>
      <c r="AA102" s="209"/>
      <c r="AB102" s="209"/>
      <c r="AC102" s="209"/>
    </row>
    <row r="103" spans="1:29" ht="15.75" customHeight="1" thickBot="1">
      <c r="A103" s="98" t="s">
        <v>3</v>
      </c>
      <c r="B103" s="96" t="s">
        <v>4</v>
      </c>
      <c r="C103" s="97" t="s">
        <v>5</v>
      </c>
      <c r="D103" s="97">
        <f t="shared" ref="D103:T103" si="81">D$3</f>
        <v>2008</v>
      </c>
      <c r="E103" s="97">
        <f t="shared" si="81"/>
        <v>2009</v>
      </c>
      <c r="F103" s="97">
        <f t="shared" si="81"/>
        <v>2010</v>
      </c>
      <c r="G103" s="97">
        <f t="shared" si="81"/>
        <v>2011</v>
      </c>
      <c r="H103" s="97">
        <f t="shared" si="81"/>
        <v>2012</v>
      </c>
      <c r="I103" s="97">
        <f t="shared" si="81"/>
        <v>2013</v>
      </c>
      <c r="J103" s="97">
        <f t="shared" si="81"/>
        <v>2014</v>
      </c>
      <c r="K103" s="97">
        <f t="shared" si="81"/>
        <v>2015</v>
      </c>
      <c r="L103" s="97">
        <f t="shared" si="81"/>
        <v>2016</v>
      </c>
      <c r="M103" s="97">
        <f t="shared" si="81"/>
        <v>2017</v>
      </c>
      <c r="N103" s="97">
        <f t="shared" si="81"/>
        <v>2018</v>
      </c>
      <c r="O103" s="97">
        <f t="shared" si="81"/>
        <v>2019</v>
      </c>
      <c r="P103" s="97">
        <f t="shared" si="81"/>
        <v>2020</v>
      </c>
      <c r="Q103" s="97">
        <f t="shared" si="81"/>
        <v>2021</v>
      </c>
      <c r="R103" s="97">
        <f t="shared" si="81"/>
        <v>2022</v>
      </c>
      <c r="S103" s="97">
        <f t="shared" si="81"/>
        <v>2023</v>
      </c>
      <c r="T103" s="97">
        <f t="shared" si="81"/>
        <v>2024</v>
      </c>
      <c r="Z103" s="209"/>
      <c r="AA103" s="209"/>
      <c r="AB103" s="209"/>
      <c r="AC103" s="209"/>
    </row>
    <row r="104" spans="1:29" ht="15.75" customHeight="1">
      <c r="A104" s="9">
        <v>-1</v>
      </c>
      <c r="B104" s="9">
        <f t="shared" ref="B104:T104" si="82">A104-1</f>
        <v>-2</v>
      </c>
      <c r="C104" s="9">
        <f t="shared" si="82"/>
        <v>-3</v>
      </c>
      <c r="D104" s="9">
        <f t="shared" si="82"/>
        <v>-4</v>
      </c>
      <c r="E104" s="9">
        <f t="shared" si="82"/>
        <v>-5</v>
      </c>
      <c r="F104" s="9">
        <f t="shared" si="82"/>
        <v>-6</v>
      </c>
      <c r="G104" s="9">
        <f t="shared" si="82"/>
        <v>-7</v>
      </c>
      <c r="H104" s="9">
        <f t="shared" si="82"/>
        <v>-8</v>
      </c>
      <c r="I104" s="9">
        <f t="shared" si="82"/>
        <v>-9</v>
      </c>
      <c r="J104" s="9">
        <f t="shared" si="82"/>
        <v>-10</v>
      </c>
      <c r="K104" s="9">
        <f t="shared" si="82"/>
        <v>-11</v>
      </c>
      <c r="L104" s="9">
        <f t="shared" si="82"/>
        <v>-12</v>
      </c>
      <c r="M104" s="9">
        <f t="shared" si="82"/>
        <v>-13</v>
      </c>
      <c r="N104" s="9">
        <f t="shared" si="82"/>
        <v>-14</v>
      </c>
      <c r="O104" s="9">
        <f t="shared" si="82"/>
        <v>-15</v>
      </c>
      <c r="P104" s="9">
        <f t="shared" si="82"/>
        <v>-16</v>
      </c>
      <c r="Q104" s="9">
        <f t="shared" si="82"/>
        <v>-17</v>
      </c>
      <c r="R104" s="9">
        <f t="shared" si="82"/>
        <v>-18</v>
      </c>
      <c r="S104" s="9">
        <f t="shared" si="82"/>
        <v>-19</v>
      </c>
      <c r="T104" s="9">
        <f t="shared" si="82"/>
        <v>-20</v>
      </c>
      <c r="Z104" s="209"/>
      <c r="AA104" s="209"/>
      <c r="AB104" s="209"/>
      <c r="AC104" s="209"/>
    </row>
    <row r="105" spans="1:29" ht="15.75" customHeight="1">
      <c r="A105" s="23">
        <v>1</v>
      </c>
      <c r="B105" s="24" t="s">
        <v>41</v>
      </c>
      <c r="C105" s="23" t="s">
        <v>84</v>
      </c>
      <c r="D105" s="25"/>
      <c r="E105" s="25">
        <f t="shared" ref="E105:T105" si="83">D24</f>
        <v>0</v>
      </c>
      <c r="F105" s="25">
        <f t="shared" si="83"/>
        <v>0</v>
      </c>
      <c r="G105" s="25">
        <f t="shared" si="83"/>
        <v>581000</v>
      </c>
      <c r="H105" s="25">
        <f t="shared" si="83"/>
        <v>410000</v>
      </c>
      <c r="I105" s="25">
        <f t="shared" si="83"/>
        <v>410000</v>
      </c>
      <c r="J105" s="25">
        <f t="shared" si="83"/>
        <v>272847</v>
      </c>
      <c r="K105" s="25">
        <f t="shared" si="83"/>
        <v>281956</v>
      </c>
      <c r="L105" s="25">
        <f t="shared" si="83"/>
        <v>572349.41</v>
      </c>
      <c r="M105" s="25">
        <f t="shared" si="83"/>
        <v>890774.52300000004</v>
      </c>
      <c r="N105" s="25">
        <f t="shared" si="83"/>
        <v>676822.2548</v>
      </c>
      <c r="O105" s="25">
        <f t="shared" si="83"/>
        <v>2458959.6746440278</v>
      </c>
      <c r="P105" s="25">
        <f t="shared" si="83"/>
        <v>2233158.3634743961</v>
      </c>
      <c r="Q105" s="25">
        <f t="shared" si="83"/>
        <v>2720136.7016072702</v>
      </c>
      <c r="R105" s="25">
        <f t="shared" si="83"/>
        <v>2165905</v>
      </c>
      <c r="S105" s="25">
        <f t="shared" si="83"/>
        <v>2247030</v>
      </c>
      <c r="T105" s="25">
        <f t="shared" si="83"/>
        <v>1367502.4024674003</v>
      </c>
      <c r="Z105" s="209"/>
      <c r="AA105" s="209"/>
      <c r="AB105" s="209"/>
      <c r="AC105" s="209"/>
    </row>
    <row r="106" spans="1:29" ht="15.75" customHeight="1">
      <c r="A106" s="23">
        <v>2</v>
      </c>
      <c r="B106" s="24" t="s">
        <v>43</v>
      </c>
      <c r="C106" s="23" t="s">
        <v>84</v>
      </c>
      <c r="D106" s="25">
        <f t="shared" ref="D106:Q106" si="84">SUM(D107:D109)</f>
        <v>0</v>
      </c>
      <c r="E106" s="25">
        <f t="shared" si="84"/>
        <v>0</v>
      </c>
      <c r="F106" s="25">
        <f t="shared" si="84"/>
        <v>0</v>
      </c>
      <c r="G106" s="25">
        <f t="shared" si="84"/>
        <v>0</v>
      </c>
      <c r="H106" s="25">
        <f t="shared" si="84"/>
        <v>0</v>
      </c>
      <c r="I106" s="25">
        <f t="shared" si="84"/>
        <v>0</v>
      </c>
      <c r="J106" s="25">
        <f t="shared" si="84"/>
        <v>0</v>
      </c>
      <c r="K106" s="25">
        <f t="shared" si="84"/>
        <v>0</v>
      </c>
      <c r="L106" s="25">
        <f t="shared" si="84"/>
        <v>0</v>
      </c>
      <c r="M106" s="25">
        <f t="shared" si="84"/>
        <v>0</v>
      </c>
      <c r="N106" s="25">
        <f t="shared" si="84"/>
        <v>0</v>
      </c>
      <c r="O106" s="25">
        <f t="shared" si="84"/>
        <v>0</v>
      </c>
      <c r="P106" s="25">
        <f t="shared" si="84"/>
        <v>0</v>
      </c>
      <c r="Q106" s="25">
        <f t="shared" si="84"/>
        <v>0</v>
      </c>
      <c r="R106" s="25">
        <f t="shared" ref="R106:S106" si="85">SUM(R107:R109)</f>
        <v>0</v>
      </c>
      <c r="S106" s="25">
        <f t="shared" si="85"/>
        <v>0</v>
      </c>
      <c r="T106" s="25">
        <f t="shared" ref="T106" si="86">SUM(T107:T109)</f>
        <v>0</v>
      </c>
      <c r="Z106" s="209"/>
      <c r="AA106" s="209"/>
      <c r="AB106" s="209"/>
      <c r="AC106" s="209"/>
    </row>
    <row r="107" spans="1:29" ht="15.75" customHeight="1">
      <c r="A107" s="14">
        <v>2.1</v>
      </c>
      <c r="B107" s="15" t="s">
        <v>44</v>
      </c>
      <c r="C107" s="14" t="s">
        <v>84</v>
      </c>
      <c r="D107" s="18"/>
      <c r="E107" s="18"/>
      <c r="F107" s="18"/>
      <c r="G107" s="18"/>
      <c r="H107" s="18"/>
      <c r="I107" s="18"/>
      <c r="J107" s="18"/>
      <c r="K107" s="18"/>
      <c r="L107" s="18"/>
      <c r="M107" s="18"/>
      <c r="N107" s="18"/>
      <c r="O107" s="18"/>
      <c r="P107" s="18"/>
      <c r="Q107" s="18"/>
      <c r="R107" s="18"/>
      <c r="S107" s="18"/>
      <c r="T107" s="18"/>
      <c r="Z107" s="209"/>
      <c r="AA107" s="209"/>
      <c r="AB107" s="209"/>
      <c r="AC107" s="209"/>
    </row>
    <row r="108" spans="1:29" ht="15.75" customHeight="1">
      <c r="A108" s="14">
        <v>2.2000000000000002</v>
      </c>
      <c r="B108" s="15" t="s">
        <v>45</v>
      </c>
      <c r="C108" s="14" t="s">
        <v>84</v>
      </c>
      <c r="D108" s="18"/>
      <c r="E108" s="18"/>
      <c r="F108" s="18"/>
      <c r="G108" s="18"/>
      <c r="H108" s="18"/>
      <c r="I108" s="18"/>
      <c r="J108" s="18"/>
      <c r="K108" s="18"/>
      <c r="L108" s="18"/>
      <c r="M108" s="18"/>
      <c r="N108" s="18"/>
      <c r="O108" s="18"/>
      <c r="P108" s="18"/>
      <c r="Q108" s="18"/>
      <c r="R108" s="18"/>
      <c r="S108" s="18"/>
      <c r="T108" s="18"/>
      <c r="Z108" s="209"/>
      <c r="AA108" s="209"/>
      <c r="AB108" s="209"/>
      <c r="AC108" s="209"/>
    </row>
    <row r="109" spans="1:29" ht="15.75" customHeight="1">
      <c r="A109" s="14">
        <v>2.2999999999999998</v>
      </c>
      <c r="B109" s="15" t="s">
        <v>46</v>
      </c>
      <c r="C109" s="14" t="s">
        <v>84</v>
      </c>
      <c r="D109" s="18"/>
      <c r="E109" s="18"/>
      <c r="F109" s="18"/>
      <c r="G109" s="18"/>
      <c r="H109" s="18"/>
      <c r="I109" s="18"/>
      <c r="J109" s="18"/>
      <c r="K109" s="18"/>
      <c r="L109" s="18"/>
      <c r="M109" s="18"/>
      <c r="N109" s="18"/>
      <c r="O109" s="18"/>
      <c r="P109" s="18"/>
      <c r="Q109" s="18"/>
      <c r="R109" s="18"/>
      <c r="S109" s="18"/>
      <c r="T109" s="18"/>
      <c r="Z109" s="209"/>
      <c r="AA109" s="209"/>
      <c r="AB109" s="209"/>
      <c r="AC109" s="209"/>
    </row>
    <row r="110" spans="1:29" ht="15.75" customHeight="1">
      <c r="A110" s="23">
        <v>3</v>
      </c>
      <c r="B110" s="24" t="s">
        <v>47</v>
      </c>
      <c r="C110" s="23" t="s">
        <v>84</v>
      </c>
      <c r="D110" s="25">
        <f t="shared" ref="D110:Q110" si="87">SUM(D111:D114)</f>
        <v>6663.6</v>
      </c>
      <c r="E110" s="25">
        <f t="shared" si="87"/>
        <v>7339.1</v>
      </c>
      <c r="F110" s="25">
        <f t="shared" si="87"/>
        <v>44502.080000000002</v>
      </c>
      <c r="G110" s="25">
        <f t="shared" si="87"/>
        <v>28379.016199999998</v>
      </c>
      <c r="H110" s="25">
        <f t="shared" si="87"/>
        <v>130808.59428999999</v>
      </c>
      <c r="I110" s="25">
        <f t="shared" si="87"/>
        <v>82954.289999999994</v>
      </c>
      <c r="J110" s="25">
        <f t="shared" si="87"/>
        <v>60037.73</v>
      </c>
      <c r="K110" s="25">
        <f t="shared" si="87"/>
        <v>70072.55</v>
      </c>
      <c r="L110" s="25">
        <f t="shared" si="87"/>
        <v>62877.342899999989</v>
      </c>
      <c r="M110" s="25">
        <f t="shared" si="87"/>
        <v>78069.622300000003</v>
      </c>
      <c r="N110" s="25">
        <f t="shared" si="87"/>
        <v>83015.252700000012</v>
      </c>
      <c r="O110" s="25">
        <f t="shared" si="87"/>
        <v>76389.200000000012</v>
      </c>
      <c r="P110" s="25">
        <f t="shared" si="87"/>
        <v>54267.38</v>
      </c>
      <c r="Q110" s="25">
        <f t="shared" si="87"/>
        <v>34776</v>
      </c>
      <c r="R110" s="25">
        <f t="shared" ref="R110:S110" si="88">SUM(R111:R114)</f>
        <v>56126.999999999993</v>
      </c>
      <c r="S110" s="25">
        <f t="shared" si="88"/>
        <v>71450.080000000031</v>
      </c>
      <c r="T110" s="25">
        <f t="shared" ref="T110" si="89">SUM(T111:T114)</f>
        <v>39814</v>
      </c>
      <c r="Z110" s="209"/>
      <c r="AA110" s="209"/>
      <c r="AB110" s="209"/>
      <c r="AC110" s="209"/>
    </row>
    <row r="111" spans="1:29" ht="15.75" customHeight="1">
      <c r="A111" s="14">
        <v>3.1</v>
      </c>
      <c r="B111" s="15" t="s">
        <v>48</v>
      </c>
      <c r="C111" s="14" t="s">
        <v>84</v>
      </c>
      <c r="D111" s="18">
        <f t="shared" ref="D111:Q111" si="90">D45</f>
        <v>6663.6</v>
      </c>
      <c r="E111" s="18">
        <f t="shared" si="90"/>
        <v>7339.1</v>
      </c>
      <c r="F111" s="18">
        <f t="shared" si="90"/>
        <v>44502.080000000002</v>
      </c>
      <c r="G111" s="18">
        <f t="shared" si="90"/>
        <v>28379.016199999998</v>
      </c>
      <c r="H111" s="18">
        <f t="shared" si="90"/>
        <v>130808.59428999999</v>
      </c>
      <c r="I111" s="18">
        <f t="shared" si="90"/>
        <v>82954.289999999994</v>
      </c>
      <c r="J111" s="18">
        <f t="shared" si="90"/>
        <v>60037.73</v>
      </c>
      <c r="K111" s="18">
        <f t="shared" si="90"/>
        <v>70072.55</v>
      </c>
      <c r="L111" s="18">
        <f t="shared" si="90"/>
        <v>62877.342899999989</v>
      </c>
      <c r="M111" s="18">
        <f t="shared" si="90"/>
        <v>78069.622300000003</v>
      </c>
      <c r="N111" s="18">
        <f t="shared" si="90"/>
        <v>83015.252700000012</v>
      </c>
      <c r="O111" s="18">
        <f t="shared" si="90"/>
        <v>76389.200000000012</v>
      </c>
      <c r="P111" s="18">
        <f t="shared" si="90"/>
        <v>54267.38</v>
      </c>
      <c r="Q111" s="18">
        <f t="shared" si="90"/>
        <v>34776</v>
      </c>
      <c r="R111" s="18">
        <f t="shared" ref="R111:S111" si="91">R45</f>
        <v>56126.999999999993</v>
      </c>
      <c r="S111" s="18">
        <f t="shared" si="91"/>
        <v>71450.080000000031</v>
      </c>
      <c r="T111" s="18">
        <f t="shared" ref="T111" si="92">T45</f>
        <v>39814</v>
      </c>
      <c r="Z111" s="209"/>
      <c r="AA111" s="209"/>
      <c r="AB111" s="209"/>
      <c r="AC111" s="209"/>
    </row>
    <row r="112" spans="1:29" ht="15.75" customHeight="1">
      <c r="A112" s="14">
        <v>3.2</v>
      </c>
      <c r="B112" s="15" t="s">
        <v>49</v>
      </c>
      <c r="C112" s="14" t="s">
        <v>84</v>
      </c>
      <c r="D112" s="18"/>
      <c r="E112" s="18"/>
      <c r="F112" s="18"/>
      <c r="G112" s="18"/>
      <c r="H112" s="18"/>
      <c r="I112" s="18"/>
      <c r="J112" s="18"/>
      <c r="K112" s="18"/>
      <c r="L112" s="18"/>
      <c r="M112" s="18"/>
      <c r="N112" s="18"/>
      <c r="O112" s="18"/>
      <c r="P112" s="18"/>
      <c r="Q112" s="18"/>
      <c r="R112" s="18"/>
      <c r="S112" s="18"/>
      <c r="T112" s="18"/>
      <c r="Z112" s="209"/>
      <c r="AA112" s="209"/>
      <c r="AB112" s="209"/>
      <c r="AC112" s="209"/>
    </row>
    <row r="113" spans="1:29" ht="15.75" customHeight="1">
      <c r="A113" s="14">
        <v>3.3</v>
      </c>
      <c r="B113" s="15" t="s">
        <v>50</v>
      </c>
      <c r="C113" s="14" t="s">
        <v>84</v>
      </c>
      <c r="D113" s="18"/>
      <c r="E113" s="18"/>
      <c r="F113" s="18"/>
      <c r="G113" s="18"/>
      <c r="H113" s="18"/>
      <c r="I113" s="18"/>
      <c r="J113" s="18"/>
      <c r="K113" s="18"/>
      <c r="L113" s="18"/>
      <c r="M113" s="18"/>
      <c r="N113" s="18"/>
      <c r="O113" s="18"/>
      <c r="P113" s="18"/>
      <c r="Q113" s="18"/>
      <c r="R113" s="18"/>
      <c r="S113" s="18"/>
      <c r="T113" s="18"/>
      <c r="Z113" s="209"/>
      <c r="AA113" s="209"/>
      <c r="AB113" s="209"/>
      <c r="AC113" s="209"/>
    </row>
    <row r="114" spans="1:29" ht="15.75" customHeight="1">
      <c r="A114" s="14">
        <v>3.4</v>
      </c>
      <c r="B114" s="15" t="s">
        <v>46</v>
      </c>
      <c r="C114" s="14" t="s">
        <v>84</v>
      </c>
      <c r="D114" s="18"/>
      <c r="E114" s="18"/>
      <c r="F114" s="18"/>
      <c r="G114" s="18"/>
      <c r="H114" s="18"/>
      <c r="I114" s="18"/>
      <c r="J114" s="18"/>
      <c r="K114" s="18"/>
      <c r="L114" s="18"/>
      <c r="M114" s="18"/>
      <c r="N114" s="18"/>
      <c r="O114" s="18"/>
      <c r="P114" s="18"/>
      <c r="Q114" s="18"/>
      <c r="R114" s="18"/>
      <c r="S114" s="18"/>
      <c r="T114" s="18"/>
      <c r="Z114" s="209"/>
      <c r="AA114" s="209"/>
      <c r="AB114" s="209"/>
      <c r="AC114" s="209"/>
    </row>
    <row r="115" spans="1:29" ht="15.75" customHeight="1">
      <c r="A115" s="23">
        <v>4</v>
      </c>
      <c r="B115" s="24" t="s">
        <v>51</v>
      </c>
      <c r="C115" s="23" t="s">
        <v>84</v>
      </c>
      <c r="D115" s="25">
        <f t="shared" ref="D115:Q115" si="93">D116-D105-D106+D110</f>
        <v>6663.6</v>
      </c>
      <c r="E115" s="25">
        <f t="shared" si="93"/>
        <v>7339.1</v>
      </c>
      <c r="F115" s="25">
        <f t="shared" si="93"/>
        <v>625502.07999999996</v>
      </c>
      <c r="G115" s="25">
        <f t="shared" si="93"/>
        <v>-142620.98379999999</v>
      </c>
      <c r="H115" s="25">
        <f t="shared" si="93"/>
        <v>130808.59428999999</v>
      </c>
      <c r="I115" s="25">
        <f t="shared" si="93"/>
        <v>-54198.710000000006</v>
      </c>
      <c r="J115" s="25">
        <f t="shared" si="93"/>
        <v>69146.73000000001</v>
      </c>
      <c r="K115" s="25">
        <f t="shared" si="93"/>
        <v>360465.96</v>
      </c>
      <c r="L115" s="25">
        <f t="shared" si="93"/>
        <v>381302.4559</v>
      </c>
      <c r="M115" s="25">
        <f t="shared" si="93"/>
        <v>-135882.64590000006</v>
      </c>
      <c r="N115" s="25">
        <f t="shared" si="93"/>
        <v>1865152.6725440279</v>
      </c>
      <c r="O115" s="25">
        <f t="shared" si="93"/>
        <v>-149412.11116963177</v>
      </c>
      <c r="P115" s="25">
        <f t="shared" si="93"/>
        <v>541245.71813287411</v>
      </c>
      <c r="Q115" s="25">
        <f t="shared" si="93"/>
        <v>-519455.70160727017</v>
      </c>
      <c r="R115" s="25">
        <f t="shared" ref="R115:S115" si="94">R116-R105-R106+R110</f>
        <v>137252</v>
      </c>
      <c r="S115" s="25">
        <f t="shared" si="94"/>
        <v>-808077.51753259962</v>
      </c>
      <c r="T115" s="25">
        <f t="shared" ref="T115" si="95">T116-T105-T106+T110</f>
        <v>110974.5975325997</v>
      </c>
      <c r="Z115" s="209"/>
      <c r="AA115" s="209"/>
      <c r="AB115" s="209"/>
      <c r="AC115" s="209"/>
    </row>
    <row r="116" spans="1:29" ht="15.75" customHeight="1">
      <c r="A116" s="23">
        <v>5</v>
      </c>
      <c r="B116" s="24" t="s">
        <v>52</v>
      </c>
      <c r="C116" s="23" t="s">
        <v>84</v>
      </c>
      <c r="D116" s="25">
        <f t="shared" ref="D116:Q116" si="96">D24</f>
        <v>0</v>
      </c>
      <c r="E116" s="25">
        <f t="shared" si="96"/>
        <v>0</v>
      </c>
      <c r="F116" s="25">
        <f t="shared" si="96"/>
        <v>581000</v>
      </c>
      <c r="G116" s="25">
        <f t="shared" si="96"/>
        <v>410000</v>
      </c>
      <c r="H116" s="25">
        <f t="shared" si="96"/>
        <v>410000</v>
      </c>
      <c r="I116" s="25">
        <f t="shared" si="96"/>
        <v>272847</v>
      </c>
      <c r="J116" s="25">
        <f t="shared" si="96"/>
        <v>281956</v>
      </c>
      <c r="K116" s="25">
        <f t="shared" si="96"/>
        <v>572349.41</v>
      </c>
      <c r="L116" s="25">
        <f t="shared" si="96"/>
        <v>890774.52300000004</v>
      </c>
      <c r="M116" s="25">
        <f t="shared" si="96"/>
        <v>676822.2548</v>
      </c>
      <c r="N116" s="25">
        <f t="shared" si="96"/>
        <v>2458959.6746440278</v>
      </c>
      <c r="O116" s="25">
        <f t="shared" si="96"/>
        <v>2233158.3634743961</v>
      </c>
      <c r="P116" s="25">
        <f t="shared" si="96"/>
        <v>2720136.7016072702</v>
      </c>
      <c r="Q116" s="25">
        <f t="shared" si="96"/>
        <v>2165905</v>
      </c>
      <c r="R116" s="25">
        <f t="shared" ref="R116:S116" si="97">R24</f>
        <v>2247030</v>
      </c>
      <c r="S116" s="25">
        <f t="shared" si="97"/>
        <v>1367502.4024674003</v>
      </c>
      <c r="T116" s="25">
        <f t="shared" ref="T116" si="98">T24</f>
        <v>1438663</v>
      </c>
      <c r="Z116" s="209"/>
      <c r="AA116" s="209"/>
      <c r="AB116" s="209"/>
      <c r="AC116" s="209"/>
    </row>
    <row r="117" spans="1:29" ht="15.75" customHeight="1">
      <c r="A117" s="1"/>
      <c r="B117" s="2"/>
      <c r="C117" s="2"/>
      <c r="D117" s="20"/>
      <c r="E117" s="2"/>
      <c r="F117" s="2"/>
      <c r="G117" s="2"/>
      <c r="H117" s="2"/>
      <c r="I117" s="2"/>
      <c r="J117" s="2"/>
      <c r="K117" s="2"/>
      <c r="L117" s="2"/>
      <c r="M117" s="2"/>
      <c r="N117" s="2"/>
      <c r="O117" s="2"/>
      <c r="P117" s="2"/>
      <c r="Q117" s="2"/>
      <c r="R117" s="2"/>
      <c r="S117" s="2"/>
      <c r="T117" s="2"/>
      <c r="Z117" s="209"/>
      <c r="AA117" s="209"/>
      <c r="AB117" s="209"/>
      <c r="AC117" s="209"/>
    </row>
    <row r="118" spans="1:29" ht="15.75" customHeight="1">
      <c r="A118" s="28"/>
      <c r="B118" s="29" t="s">
        <v>53</v>
      </c>
      <c r="C118" s="30"/>
      <c r="D118" s="2"/>
      <c r="E118" s="2" t="b">
        <f t="shared" ref="E118:Q118" si="99">E105+E106-E110+E115=E116</f>
        <v>1</v>
      </c>
      <c r="F118" s="2" t="b">
        <f t="shared" si="99"/>
        <v>1</v>
      </c>
      <c r="G118" s="2" t="b">
        <f t="shared" si="99"/>
        <v>1</v>
      </c>
      <c r="H118" s="2" t="b">
        <f t="shared" si="99"/>
        <v>1</v>
      </c>
      <c r="I118" s="2" t="b">
        <f t="shared" si="99"/>
        <v>1</v>
      </c>
      <c r="J118" s="2" t="b">
        <f t="shared" si="99"/>
        <v>1</v>
      </c>
      <c r="K118" s="2" t="b">
        <f t="shared" si="99"/>
        <v>1</v>
      </c>
      <c r="L118" s="2" t="b">
        <f t="shared" si="99"/>
        <v>1</v>
      </c>
      <c r="M118" s="2" t="b">
        <f t="shared" si="99"/>
        <v>1</v>
      </c>
      <c r="N118" s="2" t="b">
        <f t="shared" si="99"/>
        <v>1</v>
      </c>
      <c r="O118" s="2" t="b">
        <f t="shared" si="99"/>
        <v>1</v>
      </c>
      <c r="P118" s="2" t="b">
        <f t="shared" si="99"/>
        <v>1</v>
      </c>
      <c r="Q118" s="2" t="b">
        <f t="shared" si="99"/>
        <v>1</v>
      </c>
      <c r="R118" s="2" t="b">
        <f t="shared" ref="R118:S118" si="100">R105+R106-R110+R115=R116</f>
        <v>1</v>
      </c>
      <c r="S118" s="2" t="b">
        <f t="shared" si="100"/>
        <v>1</v>
      </c>
      <c r="T118" s="2" t="b">
        <f t="shared" ref="T118" si="101">T105+T106-T110+T115=T116</f>
        <v>1</v>
      </c>
      <c r="Z118" s="209"/>
      <c r="AA118" s="209"/>
      <c r="AB118" s="209"/>
      <c r="AC118" s="209"/>
    </row>
    <row r="119" spans="1:29" ht="15.75" customHeight="1">
      <c r="A119" s="1"/>
      <c r="B119" s="2"/>
      <c r="C119" s="2"/>
      <c r="D119" s="20"/>
      <c r="E119" s="2"/>
      <c r="F119" s="2"/>
      <c r="G119" s="2"/>
      <c r="H119" s="2"/>
      <c r="I119" s="2"/>
      <c r="J119" s="2"/>
      <c r="K119" s="2"/>
      <c r="L119" s="2"/>
      <c r="M119" s="2"/>
      <c r="N119" s="2"/>
      <c r="O119" s="2"/>
      <c r="P119" s="2"/>
      <c r="Q119" s="2"/>
      <c r="R119" s="2"/>
      <c r="S119" s="2"/>
      <c r="T119" s="2"/>
      <c r="Z119" s="209"/>
      <c r="AA119" s="209"/>
      <c r="AB119" s="209"/>
      <c r="AC119" s="209"/>
    </row>
    <row r="120" spans="1:29" ht="15.75" customHeight="1">
      <c r="A120" s="6" t="s">
        <v>102</v>
      </c>
      <c r="B120" s="2"/>
      <c r="C120" s="2"/>
      <c r="D120" s="2"/>
      <c r="E120" s="2"/>
      <c r="F120" s="2"/>
      <c r="G120" s="2"/>
      <c r="H120" s="2"/>
      <c r="I120" s="2"/>
      <c r="J120" s="2"/>
      <c r="K120" s="2"/>
      <c r="L120" s="2"/>
      <c r="M120" s="2"/>
      <c r="N120" s="2"/>
      <c r="O120" s="2"/>
      <c r="P120" s="2"/>
      <c r="Q120" s="2"/>
      <c r="R120" s="2"/>
      <c r="S120" s="2"/>
      <c r="T120" s="2"/>
      <c r="Z120" s="209"/>
      <c r="AA120" s="209"/>
      <c r="AB120" s="209"/>
      <c r="AC120" s="209"/>
    </row>
    <row r="121" spans="1:29" ht="15.75" customHeight="1" thickBot="1">
      <c r="A121" s="7"/>
      <c r="B121" s="2"/>
      <c r="C121" s="2"/>
      <c r="D121" s="2"/>
      <c r="E121" s="2"/>
      <c r="F121" s="2"/>
      <c r="G121" s="2"/>
      <c r="H121" s="2"/>
      <c r="I121" s="2"/>
      <c r="J121" s="2"/>
      <c r="K121" s="2"/>
      <c r="L121" s="2"/>
      <c r="M121" s="2"/>
      <c r="N121" s="2"/>
      <c r="O121" s="2"/>
      <c r="P121" s="2"/>
      <c r="Q121" s="2"/>
      <c r="R121" s="2"/>
      <c r="S121" s="2"/>
      <c r="T121" s="2"/>
      <c r="Z121" s="209"/>
      <c r="AA121" s="209"/>
      <c r="AB121" s="209"/>
      <c r="AC121" s="209"/>
    </row>
    <row r="122" spans="1:29" ht="15.75" customHeight="1" thickBot="1">
      <c r="A122" s="98" t="s">
        <v>3</v>
      </c>
      <c r="B122" s="96" t="s">
        <v>4</v>
      </c>
      <c r="C122" s="97" t="s">
        <v>5</v>
      </c>
      <c r="D122" s="97">
        <f t="shared" ref="D122:T122" si="102">D$3</f>
        <v>2008</v>
      </c>
      <c r="E122" s="97">
        <f t="shared" si="102"/>
        <v>2009</v>
      </c>
      <c r="F122" s="97">
        <f t="shared" si="102"/>
        <v>2010</v>
      </c>
      <c r="G122" s="97">
        <f t="shared" si="102"/>
        <v>2011</v>
      </c>
      <c r="H122" s="97">
        <f t="shared" si="102"/>
        <v>2012</v>
      </c>
      <c r="I122" s="97">
        <f t="shared" si="102"/>
        <v>2013</v>
      </c>
      <c r="J122" s="97">
        <f t="shared" si="102"/>
        <v>2014</v>
      </c>
      <c r="K122" s="97">
        <f t="shared" si="102"/>
        <v>2015</v>
      </c>
      <c r="L122" s="97">
        <f t="shared" si="102"/>
        <v>2016</v>
      </c>
      <c r="M122" s="97">
        <f t="shared" si="102"/>
        <v>2017</v>
      </c>
      <c r="N122" s="97">
        <f t="shared" si="102"/>
        <v>2018</v>
      </c>
      <c r="O122" s="97">
        <f t="shared" si="102"/>
        <v>2019</v>
      </c>
      <c r="P122" s="97">
        <f t="shared" si="102"/>
        <v>2020</v>
      </c>
      <c r="Q122" s="97">
        <f t="shared" si="102"/>
        <v>2021</v>
      </c>
      <c r="R122" s="97">
        <f t="shared" si="102"/>
        <v>2022</v>
      </c>
      <c r="S122" s="97">
        <f t="shared" si="102"/>
        <v>2023</v>
      </c>
      <c r="T122" s="97">
        <f t="shared" si="102"/>
        <v>2024</v>
      </c>
      <c r="Z122" s="209"/>
      <c r="AA122" s="209"/>
      <c r="AB122" s="209"/>
      <c r="AC122" s="209"/>
    </row>
    <row r="123" spans="1:29" ht="15.75" customHeight="1">
      <c r="A123" s="9">
        <v>-1</v>
      </c>
      <c r="B123" s="9">
        <f t="shared" ref="B123:T123" si="103">A123-1</f>
        <v>-2</v>
      </c>
      <c r="C123" s="9">
        <f t="shared" si="103"/>
        <v>-3</v>
      </c>
      <c r="D123" s="9">
        <f t="shared" si="103"/>
        <v>-4</v>
      </c>
      <c r="E123" s="9">
        <f t="shared" si="103"/>
        <v>-5</v>
      </c>
      <c r="F123" s="9">
        <f t="shared" si="103"/>
        <v>-6</v>
      </c>
      <c r="G123" s="9">
        <f t="shared" si="103"/>
        <v>-7</v>
      </c>
      <c r="H123" s="9">
        <f t="shared" si="103"/>
        <v>-8</v>
      </c>
      <c r="I123" s="9">
        <f t="shared" si="103"/>
        <v>-9</v>
      </c>
      <c r="J123" s="9">
        <f t="shared" si="103"/>
        <v>-10</v>
      </c>
      <c r="K123" s="9">
        <f t="shared" si="103"/>
        <v>-11</v>
      </c>
      <c r="L123" s="9">
        <f t="shared" si="103"/>
        <v>-12</v>
      </c>
      <c r="M123" s="9">
        <f t="shared" si="103"/>
        <v>-13</v>
      </c>
      <c r="N123" s="9">
        <f t="shared" si="103"/>
        <v>-14</v>
      </c>
      <c r="O123" s="9">
        <f t="shared" si="103"/>
        <v>-15</v>
      </c>
      <c r="P123" s="9">
        <f t="shared" si="103"/>
        <v>-16</v>
      </c>
      <c r="Q123" s="9">
        <f t="shared" si="103"/>
        <v>-17</v>
      </c>
      <c r="R123" s="9">
        <f t="shared" si="103"/>
        <v>-18</v>
      </c>
      <c r="S123" s="9">
        <f t="shared" si="103"/>
        <v>-19</v>
      </c>
      <c r="T123" s="9">
        <f t="shared" si="103"/>
        <v>-20</v>
      </c>
      <c r="Z123" s="209"/>
      <c r="AA123" s="209"/>
      <c r="AB123" s="209"/>
      <c r="AC123" s="209"/>
    </row>
    <row r="124" spans="1:29" ht="15.75" customHeight="1">
      <c r="A124" s="14">
        <v>1</v>
      </c>
      <c r="B124" s="15" t="s">
        <v>55</v>
      </c>
      <c r="C124" s="14" t="s">
        <v>96</v>
      </c>
      <c r="D124" s="18">
        <f t="shared" ref="D124:Q124" si="104">D78</f>
        <v>717.32790403693468</v>
      </c>
      <c r="E124" s="18">
        <f t="shared" si="104"/>
        <v>684.9150810559911</v>
      </c>
      <c r="F124" s="18">
        <f t="shared" si="104"/>
        <v>108.27457700325988</v>
      </c>
      <c r="G124" s="18">
        <f t="shared" si="104"/>
        <v>147.65158315996885</v>
      </c>
      <c r="H124" s="18">
        <f t="shared" si="104"/>
        <v>54.252374822702492</v>
      </c>
      <c r="I124" s="18">
        <f t="shared" si="104"/>
        <v>315.51961368504857</v>
      </c>
      <c r="J124" s="18">
        <f t="shared" si="104"/>
        <v>150.87621822258677</v>
      </c>
      <c r="K124" s="18">
        <f t="shared" si="104"/>
        <v>124.86582307979782</v>
      </c>
      <c r="L124" s="18">
        <f t="shared" si="104"/>
        <v>143.48192127525525</v>
      </c>
      <c r="M124" s="18">
        <f t="shared" si="104"/>
        <v>162.87519149260848</v>
      </c>
      <c r="N124" s="18">
        <f t="shared" si="104"/>
        <v>175.42485756449068</v>
      </c>
      <c r="O124" s="18">
        <f t="shared" si="104"/>
        <v>174.14088250845126</v>
      </c>
      <c r="P124" s="18">
        <f t="shared" si="104"/>
        <v>274.4876347229129</v>
      </c>
      <c r="Q124" s="18">
        <f t="shared" si="104"/>
        <v>666.08578478950972</v>
      </c>
      <c r="R124" s="18">
        <f t="shared" ref="R124:S124" si="105">R78</f>
        <v>506.0343296720572</v>
      </c>
      <c r="S124" s="18">
        <f t="shared" si="105"/>
        <v>445.50504538803835</v>
      </c>
      <c r="T124" s="18">
        <f t="shared" ref="T124" si="106">T78</f>
        <v>1009.5894130692291</v>
      </c>
      <c r="Z124" s="209"/>
      <c r="AA124" s="209"/>
      <c r="AB124" s="209"/>
      <c r="AC124" s="209"/>
    </row>
    <row r="125" spans="1:29" ht="15.75" customHeight="1">
      <c r="A125" s="14">
        <f t="shared" ref="A125:A132" si="107">A124+1</f>
        <v>2</v>
      </c>
      <c r="B125" s="15" t="s">
        <v>56</v>
      </c>
      <c r="C125" s="14" t="s">
        <v>84</v>
      </c>
      <c r="D125" s="18">
        <f t="shared" ref="D125:Q125" si="108">D77</f>
        <v>6663.6</v>
      </c>
      <c r="E125" s="18">
        <f t="shared" si="108"/>
        <v>7339.1</v>
      </c>
      <c r="F125" s="18">
        <f t="shared" si="108"/>
        <v>44502.080000000002</v>
      </c>
      <c r="G125" s="18">
        <f t="shared" si="108"/>
        <v>28379.016199999998</v>
      </c>
      <c r="H125" s="18">
        <f t="shared" si="108"/>
        <v>130808.59428999999</v>
      </c>
      <c r="I125" s="18">
        <f t="shared" si="108"/>
        <v>82954.289999999994</v>
      </c>
      <c r="J125" s="18">
        <f t="shared" si="108"/>
        <v>60037.73</v>
      </c>
      <c r="K125" s="18">
        <f t="shared" si="108"/>
        <v>70072.55</v>
      </c>
      <c r="L125" s="18">
        <f t="shared" si="108"/>
        <v>62877.342899999989</v>
      </c>
      <c r="M125" s="18">
        <f t="shared" si="108"/>
        <v>78069.622300000003</v>
      </c>
      <c r="N125" s="18">
        <f t="shared" si="108"/>
        <v>83015.252700000012</v>
      </c>
      <c r="O125" s="18">
        <f t="shared" si="108"/>
        <v>76389.200000000012</v>
      </c>
      <c r="P125" s="18">
        <f t="shared" si="108"/>
        <v>54267.38</v>
      </c>
      <c r="Q125" s="18">
        <f t="shared" si="108"/>
        <v>34776</v>
      </c>
      <c r="R125" s="18">
        <f t="shared" ref="R125:S125" si="109">R77</f>
        <v>56126.999999999993</v>
      </c>
      <c r="S125" s="18">
        <f t="shared" si="109"/>
        <v>71450.080000000031</v>
      </c>
      <c r="T125" s="18">
        <f t="shared" ref="T125" si="110">T77</f>
        <v>39814</v>
      </c>
      <c r="Z125" s="209"/>
      <c r="AA125" s="209"/>
      <c r="AB125" s="209"/>
      <c r="AC125" s="209"/>
    </row>
    <row r="126" spans="1:29" ht="15.75" customHeight="1">
      <c r="A126" s="14">
        <f t="shared" si="107"/>
        <v>3</v>
      </c>
      <c r="B126" s="15" t="s">
        <v>57</v>
      </c>
      <c r="C126" s="14" t="s">
        <v>58</v>
      </c>
      <c r="D126" s="18">
        <f t="shared" ref="D126:Q126" si="111">D124*D125/1000</f>
        <v>4779.9862213405186</v>
      </c>
      <c r="E126" s="18">
        <f t="shared" si="111"/>
        <v>5026.6602713780248</v>
      </c>
      <c r="F126" s="18">
        <f t="shared" si="111"/>
        <v>4818.4438877652319</v>
      </c>
      <c r="G126" s="18">
        <f t="shared" si="111"/>
        <v>4190.2066704524032</v>
      </c>
      <c r="H126" s="18">
        <f t="shared" si="111"/>
        <v>7096.6768874519012</v>
      </c>
      <c r="I126" s="18">
        <f t="shared" si="111"/>
        <v>26173.705534317487</v>
      </c>
      <c r="J126" s="18">
        <f t="shared" si="111"/>
        <v>9058.2656530687455</v>
      </c>
      <c r="K126" s="18">
        <f t="shared" si="111"/>
        <v>8749.666631050286</v>
      </c>
      <c r="L126" s="18">
        <f t="shared" si="111"/>
        <v>9021.7619639750264</v>
      </c>
      <c r="M126" s="18">
        <f t="shared" si="111"/>
        <v>12715.604681868117</v>
      </c>
      <c r="N126" s="18">
        <f t="shared" si="111"/>
        <v>14562.938880577702</v>
      </c>
      <c r="O126" s="18">
        <f t="shared" si="111"/>
        <v>13302.482702114587</v>
      </c>
      <c r="P126" s="18">
        <f t="shared" si="111"/>
        <v>14895.724778809508</v>
      </c>
      <c r="Q126" s="18">
        <f t="shared" si="111"/>
        <v>23163.799251839991</v>
      </c>
      <c r="R126" s="18">
        <f t="shared" ref="R126:S126" si="112">R124*R125/1000</f>
        <v>28402.188821503551</v>
      </c>
      <c r="S126" s="18">
        <f t="shared" si="112"/>
        <v>31831.371133378987</v>
      </c>
      <c r="T126" s="18">
        <f t="shared" ref="T126" si="113">T124*T125/1000</f>
        <v>40195.792891938283</v>
      </c>
      <c r="Z126" s="209"/>
      <c r="AA126" s="209"/>
      <c r="AB126" s="209"/>
      <c r="AC126" s="209"/>
    </row>
    <row r="127" spans="1:29" ht="15.75" customHeight="1">
      <c r="A127" s="14">
        <f t="shared" si="107"/>
        <v>4</v>
      </c>
      <c r="B127" s="21" t="s">
        <v>59</v>
      </c>
      <c r="C127" s="14" t="s">
        <v>60</v>
      </c>
      <c r="D127" s="18">
        <f t="shared" ref="D127:M127" si="114">D116/D125</f>
        <v>0</v>
      </c>
      <c r="E127" s="18">
        <f t="shared" si="114"/>
        <v>0</v>
      </c>
      <c r="F127" s="18">
        <f t="shared" si="114"/>
        <v>13.055569537423867</v>
      </c>
      <c r="G127" s="18">
        <f t="shared" si="114"/>
        <v>14.44729433573529</v>
      </c>
      <c r="H127" s="18">
        <f t="shared" si="114"/>
        <v>3.1343506305941822</v>
      </c>
      <c r="I127" s="18">
        <f t="shared" si="114"/>
        <v>3.2891246492496049</v>
      </c>
      <c r="J127" s="18">
        <f t="shared" si="114"/>
        <v>4.696313468214071</v>
      </c>
      <c r="K127" s="18">
        <f t="shared" si="114"/>
        <v>8.1679546412967703</v>
      </c>
      <c r="L127" s="18">
        <f t="shared" si="114"/>
        <v>14.166860142558603</v>
      </c>
      <c r="M127" s="18">
        <f t="shared" si="114"/>
        <v>8.6694700814506174</v>
      </c>
      <c r="N127" s="18">
        <f t="shared" ref="N127:T127" si="115">AVERAGE(J116/J125,K116/K125,L116/L125,M116/M125,N116/N125)</f>
        <v>13.06423504229698</v>
      </c>
      <c r="O127" s="18">
        <f t="shared" si="115"/>
        <v>17.971763160639092</v>
      </c>
      <c r="P127" s="18">
        <f t="shared" si="115"/>
        <v>26.363114293733247</v>
      </c>
      <c r="Q127" s="18">
        <f t="shared" si="115"/>
        <v>35.986062716107192</v>
      </c>
      <c r="R127" s="18">
        <f t="shared" si="115"/>
        <v>42.259117227263758</v>
      </c>
      <c r="S127" s="18">
        <f t="shared" si="115"/>
        <v>40.162855935157893</v>
      </c>
      <c r="T127" s="18">
        <f t="shared" si="115"/>
        <v>41.542985302004531</v>
      </c>
      <c r="Z127" s="209"/>
      <c r="AA127" s="209"/>
      <c r="AB127" s="209"/>
      <c r="AC127" s="209"/>
    </row>
    <row r="128" spans="1:29" ht="15.75" customHeight="1">
      <c r="A128" s="31">
        <f t="shared" si="107"/>
        <v>5</v>
      </c>
      <c r="B128" s="32" t="s">
        <v>61</v>
      </c>
      <c r="C128" s="31"/>
      <c r="D128" s="101">
        <v>0.1318648305084745</v>
      </c>
      <c r="E128" s="33">
        <v>0.11456120218579237</v>
      </c>
      <c r="F128" s="33">
        <v>9.6083870967741916E-2</v>
      </c>
      <c r="G128" s="33">
        <v>8.4860816326530641E-2</v>
      </c>
      <c r="H128" s="33">
        <v>6.6462195121951215E-2</v>
      </c>
      <c r="I128" s="33">
        <v>7.5548571428571409E-2</v>
      </c>
      <c r="J128" s="33">
        <v>8.6841975308642003E-2</v>
      </c>
      <c r="K128" s="33">
        <v>8.4721074380165282E-2</v>
      </c>
      <c r="L128" s="33">
        <v>7.9230487804878069E-2</v>
      </c>
      <c r="M128" s="33">
        <v>7.6071308016877698E-2</v>
      </c>
      <c r="N128" s="33">
        <f>Bond!M16</f>
        <v>7.9699999999999993E-2</v>
      </c>
      <c r="O128" s="33">
        <f>Bond!N21</f>
        <v>7.5499999999999998E-2</v>
      </c>
      <c r="P128" s="33">
        <f>Bond!O26</f>
        <v>6.4799999999999996E-2</v>
      </c>
      <c r="Q128" s="33">
        <f>Bond!P26</f>
        <v>7.0499999999999993E-2</v>
      </c>
      <c r="R128" s="33">
        <f>Bond!Q26</f>
        <v>7.0900000000000005E-2</v>
      </c>
      <c r="S128" s="33">
        <f>Bond!R26</f>
        <v>6.7699999999999996E-2</v>
      </c>
      <c r="T128" s="33">
        <f>Bond!S26</f>
        <v>7.0900000000000005E-2</v>
      </c>
      <c r="Z128" s="209"/>
      <c r="AA128" s="209"/>
      <c r="AB128" s="209"/>
      <c r="AC128" s="209"/>
    </row>
    <row r="129" spans="1:29" ht="15.75" customHeight="1">
      <c r="A129" s="14">
        <f t="shared" si="107"/>
        <v>6</v>
      </c>
      <c r="B129" s="21" t="s">
        <v>62</v>
      </c>
      <c r="C129" s="14"/>
      <c r="D129" s="16" t="e">
        <f t="shared" ref="D129:Q129" si="116">PV(D128,D127,-1/D127)</f>
        <v>#DIV/0!</v>
      </c>
      <c r="E129" s="16" t="e">
        <f t="shared" si="116"/>
        <v>#DIV/0!</v>
      </c>
      <c r="F129" s="16">
        <f t="shared" si="116"/>
        <v>0.55653362492117542</v>
      </c>
      <c r="G129" s="16">
        <f t="shared" si="116"/>
        <v>0.56420705614317634</v>
      </c>
      <c r="H129" s="16">
        <f t="shared" si="116"/>
        <v>0.8767842271452897</v>
      </c>
      <c r="I129" s="16">
        <f t="shared" si="116"/>
        <v>0.85725367621032156</v>
      </c>
      <c r="J129" s="16">
        <f t="shared" si="116"/>
        <v>0.79365394048865479</v>
      </c>
      <c r="K129" s="16">
        <f t="shared" si="116"/>
        <v>0.7013551636749914</v>
      </c>
      <c r="L129" s="16">
        <f t="shared" si="116"/>
        <v>0.58842136050038185</v>
      </c>
      <c r="M129" s="16">
        <f t="shared" si="116"/>
        <v>0.71325696282482431</v>
      </c>
      <c r="N129" s="16">
        <f t="shared" si="116"/>
        <v>0.60773443409372674</v>
      </c>
      <c r="O129" s="16">
        <f t="shared" si="116"/>
        <v>0.53775545651529055</v>
      </c>
      <c r="P129" s="16">
        <f t="shared" si="116"/>
        <v>0.47353720729593024</v>
      </c>
      <c r="Q129" s="16">
        <f t="shared" si="116"/>
        <v>0.36020354953220196</v>
      </c>
      <c r="R129" s="16">
        <f t="shared" ref="R129:S129" si="117">PV(R128,R127,-1/R127)</f>
        <v>0.31529763441451625</v>
      </c>
      <c r="S129" s="16">
        <f t="shared" si="117"/>
        <v>0.34129482443600523</v>
      </c>
      <c r="T129" s="16">
        <f t="shared" ref="T129" si="118">PV(T128,T127,-1/T127)</f>
        <v>0.31978863096849719</v>
      </c>
      <c r="Z129" s="209"/>
      <c r="AA129" s="209"/>
      <c r="AB129" s="209"/>
      <c r="AC129" s="209"/>
    </row>
    <row r="130" spans="1:29" ht="15.75" customHeight="1">
      <c r="A130" s="23">
        <f t="shared" si="107"/>
        <v>7</v>
      </c>
      <c r="B130" s="24" t="s">
        <v>63</v>
      </c>
      <c r="C130" s="23" t="s">
        <v>58</v>
      </c>
      <c r="D130" s="25" t="e">
        <f t="shared" ref="D130:Q130" si="119">D126*D127*D129</f>
        <v>#DIV/0!</v>
      </c>
      <c r="E130" s="25" t="e">
        <f t="shared" si="119"/>
        <v>#DIV/0!</v>
      </c>
      <c r="F130" s="25">
        <f t="shared" si="119"/>
        <v>35010.155282156506</v>
      </c>
      <c r="G130" s="25">
        <f t="shared" si="119"/>
        <v>34155.486678521818</v>
      </c>
      <c r="H130" s="25">
        <f t="shared" si="119"/>
        <v>19502.726877185112</v>
      </c>
      <c r="I130" s="25">
        <f t="shared" si="119"/>
        <v>73799.751714836937</v>
      </c>
      <c r="J130" s="25">
        <f t="shared" si="119"/>
        <v>33762.399729158569</v>
      </c>
      <c r="K130" s="25">
        <f t="shared" si="119"/>
        <v>50123.665438190503</v>
      </c>
      <c r="L130" s="25">
        <f t="shared" si="119"/>
        <v>75206.157612457449</v>
      </c>
      <c r="M130" s="25">
        <f t="shared" si="119"/>
        <v>78627.703209916741</v>
      </c>
      <c r="N130" s="25">
        <f t="shared" si="119"/>
        <v>115623.69823232824</v>
      </c>
      <c r="O130" s="25">
        <f t="shared" si="119"/>
        <v>128560.69610803055</v>
      </c>
      <c r="P130" s="25">
        <f t="shared" si="119"/>
        <v>185956.96972217612</v>
      </c>
      <c r="Q130" s="25">
        <f t="shared" si="119"/>
        <v>300256.28932725167</v>
      </c>
      <c r="R130" s="25">
        <f t="shared" ref="R130:S130" si="120">R126*R127*R129</f>
        <v>378436.43561014492</v>
      </c>
      <c r="S130" s="25">
        <f t="shared" si="120"/>
        <v>436324.53659975063</v>
      </c>
      <c r="T130" s="25">
        <f t="shared" ref="T130" si="121">T126*T127*T129</f>
        <v>534000.07939923031</v>
      </c>
      <c r="Z130" s="209"/>
      <c r="AA130" s="209"/>
      <c r="AB130" s="209"/>
      <c r="AC130" s="209"/>
    </row>
    <row r="131" spans="1:29" ht="15.75" customHeight="1">
      <c r="A131" s="14">
        <f t="shared" si="107"/>
        <v>8</v>
      </c>
      <c r="B131" s="21" t="s">
        <v>64</v>
      </c>
      <c r="C131" s="14" t="s">
        <v>84</v>
      </c>
      <c r="D131" s="18">
        <f t="shared" ref="D131:Q131" si="122">D116</f>
        <v>0</v>
      </c>
      <c r="E131" s="18">
        <f t="shared" si="122"/>
        <v>0</v>
      </c>
      <c r="F131" s="18">
        <f t="shared" si="122"/>
        <v>581000</v>
      </c>
      <c r="G131" s="18">
        <f t="shared" si="122"/>
        <v>410000</v>
      </c>
      <c r="H131" s="18">
        <f t="shared" si="122"/>
        <v>410000</v>
      </c>
      <c r="I131" s="18">
        <f t="shared" si="122"/>
        <v>272847</v>
      </c>
      <c r="J131" s="18">
        <f t="shared" si="122"/>
        <v>281956</v>
      </c>
      <c r="K131" s="18">
        <f t="shared" si="122"/>
        <v>572349.41</v>
      </c>
      <c r="L131" s="18">
        <f t="shared" si="122"/>
        <v>890774.52300000004</v>
      </c>
      <c r="M131" s="18">
        <f t="shared" si="122"/>
        <v>676822.2548</v>
      </c>
      <c r="N131" s="18">
        <f t="shared" si="122"/>
        <v>2458959.6746440278</v>
      </c>
      <c r="O131" s="18">
        <f t="shared" si="122"/>
        <v>2233158.3634743961</v>
      </c>
      <c r="P131" s="18">
        <f t="shared" si="122"/>
        <v>2720136.7016072702</v>
      </c>
      <c r="Q131" s="18">
        <f t="shared" si="122"/>
        <v>2165905</v>
      </c>
      <c r="R131" s="18">
        <f t="shared" ref="R131:S131" si="123">R116</f>
        <v>2247030</v>
      </c>
      <c r="S131" s="18">
        <f t="shared" si="123"/>
        <v>1367502.4024674003</v>
      </c>
      <c r="T131" s="18">
        <f t="shared" ref="T131" si="124">T116</f>
        <v>1438663</v>
      </c>
      <c r="Z131" s="209"/>
      <c r="AA131" s="209"/>
      <c r="AB131" s="209"/>
      <c r="AC131" s="209"/>
    </row>
    <row r="132" spans="1:29" ht="15.75" customHeight="1">
      <c r="A132" s="14">
        <f t="shared" si="107"/>
        <v>9</v>
      </c>
      <c r="B132" s="15" t="s">
        <v>65</v>
      </c>
      <c r="C132" s="14" t="s">
        <v>96</v>
      </c>
      <c r="D132" s="18" t="e">
        <f t="shared" ref="D132:Q132" si="125">D130/D131*1000</f>
        <v>#DIV/0!</v>
      </c>
      <c r="E132" s="18" t="e">
        <f t="shared" si="125"/>
        <v>#DIV/0!</v>
      </c>
      <c r="F132" s="18">
        <f t="shared" si="125"/>
        <v>60.258442826431164</v>
      </c>
      <c r="G132" s="18">
        <f t="shared" si="125"/>
        <v>83.306065069565406</v>
      </c>
      <c r="H132" s="18">
        <f t="shared" si="125"/>
        <v>47.567626529719782</v>
      </c>
      <c r="I132" s="18">
        <f t="shared" si="125"/>
        <v>270.48034874796838</v>
      </c>
      <c r="J132" s="18">
        <f t="shared" si="125"/>
        <v>119.74350511838219</v>
      </c>
      <c r="K132" s="18">
        <f t="shared" si="125"/>
        <v>87.575289783544108</v>
      </c>
      <c r="L132" s="18">
        <f t="shared" si="125"/>
        <v>84.427827323994364</v>
      </c>
      <c r="M132" s="18">
        <f t="shared" si="125"/>
        <v>116.17186440352957</v>
      </c>
      <c r="N132" s="18">
        <f t="shared" si="125"/>
        <v>47.02138852645745</v>
      </c>
      <c r="O132" s="18">
        <f t="shared" si="125"/>
        <v>57.569001021500796</v>
      </c>
      <c r="P132" s="18">
        <f t="shared" si="125"/>
        <v>68.363097197393856</v>
      </c>
      <c r="Q132" s="18">
        <f t="shared" si="125"/>
        <v>138.62855911374305</v>
      </c>
      <c r="R132" s="18">
        <f t="shared" ref="R132:S132" si="126">R130/R131*1000</f>
        <v>168.41628087303903</v>
      </c>
      <c r="S132" s="18">
        <f t="shared" si="126"/>
        <v>319.06674226859508</v>
      </c>
      <c r="T132" s="18">
        <f t="shared" ref="T132" si="127">T130/T131*1000</f>
        <v>371.17801694992522</v>
      </c>
      <c r="Z132" s="209"/>
      <c r="AA132" s="209"/>
      <c r="AB132" s="209"/>
      <c r="AC132" s="209"/>
    </row>
    <row r="133" spans="1:29" ht="15.75" customHeight="1">
      <c r="A133" s="1"/>
      <c r="B133" s="2"/>
      <c r="C133" s="2"/>
      <c r="D133" s="2"/>
      <c r="E133" s="2"/>
      <c r="F133" s="2"/>
      <c r="G133" s="2"/>
      <c r="H133" s="2"/>
      <c r="I133" s="2"/>
      <c r="J133" s="2"/>
      <c r="K133" s="2"/>
      <c r="L133" s="2"/>
      <c r="M133" s="2"/>
      <c r="N133" s="2"/>
      <c r="O133" s="2"/>
      <c r="P133" s="2"/>
      <c r="Q133" s="2"/>
      <c r="R133" s="2"/>
      <c r="S133" s="2"/>
      <c r="T133" s="2"/>
      <c r="Z133" s="209"/>
      <c r="AA133" s="209"/>
      <c r="AB133" s="209"/>
      <c r="AC133" s="209"/>
    </row>
    <row r="134" spans="1:29" ht="15.75" customHeight="1">
      <c r="A134" s="1"/>
      <c r="B134" s="2"/>
      <c r="C134" s="2"/>
      <c r="D134" s="2"/>
      <c r="E134" s="2"/>
      <c r="F134" s="2"/>
      <c r="G134" s="2"/>
      <c r="H134" s="2"/>
      <c r="I134" s="2"/>
      <c r="J134" s="2"/>
      <c r="K134" s="2"/>
      <c r="L134" s="2"/>
      <c r="M134" s="2"/>
      <c r="N134" s="2"/>
      <c r="O134" s="2"/>
      <c r="P134" s="2"/>
      <c r="Q134" s="2"/>
      <c r="R134" s="2"/>
      <c r="S134" s="2"/>
      <c r="T134" s="2"/>
      <c r="Z134" s="209"/>
      <c r="AA134" s="209"/>
      <c r="AB134" s="209"/>
      <c r="AC134" s="209"/>
    </row>
    <row r="135" spans="1:29" ht="15.75" customHeight="1">
      <c r="A135" s="6" t="s">
        <v>103</v>
      </c>
      <c r="B135" s="2"/>
      <c r="C135" s="2"/>
      <c r="D135" s="2"/>
      <c r="E135" s="2"/>
      <c r="F135" s="2"/>
      <c r="G135" s="2"/>
      <c r="H135" s="2"/>
      <c r="I135" s="2"/>
      <c r="J135" s="2"/>
      <c r="K135" s="2"/>
      <c r="L135" s="2"/>
      <c r="M135" s="2"/>
      <c r="N135" s="2"/>
      <c r="O135" s="2"/>
      <c r="P135" s="2"/>
      <c r="Q135" s="2"/>
      <c r="R135" s="2"/>
      <c r="S135" s="2"/>
      <c r="T135" s="2"/>
      <c r="Z135" s="209"/>
      <c r="AA135" s="209"/>
      <c r="AB135" s="209"/>
      <c r="AC135" s="209"/>
    </row>
    <row r="136" spans="1:29" ht="15.75" customHeight="1" thickBot="1">
      <c r="A136" s="19"/>
      <c r="B136" s="2"/>
      <c r="C136" s="2"/>
      <c r="D136" s="2"/>
      <c r="E136" s="2"/>
      <c r="F136" s="2"/>
      <c r="G136" s="2"/>
      <c r="H136" s="2"/>
      <c r="I136" s="2"/>
      <c r="J136" s="2"/>
      <c r="K136" s="2"/>
      <c r="L136" s="2"/>
      <c r="M136" s="2"/>
      <c r="N136" s="2"/>
      <c r="O136" s="2"/>
      <c r="P136" s="2"/>
      <c r="Q136" s="2"/>
      <c r="R136" s="2"/>
      <c r="S136" s="2"/>
      <c r="T136" s="2"/>
      <c r="Z136" s="209"/>
      <c r="AA136" s="209"/>
      <c r="AB136" s="209"/>
      <c r="AC136" s="209"/>
    </row>
    <row r="137" spans="1:29" ht="15.75" customHeight="1" thickBot="1">
      <c r="A137" s="98" t="s">
        <v>3</v>
      </c>
      <c r="B137" s="96" t="s">
        <v>4</v>
      </c>
      <c r="C137" s="97" t="s">
        <v>5</v>
      </c>
      <c r="D137" s="97">
        <f t="shared" ref="D137:T137" si="128">D$3</f>
        <v>2008</v>
      </c>
      <c r="E137" s="97">
        <f t="shared" si="128"/>
        <v>2009</v>
      </c>
      <c r="F137" s="97">
        <f t="shared" si="128"/>
        <v>2010</v>
      </c>
      <c r="G137" s="97">
        <f t="shared" si="128"/>
        <v>2011</v>
      </c>
      <c r="H137" s="97">
        <f t="shared" si="128"/>
        <v>2012</v>
      </c>
      <c r="I137" s="97">
        <f t="shared" si="128"/>
        <v>2013</v>
      </c>
      <c r="J137" s="97">
        <f t="shared" si="128"/>
        <v>2014</v>
      </c>
      <c r="K137" s="97">
        <f t="shared" si="128"/>
        <v>2015</v>
      </c>
      <c r="L137" s="97">
        <f t="shared" si="128"/>
        <v>2016</v>
      </c>
      <c r="M137" s="97">
        <f t="shared" si="128"/>
        <v>2017</v>
      </c>
      <c r="N137" s="97">
        <f t="shared" si="128"/>
        <v>2018</v>
      </c>
      <c r="O137" s="97">
        <f t="shared" si="128"/>
        <v>2019</v>
      </c>
      <c r="P137" s="97">
        <f t="shared" si="128"/>
        <v>2020</v>
      </c>
      <c r="Q137" s="97">
        <f t="shared" si="128"/>
        <v>2021</v>
      </c>
      <c r="R137" s="97">
        <f t="shared" si="128"/>
        <v>2022</v>
      </c>
      <c r="S137" s="97">
        <f t="shared" si="128"/>
        <v>2023</v>
      </c>
      <c r="T137" s="97">
        <f t="shared" si="128"/>
        <v>2024</v>
      </c>
      <c r="Z137" s="209"/>
      <c r="AA137" s="209"/>
      <c r="AB137" s="209"/>
      <c r="AC137" s="209"/>
    </row>
    <row r="138" spans="1:29" ht="15.75" customHeight="1">
      <c r="A138" s="9">
        <v>-1</v>
      </c>
      <c r="B138" s="9">
        <f t="shared" ref="B138:T138" si="129">A138-1</f>
        <v>-2</v>
      </c>
      <c r="C138" s="9">
        <f t="shared" si="129"/>
        <v>-3</v>
      </c>
      <c r="D138" s="9">
        <f t="shared" si="129"/>
        <v>-4</v>
      </c>
      <c r="E138" s="9">
        <f t="shared" si="129"/>
        <v>-5</v>
      </c>
      <c r="F138" s="9">
        <f t="shared" si="129"/>
        <v>-6</v>
      </c>
      <c r="G138" s="9">
        <f t="shared" si="129"/>
        <v>-7</v>
      </c>
      <c r="H138" s="9">
        <f t="shared" si="129"/>
        <v>-8</v>
      </c>
      <c r="I138" s="9">
        <f t="shared" si="129"/>
        <v>-9</v>
      </c>
      <c r="J138" s="9">
        <f t="shared" si="129"/>
        <v>-10</v>
      </c>
      <c r="K138" s="9">
        <f t="shared" si="129"/>
        <v>-11</v>
      </c>
      <c r="L138" s="9">
        <f t="shared" si="129"/>
        <v>-12</v>
      </c>
      <c r="M138" s="9">
        <f t="shared" si="129"/>
        <v>-13</v>
      </c>
      <c r="N138" s="9">
        <f t="shared" si="129"/>
        <v>-14</v>
      </c>
      <c r="O138" s="9">
        <f t="shared" si="129"/>
        <v>-15</v>
      </c>
      <c r="P138" s="9">
        <f t="shared" si="129"/>
        <v>-16</v>
      </c>
      <c r="Q138" s="9">
        <f t="shared" si="129"/>
        <v>-17</v>
      </c>
      <c r="R138" s="9">
        <f t="shared" si="129"/>
        <v>-18</v>
      </c>
      <c r="S138" s="9">
        <f t="shared" si="129"/>
        <v>-19</v>
      </c>
      <c r="T138" s="9">
        <f t="shared" si="129"/>
        <v>-20</v>
      </c>
      <c r="Z138" s="209"/>
      <c r="AA138" s="209"/>
      <c r="AB138" s="209"/>
      <c r="AC138" s="209"/>
    </row>
    <row r="139" spans="1:29" ht="15.75" customHeight="1">
      <c r="A139" s="31">
        <v>1</v>
      </c>
      <c r="B139" s="32" t="s">
        <v>41</v>
      </c>
      <c r="C139" s="31" t="s">
        <v>58</v>
      </c>
      <c r="D139" s="35"/>
      <c r="E139" s="35" t="e">
        <f t="shared" ref="E139:T139" si="130">D151</f>
        <v>#DIV/0!</v>
      </c>
      <c r="F139" s="35" t="e">
        <f t="shared" si="130"/>
        <v>#DIV/0!</v>
      </c>
      <c r="G139" s="35">
        <f t="shared" si="130"/>
        <v>35010.155282156506</v>
      </c>
      <c r="H139" s="35">
        <f t="shared" si="130"/>
        <v>34155.486678521818</v>
      </c>
      <c r="I139" s="35">
        <f t="shared" si="130"/>
        <v>19502.726877185112</v>
      </c>
      <c r="J139" s="35">
        <f t="shared" si="130"/>
        <v>73799.751714836937</v>
      </c>
      <c r="K139" s="35">
        <f t="shared" si="130"/>
        <v>33762.399729158569</v>
      </c>
      <c r="L139" s="35">
        <f t="shared" si="130"/>
        <v>50123.665438190503</v>
      </c>
      <c r="M139" s="35">
        <f t="shared" si="130"/>
        <v>75206.157612457449</v>
      </c>
      <c r="N139" s="35">
        <f t="shared" si="130"/>
        <v>78627.703209916741</v>
      </c>
      <c r="O139" s="35">
        <f t="shared" si="130"/>
        <v>115623.69823232824</v>
      </c>
      <c r="P139" s="35">
        <f t="shared" si="130"/>
        <v>128560.69610803055</v>
      </c>
      <c r="Q139" s="35">
        <f t="shared" si="130"/>
        <v>185956.96972217612</v>
      </c>
      <c r="R139" s="35">
        <f t="shared" si="130"/>
        <v>300256.28932725167</v>
      </c>
      <c r="S139" s="35">
        <f t="shared" si="130"/>
        <v>378436.43561014492</v>
      </c>
      <c r="T139" s="35">
        <f t="shared" si="130"/>
        <v>436324.53659975063</v>
      </c>
      <c r="Z139" s="209"/>
      <c r="AA139" s="209"/>
      <c r="AB139" s="209"/>
      <c r="AC139" s="209"/>
    </row>
    <row r="140" spans="1:29" ht="15.75" customHeight="1">
      <c r="A140" s="31">
        <v>2</v>
      </c>
      <c r="B140" s="32" t="s">
        <v>43</v>
      </c>
      <c r="C140" s="31" t="s">
        <v>58</v>
      </c>
      <c r="D140" s="35">
        <f t="shared" ref="D140:Q140" si="131">SUM(D141:D143)</f>
        <v>0</v>
      </c>
      <c r="E140" s="35" t="e">
        <f t="shared" si="131"/>
        <v>#DIV/0!</v>
      </c>
      <c r="F140" s="35" t="e">
        <f t="shared" si="131"/>
        <v>#DIV/0!</v>
      </c>
      <c r="G140" s="35">
        <f t="shared" si="131"/>
        <v>0</v>
      </c>
      <c r="H140" s="35">
        <f t="shared" si="131"/>
        <v>0</v>
      </c>
      <c r="I140" s="35">
        <f t="shared" si="131"/>
        <v>0</v>
      </c>
      <c r="J140" s="35">
        <f t="shared" si="131"/>
        <v>0</v>
      </c>
      <c r="K140" s="35">
        <f t="shared" si="131"/>
        <v>0</v>
      </c>
      <c r="L140" s="35">
        <f t="shared" si="131"/>
        <v>0</v>
      </c>
      <c r="M140" s="35">
        <f t="shared" si="131"/>
        <v>0</v>
      </c>
      <c r="N140" s="35">
        <f t="shared" si="131"/>
        <v>0</v>
      </c>
      <c r="O140" s="35">
        <f t="shared" si="131"/>
        <v>0</v>
      </c>
      <c r="P140" s="35">
        <f t="shared" si="131"/>
        <v>0</v>
      </c>
      <c r="Q140" s="35">
        <f t="shared" si="131"/>
        <v>0</v>
      </c>
      <c r="R140" s="35">
        <f t="shared" ref="R140:S140" si="132">SUM(R141:R143)</f>
        <v>0</v>
      </c>
      <c r="S140" s="35">
        <f t="shared" si="132"/>
        <v>0</v>
      </c>
      <c r="T140" s="35">
        <f t="shared" ref="T140" si="133">SUM(T141:T143)</f>
        <v>0</v>
      </c>
      <c r="Z140" s="209"/>
      <c r="AA140" s="209"/>
      <c r="AB140" s="209"/>
      <c r="AC140" s="209"/>
    </row>
    <row r="141" spans="1:29" ht="15.75" customHeight="1">
      <c r="A141" s="14">
        <v>2.1</v>
      </c>
      <c r="B141" s="15" t="s">
        <v>44</v>
      </c>
      <c r="C141" s="14" t="s">
        <v>58</v>
      </c>
      <c r="D141" s="18"/>
      <c r="E141" s="18" t="e">
        <f t="shared" ref="E141:T141" si="134">0.5*(D$132+E$132)*E107/1000</f>
        <v>#DIV/0!</v>
      </c>
      <c r="F141" s="18" t="e">
        <f t="shared" si="134"/>
        <v>#DIV/0!</v>
      </c>
      <c r="G141" s="18">
        <f t="shared" si="134"/>
        <v>0</v>
      </c>
      <c r="H141" s="18">
        <f t="shared" si="134"/>
        <v>0</v>
      </c>
      <c r="I141" s="18">
        <f t="shared" si="134"/>
        <v>0</v>
      </c>
      <c r="J141" s="18">
        <f t="shared" si="134"/>
        <v>0</v>
      </c>
      <c r="K141" s="18">
        <f t="shared" si="134"/>
        <v>0</v>
      </c>
      <c r="L141" s="18">
        <f t="shared" si="134"/>
        <v>0</v>
      </c>
      <c r="M141" s="18">
        <f t="shared" si="134"/>
        <v>0</v>
      </c>
      <c r="N141" s="18">
        <f t="shared" si="134"/>
        <v>0</v>
      </c>
      <c r="O141" s="18">
        <f t="shared" si="134"/>
        <v>0</v>
      </c>
      <c r="P141" s="18">
        <f t="shared" si="134"/>
        <v>0</v>
      </c>
      <c r="Q141" s="18">
        <f t="shared" si="134"/>
        <v>0</v>
      </c>
      <c r="R141" s="18">
        <f t="shared" si="134"/>
        <v>0</v>
      </c>
      <c r="S141" s="18">
        <f t="shared" si="134"/>
        <v>0</v>
      </c>
      <c r="T141" s="18">
        <f t="shared" si="134"/>
        <v>0</v>
      </c>
      <c r="Z141" s="209"/>
      <c r="AA141" s="209"/>
      <c r="AB141" s="209"/>
      <c r="AC141" s="209"/>
    </row>
    <row r="142" spans="1:29" ht="15.75" customHeight="1">
      <c r="A142" s="14">
        <v>2.2000000000000002</v>
      </c>
      <c r="B142" s="15" t="s">
        <v>45</v>
      </c>
      <c r="C142" s="14" t="s">
        <v>58</v>
      </c>
      <c r="D142" s="18"/>
      <c r="E142" s="18" t="e">
        <f t="shared" ref="E142:T142" si="135">0.5*(D$132+E$132)*E108/1000</f>
        <v>#DIV/0!</v>
      </c>
      <c r="F142" s="18" t="e">
        <f t="shared" si="135"/>
        <v>#DIV/0!</v>
      </c>
      <c r="G142" s="18">
        <f t="shared" si="135"/>
        <v>0</v>
      </c>
      <c r="H142" s="18">
        <f t="shared" si="135"/>
        <v>0</v>
      </c>
      <c r="I142" s="18">
        <f t="shared" si="135"/>
        <v>0</v>
      </c>
      <c r="J142" s="18">
        <f t="shared" si="135"/>
        <v>0</v>
      </c>
      <c r="K142" s="18">
        <f t="shared" si="135"/>
        <v>0</v>
      </c>
      <c r="L142" s="18">
        <f t="shared" si="135"/>
        <v>0</v>
      </c>
      <c r="M142" s="18">
        <f t="shared" si="135"/>
        <v>0</v>
      </c>
      <c r="N142" s="18">
        <f t="shared" si="135"/>
        <v>0</v>
      </c>
      <c r="O142" s="18">
        <f t="shared" si="135"/>
        <v>0</v>
      </c>
      <c r="P142" s="18">
        <f t="shared" si="135"/>
        <v>0</v>
      </c>
      <c r="Q142" s="18">
        <f t="shared" si="135"/>
        <v>0</v>
      </c>
      <c r="R142" s="18">
        <f t="shared" si="135"/>
        <v>0</v>
      </c>
      <c r="S142" s="18">
        <f t="shared" si="135"/>
        <v>0</v>
      </c>
      <c r="T142" s="18">
        <f t="shared" si="135"/>
        <v>0</v>
      </c>
      <c r="Z142" s="209"/>
      <c r="AA142" s="209"/>
      <c r="AB142" s="209"/>
      <c r="AC142" s="209"/>
    </row>
    <row r="143" spans="1:29" ht="15.75" customHeight="1">
      <c r="A143" s="14">
        <v>2.2999999999999998</v>
      </c>
      <c r="B143" s="15" t="s">
        <v>46</v>
      </c>
      <c r="C143" s="14" t="s">
        <v>58</v>
      </c>
      <c r="D143" s="18"/>
      <c r="E143" s="18" t="e">
        <f t="shared" ref="E143:T143" si="136">0.5*(D$132+E$132)*E109/1000</f>
        <v>#DIV/0!</v>
      </c>
      <c r="F143" s="18" t="e">
        <f t="shared" si="136"/>
        <v>#DIV/0!</v>
      </c>
      <c r="G143" s="18">
        <f t="shared" si="136"/>
        <v>0</v>
      </c>
      <c r="H143" s="18">
        <f t="shared" si="136"/>
        <v>0</v>
      </c>
      <c r="I143" s="18">
        <f t="shared" si="136"/>
        <v>0</v>
      </c>
      <c r="J143" s="18">
        <f t="shared" si="136"/>
        <v>0</v>
      </c>
      <c r="K143" s="18">
        <f t="shared" si="136"/>
        <v>0</v>
      </c>
      <c r="L143" s="18">
        <f t="shared" si="136"/>
        <v>0</v>
      </c>
      <c r="M143" s="18">
        <f t="shared" si="136"/>
        <v>0</v>
      </c>
      <c r="N143" s="18">
        <f t="shared" si="136"/>
        <v>0</v>
      </c>
      <c r="O143" s="18">
        <f t="shared" si="136"/>
        <v>0</v>
      </c>
      <c r="P143" s="18">
        <f t="shared" si="136"/>
        <v>0</v>
      </c>
      <c r="Q143" s="18">
        <f t="shared" si="136"/>
        <v>0</v>
      </c>
      <c r="R143" s="18">
        <f t="shared" si="136"/>
        <v>0</v>
      </c>
      <c r="S143" s="18">
        <f t="shared" si="136"/>
        <v>0</v>
      </c>
      <c r="T143" s="18">
        <f t="shared" si="136"/>
        <v>0</v>
      </c>
      <c r="Z143" s="209"/>
      <c r="AA143" s="209"/>
      <c r="AB143" s="209"/>
      <c r="AC143" s="209"/>
    </row>
    <row r="144" spans="1:29" ht="15.75" customHeight="1">
      <c r="A144" s="31">
        <v>3</v>
      </c>
      <c r="B144" s="32" t="s">
        <v>47</v>
      </c>
      <c r="C144" s="31" t="s">
        <v>58</v>
      </c>
      <c r="D144" s="35">
        <f t="shared" ref="D144:Q144" si="137">SUM(D145:D148)</f>
        <v>0</v>
      </c>
      <c r="E144" s="35" t="e">
        <f t="shared" si="137"/>
        <v>#DIV/0!</v>
      </c>
      <c r="F144" s="35" t="e">
        <f t="shared" si="137"/>
        <v>#DIV/0!</v>
      </c>
      <c r="G144" s="35">
        <f t="shared" si="137"/>
        <v>2037.1097476627569</v>
      </c>
      <c r="H144" s="35">
        <f t="shared" si="137"/>
        <v>8559.7018138227395</v>
      </c>
      <c r="I144" s="35">
        <f t="shared" si="137"/>
        <v>13191.721987549086</v>
      </c>
      <c r="J144" s="35">
        <f t="shared" si="137"/>
        <v>11714.077188993706</v>
      </c>
      <c r="K144" s="35">
        <f t="shared" si="137"/>
        <v>7263.6783108524887</v>
      </c>
      <c r="L144" s="35">
        <f t="shared" si="137"/>
        <v>5407.5494871197752</v>
      </c>
      <c r="M144" s="35">
        <f t="shared" si="137"/>
        <v>7830.3710833321138</v>
      </c>
      <c r="N144" s="35">
        <f t="shared" si="137"/>
        <v>6773.7645654589451</v>
      </c>
      <c r="O144" s="35">
        <f t="shared" si="137"/>
        <v>3994.7880926284465</v>
      </c>
      <c r="P144" s="35">
        <f t="shared" si="137"/>
        <v>3417.0025141210394</v>
      </c>
      <c r="Q144" s="35">
        <f t="shared" si="137"/>
        <v>3599.1709199380489</v>
      </c>
      <c r="R144" s="35">
        <f t="shared" ref="R144:S144" si="138">SUM(R145:R148)</f>
        <v>8616.7528669690582</v>
      </c>
      <c r="S144" s="35">
        <f t="shared" si="138"/>
        <v>17415.350501055815</v>
      </c>
      <c r="T144" s="35">
        <f t="shared" ref="T144" si="139">SUM(T145:T148)</f>
        <v>13740.702421763084</v>
      </c>
      <c r="Z144" s="209"/>
      <c r="AA144" s="209"/>
      <c r="AB144" s="209"/>
      <c r="AC144" s="209"/>
    </row>
    <row r="145" spans="1:29" ht="15.75" customHeight="1">
      <c r="A145" s="14">
        <v>3.1</v>
      </c>
      <c r="B145" s="15" t="s">
        <v>67</v>
      </c>
      <c r="C145" s="14" t="s">
        <v>58</v>
      </c>
      <c r="D145" s="18"/>
      <c r="E145" s="18" t="e">
        <f t="shared" ref="E145:T145" si="140">0.5*(D$132+E$132)*E111/1000</f>
        <v>#DIV/0!</v>
      </c>
      <c r="F145" s="18" t="e">
        <f t="shared" si="140"/>
        <v>#DIV/0!</v>
      </c>
      <c r="G145" s="18">
        <f t="shared" si="140"/>
        <v>2037.1097476627569</v>
      </c>
      <c r="H145" s="18">
        <f t="shared" si="140"/>
        <v>8559.7018138227395</v>
      </c>
      <c r="I145" s="18">
        <f t="shared" si="140"/>
        <v>13191.721987549086</v>
      </c>
      <c r="J145" s="18">
        <f t="shared" si="140"/>
        <v>11714.077188993706</v>
      </c>
      <c r="K145" s="18">
        <f t="shared" si="140"/>
        <v>7263.6783108524887</v>
      </c>
      <c r="L145" s="18">
        <f t="shared" si="140"/>
        <v>5407.5494871197752</v>
      </c>
      <c r="M145" s="18">
        <f t="shared" si="140"/>
        <v>7830.3710833321138</v>
      </c>
      <c r="N145" s="18">
        <f t="shared" si="140"/>
        <v>6773.7645654589451</v>
      </c>
      <c r="O145" s="18">
        <f t="shared" si="140"/>
        <v>3994.7880926284465</v>
      </c>
      <c r="P145" s="18">
        <f t="shared" si="140"/>
        <v>3417.0025141210394</v>
      </c>
      <c r="Q145" s="18">
        <f t="shared" si="140"/>
        <v>3599.1709199380489</v>
      </c>
      <c r="R145" s="18">
        <f t="shared" si="140"/>
        <v>8616.7528669690582</v>
      </c>
      <c r="S145" s="18">
        <f t="shared" si="140"/>
        <v>17415.350501055815</v>
      </c>
      <c r="T145" s="18">
        <f t="shared" si="140"/>
        <v>13740.702421763084</v>
      </c>
      <c r="Z145" s="209"/>
      <c r="AA145" s="209"/>
      <c r="AB145" s="209"/>
      <c r="AC145" s="209"/>
    </row>
    <row r="146" spans="1:29" ht="15.75" customHeight="1">
      <c r="A146" s="14">
        <v>3.2</v>
      </c>
      <c r="B146" s="15" t="s">
        <v>49</v>
      </c>
      <c r="C146" s="14" t="s">
        <v>58</v>
      </c>
      <c r="D146" s="18"/>
      <c r="E146" s="18" t="e">
        <f t="shared" ref="E146:T146" si="141">0.5*(D$132+E$132)*E112/1000</f>
        <v>#DIV/0!</v>
      </c>
      <c r="F146" s="18" t="e">
        <f t="shared" si="141"/>
        <v>#DIV/0!</v>
      </c>
      <c r="G146" s="18">
        <f t="shared" si="141"/>
        <v>0</v>
      </c>
      <c r="H146" s="18">
        <f t="shared" si="141"/>
        <v>0</v>
      </c>
      <c r="I146" s="18">
        <f t="shared" si="141"/>
        <v>0</v>
      </c>
      <c r="J146" s="18">
        <f t="shared" si="141"/>
        <v>0</v>
      </c>
      <c r="K146" s="18">
        <f t="shared" si="141"/>
        <v>0</v>
      </c>
      <c r="L146" s="18">
        <f t="shared" si="141"/>
        <v>0</v>
      </c>
      <c r="M146" s="18">
        <f t="shared" si="141"/>
        <v>0</v>
      </c>
      <c r="N146" s="18">
        <f t="shared" si="141"/>
        <v>0</v>
      </c>
      <c r="O146" s="18">
        <f t="shared" si="141"/>
        <v>0</v>
      </c>
      <c r="P146" s="18">
        <f t="shared" si="141"/>
        <v>0</v>
      </c>
      <c r="Q146" s="18">
        <f t="shared" si="141"/>
        <v>0</v>
      </c>
      <c r="R146" s="18">
        <f t="shared" si="141"/>
        <v>0</v>
      </c>
      <c r="S146" s="18">
        <f t="shared" si="141"/>
        <v>0</v>
      </c>
      <c r="T146" s="18">
        <f t="shared" si="141"/>
        <v>0</v>
      </c>
      <c r="Z146" s="209"/>
      <c r="AA146" s="209"/>
      <c r="AB146" s="209"/>
      <c r="AC146" s="209"/>
    </row>
    <row r="147" spans="1:29" ht="15.75" customHeight="1">
      <c r="A147" s="14">
        <v>3.3</v>
      </c>
      <c r="B147" s="15" t="s">
        <v>50</v>
      </c>
      <c r="C147" s="14" t="s">
        <v>58</v>
      </c>
      <c r="D147" s="18"/>
      <c r="E147" s="18" t="e">
        <f t="shared" ref="E147:T147" si="142">0.5*(D$132+E$132)*E113/1000</f>
        <v>#DIV/0!</v>
      </c>
      <c r="F147" s="18" t="e">
        <f t="shared" si="142"/>
        <v>#DIV/0!</v>
      </c>
      <c r="G147" s="18">
        <f t="shared" si="142"/>
        <v>0</v>
      </c>
      <c r="H147" s="18">
        <f t="shared" si="142"/>
        <v>0</v>
      </c>
      <c r="I147" s="18">
        <f t="shared" si="142"/>
        <v>0</v>
      </c>
      <c r="J147" s="18">
        <f t="shared" si="142"/>
        <v>0</v>
      </c>
      <c r="K147" s="18">
        <f t="shared" si="142"/>
        <v>0</v>
      </c>
      <c r="L147" s="18">
        <f t="shared" si="142"/>
        <v>0</v>
      </c>
      <c r="M147" s="18">
        <f t="shared" si="142"/>
        <v>0</v>
      </c>
      <c r="N147" s="18">
        <f t="shared" si="142"/>
        <v>0</v>
      </c>
      <c r="O147" s="18">
        <f t="shared" si="142"/>
        <v>0</v>
      </c>
      <c r="P147" s="18">
        <f t="shared" si="142"/>
        <v>0</v>
      </c>
      <c r="Q147" s="18">
        <f t="shared" si="142"/>
        <v>0</v>
      </c>
      <c r="R147" s="18">
        <f t="shared" si="142"/>
        <v>0</v>
      </c>
      <c r="S147" s="18">
        <f t="shared" si="142"/>
        <v>0</v>
      </c>
      <c r="T147" s="18">
        <f t="shared" si="142"/>
        <v>0</v>
      </c>
      <c r="Z147" s="209"/>
      <c r="AA147" s="209"/>
      <c r="AB147" s="209"/>
      <c r="AC147" s="209"/>
    </row>
    <row r="148" spans="1:29" ht="15.75" customHeight="1">
      <c r="A148" s="14">
        <v>3.4</v>
      </c>
      <c r="B148" s="15" t="s">
        <v>46</v>
      </c>
      <c r="C148" s="14" t="s">
        <v>58</v>
      </c>
      <c r="D148" s="18"/>
      <c r="E148" s="18" t="e">
        <f t="shared" ref="E148:T148" si="143">0.5*(D$132+E$132)*E114/1000</f>
        <v>#DIV/0!</v>
      </c>
      <c r="F148" s="18" t="e">
        <f t="shared" si="143"/>
        <v>#DIV/0!</v>
      </c>
      <c r="G148" s="18">
        <f t="shared" si="143"/>
        <v>0</v>
      </c>
      <c r="H148" s="18">
        <f t="shared" si="143"/>
        <v>0</v>
      </c>
      <c r="I148" s="18">
        <f t="shared" si="143"/>
        <v>0</v>
      </c>
      <c r="J148" s="18">
        <f t="shared" si="143"/>
        <v>0</v>
      </c>
      <c r="K148" s="18">
        <f t="shared" si="143"/>
        <v>0</v>
      </c>
      <c r="L148" s="18">
        <f t="shared" si="143"/>
        <v>0</v>
      </c>
      <c r="M148" s="18">
        <f t="shared" si="143"/>
        <v>0</v>
      </c>
      <c r="N148" s="18">
        <f t="shared" si="143"/>
        <v>0</v>
      </c>
      <c r="O148" s="18">
        <f t="shared" si="143"/>
        <v>0</v>
      </c>
      <c r="P148" s="18">
        <f t="shared" si="143"/>
        <v>0</v>
      </c>
      <c r="Q148" s="18">
        <f t="shared" si="143"/>
        <v>0</v>
      </c>
      <c r="R148" s="18">
        <f t="shared" si="143"/>
        <v>0</v>
      </c>
      <c r="S148" s="18">
        <f t="shared" si="143"/>
        <v>0</v>
      </c>
      <c r="T148" s="18">
        <f t="shared" si="143"/>
        <v>0</v>
      </c>
      <c r="Z148" s="209"/>
      <c r="AA148" s="209"/>
      <c r="AB148" s="209"/>
      <c r="AC148" s="209"/>
    </row>
    <row r="149" spans="1:29" ht="15.75" customHeight="1">
      <c r="A149" s="31">
        <v>4</v>
      </c>
      <c r="B149" s="32" t="s">
        <v>68</v>
      </c>
      <c r="C149" s="31" t="s">
        <v>58</v>
      </c>
      <c r="D149" s="35"/>
      <c r="E149" s="35" t="e">
        <f t="shared" ref="E149:T149" si="144">0.5*(D$132+E$132)*E115/1000</f>
        <v>#DIV/0!</v>
      </c>
      <c r="F149" s="35" t="e">
        <f t="shared" si="144"/>
        <v>#DIV/0!</v>
      </c>
      <c r="G149" s="35">
        <f t="shared" si="144"/>
        <v>-10237.655677444947</v>
      </c>
      <c r="H149" s="35">
        <f t="shared" si="144"/>
        <v>8559.7018138227395</v>
      </c>
      <c r="I149" s="35">
        <f t="shared" si="144"/>
        <v>-8618.8949890812964</v>
      </c>
      <c r="J149" s="35">
        <f t="shared" si="144"/>
        <v>13491.351731428002</v>
      </c>
      <c r="K149" s="35">
        <f t="shared" si="144"/>
        <v>37365.684215182991</v>
      </c>
      <c r="L149" s="35">
        <f t="shared" si="144"/>
        <v>32792.60548777986</v>
      </c>
      <c r="M149" s="35">
        <f t="shared" si="144"/>
        <v>-13629.008439330151</v>
      </c>
      <c r="N149" s="35">
        <f t="shared" si="144"/>
        <v>152190.16592175938</v>
      </c>
      <c r="O149" s="35">
        <f t="shared" si="144"/>
        <v>-7813.535455207314</v>
      </c>
      <c r="P149" s="35">
        <f t="shared" si="144"/>
        <v>34080.104468232639</v>
      </c>
      <c r="Q149" s="35">
        <f t="shared" si="144"/>
        <v>-53761.498027976282</v>
      </c>
      <c r="R149" s="35">
        <f t="shared" si="144"/>
        <v>21071.259188932912</v>
      </c>
      <c r="S149" s="35">
        <f t="shared" si="144"/>
        <v>-196962.03558978927</v>
      </c>
      <c r="T149" s="35">
        <f t="shared" si="144"/>
        <v>38299.817176630742</v>
      </c>
      <c r="Z149" s="209"/>
      <c r="AA149" s="209"/>
      <c r="AB149" s="209"/>
      <c r="AC149" s="209"/>
    </row>
    <row r="150" spans="1:29" ht="15.75" customHeight="1">
      <c r="A150" s="31">
        <v>5</v>
      </c>
      <c r="B150" s="32" t="s">
        <v>69</v>
      </c>
      <c r="C150" s="31" t="s">
        <v>58</v>
      </c>
      <c r="D150" s="35"/>
      <c r="E150" s="35" t="e">
        <f t="shared" ref="E150:T150" si="145">0.5*(D131+E131)*(E132-D132)/1000</f>
        <v>#DIV/0!</v>
      </c>
      <c r="F150" s="35" t="e">
        <f t="shared" si="145"/>
        <v>#DIV/0!</v>
      </c>
      <c r="G150" s="35">
        <f t="shared" si="145"/>
        <v>11420.096821473016</v>
      </c>
      <c r="H150" s="35">
        <f t="shared" si="145"/>
        <v>-14652.759801336706</v>
      </c>
      <c r="I150" s="35">
        <f t="shared" si="145"/>
        <v>76107.641814282208</v>
      </c>
      <c r="J150" s="35">
        <f t="shared" si="145"/>
        <v>-41814.626528112647</v>
      </c>
      <c r="K150" s="35">
        <f t="shared" si="145"/>
        <v>-13740.740195298567</v>
      </c>
      <c r="L150" s="35">
        <f t="shared" si="145"/>
        <v>-2302.5638263931373</v>
      </c>
      <c r="M150" s="35">
        <f t="shared" si="145"/>
        <v>24880.925120121552</v>
      </c>
      <c r="N150" s="35">
        <f t="shared" si="145"/>
        <v>-108420.40633388898</v>
      </c>
      <c r="O150" s="35">
        <f t="shared" si="145"/>
        <v>24745.321423538076</v>
      </c>
      <c r="P150" s="35">
        <f t="shared" si="145"/>
        <v>26733.17166003399</v>
      </c>
      <c r="Q150" s="35">
        <f t="shared" si="145"/>
        <v>171659.98855298985</v>
      </c>
      <c r="R150" s="35">
        <f t="shared" si="145"/>
        <v>65725.639960929388</v>
      </c>
      <c r="S150" s="35">
        <f t="shared" si="145"/>
        <v>272265.48708045075</v>
      </c>
      <c r="T150" s="35">
        <f t="shared" si="145"/>
        <v>73116.428044612025</v>
      </c>
      <c r="Z150" s="209"/>
      <c r="AA150" s="209"/>
      <c r="AB150" s="209"/>
      <c r="AC150" s="209"/>
    </row>
    <row r="151" spans="1:29" ht="15.75" customHeight="1">
      <c r="A151" s="31">
        <v>6</v>
      </c>
      <c r="B151" s="32" t="s">
        <v>52</v>
      </c>
      <c r="C151" s="31" t="s">
        <v>58</v>
      </c>
      <c r="D151" s="35" t="e">
        <f t="shared" ref="D151:Q151" si="146">D130</f>
        <v>#DIV/0!</v>
      </c>
      <c r="E151" s="35" t="e">
        <f t="shared" si="146"/>
        <v>#DIV/0!</v>
      </c>
      <c r="F151" s="35">
        <f t="shared" si="146"/>
        <v>35010.155282156506</v>
      </c>
      <c r="G151" s="35">
        <f t="shared" si="146"/>
        <v>34155.486678521818</v>
      </c>
      <c r="H151" s="35">
        <f t="shared" si="146"/>
        <v>19502.726877185112</v>
      </c>
      <c r="I151" s="35">
        <f t="shared" si="146"/>
        <v>73799.751714836937</v>
      </c>
      <c r="J151" s="35">
        <f t="shared" si="146"/>
        <v>33762.399729158569</v>
      </c>
      <c r="K151" s="35">
        <f t="shared" si="146"/>
        <v>50123.665438190503</v>
      </c>
      <c r="L151" s="35">
        <f t="shared" si="146"/>
        <v>75206.157612457449</v>
      </c>
      <c r="M151" s="35">
        <f t="shared" si="146"/>
        <v>78627.703209916741</v>
      </c>
      <c r="N151" s="35">
        <f t="shared" si="146"/>
        <v>115623.69823232824</v>
      </c>
      <c r="O151" s="35">
        <f t="shared" si="146"/>
        <v>128560.69610803055</v>
      </c>
      <c r="P151" s="35">
        <f t="shared" si="146"/>
        <v>185956.96972217612</v>
      </c>
      <c r="Q151" s="35">
        <f t="shared" si="146"/>
        <v>300256.28932725167</v>
      </c>
      <c r="R151" s="35">
        <f t="shared" ref="R151:S151" si="147">R130</f>
        <v>378436.43561014492</v>
      </c>
      <c r="S151" s="35">
        <f t="shared" si="147"/>
        <v>436324.53659975063</v>
      </c>
      <c r="T151" s="35">
        <f t="shared" ref="T151" si="148">T130</f>
        <v>534000.07939923031</v>
      </c>
      <c r="Z151" s="209"/>
      <c r="AA151" s="209"/>
      <c r="AB151" s="209"/>
      <c r="AC151" s="209"/>
    </row>
    <row r="152" spans="1:29" ht="15.75" customHeight="1">
      <c r="A152" s="1"/>
      <c r="B152" s="2"/>
      <c r="C152" s="2"/>
      <c r="D152" s="2"/>
      <c r="E152" s="2"/>
      <c r="F152" s="2"/>
      <c r="G152" s="2"/>
      <c r="H152" s="2"/>
      <c r="I152" s="2"/>
      <c r="J152" s="2"/>
      <c r="K152" s="2"/>
      <c r="L152" s="2"/>
      <c r="M152" s="2"/>
      <c r="N152" s="2"/>
      <c r="O152" s="2"/>
      <c r="P152" s="2"/>
      <c r="Q152" s="2"/>
      <c r="R152" s="2"/>
      <c r="S152" s="2"/>
      <c r="T152" s="2"/>
      <c r="Z152" s="209"/>
      <c r="AA152" s="209"/>
      <c r="AB152" s="209"/>
      <c r="AC152" s="209"/>
    </row>
    <row r="153" spans="1:29" ht="15.75" customHeight="1">
      <c r="A153" s="28"/>
      <c r="B153" s="29" t="s">
        <v>53</v>
      </c>
      <c r="C153" s="30"/>
      <c r="D153" s="2"/>
      <c r="E153" s="2" t="e">
        <f t="shared" ref="E153:Q153" si="149">E139+E140-E144+E149+E150=E151</f>
        <v>#DIV/0!</v>
      </c>
      <c r="F153" s="2" t="e">
        <f t="shared" si="149"/>
        <v>#DIV/0!</v>
      </c>
      <c r="G153" s="2" t="b">
        <f t="shared" si="149"/>
        <v>1</v>
      </c>
      <c r="H153" s="2" t="b">
        <f t="shared" si="149"/>
        <v>1</v>
      </c>
      <c r="I153" s="2" t="b">
        <f t="shared" si="149"/>
        <v>1</v>
      </c>
      <c r="J153" s="2" t="b">
        <f t="shared" si="149"/>
        <v>1</v>
      </c>
      <c r="K153" s="2" t="b">
        <f t="shared" si="149"/>
        <v>1</v>
      </c>
      <c r="L153" s="2" t="b">
        <f t="shared" si="149"/>
        <v>0</v>
      </c>
      <c r="M153" s="2" t="b">
        <f t="shared" si="149"/>
        <v>1</v>
      </c>
      <c r="N153" s="2" t="b">
        <f t="shared" si="149"/>
        <v>1</v>
      </c>
      <c r="O153" s="2" t="b">
        <f t="shared" si="149"/>
        <v>1</v>
      </c>
      <c r="P153" s="2" t="b">
        <f t="shared" si="149"/>
        <v>1</v>
      </c>
      <c r="Q153" s="2" t="b">
        <f t="shared" si="149"/>
        <v>1</v>
      </c>
      <c r="R153" s="2" t="b">
        <f t="shared" ref="R153:S153" si="150">R139+R140-R144+R149+R150=R151</f>
        <v>1</v>
      </c>
      <c r="S153" s="2" t="b">
        <f t="shared" si="150"/>
        <v>1</v>
      </c>
      <c r="T153" s="2" t="b">
        <f t="shared" ref="T153" si="151">T139+T140-T144+T149+T150=T151</f>
        <v>1</v>
      </c>
      <c r="Z153" s="209"/>
      <c r="AA153" s="209"/>
      <c r="AB153" s="209"/>
      <c r="AC153" s="209"/>
    </row>
    <row r="154" spans="1:29" ht="15.75" customHeight="1">
      <c r="A154" s="1"/>
      <c r="B154" s="2"/>
      <c r="C154" s="2"/>
      <c r="D154" s="2"/>
      <c r="E154" s="2"/>
      <c r="F154" s="2"/>
      <c r="G154" s="2"/>
      <c r="H154" s="2"/>
      <c r="I154" s="2"/>
      <c r="J154" s="2"/>
      <c r="K154" s="2"/>
      <c r="L154" s="2"/>
      <c r="M154" s="2"/>
      <c r="N154" s="2"/>
      <c r="O154" s="2"/>
      <c r="P154" s="2"/>
      <c r="Q154" s="2"/>
      <c r="R154" s="2"/>
      <c r="S154" s="2"/>
      <c r="T154" s="2"/>
      <c r="Z154" s="209"/>
      <c r="AA154" s="209"/>
      <c r="AB154" s="209"/>
      <c r="AC154" s="209"/>
    </row>
    <row r="155" spans="1:29" ht="15.75" customHeight="1">
      <c r="A155" s="1"/>
      <c r="B155" s="2"/>
      <c r="C155" s="2"/>
      <c r="D155" s="2"/>
      <c r="E155" s="2"/>
      <c r="F155" s="2"/>
      <c r="G155" s="2"/>
      <c r="H155" s="2"/>
      <c r="I155" s="2"/>
      <c r="J155" s="2"/>
      <c r="K155" s="2"/>
      <c r="L155" s="2"/>
      <c r="M155" s="2"/>
      <c r="N155" s="2"/>
      <c r="O155" s="2"/>
      <c r="P155" s="2"/>
      <c r="Q155" s="2"/>
      <c r="R155" s="2"/>
      <c r="S155" s="2"/>
      <c r="T155" s="2"/>
      <c r="Z155" s="209"/>
      <c r="AA155" s="209"/>
      <c r="AB155" s="209"/>
      <c r="AC155" s="209"/>
    </row>
    <row r="156" spans="1:29" ht="15.75" customHeight="1">
      <c r="A156" s="1"/>
      <c r="B156" s="2"/>
      <c r="C156" s="2"/>
      <c r="D156" s="2"/>
      <c r="E156" s="2"/>
      <c r="F156" s="2"/>
      <c r="G156" s="2"/>
      <c r="H156" s="2"/>
      <c r="I156" s="2"/>
      <c r="J156" s="2"/>
      <c r="K156" s="2"/>
      <c r="L156" s="2"/>
      <c r="M156" s="2"/>
      <c r="N156" s="2"/>
      <c r="O156" s="2"/>
      <c r="P156" s="2"/>
      <c r="Q156" s="2"/>
      <c r="R156" s="2"/>
      <c r="S156" s="2"/>
      <c r="T156" s="2"/>
      <c r="Z156" s="209"/>
      <c r="AA156" s="209"/>
      <c r="AB156" s="209"/>
      <c r="AC156" s="209"/>
    </row>
    <row r="157" spans="1:29" ht="15.75" customHeight="1">
      <c r="A157" s="102"/>
      <c r="B157" s="103" t="s">
        <v>70</v>
      </c>
      <c r="C157" s="104"/>
      <c r="D157" s="105"/>
      <c r="E157" s="105"/>
      <c r="F157" s="105"/>
      <c r="G157" s="105"/>
      <c r="H157" s="105"/>
      <c r="I157" s="105"/>
      <c r="J157" s="105"/>
      <c r="K157" s="105"/>
      <c r="L157" s="105"/>
      <c r="M157" s="105"/>
      <c r="N157" s="105"/>
      <c r="O157" s="105"/>
      <c r="P157" s="105"/>
      <c r="Q157" s="105"/>
      <c r="R157" s="105"/>
      <c r="S157" s="105"/>
      <c r="T157" s="105"/>
      <c r="Z157" s="209"/>
      <c r="AA157" s="209"/>
      <c r="AB157" s="209"/>
      <c r="AC157" s="209"/>
    </row>
    <row r="158" spans="1:29" ht="15.75" customHeight="1">
      <c r="A158" s="1"/>
      <c r="B158" s="2"/>
      <c r="C158" s="2"/>
      <c r="D158" s="2"/>
      <c r="E158" s="2"/>
      <c r="F158" s="2"/>
      <c r="G158" s="2"/>
      <c r="H158" s="2"/>
      <c r="I158" s="2"/>
      <c r="J158" s="2"/>
      <c r="K158" s="2"/>
      <c r="L158" s="2"/>
      <c r="M158" s="2"/>
      <c r="N158" s="2"/>
      <c r="O158" s="2"/>
      <c r="P158" s="2"/>
      <c r="Q158" s="2"/>
      <c r="R158" s="2"/>
      <c r="S158" s="2"/>
      <c r="T158" s="2"/>
      <c r="Z158" s="209"/>
      <c r="AA158" s="209"/>
      <c r="AB158" s="209"/>
      <c r="AC158" s="209"/>
    </row>
    <row r="159" spans="1:29" ht="15.75" customHeight="1">
      <c r="A159" s="6" t="s">
        <v>121</v>
      </c>
      <c r="B159" s="2"/>
      <c r="C159" s="2"/>
      <c r="D159" s="2"/>
      <c r="E159" s="2"/>
      <c r="F159" s="2"/>
      <c r="G159" s="2"/>
      <c r="H159" s="2"/>
      <c r="I159" s="2"/>
      <c r="J159" s="2"/>
      <c r="K159" s="2"/>
      <c r="L159" s="2"/>
      <c r="M159" s="2"/>
      <c r="N159" s="2"/>
      <c r="O159" s="2"/>
      <c r="P159" s="2"/>
      <c r="Q159" s="2"/>
      <c r="R159" s="2"/>
      <c r="S159" s="2"/>
      <c r="T159" s="2"/>
      <c r="Z159" s="209"/>
      <c r="AA159" s="209"/>
      <c r="AB159" s="209"/>
      <c r="AC159" s="209"/>
    </row>
    <row r="160" spans="1:29" ht="15.75" customHeight="1">
      <c r="A160" s="1"/>
      <c r="B160" s="2"/>
      <c r="C160" s="2"/>
      <c r="D160" s="2"/>
      <c r="E160" s="2"/>
      <c r="F160" s="2"/>
      <c r="G160" s="2"/>
      <c r="H160" s="2"/>
      <c r="I160" s="2"/>
      <c r="J160" s="2"/>
      <c r="K160" s="2"/>
      <c r="L160" s="2"/>
      <c r="M160" s="2"/>
      <c r="N160" s="2"/>
      <c r="O160" s="2"/>
      <c r="P160" s="2"/>
      <c r="Q160" s="2"/>
      <c r="R160" s="2"/>
      <c r="S160" s="2"/>
      <c r="T160" s="2"/>
      <c r="Z160" s="209"/>
      <c r="AA160" s="209"/>
      <c r="AB160" s="209"/>
      <c r="AC160" s="209"/>
    </row>
    <row r="161" spans="1:29" ht="15.75" customHeight="1">
      <c r="A161" s="106" t="s">
        <v>3</v>
      </c>
      <c r="B161" s="106" t="s">
        <v>4</v>
      </c>
      <c r="C161" s="106" t="s">
        <v>5</v>
      </c>
      <c r="D161" s="106">
        <f t="shared" ref="D161:T161" si="152">D$3</f>
        <v>2008</v>
      </c>
      <c r="E161" s="106">
        <f t="shared" si="152"/>
        <v>2009</v>
      </c>
      <c r="F161" s="106">
        <f t="shared" si="152"/>
        <v>2010</v>
      </c>
      <c r="G161" s="106">
        <f t="shared" si="152"/>
        <v>2011</v>
      </c>
      <c r="H161" s="106">
        <f t="shared" si="152"/>
        <v>2012</v>
      </c>
      <c r="I161" s="106">
        <f t="shared" si="152"/>
        <v>2013</v>
      </c>
      <c r="J161" s="106">
        <f t="shared" si="152"/>
        <v>2014</v>
      </c>
      <c r="K161" s="106">
        <f t="shared" si="152"/>
        <v>2015</v>
      </c>
      <c r="L161" s="106">
        <f t="shared" si="152"/>
        <v>2016</v>
      </c>
      <c r="M161" s="106">
        <f t="shared" si="152"/>
        <v>2017</v>
      </c>
      <c r="N161" s="106">
        <f t="shared" si="152"/>
        <v>2018</v>
      </c>
      <c r="O161" s="106">
        <f t="shared" si="152"/>
        <v>2019</v>
      </c>
      <c r="P161" s="106">
        <f t="shared" si="152"/>
        <v>2020</v>
      </c>
      <c r="Q161" s="106">
        <f t="shared" si="152"/>
        <v>2021</v>
      </c>
      <c r="R161" s="106">
        <f t="shared" si="152"/>
        <v>2022</v>
      </c>
      <c r="S161" s="106">
        <f t="shared" si="152"/>
        <v>2023</v>
      </c>
      <c r="T161" s="106">
        <f t="shared" si="152"/>
        <v>2024</v>
      </c>
      <c r="Z161" s="209"/>
      <c r="AA161" s="209"/>
      <c r="AB161" s="209"/>
      <c r="AC161" s="209"/>
    </row>
    <row r="162" spans="1:29" ht="15.75" customHeight="1">
      <c r="A162" s="9">
        <v>-1</v>
      </c>
      <c r="B162" s="9">
        <f t="shared" ref="B162:T162" si="153">A162-1</f>
        <v>-2</v>
      </c>
      <c r="C162" s="9">
        <f t="shared" si="153"/>
        <v>-3</v>
      </c>
      <c r="D162" s="9">
        <f t="shared" si="153"/>
        <v>-4</v>
      </c>
      <c r="E162" s="9">
        <f t="shared" si="153"/>
        <v>-5</v>
      </c>
      <c r="F162" s="9">
        <f t="shared" si="153"/>
        <v>-6</v>
      </c>
      <c r="G162" s="9">
        <f t="shared" si="153"/>
        <v>-7</v>
      </c>
      <c r="H162" s="9">
        <f t="shared" si="153"/>
        <v>-8</v>
      </c>
      <c r="I162" s="9">
        <f t="shared" si="153"/>
        <v>-9</v>
      </c>
      <c r="J162" s="9">
        <f t="shared" si="153"/>
        <v>-10</v>
      </c>
      <c r="K162" s="9">
        <f t="shared" si="153"/>
        <v>-11</v>
      </c>
      <c r="L162" s="9">
        <f t="shared" si="153"/>
        <v>-12</v>
      </c>
      <c r="M162" s="9">
        <f t="shared" si="153"/>
        <v>-13</v>
      </c>
      <c r="N162" s="9">
        <f t="shared" si="153"/>
        <v>-14</v>
      </c>
      <c r="O162" s="9">
        <f t="shared" si="153"/>
        <v>-15</v>
      </c>
      <c r="P162" s="9">
        <f t="shared" si="153"/>
        <v>-16</v>
      </c>
      <c r="Q162" s="9">
        <f t="shared" si="153"/>
        <v>-17</v>
      </c>
      <c r="R162" s="9">
        <f t="shared" si="153"/>
        <v>-18</v>
      </c>
      <c r="S162" s="9">
        <f t="shared" si="153"/>
        <v>-19</v>
      </c>
      <c r="T162" s="9">
        <f t="shared" si="153"/>
        <v>-20</v>
      </c>
      <c r="Z162" s="209"/>
      <c r="AA162" s="209"/>
      <c r="AB162" s="209"/>
      <c r="AC162" s="209"/>
    </row>
    <row r="163" spans="1:29" ht="15.75" customHeight="1">
      <c r="A163" s="14">
        <v>1</v>
      </c>
      <c r="B163" s="21" t="s">
        <v>72</v>
      </c>
      <c r="C163" s="14" t="s">
        <v>22</v>
      </c>
      <c r="D163" s="22"/>
      <c r="E163" s="22"/>
      <c r="F163" s="22"/>
      <c r="G163" s="22"/>
      <c r="H163" s="22"/>
      <c r="I163" s="22"/>
      <c r="J163" s="22"/>
      <c r="K163" s="22"/>
      <c r="L163" s="40">
        <v>2618682.5047323802</v>
      </c>
      <c r="M163" s="22"/>
      <c r="N163" s="22"/>
      <c r="O163" s="22"/>
      <c r="P163" s="22"/>
      <c r="Q163" s="22"/>
      <c r="R163" s="22"/>
      <c r="S163" s="22"/>
      <c r="T163" s="22"/>
      <c r="Z163" s="209"/>
      <c r="AA163" s="209"/>
      <c r="AB163" s="209"/>
      <c r="AC163" s="209"/>
    </row>
    <row r="164" spans="1:29" ht="15.75" customHeight="1">
      <c r="A164" s="14">
        <v>2</v>
      </c>
      <c r="B164" s="15" t="s">
        <v>26</v>
      </c>
      <c r="C164" s="14" t="s">
        <v>22</v>
      </c>
      <c r="D164" s="22"/>
      <c r="E164" s="22"/>
      <c r="F164" s="22"/>
      <c r="G164" s="22"/>
      <c r="H164" s="22"/>
      <c r="I164" s="22"/>
      <c r="J164" s="22"/>
      <c r="K164" s="22"/>
      <c r="L164" s="41">
        <v>1362970.3225008401</v>
      </c>
      <c r="M164" s="22"/>
      <c r="N164" s="22"/>
      <c r="O164" s="22"/>
      <c r="P164" s="22"/>
      <c r="Q164" s="22"/>
      <c r="R164" s="22"/>
      <c r="S164" s="22"/>
      <c r="T164" s="22"/>
      <c r="Z164" s="209"/>
      <c r="AA164" s="209"/>
      <c r="AB164" s="209"/>
      <c r="AC164" s="209"/>
    </row>
    <row r="165" spans="1:29" ht="15.75" customHeight="1">
      <c r="A165" s="14">
        <v>3</v>
      </c>
      <c r="B165" s="21" t="s">
        <v>73</v>
      </c>
      <c r="C165" s="14" t="s">
        <v>22</v>
      </c>
      <c r="D165" s="22"/>
      <c r="E165" s="22"/>
      <c r="F165" s="22"/>
      <c r="G165" s="22"/>
      <c r="H165" s="22"/>
      <c r="I165" s="22"/>
      <c r="J165" s="22"/>
      <c r="K165" s="22"/>
      <c r="L165" s="41">
        <v>2359927.52423862</v>
      </c>
      <c r="M165" s="22"/>
      <c r="N165" s="22"/>
      <c r="O165" s="22"/>
      <c r="P165" s="22"/>
      <c r="Q165" s="22"/>
      <c r="R165" s="22"/>
      <c r="S165" s="22"/>
      <c r="T165" s="22"/>
      <c r="Z165" s="209"/>
      <c r="AA165" s="209"/>
      <c r="AB165" s="209"/>
      <c r="AC165" s="209"/>
    </row>
    <row r="166" spans="1:29" ht="15.75" customHeight="1">
      <c r="A166" s="14">
        <v>4</v>
      </c>
      <c r="B166" s="21" t="s">
        <v>35</v>
      </c>
      <c r="C166" s="14" t="s">
        <v>22</v>
      </c>
      <c r="D166" s="22"/>
      <c r="E166" s="22"/>
      <c r="F166" s="22"/>
      <c r="G166" s="22"/>
      <c r="H166" s="22"/>
      <c r="I166" s="22"/>
      <c r="J166" s="22"/>
      <c r="K166" s="22"/>
      <c r="L166" s="41">
        <v>1767776.8099895001</v>
      </c>
      <c r="M166" s="22"/>
      <c r="N166" s="22"/>
      <c r="O166" s="22"/>
      <c r="P166" s="22"/>
      <c r="Q166" s="22"/>
      <c r="R166" s="22"/>
      <c r="S166" s="22"/>
      <c r="T166" s="22"/>
      <c r="Z166" s="209"/>
      <c r="AA166" s="209"/>
      <c r="AB166" s="209"/>
      <c r="AC166" s="209"/>
    </row>
    <row r="167" spans="1:29" ht="15.75" customHeight="1">
      <c r="A167" s="14">
        <v>5</v>
      </c>
      <c r="B167" s="21" t="s">
        <v>74</v>
      </c>
      <c r="C167" s="14" t="s">
        <v>22</v>
      </c>
      <c r="D167" s="22"/>
      <c r="E167" s="22"/>
      <c r="F167" s="22"/>
      <c r="G167" s="22"/>
      <c r="H167" s="22"/>
      <c r="I167" s="22"/>
      <c r="J167" s="22"/>
      <c r="K167" s="22"/>
      <c r="L167" s="41">
        <v>40901.315667761803</v>
      </c>
      <c r="M167" s="22"/>
      <c r="N167" s="22"/>
      <c r="O167" s="22"/>
      <c r="P167" s="22"/>
      <c r="Q167" s="22"/>
      <c r="R167" s="22"/>
      <c r="S167" s="22"/>
      <c r="T167" s="22"/>
      <c r="Z167" s="209"/>
      <c r="AA167" s="209"/>
      <c r="AB167" s="209"/>
      <c r="AC167" s="209"/>
    </row>
    <row r="168" spans="1:29" ht="15.75" customHeight="1">
      <c r="A168" s="14">
        <v>6</v>
      </c>
      <c r="B168" s="21" t="s">
        <v>75</v>
      </c>
      <c r="C168" s="14" t="s">
        <v>22</v>
      </c>
      <c r="D168" s="22"/>
      <c r="E168" s="22"/>
      <c r="F168" s="22"/>
      <c r="G168" s="22"/>
      <c r="H168" s="22"/>
      <c r="I168" s="22"/>
      <c r="J168" s="22"/>
      <c r="K168" s="22"/>
      <c r="L168" s="41">
        <v>0</v>
      </c>
      <c r="M168" s="22"/>
      <c r="N168" s="22"/>
      <c r="O168" s="22"/>
      <c r="P168" s="22"/>
      <c r="Q168" s="22"/>
      <c r="R168" s="22"/>
      <c r="S168" s="22"/>
      <c r="T168" s="22"/>
      <c r="Z168" s="209"/>
      <c r="AA168" s="209"/>
      <c r="AB168" s="209"/>
      <c r="AC168" s="209"/>
    </row>
    <row r="169" spans="1:29" ht="15.75" customHeight="1">
      <c r="A169" s="31">
        <v>7</v>
      </c>
      <c r="B169" s="42" t="s">
        <v>29</v>
      </c>
      <c r="C169" s="31" t="s">
        <v>22</v>
      </c>
      <c r="D169" s="43"/>
      <c r="E169" s="43"/>
      <c r="F169" s="43"/>
      <c r="G169" s="43"/>
      <c r="H169" s="43"/>
      <c r="I169" s="43"/>
      <c r="J169" s="43"/>
      <c r="K169" s="43"/>
      <c r="L169" s="44">
        <f>SUM(L163:L168)</f>
        <v>8150258.4771291018</v>
      </c>
      <c r="M169" s="43"/>
      <c r="N169" s="43"/>
      <c r="O169" s="43"/>
      <c r="P169" s="43"/>
      <c r="Q169" s="43"/>
      <c r="R169" s="43"/>
      <c r="S169" s="43"/>
      <c r="T169" s="43"/>
      <c r="Z169" s="209"/>
      <c r="AA169" s="209"/>
      <c r="AB169" s="209"/>
      <c r="AC169" s="209"/>
    </row>
    <row r="170" spans="1:29" ht="15.75" customHeight="1">
      <c r="A170" s="17" t="s">
        <v>76</v>
      </c>
      <c r="B170" s="2"/>
      <c r="C170" s="2"/>
      <c r="D170" s="2"/>
      <c r="E170" s="2"/>
      <c r="F170" s="2"/>
      <c r="G170" s="2"/>
      <c r="H170" s="2"/>
      <c r="I170" s="2"/>
      <c r="J170" s="2"/>
      <c r="K170" s="2"/>
      <c r="L170" s="2"/>
      <c r="M170" s="2"/>
      <c r="N170" s="2"/>
      <c r="O170" s="2"/>
      <c r="P170" s="2"/>
      <c r="Q170" s="2"/>
      <c r="R170" s="2"/>
      <c r="S170" s="2"/>
      <c r="T170" s="2"/>
      <c r="Z170" s="209"/>
      <c r="AA170" s="209"/>
      <c r="AB170" s="209"/>
      <c r="AC170" s="209"/>
    </row>
    <row r="171" spans="1:29" ht="15.75" customHeight="1">
      <c r="A171" s="1"/>
      <c r="B171" s="2"/>
      <c r="C171" s="2"/>
      <c r="D171" s="2"/>
      <c r="E171" s="2"/>
      <c r="F171" s="2"/>
      <c r="G171" s="2"/>
      <c r="H171" s="2"/>
      <c r="I171" s="2"/>
      <c r="J171" s="2"/>
      <c r="K171" s="2"/>
      <c r="L171" s="2"/>
      <c r="M171" s="2"/>
      <c r="N171" s="2"/>
      <c r="O171" s="2"/>
      <c r="P171" s="2"/>
      <c r="Q171" s="2"/>
      <c r="R171" s="2"/>
      <c r="S171" s="2"/>
      <c r="T171" s="2"/>
      <c r="Z171" s="209"/>
      <c r="AA171" s="209"/>
      <c r="AB171" s="209"/>
      <c r="AC171" s="209"/>
    </row>
    <row r="172" spans="1:29" ht="15.75" customHeight="1">
      <c r="A172" s="1"/>
      <c r="B172" s="2"/>
      <c r="C172" s="2"/>
      <c r="D172" s="2"/>
      <c r="E172" s="2"/>
      <c r="F172" s="2"/>
      <c r="G172" s="2"/>
      <c r="H172" s="2"/>
      <c r="I172" s="2"/>
      <c r="J172" s="2"/>
      <c r="K172" s="2"/>
      <c r="L172" s="2"/>
      <c r="M172" s="2"/>
      <c r="N172" s="2"/>
      <c r="O172" s="2"/>
      <c r="P172" s="2"/>
      <c r="Q172" s="2"/>
      <c r="R172" s="2"/>
      <c r="S172" s="2"/>
      <c r="T172" s="2"/>
      <c r="Z172" s="209"/>
      <c r="AA172" s="209"/>
      <c r="AB172" s="209"/>
      <c r="AC172" s="209"/>
    </row>
    <row r="173" spans="1:29" ht="15.75" customHeight="1">
      <c r="A173" s="1"/>
      <c r="B173" s="2"/>
      <c r="C173" s="2"/>
      <c r="D173" s="2"/>
      <c r="E173" s="2"/>
      <c r="F173" s="2"/>
      <c r="G173" s="2"/>
      <c r="H173" s="2"/>
      <c r="I173" s="2"/>
      <c r="J173" s="2"/>
      <c r="K173" s="2"/>
      <c r="L173" s="2"/>
      <c r="M173" s="2"/>
      <c r="N173" s="2"/>
      <c r="O173" s="2"/>
      <c r="P173" s="2"/>
      <c r="Q173" s="2"/>
      <c r="R173" s="2"/>
      <c r="S173" s="2"/>
      <c r="T173" s="2"/>
      <c r="Z173" s="209"/>
      <c r="AA173" s="209"/>
      <c r="AB173" s="209"/>
      <c r="AC173" s="209"/>
    </row>
    <row r="174" spans="1:29" ht="15.75" customHeight="1">
      <c r="A174" s="1"/>
      <c r="B174" s="2"/>
      <c r="C174" s="2"/>
      <c r="D174" s="2"/>
      <c r="E174" s="2"/>
      <c r="F174" s="2"/>
      <c r="G174" s="2"/>
      <c r="H174" s="2"/>
      <c r="I174" s="2"/>
      <c r="J174" s="2"/>
      <c r="K174" s="2"/>
      <c r="L174" s="2"/>
      <c r="M174" s="2"/>
      <c r="N174" s="2"/>
      <c r="O174" s="2"/>
      <c r="P174" s="2"/>
      <c r="Q174" s="2"/>
      <c r="R174" s="2"/>
      <c r="S174" s="2"/>
      <c r="T174" s="2"/>
      <c r="Z174" s="209"/>
      <c r="AA174" s="209"/>
      <c r="AB174" s="209"/>
      <c r="AC174" s="209"/>
    </row>
    <row r="175" spans="1:29" ht="15.75" customHeight="1">
      <c r="A175" s="1"/>
      <c r="B175" s="2"/>
      <c r="C175" s="2"/>
      <c r="D175" s="2"/>
      <c r="E175" s="2"/>
      <c r="F175" s="2"/>
      <c r="G175" s="2"/>
      <c r="H175" s="2"/>
      <c r="I175" s="2"/>
      <c r="J175" s="2"/>
      <c r="K175" s="2"/>
      <c r="L175" s="2"/>
      <c r="M175" s="2"/>
      <c r="N175" s="2"/>
      <c r="O175" s="2"/>
      <c r="P175" s="2"/>
      <c r="Q175" s="2"/>
      <c r="R175" s="2"/>
      <c r="S175" s="2"/>
      <c r="T175" s="2"/>
      <c r="Z175" s="209"/>
      <c r="AA175" s="209"/>
      <c r="AB175" s="209"/>
      <c r="AC175" s="209"/>
    </row>
    <row r="176" spans="1:29" ht="15.75" customHeight="1">
      <c r="A176" s="1"/>
      <c r="B176" s="2"/>
      <c r="C176" s="2"/>
      <c r="D176" s="2"/>
      <c r="E176" s="2"/>
      <c r="F176" s="2"/>
      <c r="G176" s="2"/>
      <c r="H176" s="2"/>
      <c r="I176" s="2"/>
      <c r="J176" s="2"/>
      <c r="K176" s="2"/>
      <c r="L176" s="2"/>
      <c r="M176" s="2"/>
      <c r="N176" s="2"/>
      <c r="O176" s="2"/>
      <c r="P176" s="2"/>
      <c r="Q176" s="2"/>
      <c r="R176" s="2"/>
      <c r="S176" s="2"/>
      <c r="T176" s="2"/>
      <c r="Z176" s="209"/>
      <c r="AA176" s="209"/>
      <c r="AB176" s="209"/>
      <c r="AC176" s="209"/>
    </row>
    <row r="177" spans="1:29" ht="15.75" customHeight="1">
      <c r="A177" s="1"/>
      <c r="B177" s="2"/>
      <c r="C177" s="2"/>
      <c r="D177" s="2"/>
      <c r="E177" s="2"/>
      <c r="F177" s="2"/>
      <c r="G177" s="2"/>
      <c r="H177" s="2"/>
      <c r="I177" s="2"/>
      <c r="J177" s="2"/>
      <c r="K177" s="2"/>
      <c r="L177" s="2"/>
      <c r="M177" s="2"/>
      <c r="N177" s="2"/>
      <c r="O177" s="2"/>
      <c r="P177" s="2"/>
      <c r="Q177" s="2"/>
      <c r="R177" s="2"/>
      <c r="S177" s="2"/>
      <c r="T177" s="2"/>
      <c r="Z177" s="209"/>
      <c r="AA177" s="209"/>
      <c r="AB177" s="209"/>
      <c r="AC177" s="209"/>
    </row>
    <row r="178" spans="1:29" ht="15.75" customHeight="1">
      <c r="A178" s="1"/>
      <c r="B178" s="2"/>
      <c r="C178" s="2"/>
      <c r="D178" s="2"/>
      <c r="E178" s="2"/>
      <c r="F178" s="2"/>
      <c r="G178" s="2"/>
      <c r="H178" s="2"/>
      <c r="I178" s="2"/>
      <c r="J178" s="2"/>
      <c r="K178" s="2"/>
      <c r="L178" s="2"/>
      <c r="M178" s="2"/>
      <c r="N178" s="2"/>
      <c r="O178" s="2"/>
      <c r="P178" s="2"/>
      <c r="Q178" s="2"/>
      <c r="R178" s="2"/>
      <c r="S178" s="2"/>
      <c r="T178" s="2"/>
      <c r="Z178" s="209"/>
      <c r="AA178" s="209"/>
      <c r="AB178" s="209"/>
      <c r="AC178" s="209"/>
    </row>
    <row r="179" spans="1:29" ht="15.75" customHeight="1">
      <c r="A179" s="1"/>
      <c r="B179" s="2"/>
      <c r="C179" s="2"/>
      <c r="D179" s="2"/>
      <c r="E179" s="2"/>
      <c r="F179" s="2"/>
      <c r="G179" s="2"/>
      <c r="H179" s="2"/>
      <c r="I179" s="2"/>
      <c r="J179" s="2"/>
      <c r="K179" s="2"/>
      <c r="L179" s="2"/>
      <c r="M179" s="2"/>
      <c r="N179" s="2"/>
      <c r="O179" s="2"/>
      <c r="P179" s="2"/>
      <c r="Q179" s="2"/>
      <c r="R179" s="2"/>
      <c r="S179" s="2"/>
      <c r="T179" s="2"/>
      <c r="Z179" s="209"/>
      <c r="AA179" s="209"/>
      <c r="AB179" s="209"/>
      <c r="AC179" s="209"/>
    </row>
    <row r="180" spans="1:29" ht="15.75" customHeight="1">
      <c r="A180" s="1"/>
      <c r="B180" s="2"/>
      <c r="C180" s="2"/>
      <c r="D180" s="2"/>
      <c r="E180" s="2"/>
      <c r="F180" s="2"/>
      <c r="G180" s="2"/>
      <c r="H180" s="2"/>
      <c r="I180" s="2"/>
      <c r="J180" s="2"/>
      <c r="K180" s="2"/>
      <c r="L180" s="2"/>
      <c r="M180" s="2"/>
      <c r="N180" s="2"/>
      <c r="O180" s="2"/>
      <c r="P180" s="2"/>
      <c r="Q180" s="2"/>
      <c r="R180" s="2"/>
      <c r="S180" s="2"/>
      <c r="T180" s="2"/>
      <c r="Z180" s="209"/>
      <c r="AA180" s="209"/>
      <c r="AB180" s="209"/>
      <c r="AC180" s="209"/>
    </row>
    <row r="181" spans="1:29" ht="15.75" customHeight="1">
      <c r="A181" s="1"/>
      <c r="B181" s="2"/>
      <c r="C181" s="2"/>
      <c r="D181" s="2"/>
      <c r="E181" s="2"/>
      <c r="F181" s="2"/>
      <c r="G181" s="2"/>
      <c r="H181" s="2"/>
      <c r="I181" s="2"/>
      <c r="J181" s="2"/>
      <c r="K181" s="2"/>
      <c r="L181" s="2"/>
      <c r="M181" s="2"/>
      <c r="N181" s="2"/>
      <c r="O181" s="2"/>
      <c r="P181" s="2"/>
      <c r="Q181" s="2"/>
      <c r="R181" s="2"/>
      <c r="S181" s="2"/>
      <c r="T181" s="2"/>
    </row>
    <row r="182" spans="1:29" ht="15.75" customHeight="1">
      <c r="A182" s="1"/>
      <c r="B182" s="2"/>
      <c r="C182" s="2"/>
      <c r="D182" s="2"/>
      <c r="E182" s="2"/>
      <c r="F182" s="2"/>
      <c r="G182" s="2"/>
      <c r="H182" s="2"/>
      <c r="I182" s="2"/>
      <c r="J182" s="2"/>
      <c r="K182" s="2"/>
      <c r="L182" s="2"/>
      <c r="M182" s="2"/>
      <c r="N182" s="2"/>
      <c r="O182" s="2"/>
      <c r="P182" s="2"/>
      <c r="Q182" s="2"/>
      <c r="R182" s="2"/>
      <c r="S182" s="2"/>
      <c r="T182" s="2"/>
    </row>
    <row r="183" spans="1:29" ht="15.75" customHeight="1">
      <c r="A183" s="1"/>
      <c r="B183" s="2"/>
      <c r="C183" s="2"/>
      <c r="D183" s="2"/>
      <c r="E183" s="2"/>
      <c r="F183" s="2"/>
      <c r="G183" s="2"/>
      <c r="H183" s="2"/>
      <c r="I183" s="2"/>
      <c r="J183" s="2"/>
      <c r="K183" s="2"/>
      <c r="L183" s="2"/>
      <c r="M183" s="2"/>
      <c r="N183" s="2"/>
      <c r="O183" s="2"/>
      <c r="P183" s="2"/>
      <c r="Q183" s="2"/>
      <c r="R183" s="2"/>
      <c r="S183" s="2"/>
      <c r="T183" s="2"/>
    </row>
    <row r="184" spans="1:29" ht="15.75" customHeight="1">
      <c r="A184" s="1"/>
      <c r="B184" s="2"/>
      <c r="C184" s="2"/>
      <c r="D184" s="2"/>
      <c r="E184" s="2"/>
      <c r="F184" s="2"/>
      <c r="G184" s="2"/>
      <c r="H184" s="2"/>
      <c r="I184" s="2"/>
      <c r="J184" s="2"/>
      <c r="K184" s="2"/>
      <c r="L184" s="2"/>
      <c r="M184" s="2"/>
      <c r="N184" s="2"/>
      <c r="O184" s="2"/>
      <c r="P184" s="2"/>
      <c r="Q184" s="2"/>
      <c r="R184" s="2"/>
      <c r="S184" s="2"/>
      <c r="T184" s="2"/>
    </row>
    <row r="185" spans="1:29" ht="15.75" customHeight="1">
      <c r="A185" s="1"/>
      <c r="B185" s="2"/>
      <c r="C185" s="2"/>
      <c r="D185" s="2"/>
      <c r="E185" s="2"/>
      <c r="F185" s="2"/>
      <c r="G185" s="2"/>
      <c r="H185" s="2"/>
      <c r="I185" s="2"/>
      <c r="J185" s="2"/>
      <c r="K185" s="2"/>
      <c r="L185" s="2"/>
      <c r="M185" s="2"/>
      <c r="N185" s="2"/>
      <c r="O185" s="2"/>
      <c r="P185" s="2"/>
      <c r="Q185" s="2"/>
      <c r="R185" s="2"/>
      <c r="S185" s="2"/>
      <c r="T185" s="2"/>
    </row>
    <row r="186" spans="1:29" ht="15.75" customHeight="1">
      <c r="A186" s="1"/>
      <c r="B186" s="2"/>
      <c r="C186" s="2"/>
      <c r="D186" s="2"/>
      <c r="E186" s="2"/>
      <c r="F186" s="2"/>
      <c r="G186" s="2"/>
      <c r="H186" s="2"/>
      <c r="I186" s="2"/>
      <c r="J186" s="2"/>
      <c r="K186" s="2"/>
      <c r="L186" s="2"/>
      <c r="M186" s="2"/>
      <c r="N186" s="2"/>
      <c r="O186" s="2"/>
      <c r="P186" s="2"/>
      <c r="Q186" s="2"/>
      <c r="R186" s="2"/>
      <c r="S186" s="2"/>
      <c r="T186" s="2"/>
    </row>
    <row r="187" spans="1:29" ht="15.75" customHeight="1">
      <c r="A187" s="1"/>
      <c r="B187" s="2"/>
      <c r="C187" s="2"/>
      <c r="D187" s="2"/>
      <c r="E187" s="2"/>
      <c r="F187" s="2"/>
      <c r="G187" s="2"/>
      <c r="H187" s="2"/>
      <c r="I187" s="2"/>
      <c r="J187" s="2"/>
      <c r="K187" s="2"/>
      <c r="L187" s="2"/>
      <c r="M187" s="2"/>
      <c r="N187" s="2"/>
      <c r="O187" s="2"/>
      <c r="P187" s="2"/>
      <c r="Q187" s="2"/>
      <c r="R187" s="2"/>
      <c r="S187" s="2"/>
      <c r="T187" s="2"/>
    </row>
    <row r="188" spans="1:29" ht="15.75" customHeight="1">
      <c r="A188" s="1"/>
      <c r="B188" s="2"/>
      <c r="C188" s="2"/>
      <c r="D188" s="2"/>
      <c r="E188" s="2"/>
      <c r="F188" s="2"/>
      <c r="G188" s="2"/>
      <c r="H188" s="2"/>
      <c r="I188" s="2"/>
      <c r="J188" s="2"/>
      <c r="K188" s="2"/>
      <c r="L188" s="2"/>
      <c r="M188" s="2"/>
      <c r="N188" s="2"/>
      <c r="O188" s="2"/>
      <c r="P188" s="2"/>
      <c r="Q188" s="2"/>
      <c r="R188" s="2"/>
      <c r="S188" s="2"/>
      <c r="T188" s="2"/>
    </row>
    <row r="189" spans="1:29" ht="15.75" customHeight="1">
      <c r="A189" s="1"/>
      <c r="B189" s="2"/>
      <c r="C189" s="2"/>
      <c r="D189" s="2"/>
      <c r="E189" s="2"/>
      <c r="F189" s="2"/>
      <c r="G189" s="2"/>
      <c r="H189" s="2"/>
      <c r="I189" s="2"/>
      <c r="J189" s="2"/>
      <c r="K189" s="2"/>
      <c r="L189" s="2"/>
      <c r="M189" s="2"/>
      <c r="N189" s="2"/>
      <c r="O189" s="2"/>
      <c r="P189" s="2"/>
      <c r="Q189" s="2"/>
      <c r="R189" s="2"/>
      <c r="S189" s="2"/>
      <c r="T189" s="2"/>
    </row>
    <row r="190" spans="1:29" ht="15.75" customHeight="1">
      <c r="A190" s="1"/>
      <c r="B190" s="2"/>
      <c r="C190" s="2"/>
      <c r="D190" s="2"/>
      <c r="E190" s="2"/>
      <c r="F190" s="2"/>
      <c r="G190" s="2"/>
      <c r="H190" s="2"/>
      <c r="I190" s="2"/>
      <c r="J190" s="2"/>
      <c r="K190" s="2"/>
      <c r="L190" s="2"/>
      <c r="M190" s="2"/>
      <c r="N190" s="2"/>
      <c r="O190" s="2"/>
      <c r="P190" s="2"/>
      <c r="Q190" s="2"/>
      <c r="R190" s="2"/>
      <c r="S190" s="2"/>
      <c r="T190" s="2"/>
    </row>
    <row r="191" spans="1:29" ht="15.75" customHeight="1">
      <c r="A191" s="1"/>
      <c r="B191" s="2"/>
      <c r="C191" s="2"/>
      <c r="D191" s="2"/>
      <c r="E191" s="2"/>
      <c r="F191" s="2"/>
      <c r="G191" s="2"/>
      <c r="H191" s="2"/>
      <c r="I191" s="2"/>
      <c r="J191" s="2"/>
      <c r="K191" s="2"/>
      <c r="L191" s="2"/>
      <c r="M191" s="2"/>
      <c r="N191" s="2"/>
      <c r="O191" s="2"/>
      <c r="P191" s="2"/>
      <c r="Q191" s="2"/>
      <c r="R191" s="2"/>
      <c r="S191" s="2"/>
      <c r="T191" s="2"/>
    </row>
    <row r="192" spans="1:29" ht="15.75" customHeight="1">
      <c r="A192" s="1"/>
      <c r="B192" s="2"/>
      <c r="C192" s="2"/>
      <c r="D192" s="2"/>
      <c r="E192" s="2"/>
      <c r="F192" s="2"/>
      <c r="G192" s="2"/>
      <c r="H192" s="2"/>
      <c r="I192" s="2"/>
      <c r="J192" s="2"/>
      <c r="K192" s="2"/>
      <c r="L192" s="2"/>
      <c r="M192" s="2"/>
      <c r="N192" s="2"/>
      <c r="O192" s="2"/>
      <c r="P192" s="2"/>
      <c r="Q192" s="2"/>
      <c r="R192" s="2"/>
      <c r="S192" s="2"/>
      <c r="T192" s="2"/>
    </row>
    <row r="193" spans="1:20" ht="15.75" customHeight="1">
      <c r="A193" s="1"/>
      <c r="B193" s="2"/>
      <c r="C193" s="2"/>
      <c r="D193" s="2"/>
      <c r="E193" s="2"/>
      <c r="F193" s="2"/>
      <c r="G193" s="2"/>
      <c r="H193" s="2"/>
      <c r="I193" s="2"/>
      <c r="J193" s="2"/>
      <c r="K193" s="2"/>
      <c r="L193" s="2"/>
      <c r="M193" s="2"/>
      <c r="N193" s="2"/>
      <c r="O193" s="2"/>
      <c r="P193" s="2"/>
      <c r="Q193" s="2"/>
      <c r="R193" s="2"/>
      <c r="S193" s="2"/>
      <c r="T193" s="2"/>
    </row>
    <row r="194" spans="1:20" ht="15.75" customHeight="1">
      <c r="A194" s="1"/>
      <c r="B194" s="2"/>
      <c r="C194" s="2"/>
      <c r="D194" s="2"/>
      <c r="E194" s="2"/>
      <c r="F194" s="2"/>
      <c r="G194" s="2"/>
      <c r="H194" s="2"/>
      <c r="I194" s="2"/>
      <c r="J194" s="2"/>
      <c r="K194" s="2"/>
      <c r="L194" s="2"/>
      <c r="M194" s="2"/>
      <c r="N194" s="2"/>
      <c r="O194" s="2"/>
      <c r="P194" s="2"/>
      <c r="Q194" s="2"/>
      <c r="R194" s="2"/>
      <c r="S194" s="2"/>
      <c r="T194" s="2"/>
    </row>
    <row r="195" spans="1:20" ht="15.75" customHeight="1">
      <c r="A195" s="1"/>
      <c r="B195" s="2"/>
      <c r="C195" s="2"/>
      <c r="D195" s="2"/>
      <c r="E195" s="2"/>
      <c r="F195" s="2"/>
      <c r="G195" s="2"/>
      <c r="H195" s="2"/>
      <c r="I195" s="2"/>
      <c r="J195" s="2"/>
      <c r="K195" s="2"/>
      <c r="L195" s="2"/>
      <c r="M195" s="2"/>
      <c r="N195" s="2"/>
      <c r="O195" s="2"/>
      <c r="P195" s="2"/>
      <c r="Q195" s="2"/>
      <c r="R195" s="2"/>
      <c r="S195" s="2"/>
      <c r="T195" s="2"/>
    </row>
    <row r="196" spans="1:20" ht="15.75" customHeight="1">
      <c r="A196" s="1"/>
      <c r="B196" s="2"/>
      <c r="C196" s="2"/>
      <c r="D196" s="2"/>
      <c r="E196" s="2"/>
      <c r="F196" s="2"/>
      <c r="G196" s="2"/>
      <c r="H196" s="2"/>
      <c r="I196" s="2"/>
      <c r="J196" s="2"/>
      <c r="K196" s="2"/>
      <c r="L196" s="2"/>
      <c r="M196" s="2"/>
      <c r="N196" s="2"/>
      <c r="O196" s="2"/>
      <c r="P196" s="2"/>
      <c r="Q196" s="2"/>
      <c r="R196" s="2"/>
      <c r="S196" s="2"/>
      <c r="T196" s="2"/>
    </row>
    <row r="197" spans="1:20" ht="15.75" customHeight="1">
      <c r="A197" s="1"/>
      <c r="B197" s="2"/>
      <c r="C197" s="2"/>
      <c r="D197" s="2"/>
      <c r="E197" s="2"/>
      <c r="F197" s="2"/>
      <c r="G197" s="2"/>
      <c r="H197" s="2"/>
      <c r="I197" s="2"/>
      <c r="J197" s="2"/>
      <c r="K197" s="2"/>
      <c r="L197" s="2"/>
      <c r="M197" s="2"/>
      <c r="N197" s="2"/>
      <c r="O197" s="2"/>
      <c r="P197" s="2"/>
      <c r="Q197" s="2"/>
      <c r="R197" s="2"/>
      <c r="S197" s="2"/>
      <c r="T197" s="2"/>
    </row>
    <row r="198" spans="1:20" ht="15.75" customHeight="1">
      <c r="A198" s="1"/>
      <c r="B198" s="2"/>
      <c r="C198" s="2"/>
      <c r="D198" s="2"/>
      <c r="E198" s="2"/>
      <c r="F198" s="2"/>
      <c r="G198" s="2"/>
      <c r="H198" s="2"/>
      <c r="I198" s="2"/>
      <c r="J198" s="2"/>
      <c r="K198" s="2"/>
      <c r="L198" s="2"/>
      <c r="M198" s="2"/>
      <c r="N198" s="2"/>
      <c r="O198" s="2"/>
      <c r="P198" s="2"/>
      <c r="Q198" s="2"/>
      <c r="R198" s="2"/>
      <c r="S198" s="2"/>
      <c r="T198" s="2"/>
    </row>
    <row r="199" spans="1:20" ht="15.75" customHeight="1">
      <c r="A199" s="1"/>
      <c r="B199" s="2"/>
      <c r="C199" s="2"/>
      <c r="D199" s="2"/>
      <c r="E199" s="2"/>
      <c r="F199" s="2"/>
      <c r="G199" s="2"/>
      <c r="H199" s="2"/>
      <c r="I199" s="2"/>
      <c r="J199" s="2"/>
      <c r="K199" s="2"/>
      <c r="L199" s="2"/>
      <c r="M199" s="2"/>
      <c r="N199" s="2"/>
      <c r="O199" s="2"/>
      <c r="P199" s="2"/>
      <c r="Q199" s="2"/>
      <c r="R199" s="2"/>
      <c r="S199" s="2"/>
      <c r="T199" s="2"/>
    </row>
    <row r="200" spans="1:20" ht="15.75" customHeight="1">
      <c r="A200" s="1"/>
      <c r="B200" s="2"/>
      <c r="C200" s="2"/>
      <c r="D200" s="2"/>
      <c r="E200" s="2"/>
      <c r="F200" s="2"/>
      <c r="G200" s="2"/>
      <c r="H200" s="2"/>
      <c r="I200" s="2"/>
      <c r="J200" s="2"/>
      <c r="K200" s="2"/>
      <c r="L200" s="2"/>
      <c r="M200" s="2"/>
      <c r="N200" s="2"/>
      <c r="O200" s="2"/>
      <c r="P200" s="2"/>
      <c r="Q200" s="2"/>
      <c r="R200" s="2"/>
      <c r="S200" s="2"/>
      <c r="T200" s="2"/>
    </row>
    <row r="201" spans="1:20" ht="15.75" customHeight="1">
      <c r="A201" s="1"/>
      <c r="B201" s="2"/>
      <c r="C201" s="2"/>
      <c r="D201" s="2"/>
      <c r="E201" s="2"/>
      <c r="F201" s="2"/>
      <c r="G201" s="2"/>
      <c r="H201" s="2"/>
      <c r="I201" s="2"/>
      <c r="J201" s="2"/>
      <c r="K201" s="2"/>
      <c r="L201" s="2"/>
      <c r="M201" s="2"/>
      <c r="N201" s="2"/>
      <c r="O201" s="2"/>
      <c r="P201" s="2"/>
      <c r="Q201" s="2"/>
      <c r="R201" s="2"/>
      <c r="S201" s="2"/>
      <c r="T201" s="2"/>
    </row>
    <row r="202" spans="1:20" ht="15.75" customHeight="1">
      <c r="A202" s="1"/>
      <c r="B202" s="2"/>
      <c r="C202" s="2"/>
      <c r="D202" s="2"/>
      <c r="E202" s="2"/>
      <c r="F202" s="2"/>
      <c r="G202" s="2"/>
      <c r="H202" s="2"/>
      <c r="I202" s="2"/>
      <c r="J202" s="2"/>
      <c r="K202" s="2"/>
      <c r="L202" s="2"/>
      <c r="M202" s="2"/>
      <c r="N202" s="2"/>
      <c r="O202" s="2"/>
      <c r="P202" s="2"/>
      <c r="Q202" s="2"/>
      <c r="R202" s="2"/>
      <c r="S202" s="2"/>
      <c r="T202" s="2"/>
    </row>
    <row r="203" spans="1:20" ht="15.75" customHeight="1">
      <c r="A203" s="1"/>
      <c r="B203" s="2"/>
      <c r="C203" s="2"/>
      <c r="D203" s="2"/>
      <c r="E203" s="2"/>
      <c r="F203" s="2"/>
      <c r="G203" s="2"/>
      <c r="H203" s="2"/>
      <c r="I203" s="2"/>
      <c r="J203" s="2"/>
      <c r="K203" s="2"/>
      <c r="L203" s="2"/>
      <c r="M203" s="2"/>
      <c r="N203" s="2"/>
      <c r="O203" s="2"/>
      <c r="P203" s="2"/>
      <c r="Q203" s="2"/>
      <c r="R203" s="2"/>
      <c r="S203" s="2"/>
      <c r="T203" s="2"/>
    </row>
    <row r="204" spans="1:20" ht="15.75" customHeight="1">
      <c r="A204" s="1"/>
      <c r="B204" s="2"/>
      <c r="C204" s="2"/>
      <c r="D204" s="2"/>
      <c r="E204" s="2"/>
      <c r="F204" s="2"/>
      <c r="G204" s="2"/>
      <c r="H204" s="2"/>
      <c r="I204" s="2"/>
      <c r="J204" s="2"/>
      <c r="K204" s="2"/>
      <c r="L204" s="2"/>
      <c r="M204" s="2"/>
      <c r="N204" s="2"/>
      <c r="O204" s="2"/>
      <c r="P204" s="2"/>
      <c r="Q204" s="2"/>
      <c r="R204" s="2"/>
      <c r="S204" s="2"/>
      <c r="T204" s="2"/>
    </row>
    <row r="205" spans="1:20" ht="15.75" customHeight="1">
      <c r="A205" s="1"/>
      <c r="B205" s="2"/>
      <c r="C205" s="2"/>
      <c r="D205" s="2"/>
      <c r="E205" s="2"/>
      <c r="F205" s="2"/>
      <c r="G205" s="2"/>
      <c r="H205" s="2"/>
      <c r="I205" s="2"/>
      <c r="J205" s="2"/>
      <c r="K205" s="2"/>
      <c r="L205" s="2"/>
      <c r="M205" s="2"/>
      <c r="N205" s="2"/>
      <c r="O205" s="2"/>
      <c r="P205" s="2"/>
      <c r="Q205" s="2"/>
      <c r="R205" s="2"/>
      <c r="S205" s="2"/>
      <c r="T205" s="2"/>
    </row>
    <row r="206" spans="1:20" ht="15.75" customHeight="1">
      <c r="A206" s="1"/>
      <c r="B206" s="2"/>
      <c r="C206" s="2"/>
      <c r="D206" s="2"/>
      <c r="E206" s="2"/>
      <c r="F206" s="2"/>
      <c r="G206" s="2"/>
      <c r="H206" s="2"/>
      <c r="I206" s="2"/>
      <c r="J206" s="2"/>
      <c r="K206" s="2"/>
      <c r="L206" s="2"/>
      <c r="M206" s="2"/>
      <c r="N206" s="2"/>
      <c r="O206" s="2"/>
      <c r="P206" s="2"/>
      <c r="Q206" s="2"/>
      <c r="R206" s="2"/>
      <c r="S206" s="2"/>
      <c r="T206" s="2"/>
    </row>
    <row r="207" spans="1:20" ht="15.75" customHeight="1">
      <c r="A207" s="1"/>
      <c r="B207" s="2"/>
      <c r="C207" s="2"/>
      <c r="D207" s="2"/>
      <c r="E207" s="2"/>
      <c r="F207" s="2"/>
      <c r="G207" s="2"/>
      <c r="H207" s="2"/>
      <c r="I207" s="2"/>
      <c r="J207" s="2"/>
      <c r="K207" s="2"/>
      <c r="L207" s="2"/>
      <c r="M207" s="2"/>
      <c r="N207" s="2"/>
      <c r="O207" s="2"/>
      <c r="P207" s="2"/>
      <c r="Q207" s="2"/>
      <c r="R207" s="2"/>
      <c r="S207" s="2"/>
      <c r="T207" s="2"/>
    </row>
    <row r="208" spans="1:20" ht="15.75" customHeight="1">
      <c r="A208" s="1"/>
      <c r="B208" s="2"/>
      <c r="C208" s="2"/>
      <c r="D208" s="2"/>
      <c r="E208" s="2"/>
      <c r="F208" s="2"/>
      <c r="G208" s="2"/>
      <c r="H208" s="2"/>
      <c r="I208" s="2"/>
      <c r="J208" s="2"/>
      <c r="K208" s="2"/>
      <c r="L208" s="2"/>
      <c r="M208" s="2"/>
      <c r="N208" s="2"/>
      <c r="O208" s="2"/>
      <c r="P208" s="2"/>
      <c r="Q208" s="2"/>
      <c r="R208" s="2"/>
      <c r="S208" s="2"/>
      <c r="T208" s="2"/>
    </row>
    <row r="209" spans="1:20" ht="15.75" customHeight="1">
      <c r="A209" s="1"/>
      <c r="B209" s="2"/>
      <c r="C209" s="2"/>
      <c r="D209" s="2"/>
      <c r="E209" s="2"/>
      <c r="F209" s="2"/>
      <c r="G209" s="2"/>
      <c r="H209" s="2"/>
      <c r="I209" s="2"/>
      <c r="J209" s="2"/>
      <c r="K209" s="2"/>
      <c r="L209" s="2"/>
      <c r="M209" s="2"/>
      <c r="N209" s="2"/>
      <c r="O209" s="2"/>
      <c r="P209" s="2"/>
      <c r="Q209" s="2"/>
      <c r="R209" s="2"/>
      <c r="S209" s="2"/>
      <c r="T209" s="2"/>
    </row>
    <row r="210" spans="1:20" ht="15.75" customHeight="1">
      <c r="A210" s="1"/>
      <c r="B210" s="2"/>
      <c r="C210" s="2"/>
      <c r="D210" s="2"/>
      <c r="E210" s="2"/>
      <c r="F210" s="2"/>
      <c r="G210" s="2"/>
      <c r="H210" s="2"/>
      <c r="I210" s="2"/>
      <c r="J210" s="2"/>
      <c r="K210" s="2"/>
      <c r="L210" s="2"/>
      <c r="M210" s="2"/>
      <c r="N210" s="2"/>
      <c r="O210" s="2"/>
      <c r="P210" s="2"/>
      <c r="Q210" s="2"/>
      <c r="R210" s="2"/>
      <c r="S210" s="2"/>
      <c r="T210" s="2"/>
    </row>
    <row r="211" spans="1:20" ht="15.75" customHeight="1">
      <c r="A211" s="1"/>
      <c r="B211" s="2"/>
      <c r="C211" s="2"/>
      <c r="D211" s="2"/>
      <c r="E211" s="2"/>
      <c r="F211" s="2"/>
      <c r="G211" s="2"/>
      <c r="H211" s="2"/>
      <c r="I211" s="2"/>
      <c r="J211" s="2"/>
      <c r="K211" s="2"/>
      <c r="L211" s="2"/>
      <c r="M211" s="2"/>
      <c r="N211" s="2"/>
      <c r="O211" s="2"/>
      <c r="P211" s="2"/>
      <c r="Q211" s="2"/>
      <c r="R211" s="2"/>
      <c r="S211" s="2"/>
      <c r="T211" s="2"/>
    </row>
    <row r="212" spans="1:20" ht="15.75" customHeight="1">
      <c r="A212" s="1"/>
      <c r="B212" s="2"/>
      <c r="C212" s="2"/>
      <c r="D212" s="2"/>
      <c r="E212" s="2"/>
      <c r="F212" s="2"/>
      <c r="G212" s="2"/>
      <c r="H212" s="2"/>
      <c r="I212" s="2"/>
      <c r="J212" s="2"/>
      <c r="K212" s="2"/>
      <c r="L212" s="2"/>
      <c r="M212" s="2"/>
      <c r="N212" s="2"/>
      <c r="O212" s="2"/>
      <c r="P212" s="2"/>
      <c r="Q212" s="2"/>
      <c r="R212" s="2"/>
      <c r="S212" s="2"/>
      <c r="T212" s="2"/>
    </row>
    <row r="213" spans="1:20" ht="15.75" customHeight="1">
      <c r="A213" s="1"/>
      <c r="B213" s="2"/>
      <c r="C213" s="2"/>
      <c r="D213" s="2"/>
      <c r="E213" s="2"/>
      <c r="F213" s="2"/>
      <c r="G213" s="2"/>
      <c r="H213" s="2"/>
      <c r="I213" s="2"/>
      <c r="J213" s="2"/>
      <c r="K213" s="2"/>
      <c r="L213" s="2"/>
      <c r="M213" s="2"/>
      <c r="N213" s="2"/>
      <c r="O213" s="2"/>
      <c r="P213" s="2"/>
      <c r="Q213" s="2"/>
      <c r="R213" s="2"/>
      <c r="S213" s="2"/>
      <c r="T213" s="2"/>
    </row>
    <row r="214" spans="1:20" ht="15.75" customHeight="1">
      <c r="A214" s="1"/>
      <c r="B214" s="2"/>
      <c r="C214" s="2"/>
      <c r="D214" s="2"/>
      <c r="E214" s="2"/>
      <c r="F214" s="2"/>
      <c r="G214" s="2"/>
      <c r="H214" s="2"/>
      <c r="I214" s="2"/>
      <c r="J214" s="2"/>
      <c r="K214" s="2"/>
      <c r="L214" s="2"/>
      <c r="M214" s="2"/>
      <c r="N214" s="2"/>
      <c r="O214" s="2"/>
      <c r="P214" s="2"/>
      <c r="Q214" s="2"/>
      <c r="R214" s="2"/>
      <c r="S214" s="2"/>
      <c r="T214" s="2"/>
    </row>
    <row r="215" spans="1:20" ht="15.75" customHeight="1">
      <c r="A215" s="1"/>
      <c r="B215" s="2"/>
      <c r="C215" s="2"/>
      <c r="D215" s="2"/>
      <c r="E215" s="2"/>
      <c r="F215" s="2"/>
      <c r="G215" s="2"/>
      <c r="H215" s="2"/>
      <c r="I215" s="2"/>
      <c r="J215" s="2"/>
      <c r="K215" s="2"/>
      <c r="L215" s="2"/>
      <c r="M215" s="2"/>
      <c r="N215" s="2"/>
      <c r="O215" s="2"/>
      <c r="P215" s="2"/>
      <c r="Q215" s="2"/>
      <c r="R215" s="2"/>
      <c r="S215" s="2"/>
      <c r="T215" s="2"/>
    </row>
    <row r="216" spans="1:20" ht="15.75" customHeight="1">
      <c r="A216" s="1"/>
      <c r="B216" s="2"/>
      <c r="C216" s="2"/>
      <c r="D216" s="2"/>
      <c r="E216" s="2"/>
      <c r="F216" s="2"/>
      <c r="G216" s="2"/>
      <c r="H216" s="2"/>
      <c r="I216" s="2"/>
      <c r="J216" s="2"/>
      <c r="K216" s="2"/>
      <c r="L216" s="2"/>
      <c r="M216" s="2"/>
      <c r="N216" s="2"/>
      <c r="O216" s="2"/>
      <c r="P216" s="2"/>
      <c r="Q216" s="2"/>
      <c r="R216" s="2"/>
      <c r="S216" s="2"/>
      <c r="T216" s="2"/>
    </row>
    <row r="217" spans="1:20" ht="15.75" customHeight="1">
      <c r="A217" s="1"/>
      <c r="B217" s="2"/>
      <c r="C217" s="2"/>
      <c r="D217" s="2"/>
      <c r="E217" s="2"/>
      <c r="F217" s="2"/>
      <c r="G217" s="2"/>
      <c r="H217" s="2"/>
      <c r="I217" s="2"/>
      <c r="J217" s="2"/>
      <c r="K217" s="2"/>
      <c r="L217" s="2"/>
      <c r="M217" s="2"/>
      <c r="N217" s="2"/>
      <c r="O217" s="2"/>
      <c r="P217" s="2"/>
      <c r="Q217" s="2"/>
      <c r="R217" s="2"/>
      <c r="S217" s="2"/>
      <c r="T217" s="2"/>
    </row>
    <row r="218" spans="1:20" ht="15.75" customHeight="1">
      <c r="A218" s="1"/>
      <c r="B218" s="2"/>
      <c r="C218" s="2"/>
      <c r="D218" s="2"/>
      <c r="E218" s="2"/>
      <c r="F218" s="2"/>
      <c r="G218" s="2"/>
      <c r="H218" s="2"/>
      <c r="I218" s="2"/>
      <c r="J218" s="2"/>
      <c r="K218" s="2"/>
      <c r="L218" s="2"/>
      <c r="M218" s="2"/>
      <c r="N218" s="2"/>
      <c r="O218" s="2"/>
      <c r="P218" s="2"/>
      <c r="Q218" s="2"/>
      <c r="R218" s="2"/>
      <c r="S218" s="2"/>
      <c r="T218" s="2"/>
    </row>
    <row r="219" spans="1:20" ht="15.75" customHeight="1">
      <c r="A219" s="1"/>
      <c r="B219" s="2"/>
      <c r="C219" s="2"/>
      <c r="D219" s="2"/>
      <c r="E219" s="2"/>
      <c r="F219" s="2"/>
      <c r="G219" s="2"/>
      <c r="H219" s="2"/>
      <c r="I219" s="2"/>
      <c r="J219" s="2"/>
      <c r="K219" s="2"/>
      <c r="L219" s="2"/>
      <c r="M219" s="2"/>
      <c r="N219" s="2"/>
      <c r="O219" s="2"/>
      <c r="P219" s="2"/>
      <c r="Q219" s="2"/>
      <c r="R219" s="2"/>
      <c r="S219" s="2"/>
      <c r="T219" s="2"/>
    </row>
    <row r="220" spans="1:20" ht="15.75" customHeight="1">
      <c r="A220" s="1"/>
      <c r="B220" s="2"/>
      <c r="C220" s="2"/>
      <c r="D220" s="2"/>
      <c r="E220" s="2"/>
      <c r="F220" s="2"/>
      <c r="G220" s="2"/>
      <c r="H220" s="2"/>
      <c r="I220" s="2"/>
      <c r="J220" s="2"/>
      <c r="K220" s="2"/>
      <c r="L220" s="2"/>
      <c r="M220" s="2"/>
      <c r="N220" s="2"/>
      <c r="O220" s="2"/>
      <c r="P220" s="2"/>
      <c r="Q220" s="2"/>
      <c r="R220" s="2"/>
      <c r="S220" s="2"/>
      <c r="T220" s="2"/>
    </row>
    <row r="221" spans="1:20" ht="15.75" customHeight="1">
      <c r="A221" s="1"/>
      <c r="B221" s="2"/>
      <c r="C221" s="2"/>
      <c r="D221" s="2"/>
      <c r="E221" s="2"/>
      <c r="F221" s="2"/>
      <c r="G221" s="2"/>
      <c r="H221" s="2"/>
      <c r="I221" s="2"/>
      <c r="J221" s="2"/>
      <c r="K221" s="2"/>
      <c r="L221" s="2"/>
      <c r="M221" s="2"/>
      <c r="N221" s="2"/>
      <c r="O221" s="2"/>
      <c r="P221" s="2"/>
      <c r="Q221" s="2"/>
      <c r="R221" s="2"/>
      <c r="S221" s="2"/>
      <c r="T221" s="2"/>
    </row>
    <row r="222" spans="1:20" ht="15.75" customHeight="1">
      <c r="A222" s="1"/>
      <c r="B222" s="2"/>
      <c r="C222" s="2"/>
      <c r="D222" s="2"/>
      <c r="E222" s="2"/>
      <c r="F222" s="2"/>
      <c r="G222" s="2"/>
      <c r="H222" s="2"/>
      <c r="I222" s="2"/>
      <c r="J222" s="2"/>
      <c r="K222" s="2"/>
      <c r="L222" s="2"/>
      <c r="M222" s="2"/>
      <c r="N222" s="2"/>
      <c r="O222" s="2"/>
      <c r="P222" s="2"/>
      <c r="Q222" s="2"/>
      <c r="R222" s="2"/>
      <c r="S222" s="2"/>
      <c r="T222" s="2"/>
    </row>
    <row r="223" spans="1:20" ht="15.75" customHeight="1">
      <c r="A223" s="1"/>
      <c r="B223" s="2"/>
      <c r="C223" s="2"/>
      <c r="D223" s="2"/>
      <c r="E223" s="2"/>
      <c r="F223" s="2"/>
      <c r="G223" s="2"/>
      <c r="H223" s="2"/>
      <c r="I223" s="2"/>
      <c r="J223" s="2"/>
      <c r="K223" s="2"/>
      <c r="L223" s="2"/>
      <c r="M223" s="2"/>
      <c r="N223" s="2"/>
      <c r="O223" s="2"/>
      <c r="P223" s="2"/>
      <c r="Q223" s="2"/>
      <c r="R223" s="2"/>
      <c r="S223" s="2"/>
      <c r="T223" s="2"/>
    </row>
    <row r="224" spans="1:20" ht="15.75" customHeight="1">
      <c r="A224" s="1"/>
      <c r="B224" s="2"/>
      <c r="C224" s="2"/>
      <c r="D224" s="2"/>
      <c r="E224" s="2"/>
      <c r="F224" s="2"/>
      <c r="G224" s="2"/>
      <c r="H224" s="2"/>
      <c r="I224" s="2"/>
      <c r="J224" s="2"/>
      <c r="K224" s="2"/>
      <c r="L224" s="2"/>
      <c r="M224" s="2"/>
      <c r="N224" s="2"/>
      <c r="O224" s="2"/>
      <c r="P224" s="2"/>
      <c r="Q224" s="2"/>
      <c r="R224" s="2"/>
      <c r="S224" s="2"/>
      <c r="T224" s="2"/>
    </row>
    <row r="225" spans="1:20" ht="15.75" customHeight="1">
      <c r="A225" s="1"/>
      <c r="B225" s="2"/>
      <c r="C225" s="2"/>
      <c r="D225" s="2"/>
      <c r="E225" s="2"/>
      <c r="F225" s="2"/>
      <c r="G225" s="2"/>
      <c r="H225" s="2"/>
      <c r="I225" s="2"/>
      <c r="J225" s="2"/>
      <c r="K225" s="2"/>
      <c r="L225" s="2"/>
      <c r="M225" s="2"/>
      <c r="N225" s="2"/>
      <c r="O225" s="2"/>
      <c r="P225" s="2"/>
      <c r="Q225" s="2"/>
      <c r="R225" s="2"/>
      <c r="S225" s="2"/>
      <c r="T225" s="2"/>
    </row>
    <row r="226" spans="1:20" ht="15.75" customHeight="1">
      <c r="A226" s="1"/>
      <c r="B226" s="2"/>
      <c r="C226" s="2"/>
      <c r="D226" s="2"/>
      <c r="E226" s="2"/>
      <c r="F226" s="2"/>
      <c r="G226" s="2"/>
      <c r="H226" s="2"/>
      <c r="I226" s="2"/>
      <c r="J226" s="2"/>
      <c r="K226" s="2"/>
      <c r="L226" s="2"/>
      <c r="M226" s="2"/>
      <c r="N226" s="2"/>
      <c r="O226" s="2"/>
      <c r="P226" s="2"/>
      <c r="Q226" s="2"/>
      <c r="R226" s="2"/>
      <c r="S226" s="2"/>
      <c r="T226" s="2"/>
    </row>
    <row r="227" spans="1:20" ht="15.75" customHeight="1">
      <c r="A227" s="1"/>
      <c r="B227" s="2"/>
      <c r="C227" s="2"/>
      <c r="D227" s="2"/>
      <c r="E227" s="2"/>
      <c r="F227" s="2"/>
      <c r="G227" s="2"/>
      <c r="H227" s="2"/>
      <c r="I227" s="2"/>
      <c r="J227" s="2"/>
      <c r="K227" s="2"/>
      <c r="L227" s="2"/>
      <c r="M227" s="2"/>
      <c r="N227" s="2"/>
      <c r="O227" s="2"/>
      <c r="P227" s="2"/>
      <c r="Q227" s="2"/>
      <c r="R227" s="2"/>
      <c r="S227" s="2"/>
      <c r="T227" s="2"/>
    </row>
    <row r="228" spans="1:20" ht="15.75" customHeight="1">
      <c r="A228" s="1"/>
      <c r="B228" s="2"/>
      <c r="C228" s="2"/>
      <c r="D228" s="2"/>
      <c r="E228" s="2"/>
      <c r="F228" s="2"/>
      <c r="G228" s="2"/>
      <c r="H228" s="2"/>
      <c r="I228" s="2"/>
      <c r="J228" s="2"/>
      <c r="K228" s="2"/>
      <c r="L228" s="2"/>
      <c r="M228" s="2"/>
      <c r="N228" s="2"/>
      <c r="O228" s="2"/>
      <c r="P228" s="2"/>
      <c r="Q228" s="2"/>
      <c r="R228" s="2"/>
      <c r="S228" s="2"/>
      <c r="T228" s="2"/>
    </row>
    <row r="229" spans="1:20" ht="15.75" customHeight="1">
      <c r="A229" s="1"/>
      <c r="B229" s="2"/>
      <c r="C229" s="2"/>
      <c r="D229" s="2"/>
      <c r="E229" s="2"/>
      <c r="F229" s="2"/>
      <c r="G229" s="2"/>
      <c r="H229" s="2"/>
      <c r="I229" s="2"/>
      <c r="J229" s="2"/>
      <c r="K229" s="2"/>
      <c r="L229" s="2"/>
      <c r="M229" s="2"/>
      <c r="N229" s="2"/>
      <c r="O229" s="2"/>
      <c r="P229" s="2"/>
      <c r="Q229" s="2"/>
      <c r="R229" s="2"/>
      <c r="S229" s="2"/>
      <c r="T229" s="2"/>
    </row>
    <row r="230" spans="1:20" ht="15.75" customHeight="1">
      <c r="A230" s="1"/>
      <c r="B230" s="2"/>
      <c r="C230" s="2"/>
      <c r="D230" s="2"/>
      <c r="E230" s="2"/>
      <c r="F230" s="2"/>
      <c r="G230" s="2"/>
      <c r="H230" s="2"/>
      <c r="I230" s="2"/>
      <c r="J230" s="2"/>
      <c r="K230" s="2"/>
      <c r="L230" s="2"/>
      <c r="M230" s="2"/>
      <c r="N230" s="2"/>
      <c r="O230" s="2"/>
      <c r="P230" s="2"/>
      <c r="Q230" s="2"/>
      <c r="R230" s="2"/>
      <c r="S230" s="2"/>
      <c r="T230" s="2"/>
    </row>
    <row r="231" spans="1:20" ht="15.75" customHeight="1">
      <c r="A231" s="1"/>
      <c r="B231" s="2"/>
      <c r="C231" s="2"/>
      <c r="D231" s="2"/>
      <c r="E231" s="2"/>
      <c r="F231" s="2"/>
      <c r="G231" s="2"/>
      <c r="H231" s="2"/>
      <c r="I231" s="2"/>
      <c r="J231" s="2"/>
      <c r="K231" s="2"/>
      <c r="L231" s="2"/>
      <c r="M231" s="2"/>
      <c r="N231" s="2"/>
      <c r="O231" s="2"/>
      <c r="P231" s="2"/>
      <c r="Q231" s="2"/>
      <c r="R231" s="2"/>
      <c r="S231" s="2"/>
      <c r="T231" s="2"/>
    </row>
    <row r="232" spans="1:20" ht="15.75" customHeight="1">
      <c r="A232" s="1"/>
      <c r="B232" s="2"/>
      <c r="C232" s="2"/>
      <c r="D232" s="2"/>
      <c r="E232" s="2"/>
      <c r="F232" s="2"/>
      <c r="G232" s="2"/>
      <c r="H232" s="2"/>
      <c r="I232" s="2"/>
      <c r="J232" s="2"/>
      <c r="K232" s="2"/>
      <c r="L232" s="2"/>
      <c r="M232" s="2"/>
      <c r="N232" s="2"/>
      <c r="O232" s="2"/>
      <c r="P232" s="2"/>
      <c r="Q232" s="2"/>
      <c r="R232" s="2"/>
      <c r="S232" s="2"/>
      <c r="T232" s="2"/>
    </row>
    <row r="233" spans="1:20" ht="15.75" customHeight="1">
      <c r="A233" s="1"/>
      <c r="B233" s="2"/>
      <c r="C233" s="2"/>
      <c r="D233" s="2"/>
      <c r="E233" s="2"/>
      <c r="F233" s="2"/>
      <c r="G233" s="2"/>
      <c r="H233" s="2"/>
      <c r="I233" s="2"/>
      <c r="J233" s="2"/>
      <c r="K233" s="2"/>
      <c r="L233" s="2"/>
      <c r="M233" s="2"/>
      <c r="N233" s="2"/>
      <c r="O233" s="2"/>
      <c r="P233" s="2"/>
      <c r="Q233" s="2"/>
      <c r="R233" s="2"/>
      <c r="S233" s="2"/>
      <c r="T233" s="2"/>
    </row>
    <row r="234" spans="1:20" ht="15.75" customHeight="1">
      <c r="A234" s="1"/>
      <c r="B234" s="2"/>
      <c r="C234" s="2"/>
      <c r="D234" s="2"/>
      <c r="E234" s="2"/>
      <c r="F234" s="2"/>
      <c r="G234" s="2"/>
      <c r="H234" s="2"/>
      <c r="I234" s="2"/>
      <c r="J234" s="2"/>
      <c r="K234" s="2"/>
      <c r="L234" s="2"/>
      <c r="M234" s="2"/>
      <c r="N234" s="2"/>
      <c r="O234" s="2"/>
      <c r="P234" s="2"/>
      <c r="Q234" s="2"/>
      <c r="R234" s="2"/>
      <c r="S234" s="2"/>
      <c r="T234" s="2"/>
    </row>
    <row r="235" spans="1:20" ht="15.75" customHeight="1">
      <c r="A235" s="1"/>
      <c r="B235" s="2"/>
      <c r="C235" s="2"/>
      <c r="D235" s="2"/>
      <c r="E235" s="2"/>
      <c r="F235" s="2"/>
      <c r="G235" s="2"/>
      <c r="H235" s="2"/>
      <c r="I235" s="2"/>
      <c r="J235" s="2"/>
      <c r="K235" s="2"/>
      <c r="L235" s="2"/>
      <c r="M235" s="2"/>
      <c r="N235" s="2"/>
      <c r="O235" s="2"/>
      <c r="P235" s="2"/>
      <c r="Q235" s="2"/>
      <c r="R235" s="2"/>
      <c r="S235" s="2"/>
      <c r="T235" s="2"/>
    </row>
    <row r="236" spans="1:20" ht="15.75" customHeight="1">
      <c r="A236" s="1"/>
      <c r="B236" s="2"/>
      <c r="C236" s="2"/>
      <c r="D236" s="2"/>
      <c r="E236" s="2"/>
      <c r="F236" s="2"/>
      <c r="G236" s="2"/>
      <c r="H236" s="2"/>
      <c r="I236" s="2"/>
      <c r="J236" s="2"/>
      <c r="K236" s="2"/>
      <c r="L236" s="2"/>
      <c r="M236" s="2"/>
      <c r="N236" s="2"/>
      <c r="O236" s="2"/>
      <c r="P236" s="2"/>
      <c r="Q236" s="2"/>
      <c r="R236" s="2"/>
      <c r="S236" s="2"/>
      <c r="T236" s="2"/>
    </row>
    <row r="237" spans="1:20" ht="15.75" customHeight="1">
      <c r="A237" s="1"/>
      <c r="B237" s="2"/>
      <c r="C237" s="2"/>
      <c r="D237" s="2"/>
      <c r="E237" s="2"/>
      <c r="F237" s="2"/>
      <c r="G237" s="2"/>
      <c r="H237" s="2"/>
      <c r="I237" s="2"/>
      <c r="J237" s="2"/>
      <c r="K237" s="2"/>
      <c r="L237" s="2"/>
      <c r="M237" s="2"/>
      <c r="N237" s="2"/>
      <c r="O237" s="2"/>
      <c r="P237" s="2"/>
      <c r="Q237" s="2"/>
      <c r="R237" s="2"/>
      <c r="S237" s="2"/>
      <c r="T237" s="2"/>
    </row>
    <row r="238" spans="1:20" ht="15.75" customHeight="1">
      <c r="A238" s="1"/>
      <c r="B238" s="2"/>
      <c r="C238" s="2"/>
      <c r="D238" s="2"/>
      <c r="E238" s="2"/>
      <c r="F238" s="2"/>
      <c r="G238" s="2"/>
      <c r="H238" s="2"/>
      <c r="I238" s="2"/>
      <c r="J238" s="2"/>
      <c r="K238" s="2"/>
      <c r="L238" s="2"/>
      <c r="M238" s="2"/>
      <c r="N238" s="2"/>
      <c r="O238" s="2"/>
      <c r="P238" s="2"/>
      <c r="Q238" s="2"/>
      <c r="R238" s="2"/>
      <c r="S238" s="2"/>
      <c r="T238" s="2"/>
    </row>
    <row r="239" spans="1:20" ht="15.75" customHeight="1">
      <c r="A239" s="1"/>
      <c r="B239" s="2"/>
      <c r="C239" s="2"/>
      <c r="D239" s="2"/>
      <c r="E239" s="2"/>
      <c r="F239" s="2"/>
      <c r="G239" s="2"/>
      <c r="H239" s="2"/>
      <c r="I239" s="2"/>
      <c r="J239" s="2"/>
      <c r="K239" s="2"/>
      <c r="L239" s="2"/>
      <c r="M239" s="2"/>
      <c r="N239" s="2"/>
      <c r="O239" s="2"/>
      <c r="P239" s="2"/>
      <c r="Q239" s="2"/>
      <c r="R239" s="2"/>
      <c r="S239" s="2"/>
      <c r="T239" s="2"/>
    </row>
    <row r="240" spans="1:20" ht="15.75" customHeight="1">
      <c r="A240" s="1"/>
      <c r="B240" s="2"/>
      <c r="C240" s="2"/>
      <c r="D240" s="2"/>
      <c r="E240" s="2"/>
      <c r="F240" s="2"/>
      <c r="G240" s="2"/>
      <c r="H240" s="2"/>
      <c r="I240" s="2"/>
      <c r="J240" s="2"/>
      <c r="K240" s="2"/>
      <c r="L240" s="2"/>
      <c r="M240" s="2"/>
      <c r="N240" s="2"/>
      <c r="O240" s="2"/>
      <c r="P240" s="2"/>
      <c r="Q240" s="2"/>
      <c r="R240" s="2"/>
      <c r="S240" s="2"/>
      <c r="T240" s="2"/>
    </row>
    <row r="241" spans="1:20" ht="15.75" customHeight="1">
      <c r="A241" s="1"/>
      <c r="B241" s="2"/>
      <c r="C241" s="2"/>
      <c r="D241" s="2"/>
      <c r="E241" s="2"/>
      <c r="F241" s="2"/>
      <c r="G241" s="2"/>
      <c r="H241" s="2"/>
      <c r="I241" s="2"/>
      <c r="J241" s="2"/>
      <c r="K241" s="2"/>
      <c r="L241" s="2"/>
      <c r="M241" s="2"/>
      <c r="N241" s="2"/>
      <c r="O241" s="2"/>
      <c r="P241" s="2"/>
      <c r="Q241" s="2"/>
      <c r="R241" s="2"/>
      <c r="S241" s="2"/>
      <c r="T241" s="2"/>
    </row>
    <row r="242" spans="1:20" ht="15.75" customHeight="1">
      <c r="A242" s="1"/>
      <c r="B242" s="2"/>
      <c r="C242" s="2"/>
      <c r="D242" s="2"/>
      <c r="E242" s="2"/>
      <c r="F242" s="2"/>
      <c r="G242" s="2"/>
      <c r="H242" s="2"/>
      <c r="I242" s="2"/>
      <c r="J242" s="2"/>
      <c r="K242" s="2"/>
      <c r="L242" s="2"/>
      <c r="M242" s="2"/>
      <c r="N242" s="2"/>
      <c r="O242" s="2"/>
      <c r="P242" s="2"/>
      <c r="Q242" s="2"/>
      <c r="R242" s="2"/>
      <c r="S242" s="2"/>
      <c r="T242" s="2"/>
    </row>
    <row r="243" spans="1:20" ht="15.75" customHeight="1">
      <c r="A243" s="1"/>
      <c r="B243" s="2"/>
      <c r="C243" s="2"/>
      <c r="D243" s="2"/>
      <c r="E243" s="2"/>
      <c r="F243" s="2"/>
      <c r="G243" s="2"/>
      <c r="H243" s="2"/>
      <c r="I243" s="2"/>
      <c r="J243" s="2"/>
      <c r="K243" s="2"/>
      <c r="L243" s="2"/>
      <c r="M243" s="2"/>
      <c r="N243" s="2"/>
      <c r="O243" s="2"/>
      <c r="P243" s="2"/>
      <c r="Q243" s="2"/>
      <c r="R243" s="2"/>
      <c r="S243" s="2"/>
      <c r="T243" s="2"/>
    </row>
    <row r="244" spans="1:20" ht="15.75" customHeight="1">
      <c r="A244" s="1"/>
      <c r="B244" s="2"/>
      <c r="C244" s="2"/>
      <c r="D244" s="2"/>
      <c r="E244" s="2"/>
      <c r="F244" s="2"/>
      <c r="G244" s="2"/>
      <c r="H244" s="2"/>
      <c r="I244" s="2"/>
      <c r="J244" s="2"/>
      <c r="K244" s="2"/>
      <c r="L244" s="2"/>
      <c r="M244" s="2"/>
      <c r="N244" s="2"/>
      <c r="O244" s="2"/>
      <c r="P244" s="2"/>
      <c r="Q244" s="2"/>
      <c r="R244" s="2"/>
      <c r="S244" s="2"/>
      <c r="T244" s="2"/>
    </row>
    <row r="245" spans="1:20" ht="15.75" customHeight="1">
      <c r="A245" s="1"/>
      <c r="B245" s="2"/>
      <c r="C245" s="2"/>
      <c r="D245" s="2"/>
      <c r="E245" s="2"/>
      <c r="F245" s="2"/>
      <c r="G245" s="2"/>
      <c r="H245" s="2"/>
      <c r="I245" s="2"/>
      <c r="J245" s="2"/>
      <c r="K245" s="2"/>
      <c r="L245" s="2"/>
      <c r="M245" s="2"/>
      <c r="N245" s="2"/>
      <c r="O245" s="2"/>
      <c r="P245" s="2"/>
      <c r="Q245" s="2"/>
      <c r="R245" s="2"/>
      <c r="S245" s="2"/>
      <c r="T245" s="2"/>
    </row>
    <row r="246" spans="1:20" ht="15.75" customHeight="1">
      <c r="A246" s="1"/>
      <c r="B246" s="2"/>
      <c r="C246" s="2"/>
      <c r="D246" s="2"/>
      <c r="E246" s="2"/>
      <c r="F246" s="2"/>
      <c r="G246" s="2"/>
      <c r="H246" s="2"/>
      <c r="I246" s="2"/>
      <c r="J246" s="2"/>
      <c r="K246" s="2"/>
      <c r="L246" s="2"/>
      <c r="M246" s="2"/>
      <c r="N246" s="2"/>
      <c r="O246" s="2"/>
      <c r="P246" s="2"/>
      <c r="Q246" s="2"/>
      <c r="R246" s="2"/>
      <c r="S246" s="2"/>
      <c r="T246" s="2"/>
    </row>
    <row r="247" spans="1:20" ht="15.75" customHeight="1">
      <c r="A247" s="1"/>
      <c r="B247" s="2"/>
      <c r="C247" s="2"/>
      <c r="D247" s="2"/>
      <c r="E247" s="2"/>
      <c r="F247" s="2"/>
      <c r="G247" s="2"/>
      <c r="H247" s="2"/>
      <c r="I247" s="2"/>
      <c r="J247" s="2"/>
      <c r="K247" s="2"/>
      <c r="L247" s="2"/>
      <c r="M247" s="2"/>
      <c r="N247" s="2"/>
      <c r="O247" s="2"/>
      <c r="P247" s="2"/>
      <c r="Q247" s="2"/>
      <c r="R247" s="2"/>
      <c r="S247" s="2"/>
      <c r="T247" s="2"/>
    </row>
    <row r="248" spans="1:20" ht="15.75" customHeight="1">
      <c r="A248" s="1"/>
      <c r="B248" s="2"/>
      <c r="C248" s="2"/>
      <c r="D248" s="2"/>
      <c r="E248" s="2"/>
      <c r="F248" s="2"/>
      <c r="G248" s="2"/>
      <c r="H248" s="2"/>
      <c r="I248" s="2"/>
      <c r="J248" s="2"/>
      <c r="K248" s="2"/>
      <c r="L248" s="2"/>
      <c r="M248" s="2"/>
      <c r="N248" s="2"/>
      <c r="O248" s="2"/>
      <c r="P248" s="2"/>
      <c r="Q248" s="2"/>
      <c r="R248" s="2"/>
      <c r="S248" s="2"/>
      <c r="T248" s="2"/>
    </row>
    <row r="249" spans="1:20" ht="15.75" customHeight="1">
      <c r="A249" s="1"/>
      <c r="B249" s="2"/>
      <c r="C249" s="2"/>
      <c r="D249" s="2"/>
      <c r="E249" s="2"/>
      <c r="F249" s="2"/>
      <c r="G249" s="2"/>
      <c r="H249" s="2"/>
      <c r="I249" s="2"/>
      <c r="J249" s="2"/>
      <c r="K249" s="2"/>
      <c r="L249" s="2"/>
      <c r="M249" s="2"/>
      <c r="N249" s="2"/>
      <c r="O249" s="2"/>
      <c r="P249" s="2"/>
      <c r="Q249" s="2"/>
      <c r="R249" s="2"/>
      <c r="S249" s="2"/>
      <c r="T249" s="2"/>
    </row>
    <row r="250" spans="1:20" ht="15.75" customHeight="1">
      <c r="A250" s="1"/>
      <c r="B250" s="2"/>
      <c r="C250" s="2"/>
      <c r="D250" s="2"/>
      <c r="E250" s="2"/>
      <c r="F250" s="2"/>
      <c r="G250" s="2"/>
      <c r="H250" s="2"/>
      <c r="I250" s="2"/>
      <c r="J250" s="2"/>
      <c r="K250" s="2"/>
      <c r="L250" s="2"/>
      <c r="M250" s="2"/>
      <c r="N250" s="2"/>
      <c r="O250" s="2"/>
      <c r="P250" s="2"/>
      <c r="Q250" s="2"/>
      <c r="R250" s="2"/>
      <c r="S250" s="2"/>
      <c r="T250" s="2"/>
    </row>
    <row r="251" spans="1:20" ht="15.75" customHeight="1">
      <c r="A251" s="1"/>
      <c r="B251" s="2"/>
      <c r="C251" s="2"/>
      <c r="D251" s="2"/>
      <c r="E251" s="2"/>
      <c r="F251" s="2"/>
      <c r="G251" s="2"/>
      <c r="H251" s="2"/>
      <c r="I251" s="2"/>
      <c r="J251" s="2"/>
      <c r="K251" s="2"/>
      <c r="L251" s="2"/>
      <c r="M251" s="2"/>
      <c r="N251" s="2"/>
      <c r="O251" s="2"/>
      <c r="P251" s="2"/>
      <c r="Q251" s="2"/>
      <c r="R251" s="2"/>
      <c r="S251" s="2"/>
      <c r="T251" s="2"/>
    </row>
    <row r="252" spans="1:20" ht="15.75" customHeight="1">
      <c r="A252" s="1"/>
      <c r="B252" s="2"/>
      <c r="C252" s="2"/>
      <c r="D252" s="2"/>
      <c r="E252" s="2"/>
      <c r="F252" s="2"/>
      <c r="G252" s="2"/>
      <c r="H252" s="2"/>
      <c r="I252" s="2"/>
      <c r="J252" s="2"/>
      <c r="K252" s="2"/>
      <c r="L252" s="2"/>
      <c r="M252" s="2"/>
      <c r="N252" s="2"/>
      <c r="O252" s="2"/>
      <c r="P252" s="2"/>
      <c r="Q252" s="2"/>
      <c r="R252" s="2"/>
      <c r="S252" s="2"/>
      <c r="T252" s="2"/>
    </row>
    <row r="253" spans="1:20" ht="15.75" customHeight="1">
      <c r="A253" s="1"/>
      <c r="B253" s="2"/>
      <c r="C253" s="2"/>
      <c r="D253" s="2"/>
      <c r="E253" s="2"/>
      <c r="F253" s="2"/>
      <c r="G253" s="2"/>
      <c r="H253" s="2"/>
      <c r="I253" s="2"/>
      <c r="J253" s="2"/>
      <c r="K253" s="2"/>
      <c r="L253" s="2"/>
      <c r="M253" s="2"/>
      <c r="N253" s="2"/>
      <c r="O253" s="2"/>
      <c r="P253" s="2"/>
      <c r="Q253" s="2"/>
      <c r="R253" s="2"/>
      <c r="S253" s="2"/>
      <c r="T253" s="2"/>
    </row>
    <row r="254" spans="1:20" ht="15.75" customHeight="1">
      <c r="A254" s="1"/>
      <c r="B254" s="2"/>
      <c r="C254" s="2"/>
      <c r="D254" s="2"/>
      <c r="E254" s="2"/>
      <c r="F254" s="2"/>
      <c r="G254" s="2"/>
      <c r="H254" s="2"/>
      <c r="I254" s="2"/>
      <c r="J254" s="2"/>
      <c r="K254" s="2"/>
      <c r="L254" s="2"/>
      <c r="M254" s="2"/>
      <c r="N254" s="2"/>
      <c r="O254" s="2"/>
      <c r="P254" s="2"/>
      <c r="Q254" s="2"/>
      <c r="R254" s="2"/>
      <c r="S254" s="2"/>
      <c r="T254" s="2"/>
    </row>
    <row r="255" spans="1:20" ht="15.75" customHeight="1">
      <c r="A255" s="1"/>
      <c r="B255" s="2"/>
      <c r="C255" s="2"/>
      <c r="D255" s="2"/>
      <c r="E255" s="2"/>
      <c r="F255" s="2"/>
      <c r="G255" s="2"/>
      <c r="H255" s="2"/>
      <c r="I255" s="2"/>
      <c r="J255" s="2"/>
      <c r="K255" s="2"/>
      <c r="L255" s="2"/>
      <c r="M255" s="2"/>
      <c r="N255" s="2"/>
      <c r="O255" s="2"/>
      <c r="P255" s="2"/>
      <c r="Q255" s="2"/>
      <c r="R255" s="2"/>
      <c r="S255" s="2"/>
      <c r="T255" s="2"/>
    </row>
    <row r="256" spans="1:20" ht="15.75" customHeight="1">
      <c r="A256" s="1"/>
      <c r="B256" s="2"/>
      <c r="C256" s="2"/>
      <c r="D256" s="2"/>
      <c r="E256" s="2"/>
      <c r="F256" s="2"/>
      <c r="G256" s="2"/>
      <c r="H256" s="2"/>
      <c r="I256" s="2"/>
      <c r="J256" s="2"/>
      <c r="K256" s="2"/>
      <c r="L256" s="2"/>
      <c r="M256" s="2"/>
      <c r="N256" s="2"/>
      <c r="O256" s="2"/>
      <c r="P256" s="2"/>
      <c r="Q256" s="2"/>
      <c r="R256" s="2"/>
      <c r="S256" s="2"/>
      <c r="T256" s="2"/>
    </row>
    <row r="257" spans="1:20" ht="15.75" customHeight="1">
      <c r="A257" s="1"/>
      <c r="B257" s="2"/>
      <c r="C257" s="2"/>
      <c r="D257" s="2"/>
      <c r="E257" s="2"/>
      <c r="F257" s="2"/>
      <c r="G257" s="2"/>
      <c r="H257" s="2"/>
      <c r="I257" s="2"/>
      <c r="J257" s="2"/>
      <c r="K257" s="2"/>
      <c r="L257" s="2"/>
      <c r="M257" s="2"/>
      <c r="N257" s="2"/>
      <c r="O257" s="2"/>
      <c r="P257" s="2"/>
      <c r="Q257" s="2"/>
      <c r="R257" s="2"/>
      <c r="S257" s="2"/>
      <c r="T257" s="2"/>
    </row>
    <row r="258" spans="1:20" ht="15.75" customHeight="1">
      <c r="A258" s="1"/>
      <c r="B258" s="2"/>
      <c r="C258" s="2"/>
      <c r="D258" s="2"/>
      <c r="E258" s="2"/>
      <c r="F258" s="2"/>
      <c r="G258" s="2"/>
      <c r="H258" s="2"/>
      <c r="I258" s="2"/>
      <c r="J258" s="2"/>
      <c r="K258" s="2"/>
      <c r="L258" s="2"/>
      <c r="M258" s="2"/>
      <c r="N258" s="2"/>
      <c r="O258" s="2"/>
      <c r="P258" s="2"/>
      <c r="Q258" s="2"/>
      <c r="R258" s="2"/>
      <c r="S258" s="2"/>
      <c r="T258" s="2"/>
    </row>
    <row r="259" spans="1:20" ht="15.75" customHeight="1">
      <c r="A259" s="1"/>
      <c r="B259" s="2"/>
      <c r="C259" s="2"/>
      <c r="D259" s="2"/>
      <c r="E259" s="2"/>
      <c r="F259" s="2"/>
      <c r="G259" s="2"/>
      <c r="H259" s="2"/>
      <c r="I259" s="2"/>
      <c r="J259" s="2"/>
      <c r="K259" s="2"/>
      <c r="L259" s="2"/>
      <c r="M259" s="2"/>
      <c r="N259" s="2"/>
      <c r="O259" s="2"/>
      <c r="P259" s="2"/>
      <c r="Q259" s="2"/>
      <c r="R259" s="2"/>
      <c r="S259" s="2"/>
      <c r="T259" s="2"/>
    </row>
    <row r="260" spans="1:20" ht="15.75" customHeight="1">
      <c r="A260" s="1"/>
      <c r="B260" s="2"/>
      <c r="C260" s="2"/>
      <c r="D260" s="2"/>
      <c r="E260" s="2"/>
      <c r="F260" s="2"/>
      <c r="G260" s="2"/>
      <c r="H260" s="2"/>
      <c r="I260" s="2"/>
      <c r="J260" s="2"/>
      <c r="K260" s="2"/>
      <c r="L260" s="2"/>
      <c r="M260" s="2"/>
      <c r="N260" s="2"/>
      <c r="O260" s="2"/>
      <c r="P260" s="2"/>
      <c r="Q260" s="2"/>
      <c r="R260" s="2"/>
      <c r="S260" s="2"/>
      <c r="T260" s="2"/>
    </row>
    <row r="261" spans="1:20" ht="15.75" customHeight="1">
      <c r="A261" s="1"/>
      <c r="B261" s="2"/>
      <c r="C261" s="2"/>
      <c r="D261" s="2"/>
      <c r="E261" s="2"/>
      <c r="F261" s="2"/>
      <c r="G261" s="2"/>
      <c r="H261" s="2"/>
      <c r="I261" s="2"/>
      <c r="J261" s="2"/>
      <c r="K261" s="2"/>
      <c r="L261" s="2"/>
      <c r="M261" s="2"/>
      <c r="N261" s="2"/>
      <c r="O261" s="2"/>
      <c r="P261" s="2"/>
      <c r="Q261" s="2"/>
      <c r="R261" s="2"/>
      <c r="S261" s="2"/>
      <c r="T261" s="2"/>
    </row>
    <row r="262" spans="1:20" ht="15.75" customHeight="1">
      <c r="A262" s="1"/>
      <c r="B262" s="2"/>
      <c r="C262" s="2"/>
      <c r="D262" s="2"/>
      <c r="E262" s="2"/>
      <c r="F262" s="2"/>
      <c r="G262" s="2"/>
      <c r="H262" s="2"/>
      <c r="I262" s="2"/>
      <c r="J262" s="2"/>
      <c r="K262" s="2"/>
      <c r="L262" s="2"/>
      <c r="M262" s="2"/>
      <c r="N262" s="2"/>
      <c r="O262" s="2"/>
      <c r="P262" s="2"/>
      <c r="Q262" s="2"/>
      <c r="R262" s="2"/>
      <c r="S262" s="2"/>
      <c r="T262" s="2"/>
    </row>
    <row r="263" spans="1:20" ht="15.75" customHeight="1">
      <c r="A263" s="1"/>
      <c r="B263" s="2"/>
      <c r="C263" s="2"/>
      <c r="D263" s="2"/>
      <c r="E263" s="2"/>
      <c r="F263" s="2"/>
      <c r="G263" s="2"/>
      <c r="H263" s="2"/>
      <c r="I263" s="2"/>
      <c r="J263" s="2"/>
      <c r="K263" s="2"/>
      <c r="L263" s="2"/>
      <c r="M263" s="2"/>
      <c r="N263" s="2"/>
      <c r="O263" s="2"/>
      <c r="P263" s="2"/>
      <c r="Q263" s="2"/>
      <c r="R263" s="2"/>
      <c r="S263" s="2"/>
      <c r="T263" s="2"/>
    </row>
    <row r="264" spans="1:20" ht="15.75" customHeight="1">
      <c r="A264" s="1"/>
      <c r="B264" s="2"/>
      <c r="C264" s="2"/>
      <c r="D264" s="2"/>
      <c r="E264" s="2"/>
      <c r="F264" s="2"/>
      <c r="G264" s="2"/>
      <c r="H264" s="2"/>
      <c r="I264" s="2"/>
      <c r="J264" s="2"/>
      <c r="K264" s="2"/>
      <c r="L264" s="2"/>
      <c r="M264" s="2"/>
      <c r="N264" s="2"/>
      <c r="O264" s="2"/>
      <c r="P264" s="2"/>
      <c r="Q264" s="2"/>
      <c r="R264" s="2"/>
      <c r="S264" s="2"/>
      <c r="T264" s="2"/>
    </row>
    <row r="265" spans="1:20" ht="15.75" customHeight="1">
      <c r="A265" s="1"/>
      <c r="B265" s="2"/>
      <c r="C265" s="2"/>
      <c r="D265" s="2"/>
      <c r="E265" s="2"/>
      <c r="F265" s="2"/>
      <c r="G265" s="2"/>
      <c r="H265" s="2"/>
      <c r="I265" s="2"/>
      <c r="J265" s="2"/>
      <c r="K265" s="2"/>
      <c r="L265" s="2"/>
      <c r="M265" s="2"/>
      <c r="N265" s="2"/>
      <c r="O265" s="2"/>
      <c r="P265" s="2"/>
      <c r="Q265" s="2"/>
      <c r="R265" s="2"/>
      <c r="S265" s="2"/>
      <c r="T265" s="2"/>
    </row>
    <row r="266" spans="1:20" ht="15.75" customHeight="1">
      <c r="A266" s="1"/>
      <c r="B266" s="2"/>
      <c r="C266" s="2"/>
      <c r="D266" s="2"/>
      <c r="E266" s="2"/>
      <c r="F266" s="2"/>
      <c r="G266" s="2"/>
      <c r="H266" s="2"/>
      <c r="I266" s="2"/>
      <c r="J266" s="2"/>
      <c r="K266" s="2"/>
      <c r="L266" s="2"/>
      <c r="M266" s="2"/>
      <c r="N266" s="2"/>
      <c r="O266" s="2"/>
      <c r="P266" s="2"/>
      <c r="Q266" s="2"/>
      <c r="R266" s="2"/>
      <c r="S266" s="2"/>
      <c r="T266" s="2"/>
    </row>
    <row r="267" spans="1:20" ht="15.75" customHeight="1">
      <c r="A267" s="1"/>
      <c r="B267" s="2"/>
      <c r="C267" s="2"/>
      <c r="D267" s="2"/>
      <c r="E267" s="2"/>
      <c r="F267" s="2"/>
      <c r="G267" s="2"/>
      <c r="H267" s="2"/>
      <c r="I267" s="2"/>
      <c r="J267" s="2"/>
      <c r="K267" s="2"/>
      <c r="L267" s="2"/>
      <c r="M267" s="2"/>
      <c r="N267" s="2"/>
      <c r="O267" s="2"/>
      <c r="P267" s="2"/>
      <c r="Q267" s="2"/>
      <c r="R267" s="2"/>
      <c r="S267" s="2"/>
      <c r="T267" s="2"/>
    </row>
    <row r="268" spans="1:20" ht="15.75" customHeight="1">
      <c r="A268" s="1"/>
      <c r="B268" s="2"/>
      <c r="C268" s="2"/>
      <c r="D268" s="2"/>
      <c r="E268" s="2"/>
      <c r="F268" s="2"/>
      <c r="G268" s="2"/>
      <c r="H268" s="2"/>
      <c r="I268" s="2"/>
      <c r="J268" s="2"/>
      <c r="K268" s="2"/>
      <c r="L268" s="2"/>
      <c r="M268" s="2"/>
      <c r="N268" s="2"/>
      <c r="O268" s="2"/>
      <c r="P268" s="2"/>
      <c r="Q268" s="2"/>
      <c r="R268" s="2"/>
      <c r="S268" s="2"/>
      <c r="T268" s="2"/>
    </row>
    <row r="269" spans="1:20" ht="15.75" customHeight="1">
      <c r="A269" s="1"/>
      <c r="B269" s="2"/>
      <c r="C269" s="2"/>
      <c r="D269" s="2"/>
      <c r="E269" s="2"/>
      <c r="F269" s="2"/>
      <c r="G269" s="2"/>
      <c r="H269" s="2"/>
      <c r="I269" s="2"/>
      <c r="J269" s="2"/>
      <c r="K269" s="2"/>
      <c r="L269" s="2"/>
      <c r="M269" s="2"/>
      <c r="N269" s="2"/>
      <c r="O269" s="2"/>
      <c r="P269" s="2"/>
      <c r="Q269" s="2"/>
      <c r="R269" s="2"/>
      <c r="S269" s="2"/>
      <c r="T269" s="2"/>
    </row>
    <row r="270" spans="1:20" ht="15.75" customHeight="1">
      <c r="A270" s="1"/>
      <c r="B270" s="2"/>
      <c r="C270" s="2"/>
      <c r="D270" s="2"/>
      <c r="E270" s="2"/>
      <c r="F270" s="2"/>
      <c r="G270" s="2"/>
      <c r="H270" s="2"/>
      <c r="I270" s="2"/>
      <c r="J270" s="2"/>
      <c r="K270" s="2"/>
      <c r="L270" s="2"/>
      <c r="M270" s="2"/>
      <c r="N270" s="2"/>
      <c r="O270" s="2"/>
      <c r="P270" s="2"/>
      <c r="Q270" s="2"/>
      <c r="R270" s="2"/>
      <c r="S270" s="2"/>
      <c r="T270" s="2"/>
    </row>
    <row r="271" spans="1:20" ht="15.75" customHeight="1">
      <c r="A271" s="1"/>
      <c r="B271" s="2"/>
      <c r="C271" s="2"/>
      <c r="D271" s="2"/>
      <c r="E271" s="2"/>
      <c r="F271" s="2"/>
      <c r="G271" s="2"/>
      <c r="H271" s="2"/>
      <c r="I271" s="2"/>
      <c r="J271" s="2"/>
      <c r="K271" s="2"/>
      <c r="L271" s="2"/>
      <c r="M271" s="2"/>
      <c r="N271" s="2"/>
      <c r="O271" s="2"/>
      <c r="P271" s="2"/>
      <c r="Q271" s="2"/>
      <c r="R271" s="2"/>
      <c r="S271" s="2"/>
      <c r="T271" s="2"/>
    </row>
    <row r="272" spans="1:20" ht="15.75" customHeight="1">
      <c r="A272" s="1"/>
      <c r="B272" s="2"/>
      <c r="C272" s="2"/>
      <c r="D272" s="2"/>
      <c r="E272" s="2"/>
      <c r="F272" s="2"/>
      <c r="G272" s="2"/>
      <c r="H272" s="2"/>
      <c r="I272" s="2"/>
      <c r="J272" s="2"/>
      <c r="K272" s="2"/>
      <c r="L272" s="2"/>
      <c r="M272" s="2"/>
      <c r="N272" s="2"/>
      <c r="O272" s="2"/>
      <c r="P272" s="2"/>
      <c r="Q272" s="2"/>
      <c r="R272" s="2"/>
      <c r="S272" s="2"/>
      <c r="T272" s="2"/>
    </row>
    <row r="273" spans="1:20" ht="15.75" customHeight="1">
      <c r="A273" s="1"/>
      <c r="B273" s="2"/>
      <c r="C273" s="2"/>
      <c r="D273" s="2"/>
      <c r="E273" s="2"/>
      <c r="F273" s="2"/>
      <c r="G273" s="2"/>
      <c r="H273" s="2"/>
      <c r="I273" s="2"/>
      <c r="J273" s="2"/>
      <c r="K273" s="2"/>
      <c r="L273" s="2"/>
      <c r="M273" s="2"/>
      <c r="N273" s="2"/>
      <c r="O273" s="2"/>
      <c r="P273" s="2"/>
      <c r="Q273" s="2"/>
      <c r="R273" s="2"/>
      <c r="S273" s="2"/>
      <c r="T273" s="2"/>
    </row>
    <row r="274" spans="1:20" ht="15.75" customHeight="1">
      <c r="A274" s="1"/>
      <c r="B274" s="2"/>
      <c r="C274" s="2"/>
      <c r="D274" s="2"/>
      <c r="E274" s="2"/>
      <c r="F274" s="2"/>
      <c r="G274" s="2"/>
      <c r="H274" s="2"/>
      <c r="I274" s="2"/>
      <c r="J274" s="2"/>
      <c r="K274" s="2"/>
      <c r="L274" s="2"/>
      <c r="M274" s="2"/>
      <c r="N274" s="2"/>
      <c r="O274" s="2"/>
      <c r="P274" s="2"/>
      <c r="Q274" s="2"/>
      <c r="R274" s="2"/>
      <c r="S274" s="2"/>
      <c r="T274" s="2"/>
    </row>
    <row r="275" spans="1:20" ht="15.75" customHeight="1">
      <c r="A275" s="1"/>
      <c r="B275" s="2"/>
      <c r="C275" s="2"/>
      <c r="D275" s="2"/>
      <c r="E275" s="2"/>
      <c r="F275" s="2"/>
      <c r="G275" s="2"/>
      <c r="H275" s="2"/>
      <c r="I275" s="2"/>
      <c r="J275" s="2"/>
      <c r="K275" s="2"/>
      <c r="L275" s="2"/>
      <c r="M275" s="2"/>
      <c r="N275" s="2"/>
      <c r="O275" s="2"/>
      <c r="P275" s="2"/>
      <c r="Q275" s="2"/>
      <c r="R275" s="2"/>
      <c r="S275" s="2"/>
      <c r="T275" s="2"/>
    </row>
    <row r="276" spans="1:20" ht="15.75" customHeight="1">
      <c r="A276" s="1"/>
      <c r="B276" s="2"/>
      <c r="C276" s="2"/>
      <c r="D276" s="2"/>
      <c r="E276" s="2"/>
      <c r="F276" s="2"/>
      <c r="G276" s="2"/>
      <c r="H276" s="2"/>
      <c r="I276" s="2"/>
      <c r="J276" s="2"/>
      <c r="K276" s="2"/>
      <c r="L276" s="2"/>
      <c r="M276" s="2"/>
      <c r="N276" s="2"/>
      <c r="O276" s="2"/>
      <c r="P276" s="2"/>
      <c r="Q276" s="2"/>
      <c r="R276" s="2"/>
      <c r="S276" s="2"/>
      <c r="T276" s="2"/>
    </row>
    <row r="277" spans="1:20" ht="15.75" customHeight="1">
      <c r="A277" s="1"/>
      <c r="B277" s="2"/>
      <c r="C277" s="2"/>
      <c r="D277" s="2"/>
      <c r="E277" s="2"/>
      <c r="F277" s="2"/>
      <c r="G277" s="2"/>
      <c r="H277" s="2"/>
      <c r="I277" s="2"/>
      <c r="J277" s="2"/>
      <c r="K277" s="2"/>
      <c r="L277" s="2"/>
      <c r="M277" s="2"/>
      <c r="N277" s="2"/>
      <c r="O277" s="2"/>
      <c r="P277" s="2"/>
      <c r="Q277" s="2"/>
      <c r="R277" s="2"/>
      <c r="S277" s="2"/>
      <c r="T277" s="2"/>
    </row>
    <row r="278" spans="1:20" ht="15.75" customHeight="1">
      <c r="A278" s="1"/>
      <c r="B278" s="2"/>
      <c r="C278" s="2"/>
      <c r="D278" s="2"/>
      <c r="E278" s="2"/>
      <c r="F278" s="2"/>
      <c r="G278" s="2"/>
      <c r="H278" s="2"/>
      <c r="I278" s="2"/>
      <c r="J278" s="2"/>
      <c r="K278" s="2"/>
      <c r="L278" s="2"/>
      <c r="M278" s="2"/>
      <c r="N278" s="2"/>
      <c r="O278" s="2"/>
      <c r="P278" s="2"/>
      <c r="Q278" s="2"/>
      <c r="R278" s="2"/>
      <c r="S278" s="2"/>
      <c r="T278" s="2"/>
    </row>
    <row r="279" spans="1:20" ht="15.75" customHeight="1">
      <c r="A279" s="1"/>
      <c r="B279" s="2"/>
      <c r="C279" s="2"/>
      <c r="D279" s="2"/>
      <c r="E279" s="2"/>
      <c r="F279" s="2"/>
      <c r="G279" s="2"/>
      <c r="H279" s="2"/>
      <c r="I279" s="2"/>
      <c r="J279" s="2"/>
      <c r="K279" s="2"/>
      <c r="L279" s="2"/>
      <c r="M279" s="2"/>
      <c r="N279" s="2"/>
      <c r="O279" s="2"/>
      <c r="P279" s="2"/>
      <c r="Q279" s="2"/>
      <c r="R279" s="2"/>
      <c r="S279" s="2"/>
      <c r="T279" s="2"/>
    </row>
    <row r="280" spans="1:20" ht="15.75" customHeight="1">
      <c r="A280" s="1"/>
      <c r="B280" s="2"/>
      <c r="C280" s="2"/>
      <c r="D280" s="2"/>
      <c r="E280" s="2"/>
      <c r="F280" s="2"/>
      <c r="G280" s="2"/>
      <c r="H280" s="2"/>
      <c r="I280" s="2"/>
      <c r="J280" s="2"/>
      <c r="K280" s="2"/>
      <c r="L280" s="2"/>
      <c r="M280" s="2"/>
      <c r="N280" s="2"/>
      <c r="O280" s="2"/>
      <c r="P280" s="2"/>
      <c r="Q280" s="2"/>
      <c r="R280" s="2"/>
      <c r="S280" s="2"/>
      <c r="T280" s="2"/>
    </row>
    <row r="281" spans="1:20" ht="15.75" customHeight="1">
      <c r="A281" s="1"/>
      <c r="B281" s="2"/>
      <c r="C281" s="2"/>
      <c r="D281" s="2"/>
      <c r="E281" s="2"/>
      <c r="F281" s="2"/>
      <c r="G281" s="2"/>
      <c r="H281" s="2"/>
      <c r="I281" s="2"/>
      <c r="J281" s="2"/>
      <c r="K281" s="2"/>
      <c r="L281" s="2"/>
      <c r="M281" s="2"/>
      <c r="N281" s="2"/>
      <c r="O281" s="2"/>
      <c r="P281" s="2"/>
      <c r="Q281" s="2"/>
      <c r="R281" s="2"/>
      <c r="S281" s="2"/>
      <c r="T281" s="2"/>
    </row>
    <row r="282" spans="1:20" ht="15.75" customHeight="1">
      <c r="A282" s="1"/>
      <c r="B282" s="2"/>
      <c r="C282" s="2"/>
      <c r="D282" s="2"/>
      <c r="E282" s="2"/>
      <c r="F282" s="2"/>
      <c r="G282" s="2"/>
      <c r="H282" s="2"/>
      <c r="I282" s="2"/>
      <c r="J282" s="2"/>
      <c r="K282" s="2"/>
      <c r="L282" s="2"/>
      <c r="M282" s="2"/>
      <c r="N282" s="2"/>
      <c r="O282" s="2"/>
      <c r="P282" s="2"/>
      <c r="Q282" s="2"/>
      <c r="R282" s="2"/>
      <c r="S282" s="2"/>
      <c r="T282" s="2"/>
    </row>
    <row r="283" spans="1:20" ht="15.75" customHeight="1">
      <c r="A283" s="1"/>
      <c r="B283" s="2"/>
      <c r="C283" s="2"/>
      <c r="D283" s="2"/>
      <c r="E283" s="2"/>
      <c r="F283" s="2"/>
      <c r="G283" s="2"/>
      <c r="H283" s="2"/>
      <c r="I283" s="2"/>
      <c r="J283" s="2"/>
      <c r="K283" s="2"/>
      <c r="L283" s="2"/>
      <c r="M283" s="2"/>
      <c r="N283" s="2"/>
      <c r="O283" s="2"/>
      <c r="P283" s="2"/>
      <c r="Q283" s="2"/>
      <c r="R283" s="2"/>
      <c r="S283" s="2"/>
      <c r="T283" s="2"/>
    </row>
    <row r="284" spans="1:20" ht="15.75" customHeight="1">
      <c r="A284" s="1"/>
      <c r="B284" s="2"/>
      <c r="C284" s="2"/>
      <c r="D284" s="2"/>
      <c r="E284" s="2"/>
      <c r="F284" s="2"/>
      <c r="G284" s="2"/>
      <c r="H284" s="2"/>
      <c r="I284" s="2"/>
      <c r="J284" s="2"/>
      <c r="K284" s="2"/>
      <c r="L284" s="2"/>
      <c r="M284" s="2"/>
      <c r="N284" s="2"/>
      <c r="O284" s="2"/>
      <c r="P284" s="2"/>
      <c r="Q284" s="2"/>
      <c r="R284" s="2"/>
      <c r="S284" s="2"/>
      <c r="T284" s="2"/>
    </row>
    <row r="285" spans="1:20" ht="15.75" customHeight="1">
      <c r="A285" s="1"/>
      <c r="B285" s="2"/>
      <c r="C285" s="2"/>
      <c r="D285" s="2"/>
      <c r="E285" s="2"/>
      <c r="F285" s="2"/>
      <c r="G285" s="2"/>
      <c r="H285" s="2"/>
      <c r="I285" s="2"/>
      <c r="J285" s="2"/>
      <c r="K285" s="2"/>
      <c r="L285" s="2"/>
      <c r="M285" s="2"/>
      <c r="N285" s="2"/>
      <c r="O285" s="2"/>
      <c r="P285" s="2"/>
      <c r="Q285" s="2"/>
      <c r="R285" s="2"/>
      <c r="S285" s="2"/>
      <c r="T285" s="2"/>
    </row>
    <row r="286" spans="1:20" ht="15.75" customHeight="1">
      <c r="A286" s="1"/>
      <c r="B286" s="2"/>
      <c r="C286" s="2"/>
      <c r="D286" s="2"/>
      <c r="E286" s="2"/>
      <c r="F286" s="2"/>
      <c r="G286" s="2"/>
      <c r="H286" s="2"/>
      <c r="I286" s="2"/>
      <c r="J286" s="2"/>
      <c r="K286" s="2"/>
      <c r="L286" s="2"/>
      <c r="M286" s="2"/>
      <c r="N286" s="2"/>
      <c r="O286" s="2"/>
      <c r="P286" s="2"/>
      <c r="Q286" s="2"/>
      <c r="R286" s="2"/>
      <c r="S286" s="2"/>
      <c r="T286" s="2"/>
    </row>
    <row r="287" spans="1:20" ht="15.75" customHeight="1">
      <c r="A287" s="1"/>
      <c r="B287" s="2"/>
      <c r="C287" s="2"/>
      <c r="D287" s="2"/>
      <c r="E287" s="2"/>
      <c r="F287" s="2"/>
      <c r="G287" s="2"/>
      <c r="H287" s="2"/>
      <c r="I287" s="2"/>
      <c r="J287" s="2"/>
      <c r="K287" s="2"/>
      <c r="L287" s="2"/>
      <c r="M287" s="2"/>
      <c r="N287" s="2"/>
      <c r="O287" s="2"/>
      <c r="P287" s="2"/>
      <c r="Q287" s="2"/>
      <c r="R287" s="2"/>
      <c r="S287" s="2"/>
      <c r="T287" s="2"/>
    </row>
    <row r="288" spans="1:20" ht="15.75" customHeight="1">
      <c r="A288" s="1"/>
      <c r="B288" s="2"/>
      <c r="C288" s="2"/>
      <c r="D288" s="2"/>
      <c r="E288" s="2"/>
      <c r="F288" s="2"/>
      <c r="G288" s="2"/>
      <c r="H288" s="2"/>
      <c r="I288" s="2"/>
      <c r="J288" s="2"/>
      <c r="K288" s="2"/>
      <c r="L288" s="2"/>
      <c r="M288" s="2"/>
      <c r="N288" s="2"/>
      <c r="O288" s="2"/>
      <c r="P288" s="2"/>
      <c r="Q288" s="2"/>
      <c r="R288" s="2"/>
      <c r="S288" s="2"/>
      <c r="T288" s="2"/>
    </row>
    <row r="289" spans="1:20" ht="15.75" customHeight="1">
      <c r="A289" s="1"/>
      <c r="B289" s="2"/>
      <c r="C289" s="2"/>
      <c r="D289" s="2"/>
      <c r="E289" s="2"/>
      <c r="F289" s="2"/>
      <c r="G289" s="2"/>
      <c r="H289" s="2"/>
      <c r="I289" s="2"/>
      <c r="J289" s="2"/>
      <c r="K289" s="2"/>
      <c r="L289" s="2"/>
      <c r="M289" s="2"/>
      <c r="N289" s="2"/>
      <c r="O289" s="2"/>
      <c r="P289" s="2"/>
      <c r="Q289" s="2"/>
      <c r="R289" s="2"/>
      <c r="S289" s="2"/>
      <c r="T289" s="2"/>
    </row>
    <row r="290" spans="1:20" ht="15.75" customHeight="1">
      <c r="A290" s="1"/>
      <c r="B290" s="2"/>
      <c r="C290" s="2"/>
      <c r="D290" s="2"/>
      <c r="E290" s="2"/>
      <c r="F290" s="2"/>
      <c r="G290" s="2"/>
      <c r="H290" s="2"/>
      <c r="I290" s="2"/>
      <c r="J290" s="2"/>
      <c r="K290" s="2"/>
      <c r="L290" s="2"/>
      <c r="M290" s="2"/>
      <c r="N290" s="2"/>
      <c r="O290" s="2"/>
      <c r="P290" s="2"/>
      <c r="Q290" s="2"/>
      <c r="R290" s="2"/>
      <c r="S290" s="2"/>
      <c r="T290" s="2"/>
    </row>
    <row r="291" spans="1:20" ht="15.75" customHeight="1">
      <c r="A291" s="1"/>
      <c r="B291" s="2"/>
      <c r="C291" s="2"/>
      <c r="D291" s="2"/>
      <c r="E291" s="2"/>
      <c r="F291" s="2"/>
      <c r="G291" s="2"/>
      <c r="H291" s="2"/>
      <c r="I291" s="2"/>
      <c r="J291" s="2"/>
      <c r="K291" s="2"/>
      <c r="L291" s="2"/>
      <c r="M291" s="2"/>
      <c r="N291" s="2"/>
      <c r="O291" s="2"/>
      <c r="P291" s="2"/>
      <c r="Q291" s="2"/>
      <c r="R291" s="2"/>
      <c r="S291" s="2"/>
      <c r="T291" s="2"/>
    </row>
    <row r="292" spans="1:20" ht="15.75" customHeight="1">
      <c r="A292" s="1"/>
      <c r="B292" s="2"/>
      <c r="C292" s="2"/>
      <c r="D292" s="2"/>
      <c r="E292" s="2"/>
      <c r="F292" s="2"/>
      <c r="G292" s="2"/>
      <c r="H292" s="2"/>
      <c r="I292" s="2"/>
      <c r="J292" s="2"/>
      <c r="K292" s="2"/>
      <c r="L292" s="2"/>
      <c r="M292" s="2"/>
      <c r="N292" s="2"/>
      <c r="O292" s="2"/>
      <c r="P292" s="2"/>
      <c r="Q292" s="2"/>
      <c r="R292" s="2"/>
      <c r="S292" s="2"/>
      <c r="T292" s="2"/>
    </row>
    <row r="293" spans="1:20" ht="15.75" customHeight="1">
      <c r="A293" s="1"/>
      <c r="B293" s="2"/>
      <c r="C293" s="2"/>
      <c r="D293" s="2"/>
      <c r="E293" s="2"/>
      <c r="F293" s="2"/>
      <c r="G293" s="2"/>
      <c r="H293" s="2"/>
      <c r="I293" s="2"/>
      <c r="J293" s="2"/>
      <c r="K293" s="2"/>
      <c r="L293" s="2"/>
      <c r="M293" s="2"/>
      <c r="N293" s="2"/>
      <c r="O293" s="2"/>
      <c r="P293" s="2"/>
      <c r="Q293" s="2"/>
      <c r="R293" s="2"/>
      <c r="S293" s="2"/>
      <c r="T293" s="2"/>
    </row>
    <row r="294" spans="1:20" ht="15.75" customHeight="1">
      <c r="A294" s="1"/>
      <c r="B294" s="2"/>
      <c r="C294" s="2"/>
      <c r="D294" s="2"/>
      <c r="E294" s="2"/>
      <c r="F294" s="2"/>
      <c r="G294" s="2"/>
      <c r="H294" s="2"/>
      <c r="I294" s="2"/>
      <c r="J294" s="2"/>
      <c r="K294" s="2"/>
      <c r="L294" s="2"/>
      <c r="M294" s="2"/>
      <c r="N294" s="2"/>
      <c r="O294" s="2"/>
      <c r="P294" s="2"/>
      <c r="Q294" s="2"/>
      <c r="R294" s="2"/>
      <c r="S294" s="2"/>
      <c r="T294" s="2"/>
    </row>
    <row r="295" spans="1:20" ht="15.75" customHeight="1">
      <c r="A295" s="1"/>
      <c r="B295" s="2"/>
      <c r="C295" s="2"/>
      <c r="D295" s="2"/>
      <c r="E295" s="2"/>
      <c r="F295" s="2"/>
      <c r="G295" s="2"/>
      <c r="H295" s="2"/>
      <c r="I295" s="2"/>
      <c r="J295" s="2"/>
      <c r="K295" s="2"/>
      <c r="L295" s="2"/>
      <c r="M295" s="2"/>
      <c r="N295" s="2"/>
      <c r="O295" s="2"/>
      <c r="P295" s="2"/>
      <c r="Q295" s="2"/>
      <c r="R295" s="2"/>
      <c r="S295" s="2"/>
      <c r="T295" s="2"/>
    </row>
    <row r="296" spans="1:20" ht="15.75" customHeight="1">
      <c r="A296" s="1"/>
      <c r="B296" s="2"/>
      <c r="C296" s="2"/>
      <c r="D296" s="2"/>
      <c r="E296" s="2"/>
      <c r="F296" s="2"/>
      <c r="G296" s="2"/>
      <c r="H296" s="2"/>
      <c r="I296" s="2"/>
      <c r="J296" s="2"/>
      <c r="K296" s="2"/>
      <c r="L296" s="2"/>
      <c r="M296" s="2"/>
      <c r="N296" s="2"/>
      <c r="O296" s="2"/>
      <c r="P296" s="2"/>
      <c r="Q296" s="2"/>
      <c r="R296" s="2"/>
      <c r="S296" s="2"/>
      <c r="T296" s="2"/>
    </row>
    <row r="297" spans="1:20" ht="15.75" customHeight="1">
      <c r="A297" s="1"/>
      <c r="B297" s="2"/>
      <c r="C297" s="2"/>
      <c r="D297" s="2"/>
      <c r="E297" s="2"/>
      <c r="F297" s="2"/>
      <c r="G297" s="2"/>
      <c r="H297" s="2"/>
      <c r="I297" s="2"/>
      <c r="J297" s="2"/>
      <c r="K297" s="2"/>
      <c r="L297" s="2"/>
      <c r="M297" s="2"/>
      <c r="N297" s="2"/>
      <c r="O297" s="2"/>
      <c r="P297" s="2"/>
      <c r="Q297" s="2"/>
      <c r="R297" s="2"/>
      <c r="S297" s="2"/>
      <c r="T297" s="2"/>
    </row>
    <row r="298" spans="1:20" ht="15.75" customHeight="1">
      <c r="A298" s="1"/>
      <c r="B298" s="2"/>
      <c r="C298" s="2"/>
      <c r="D298" s="2"/>
      <c r="E298" s="2"/>
      <c r="F298" s="2"/>
      <c r="G298" s="2"/>
      <c r="H298" s="2"/>
      <c r="I298" s="2"/>
      <c r="J298" s="2"/>
      <c r="K298" s="2"/>
      <c r="L298" s="2"/>
      <c r="M298" s="2"/>
      <c r="N298" s="2"/>
      <c r="O298" s="2"/>
      <c r="P298" s="2"/>
      <c r="Q298" s="2"/>
      <c r="R298" s="2"/>
      <c r="S298" s="2"/>
      <c r="T298" s="2"/>
    </row>
    <row r="299" spans="1:20" ht="15.75" customHeight="1">
      <c r="A299" s="1"/>
      <c r="B299" s="2"/>
      <c r="C299" s="2"/>
      <c r="D299" s="2"/>
      <c r="E299" s="2"/>
      <c r="F299" s="2"/>
      <c r="G299" s="2"/>
      <c r="H299" s="2"/>
      <c r="I299" s="2"/>
      <c r="J299" s="2"/>
      <c r="K299" s="2"/>
      <c r="L299" s="2"/>
      <c r="M299" s="2"/>
      <c r="N299" s="2"/>
      <c r="O299" s="2"/>
      <c r="P299" s="2"/>
      <c r="Q299" s="2"/>
      <c r="R299" s="2"/>
      <c r="S299" s="2"/>
      <c r="T299" s="2"/>
    </row>
    <row r="300" spans="1:20" ht="15.75" customHeight="1">
      <c r="A300" s="1"/>
      <c r="B300" s="2"/>
      <c r="C300" s="2"/>
      <c r="D300" s="2"/>
      <c r="E300" s="2"/>
      <c r="F300" s="2"/>
      <c r="G300" s="2"/>
      <c r="H300" s="2"/>
      <c r="I300" s="2"/>
      <c r="J300" s="2"/>
      <c r="K300" s="2"/>
      <c r="L300" s="2"/>
      <c r="M300" s="2"/>
      <c r="N300" s="2"/>
      <c r="O300" s="2"/>
      <c r="P300" s="2"/>
      <c r="Q300" s="2"/>
      <c r="R300" s="2"/>
      <c r="S300" s="2"/>
      <c r="T300" s="2"/>
    </row>
    <row r="301" spans="1:20" ht="15.75" customHeight="1">
      <c r="A301" s="1"/>
      <c r="B301" s="2"/>
      <c r="C301" s="2"/>
      <c r="D301" s="2"/>
      <c r="E301" s="2"/>
      <c r="F301" s="2"/>
      <c r="G301" s="2"/>
      <c r="H301" s="2"/>
      <c r="I301" s="2"/>
      <c r="J301" s="2"/>
      <c r="K301" s="2"/>
      <c r="L301" s="2"/>
      <c r="M301" s="2"/>
      <c r="N301" s="2"/>
      <c r="O301" s="2"/>
      <c r="P301" s="2"/>
      <c r="Q301" s="2"/>
      <c r="R301" s="2"/>
      <c r="S301" s="2"/>
      <c r="T301" s="2"/>
    </row>
    <row r="302" spans="1:20" ht="15.75" customHeight="1">
      <c r="A302" s="1"/>
      <c r="B302" s="2"/>
      <c r="C302" s="2"/>
      <c r="D302" s="2"/>
      <c r="E302" s="2"/>
      <c r="F302" s="2"/>
      <c r="G302" s="2"/>
      <c r="H302" s="2"/>
      <c r="I302" s="2"/>
      <c r="J302" s="2"/>
      <c r="K302" s="2"/>
      <c r="L302" s="2"/>
      <c r="M302" s="2"/>
      <c r="N302" s="2"/>
      <c r="O302" s="2"/>
      <c r="P302" s="2"/>
      <c r="Q302" s="2"/>
      <c r="R302" s="2"/>
      <c r="S302" s="2"/>
      <c r="T302" s="2"/>
    </row>
    <row r="303" spans="1:20" ht="15.75" customHeight="1">
      <c r="A303" s="1"/>
      <c r="B303" s="2"/>
      <c r="C303" s="2"/>
      <c r="D303" s="2"/>
      <c r="E303" s="2"/>
      <c r="F303" s="2"/>
      <c r="G303" s="2"/>
      <c r="H303" s="2"/>
      <c r="I303" s="2"/>
      <c r="J303" s="2"/>
      <c r="K303" s="2"/>
      <c r="L303" s="2"/>
      <c r="M303" s="2"/>
      <c r="N303" s="2"/>
      <c r="O303" s="2"/>
      <c r="P303" s="2"/>
      <c r="Q303" s="2"/>
      <c r="R303" s="2"/>
      <c r="S303" s="2"/>
      <c r="T303" s="2"/>
    </row>
    <row r="304" spans="1:20" ht="15.75" customHeight="1">
      <c r="A304" s="1"/>
      <c r="B304" s="2"/>
      <c r="C304" s="2"/>
      <c r="D304" s="2"/>
      <c r="E304" s="2"/>
      <c r="F304" s="2"/>
      <c r="G304" s="2"/>
      <c r="H304" s="2"/>
      <c r="I304" s="2"/>
      <c r="J304" s="2"/>
      <c r="K304" s="2"/>
      <c r="L304" s="2"/>
      <c r="M304" s="2"/>
      <c r="N304" s="2"/>
      <c r="O304" s="2"/>
      <c r="P304" s="2"/>
      <c r="Q304" s="2"/>
      <c r="R304" s="2"/>
      <c r="S304" s="2"/>
      <c r="T304" s="2"/>
    </row>
    <row r="305" spans="1:20" ht="15.75" customHeight="1">
      <c r="A305" s="1"/>
      <c r="B305" s="2"/>
      <c r="C305" s="2"/>
      <c r="D305" s="2"/>
      <c r="E305" s="2"/>
      <c r="F305" s="2"/>
      <c r="G305" s="2"/>
      <c r="H305" s="2"/>
      <c r="I305" s="2"/>
      <c r="J305" s="2"/>
      <c r="K305" s="2"/>
      <c r="L305" s="2"/>
      <c r="M305" s="2"/>
      <c r="N305" s="2"/>
      <c r="O305" s="2"/>
      <c r="P305" s="2"/>
      <c r="Q305" s="2"/>
      <c r="R305" s="2"/>
      <c r="S305" s="2"/>
      <c r="T305" s="2"/>
    </row>
    <row r="306" spans="1:20" ht="15.75" customHeight="1">
      <c r="A306" s="1"/>
      <c r="B306" s="2"/>
      <c r="C306" s="2"/>
      <c r="D306" s="2"/>
      <c r="E306" s="2"/>
      <c r="F306" s="2"/>
      <c r="G306" s="2"/>
      <c r="H306" s="2"/>
      <c r="I306" s="2"/>
      <c r="J306" s="2"/>
      <c r="K306" s="2"/>
      <c r="L306" s="2"/>
      <c r="M306" s="2"/>
      <c r="N306" s="2"/>
      <c r="O306" s="2"/>
      <c r="P306" s="2"/>
      <c r="Q306" s="2"/>
      <c r="R306" s="2"/>
      <c r="S306" s="2"/>
      <c r="T306" s="2"/>
    </row>
    <row r="307" spans="1:20" ht="15.75" customHeight="1">
      <c r="A307" s="1"/>
      <c r="B307" s="2"/>
      <c r="C307" s="2"/>
      <c r="D307" s="2"/>
      <c r="E307" s="2"/>
      <c r="F307" s="2"/>
      <c r="G307" s="2"/>
      <c r="H307" s="2"/>
      <c r="I307" s="2"/>
      <c r="J307" s="2"/>
      <c r="K307" s="2"/>
      <c r="L307" s="2"/>
      <c r="M307" s="2"/>
      <c r="N307" s="2"/>
      <c r="O307" s="2"/>
      <c r="P307" s="2"/>
      <c r="Q307" s="2"/>
      <c r="R307" s="2"/>
      <c r="S307" s="2"/>
      <c r="T307" s="2"/>
    </row>
    <row r="308" spans="1:20" ht="15.75" customHeight="1">
      <c r="A308" s="1"/>
      <c r="B308" s="2"/>
      <c r="C308" s="2"/>
      <c r="D308" s="2"/>
      <c r="E308" s="2"/>
      <c r="F308" s="2"/>
      <c r="G308" s="2"/>
      <c r="H308" s="2"/>
      <c r="I308" s="2"/>
      <c r="J308" s="2"/>
      <c r="K308" s="2"/>
      <c r="L308" s="2"/>
      <c r="M308" s="2"/>
      <c r="N308" s="2"/>
      <c r="O308" s="2"/>
      <c r="P308" s="2"/>
      <c r="Q308" s="2"/>
      <c r="R308" s="2"/>
      <c r="S308" s="2"/>
      <c r="T308" s="2"/>
    </row>
    <row r="309" spans="1:20" ht="15.75" customHeight="1">
      <c r="A309" s="1"/>
      <c r="B309" s="2"/>
      <c r="C309" s="2"/>
      <c r="D309" s="2"/>
      <c r="E309" s="2"/>
      <c r="F309" s="2"/>
      <c r="G309" s="2"/>
      <c r="H309" s="2"/>
      <c r="I309" s="2"/>
      <c r="J309" s="2"/>
      <c r="K309" s="2"/>
      <c r="L309" s="2"/>
      <c r="M309" s="2"/>
      <c r="N309" s="2"/>
      <c r="O309" s="2"/>
      <c r="P309" s="2"/>
      <c r="Q309" s="2"/>
      <c r="R309" s="2"/>
      <c r="S309" s="2"/>
      <c r="T309" s="2"/>
    </row>
    <row r="310" spans="1:20" ht="15.75" customHeight="1">
      <c r="A310" s="1"/>
      <c r="B310" s="2"/>
      <c r="C310" s="2"/>
      <c r="D310" s="2"/>
      <c r="E310" s="2"/>
      <c r="F310" s="2"/>
      <c r="G310" s="2"/>
      <c r="H310" s="2"/>
      <c r="I310" s="2"/>
      <c r="J310" s="2"/>
      <c r="K310" s="2"/>
      <c r="L310" s="2"/>
      <c r="M310" s="2"/>
      <c r="N310" s="2"/>
      <c r="O310" s="2"/>
      <c r="P310" s="2"/>
      <c r="Q310" s="2"/>
      <c r="R310" s="2"/>
      <c r="S310" s="2"/>
      <c r="T310" s="2"/>
    </row>
    <row r="311" spans="1:20" ht="15.75" customHeight="1">
      <c r="A311" s="1"/>
      <c r="B311" s="2"/>
      <c r="C311" s="2"/>
      <c r="D311" s="2"/>
      <c r="E311" s="2"/>
      <c r="F311" s="2"/>
      <c r="G311" s="2"/>
      <c r="H311" s="2"/>
      <c r="I311" s="2"/>
      <c r="J311" s="2"/>
      <c r="K311" s="2"/>
      <c r="L311" s="2"/>
      <c r="M311" s="2"/>
      <c r="N311" s="2"/>
      <c r="O311" s="2"/>
      <c r="P311" s="2"/>
      <c r="Q311" s="2"/>
      <c r="R311" s="2"/>
      <c r="S311" s="2"/>
      <c r="T311" s="2"/>
    </row>
    <row r="312" spans="1:20" ht="15.75" customHeight="1">
      <c r="A312" s="1"/>
      <c r="B312" s="2"/>
      <c r="C312" s="2"/>
      <c r="D312" s="2"/>
      <c r="E312" s="2"/>
      <c r="F312" s="2"/>
      <c r="G312" s="2"/>
      <c r="H312" s="2"/>
      <c r="I312" s="2"/>
      <c r="J312" s="2"/>
      <c r="K312" s="2"/>
      <c r="L312" s="2"/>
      <c r="M312" s="2"/>
      <c r="N312" s="2"/>
      <c r="O312" s="2"/>
      <c r="P312" s="2"/>
      <c r="Q312" s="2"/>
      <c r="R312" s="2"/>
      <c r="S312" s="2"/>
      <c r="T312" s="2"/>
    </row>
    <row r="313" spans="1:20" ht="15.75" customHeight="1">
      <c r="A313" s="1"/>
      <c r="B313" s="2"/>
      <c r="C313" s="2"/>
      <c r="D313" s="2"/>
      <c r="E313" s="2"/>
      <c r="F313" s="2"/>
      <c r="G313" s="2"/>
      <c r="H313" s="2"/>
      <c r="I313" s="2"/>
      <c r="J313" s="2"/>
      <c r="K313" s="2"/>
      <c r="L313" s="2"/>
      <c r="M313" s="2"/>
      <c r="N313" s="2"/>
      <c r="O313" s="2"/>
      <c r="P313" s="2"/>
      <c r="Q313" s="2"/>
      <c r="R313" s="2"/>
      <c r="S313" s="2"/>
      <c r="T313" s="2"/>
    </row>
    <row r="314" spans="1:20" ht="15.75" customHeight="1">
      <c r="A314" s="1"/>
      <c r="B314" s="2"/>
      <c r="C314" s="2"/>
      <c r="D314" s="2"/>
      <c r="E314" s="2"/>
      <c r="F314" s="2"/>
      <c r="G314" s="2"/>
      <c r="H314" s="2"/>
      <c r="I314" s="2"/>
      <c r="J314" s="2"/>
      <c r="K314" s="2"/>
      <c r="L314" s="2"/>
      <c r="M314" s="2"/>
      <c r="N314" s="2"/>
      <c r="O314" s="2"/>
      <c r="P314" s="2"/>
      <c r="Q314" s="2"/>
      <c r="R314" s="2"/>
      <c r="S314" s="2"/>
      <c r="T314" s="2"/>
    </row>
    <row r="315" spans="1:20" ht="15.75" customHeight="1">
      <c r="A315" s="1"/>
      <c r="B315" s="2"/>
      <c r="C315" s="2"/>
      <c r="D315" s="2"/>
      <c r="E315" s="2"/>
      <c r="F315" s="2"/>
      <c r="G315" s="2"/>
      <c r="H315" s="2"/>
      <c r="I315" s="2"/>
      <c r="J315" s="2"/>
      <c r="K315" s="2"/>
      <c r="L315" s="2"/>
      <c r="M315" s="2"/>
      <c r="N315" s="2"/>
      <c r="O315" s="2"/>
      <c r="P315" s="2"/>
      <c r="Q315" s="2"/>
      <c r="R315" s="2"/>
      <c r="S315" s="2"/>
      <c r="T315" s="2"/>
    </row>
    <row r="316" spans="1:20" ht="15.75" customHeight="1">
      <c r="A316" s="1"/>
      <c r="B316" s="2"/>
      <c r="C316" s="2"/>
      <c r="D316" s="2"/>
      <c r="E316" s="2"/>
      <c r="F316" s="2"/>
      <c r="G316" s="2"/>
      <c r="H316" s="2"/>
      <c r="I316" s="2"/>
      <c r="J316" s="2"/>
      <c r="K316" s="2"/>
      <c r="L316" s="2"/>
      <c r="M316" s="2"/>
      <c r="N316" s="2"/>
      <c r="O316" s="2"/>
      <c r="P316" s="2"/>
      <c r="Q316" s="2"/>
      <c r="R316" s="2"/>
      <c r="S316" s="2"/>
      <c r="T316" s="2"/>
    </row>
    <row r="317" spans="1:20" ht="15.75" customHeight="1">
      <c r="A317" s="1"/>
      <c r="B317" s="2"/>
      <c r="C317" s="2"/>
      <c r="D317" s="2"/>
      <c r="E317" s="2"/>
      <c r="F317" s="2"/>
      <c r="G317" s="2"/>
      <c r="H317" s="2"/>
      <c r="I317" s="2"/>
      <c r="J317" s="2"/>
      <c r="K317" s="2"/>
      <c r="L317" s="2"/>
      <c r="M317" s="2"/>
      <c r="N317" s="2"/>
      <c r="O317" s="2"/>
      <c r="P317" s="2"/>
      <c r="Q317" s="2"/>
      <c r="R317" s="2"/>
      <c r="S317" s="2"/>
      <c r="T317" s="2"/>
    </row>
    <row r="318" spans="1:20" ht="15.75" customHeight="1">
      <c r="A318" s="1"/>
      <c r="B318" s="2"/>
      <c r="C318" s="2"/>
      <c r="D318" s="2"/>
      <c r="E318" s="2"/>
      <c r="F318" s="2"/>
      <c r="G318" s="2"/>
      <c r="H318" s="2"/>
      <c r="I318" s="2"/>
      <c r="J318" s="2"/>
      <c r="K318" s="2"/>
      <c r="L318" s="2"/>
      <c r="M318" s="2"/>
      <c r="N318" s="2"/>
      <c r="O318" s="2"/>
      <c r="P318" s="2"/>
      <c r="Q318" s="2"/>
      <c r="R318" s="2"/>
      <c r="S318" s="2"/>
      <c r="T318" s="2"/>
    </row>
    <row r="319" spans="1:20" ht="15.75" customHeight="1">
      <c r="A319" s="1"/>
      <c r="B319" s="2"/>
      <c r="C319" s="2"/>
      <c r="D319" s="2"/>
      <c r="E319" s="2"/>
      <c r="F319" s="2"/>
      <c r="G319" s="2"/>
      <c r="H319" s="2"/>
      <c r="I319" s="2"/>
      <c r="J319" s="2"/>
      <c r="K319" s="2"/>
      <c r="L319" s="2"/>
      <c r="M319" s="2"/>
      <c r="N319" s="2"/>
      <c r="O319" s="2"/>
      <c r="P319" s="2"/>
      <c r="Q319" s="2"/>
      <c r="R319" s="2"/>
      <c r="S319" s="2"/>
      <c r="T319" s="2"/>
    </row>
    <row r="320" spans="1:20" ht="15.75" customHeight="1">
      <c r="A320" s="1"/>
      <c r="B320" s="2"/>
      <c r="C320" s="2"/>
      <c r="D320" s="2"/>
      <c r="E320" s="2"/>
      <c r="F320" s="2"/>
      <c r="G320" s="2"/>
      <c r="H320" s="2"/>
      <c r="I320" s="2"/>
      <c r="J320" s="2"/>
      <c r="K320" s="2"/>
      <c r="L320" s="2"/>
      <c r="M320" s="2"/>
      <c r="N320" s="2"/>
      <c r="O320" s="2"/>
      <c r="P320" s="2"/>
      <c r="Q320" s="2"/>
      <c r="R320" s="2"/>
      <c r="S320" s="2"/>
      <c r="T320" s="2"/>
    </row>
    <row r="321" spans="1:20" ht="15.75" customHeight="1">
      <c r="A321" s="1"/>
      <c r="B321" s="2"/>
      <c r="C321" s="2"/>
      <c r="D321" s="2"/>
      <c r="E321" s="2"/>
      <c r="F321" s="2"/>
      <c r="G321" s="2"/>
      <c r="H321" s="2"/>
      <c r="I321" s="2"/>
      <c r="J321" s="2"/>
      <c r="K321" s="2"/>
      <c r="L321" s="2"/>
      <c r="M321" s="2"/>
      <c r="N321" s="2"/>
      <c r="O321" s="2"/>
      <c r="P321" s="2"/>
      <c r="Q321" s="2"/>
      <c r="R321" s="2"/>
      <c r="S321" s="2"/>
      <c r="T321" s="2"/>
    </row>
    <row r="322" spans="1:20" ht="15.75" customHeight="1">
      <c r="A322" s="1"/>
      <c r="B322" s="2"/>
      <c r="C322" s="2"/>
      <c r="D322" s="2"/>
      <c r="E322" s="2"/>
      <c r="F322" s="2"/>
      <c r="G322" s="2"/>
      <c r="H322" s="2"/>
      <c r="I322" s="2"/>
      <c r="J322" s="2"/>
      <c r="K322" s="2"/>
      <c r="L322" s="2"/>
      <c r="M322" s="2"/>
      <c r="N322" s="2"/>
      <c r="O322" s="2"/>
      <c r="P322" s="2"/>
      <c r="Q322" s="2"/>
      <c r="R322" s="2"/>
      <c r="S322" s="2"/>
      <c r="T322" s="2"/>
    </row>
    <row r="323" spans="1:20" ht="15.75" customHeight="1">
      <c r="A323" s="1"/>
      <c r="B323" s="2"/>
      <c r="C323" s="2"/>
      <c r="D323" s="2"/>
      <c r="E323" s="2"/>
      <c r="F323" s="2"/>
      <c r="G323" s="2"/>
      <c r="H323" s="2"/>
      <c r="I323" s="2"/>
      <c r="J323" s="2"/>
      <c r="K323" s="2"/>
      <c r="L323" s="2"/>
      <c r="M323" s="2"/>
      <c r="N323" s="2"/>
      <c r="O323" s="2"/>
      <c r="P323" s="2"/>
      <c r="Q323" s="2"/>
      <c r="R323" s="2"/>
      <c r="S323" s="2"/>
      <c r="T323" s="2"/>
    </row>
    <row r="324" spans="1:20" ht="15.75" customHeight="1">
      <c r="A324" s="1"/>
      <c r="B324" s="2"/>
      <c r="C324" s="2"/>
      <c r="D324" s="2"/>
      <c r="E324" s="2"/>
      <c r="F324" s="2"/>
      <c r="G324" s="2"/>
      <c r="H324" s="2"/>
      <c r="I324" s="2"/>
      <c r="J324" s="2"/>
      <c r="K324" s="2"/>
      <c r="L324" s="2"/>
      <c r="M324" s="2"/>
      <c r="N324" s="2"/>
      <c r="O324" s="2"/>
      <c r="P324" s="2"/>
      <c r="Q324" s="2"/>
      <c r="R324" s="2"/>
      <c r="S324" s="2"/>
      <c r="T324" s="2"/>
    </row>
    <row r="325" spans="1:20" ht="15.75" customHeight="1">
      <c r="A325" s="1"/>
      <c r="B325" s="2"/>
      <c r="C325" s="2"/>
      <c r="D325" s="2"/>
      <c r="E325" s="2"/>
      <c r="F325" s="2"/>
      <c r="G325" s="2"/>
      <c r="H325" s="2"/>
      <c r="I325" s="2"/>
      <c r="J325" s="2"/>
      <c r="K325" s="2"/>
      <c r="L325" s="2"/>
      <c r="M325" s="2"/>
      <c r="N325" s="2"/>
      <c r="O325" s="2"/>
      <c r="P325" s="2"/>
      <c r="Q325" s="2"/>
      <c r="R325" s="2"/>
      <c r="S325" s="2"/>
      <c r="T325" s="2"/>
    </row>
    <row r="326" spans="1:20" ht="15.75" customHeight="1">
      <c r="A326" s="1"/>
      <c r="B326" s="2"/>
      <c r="C326" s="2"/>
      <c r="D326" s="2"/>
      <c r="E326" s="2"/>
      <c r="F326" s="2"/>
      <c r="G326" s="2"/>
      <c r="H326" s="2"/>
      <c r="I326" s="2"/>
      <c r="J326" s="2"/>
      <c r="K326" s="2"/>
      <c r="L326" s="2"/>
      <c r="M326" s="2"/>
      <c r="N326" s="2"/>
      <c r="O326" s="2"/>
      <c r="P326" s="2"/>
      <c r="Q326" s="2"/>
      <c r="R326" s="2"/>
      <c r="S326" s="2"/>
      <c r="T326" s="2"/>
    </row>
    <row r="327" spans="1:20" ht="15.75" customHeight="1">
      <c r="A327" s="1"/>
      <c r="B327" s="2"/>
      <c r="C327" s="2"/>
      <c r="D327" s="2"/>
      <c r="E327" s="2"/>
      <c r="F327" s="2"/>
      <c r="G327" s="2"/>
      <c r="H327" s="2"/>
      <c r="I327" s="2"/>
      <c r="J327" s="2"/>
      <c r="K327" s="2"/>
      <c r="L327" s="2"/>
      <c r="M327" s="2"/>
      <c r="N327" s="2"/>
      <c r="O327" s="2"/>
      <c r="P327" s="2"/>
      <c r="Q327" s="2"/>
      <c r="R327" s="2"/>
      <c r="S327" s="2"/>
      <c r="T327" s="2"/>
    </row>
    <row r="328" spans="1:20" ht="15.75" customHeight="1">
      <c r="A328" s="1"/>
      <c r="B328" s="2"/>
      <c r="C328" s="2"/>
      <c r="D328" s="2"/>
      <c r="E328" s="2"/>
      <c r="F328" s="2"/>
      <c r="G328" s="2"/>
      <c r="H328" s="2"/>
      <c r="I328" s="2"/>
      <c r="J328" s="2"/>
      <c r="K328" s="2"/>
      <c r="L328" s="2"/>
      <c r="M328" s="2"/>
      <c r="N328" s="2"/>
      <c r="O328" s="2"/>
      <c r="P328" s="2"/>
      <c r="Q328" s="2"/>
      <c r="R328" s="2"/>
      <c r="S328" s="2"/>
      <c r="T328" s="2"/>
    </row>
    <row r="329" spans="1:20" ht="15.75" customHeight="1">
      <c r="A329" s="1"/>
      <c r="B329" s="2"/>
      <c r="C329" s="2"/>
      <c r="D329" s="2"/>
      <c r="E329" s="2"/>
      <c r="F329" s="2"/>
      <c r="G329" s="2"/>
      <c r="H329" s="2"/>
      <c r="I329" s="2"/>
      <c r="J329" s="2"/>
      <c r="K329" s="2"/>
      <c r="L329" s="2"/>
      <c r="M329" s="2"/>
      <c r="N329" s="2"/>
      <c r="O329" s="2"/>
      <c r="P329" s="2"/>
      <c r="Q329" s="2"/>
      <c r="R329" s="2"/>
      <c r="S329" s="2"/>
      <c r="T329" s="2"/>
    </row>
    <row r="330" spans="1:20" ht="15.75" customHeight="1">
      <c r="A330" s="1"/>
      <c r="B330" s="2"/>
      <c r="C330" s="2"/>
      <c r="D330" s="2"/>
      <c r="E330" s="2"/>
      <c r="F330" s="2"/>
      <c r="G330" s="2"/>
      <c r="H330" s="2"/>
      <c r="I330" s="2"/>
      <c r="J330" s="2"/>
      <c r="K330" s="2"/>
      <c r="L330" s="2"/>
      <c r="M330" s="2"/>
      <c r="N330" s="2"/>
      <c r="O330" s="2"/>
      <c r="P330" s="2"/>
      <c r="Q330" s="2"/>
      <c r="R330" s="2"/>
      <c r="S330" s="2"/>
      <c r="T330" s="2"/>
    </row>
    <row r="331" spans="1:20" ht="15.75" customHeight="1">
      <c r="A331" s="1"/>
      <c r="B331" s="2"/>
      <c r="C331" s="2"/>
      <c r="D331" s="2"/>
      <c r="E331" s="2"/>
      <c r="F331" s="2"/>
      <c r="G331" s="2"/>
      <c r="H331" s="2"/>
      <c r="I331" s="2"/>
      <c r="J331" s="2"/>
      <c r="K331" s="2"/>
      <c r="L331" s="2"/>
      <c r="M331" s="2"/>
      <c r="N331" s="2"/>
      <c r="O331" s="2"/>
      <c r="P331" s="2"/>
      <c r="Q331" s="2"/>
      <c r="R331" s="2"/>
      <c r="S331" s="2"/>
      <c r="T331" s="2"/>
    </row>
    <row r="332" spans="1:20" ht="15.75" customHeight="1">
      <c r="A332" s="1"/>
      <c r="B332" s="2"/>
      <c r="C332" s="2"/>
      <c r="D332" s="2"/>
      <c r="E332" s="2"/>
      <c r="F332" s="2"/>
      <c r="G332" s="2"/>
      <c r="H332" s="2"/>
      <c r="I332" s="2"/>
      <c r="J332" s="2"/>
      <c r="K332" s="2"/>
      <c r="L332" s="2"/>
      <c r="M332" s="2"/>
      <c r="N332" s="2"/>
      <c r="O332" s="2"/>
      <c r="P332" s="2"/>
      <c r="Q332" s="2"/>
      <c r="R332" s="2"/>
      <c r="S332" s="2"/>
      <c r="T332" s="2"/>
    </row>
    <row r="333" spans="1:20" ht="15.75" customHeight="1">
      <c r="A333" s="1"/>
      <c r="B333" s="2"/>
      <c r="C333" s="2"/>
      <c r="D333" s="2"/>
      <c r="E333" s="2"/>
      <c r="F333" s="2"/>
      <c r="G333" s="2"/>
      <c r="H333" s="2"/>
      <c r="I333" s="2"/>
      <c r="J333" s="2"/>
      <c r="K333" s="2"/>
      <c r="L333" s="2"/>
      <c r="M333" s="2"/>
      <c r="N333" s="2"/>
      <c r="O333" s="2"/>
      <c r="P333" s="2"/>
      <c r="Q333" s="2"/>
      <c r="R333" s="2"/>
      <c r="S333" s="2"/>
      <c r="T333" s="2"/>
    </row>
    <row r="334" spans="1:20" ht="15.75" customHeight="1">
      <c r="A334" s="1"/>
      <c r="B334" s="2"/>
      <c r="C334" s="2"/>
      <c r="D334" s="2"/>
      <c r="E334" s="2"/>
      <c r="F334" s="2"/>
      <c r="G334" s="2"/>
      <c r="H334" s="2"/>
      <c r="I334" s="2"/>
      <c r="J334" s="2"/>
      <c r="K334" s="2"/>
      <c r="L334" s="2"/>
      <c r="M334" s="2"/>
      <c r="N334" s="2"/>
      <c r="O334" s="2"/>
      <c r="P334" s="2"/>
      <c r="Q334" s="2"/>
      <c r="R334" s="2"/>
      <c r="S334" s="2"/>
      <c r="T334" s="2"/>
    </row>
    <row r="335" spans="1:20" ht="15.75" customHeight="1">
      <c r="A335" s="1"/>
      <c r="B335" s="2"/>
      <c r="C335" s="2"/>
      <c r="D335" s="2"/>
      <c r="E335" s="2"/>
      <c r="F335" s="2"/>
      <c r="G335" s="2"/>
      <c r="H335" s="2"/>
      <c r="I335" s="2"/>
      <c r="J335" s="2"/>
      <c r="K335" s="2"/>
      <c r="L335" s="2"/>
      <c r="M335" s="2"/>
      <c r="N335" s="2"/>
      <c r="O335" s="2"/>
      <c r="P335" s="2"/>
      <c r="Q335" s="2"/>
      <c r="R335" s="2"/>
      <c r="S335" s="2"/>
      <c r="T335" s="2"/>
    </row>
    <row r="336" spans="1:20" ht="15.75" customHeight="1">
      <c r="A336" s="1"/>
      <c r="B336" s="2"/>
      <c r="C336" s="2"/>
      <c r="D336" s="2"/>
      <c r="E336" s="2"/>
      <c r="F336" s="2"/>
      <c r="G336" s="2"/>
      <c r="H336" s="2"/>
      <c r="I336" s="2"/>
      <c r="J336" s="2"/>
      <c r="K336" s="2"/>
      <c r="L336" s="2"/>
      <c r="M336" s="2"/>
      <c r="N336" s="2"/>
      <c r="O336" s="2"/>
      <c r="P336" s="2"/>
      <c r="Q336" s="2"/>
      <c r="R336" s="2"/>
      <c r="S336" s="2"/>
      <c r="T336" s="2"/>
    </row>
    <row r="337" spans="1:20" ht="15.75" customHeight="1">
      <c r="A337" s="1"/>
      <c r="B337" s="2"/>
      <c r="C337" s="2"/>
      <c r="D337" s="2"/>
      <c r="E337" s="2"/>
      <c r="F337" s="2"/>
      <c r="G337" s="2"/>
      <c r="H337" s="2"/>
      <c r="I337" s="2"/>
      <c r="J337" s="2"/>
      <c r="K337" s="2"/>
      <c r="L337" s="2"/>
      <c r="M337" s="2"/>
      <c r="N337" s="2"/>
      <c r="O337" s="2"/>
      <c r="P337" s="2"/>
      <c r="Q337" s="2"/>
      <c r="R337" s="2"/>
      <c r="S337" s="2"/>
      <c r="T337" s="2"/>
    </row>
    <row r="338" spans="1:20" ht="15.75" customHeight="1">
      <c r="A338" s="1"/>
      <c r="B338" s="2"/>
      <c r="C338" s="2"/>
      <c r="D338" s="2"/>
      <c r="E338" s="2"/>
      <c r="F338" s="2"/>
      <c r="G338" s="2"/>
      <c r="H338" s="2"/>
      <c r="I338" s="2"/>
      <c r="J338" s="2"/>
      <c r="K338" s="2"/>
      <c r="L338" s="2"/>
      <c r="M338" s="2"/>
      <c r="N338" s="2"/>
      <c r="O338" s="2"/>
      <c r="P338" s="2"/>
      <c r="Q338" s="2"/>
      <c r="R338" s="2"/>
      <c r="S338" s="2"/>
      <c r="T338" s="2"/>
    </row>
    <row r="339" spans="1:20" ht="15.75" customHeight="1">
      <c r="A339" s="1"/>
      <c r="B339" s="2"/>
      <c r="C339" s="2"/>
      <c r="D339" s="2"/>
      <c r="E339" s="2"/>
      <c r="F339" s="2"/>
      <c r="G339" s="2"/>
      <c r="H339" s="2"/>
      <c r="I339" s="2"/>
      <c r="J339" s="2"/>
      <c r="K339" s="2"/>
      <c r="L339" s="2"/>
      <c r="M339" s="2"/>
      <c r="N339" s="2"/>
      <c r="O339" s="2"/>
      <c r="P339" s="2"/>
      <c r="Q339" s="2"/>
      <c r="R339" s="2"/>
      <c r="S339" s="2"/>
      <c r="T339" s="2"/>
    </row>
    <row r="340" spans="1:20" ht="15.75" customHeight="1">
      <c r="A340" s="1"/>
      <c r="B340" s="2"/>
      <c r="C340" s="2"/>
      <c r="D340" s="2"/>
      <c r="E340" s="2"/>
      <c r="F340" s="2"/>
      <c r="G340" s="2"/>
      <c r="H340" s="2"/>
      <c r="I340" s="2"/>
      <c r="J340" s="2"/>
      <c r="K340" s="2"/>
      <c r="L340" s="2"/>
      <c r="M340" s="2"/>
      <c r="N340" s="2"/>
      <c r="O340" s="2"/>
      <c r="P340" s="2"/>
      <c r="Q340" s="2"/>
      <c r="R340" s="2"/>
      <c r="S340" s="2"/>
      <c r="T340" s="2"/>
    </row>
    <row r="341" spans="1:20" ht="15.75" customHeight="1">
      <c r="A341" s="1"/>
      <c r="B341" s="2"/>
      <c r="C341" s="2"/>
      <c r="D341" s="2"/>
      <c r="E341" s="2"/>
      <c r="F341" s="2"/>
      <c r="G341" s="2"/>
      <c r="H341" s="2"/>
      <c r="I341" s="2"/>
      <c r="J341" s="2"/>
      <c r="K341" s="2"/>
      <c r="L341" s="2"/>
      <c r="M341" s="2"/>
      <c r="N341" s="2"/>
      <c r="O341" s="2"/>
      <c r="P341" s="2"/>
      <c r="Q341" s="2"/>
      <c r="R341" s="2"/>
      <c r="S341" s="2"/>
      <c r="T341" s="2"/>
    </row>
    <row r="342" spans="1:20" ht="15.75" customHeight="1">
      <c r="A342" s="1"/>
      <c r="B342" s="2"/>
      <c r="C342" s="2"/>
      <c r="D342" s="2"/>
      <c r="E342" s="2"/>
      <c r="F342" s="2"/>
      <c r="G342" s="2"/>
      <c r="H342" s="2"/>
      <c r="I342" s="2"/>
      <c r="J342" s="2"/>
      <c r="K342" s="2"/>
      <c r="L342" s="2"/>
      <c r="M342" s="2"/>
      <c r="N342" s="2"/>
      <c r="O342" s="2"/>
      <c r="P342" s="2"/>
      <c r="Q342" s="2"/>
      <c r="R342" s="2"/>
      <c r="S342" s="2"/>
      <c r="T342" s="2"/>
    </row>
    <row r="343" spans="1:20" ht="15.75" customHeight="1">
      <c r="A343" s="1"/>
      <c r="B343" s="2"/>
      <c r="C343" s="2"/>
      <c r="D343" s="2"/>
      <c r="E343" s="2"/>
      <c r="F343" s="2"/>
      <c r="G343" s="2"/>
      <c r="H343" s="2"/>
      <c r="I343" s="2"/>
      <c r="J343" s="2"/>
      <c r="K343" s="2"/>
      <c r="L343" s="2"/>
      <c r="M343" s="2"/>
      <c r="N343" s="2"/>
      <c r="O343" s="2"/>
      <c r="P343" s="2"/>
      <c r="Q343" s="2"/>
      <c r="R343" s="2"/>
      <c r="S343" s="2"/>
      <c r="T343" s="2"/>
    </row>
    <row r="344" spans="1:20" ht="15.75" customHeight="1">
      <c r="A344" s="1"/>
      <c r="B344" s="2"/>
      <c r="C344" s="2"/>
      <c r="D344" s="2"/>
      <c r="E344" s="2"/>
      <c r="F344" s="2"/>
      <c r="G344" s="2"/>
      <c r="H344" s="2"/>
      <c r="I344" s="2"/>
      <c r="J344" s="2"/>
      <c r="K344" s="2"/>
      <c r="L344" s="2"/>
      <c r="M344" s="2"/>
      <c r="N344" s="2"/>
      <c r="O344" s="2"/>
      <c r="P344" s="2"/>
      <c r="Q344" s="2"/>
      <c r="R344" s="2"/>
      <c r="S344" s="2"/>
      <c r="T344" s="2"/>
    </row>
    <row r="345" spans="1:20" ht="15.75" customHeight="1">
      <c r="A345" s="1"/>
      <c r="B345" s="2"/>
      <c r="C345" s="2"/>
      <c r="D345" s="2"/>
      <c r="E345" s="2"/>
      <c r="F345" s="2"/>
      <c r="G345" s="2"/>
      <c r="H345" s="2"/>
      <c r="I345" s="2"/>
      <c r="J345" s="2"/>
      <c r="K345" s="2"/>
      <c r="L345" s="2"/>
      <c r="M345" s="2"/>
      <c r="N345" s="2"/>
      <c r="O345" s="2"/>
      <c r="P345" s="2"/>
      <c r="Q345" s="2"/>
      <c r="R345" s="2"/>
      <c r="S345" s="2"/>
      <c r="T345" s="2"/>
    </row>
    <row r="346" spans="1:20" ht="15.75" customHeight="1">
      <c r="A346" s="1"/>
      <c r="B346" s="2"/>
      <c r="C346" s="2"/>
      <c r="D346" s="2"/>
      <c r="E346" s="2"/>
      <c r="F346" s="2"/>
      <c r="G346" s="2"/>
      <c r="H346" s="2"/>
      <c r="I346" s="2"/>
      <c r="J346" s="2"/>
      <c r="K346" s="2"/>
      <c r="L346" s="2"/>
      <c r="M346" s="2"/>
      <c r="N346" s="2"/>
      <c r="O346" s="2"/>
      <c r="P346" s="2"/>
      <c r="Q346" s="2"/>
      <c r="R346" s="2"/>
      <c r="S346" s="2"/>
      <c r="T346" s="2"/>
    </row>
    <row r="347" spans="1:20" ht="15.75" customHeight="1">
      <c r="A347" s="1"/>
      <c r="B347" s="2"/>
      <c r="C347" s="2"/>
      <c r="D347" s="2"/>
      <c r="E347" s="2"/>
      <c r="F347" s="2"/>
      <c r="G347" s="2"/>
      <c r="H347" s="2"/>
      <c r="I347" s="2"/>
      <c r="J347" s="2"/>
      <c r="K347" s="2"/>
      <c r="L347" s="2"/>
      <c r="M347" s="2"/>
      <c r="N347" s="2"/>
      <c r="O347" s="2"/>
      <c r="P347" s="2"/>
      <c r="Q347" s="2"/>
      <c r="R347" s="2"/>
      <c r="S347" s="2"/>
      <c r="T347" s="2"/>
    </row>
    <row r="348" spans="1:20" ht="15.75" customHeight="1">
      <c r="A348" s="1"/>
      <c r="B348" s="2"/>
      <c r="C348" s="2"/>
      <c r="D348" s="2"/>
      <c r="E348" s="2"/>
      <c r="F348" s="2"/>
      <c r="G348" s="2"/>
      <c r="H348" s="2"/>
      <c r="I348" s="2"/>
      <c r="J348" s="2"/>
      <c r="K348" s="2"/>
      <c r="L348" s="2"/>
      <c r="M348" s="2"/>
      <c r="N348" s="2"/>
      <c r="O348" s="2"/>
      <c r="P348" s="2"/>
      <c r="Q348" s="2"/>
      <c r="R348" s="2"/>
      <c r="S348" s="2"/>
      <c r="T348" s="2"/>
    </row>
    <row r="349" spans="1:20" ht="15.75" customHeight="1">
      <c r="A349" s="1"/>
      <c r="B349" s="2"/>
      <c r="C349" s="2"/>
      <c r="D349" s="2"/>
      <c r="E349" s="2"/>
      <c r="F349" s="2"/>
      <c r="G349" s="2"/>
      <c r="H349" s="2"/>
      <c r="I349" s="2"/>
      <c r="J349" s="2"/>
      <c r="K349" s="2"/>
      <c r="L349" s="2"/>
      <c r="M349" s="2"/>
      <c r="N349" s="2"/>
      <c r="O349" s="2"/>
      <c r="P349" s="2"/>
      <c r="Q349" s="2"/>
      <c r="R349" s="2"/>
      <c r="S349" s="2"/>
      <c r="T349" s="2"/>
    </row>
    <row r="350" spans="1:20" ht="15.75" customHeight="1">
      <c r="A350" s="1"/>
      <c r="B350" s="2"/>
      <c r="C350" s="2"/>
      <c r="D350" s="2"/>
      <c r="E350" s="2"/>
      <c r="F350" s="2"/>
      <c r="G350" s="2"/>
      <c r="H350" s="2"/>
      <c r="I350" s="2"/>
      <c r="J350" s="2"/>
      <c r="K350" s="2"/>
      <c r="L350" s="2"/>
      <c r="M350" s="2"/>
      <c r="N350" s="2"/>
      <c r="O350" s="2"/>
      <c r="P350" s="2"/>
      <c r="Q350" s="2"/>
      <c r="R350" s="2"/>
      <c r="S350" s="2"/>
      <c r="T350" s="2"/>
    </row>
    <row r="351" spans="1:20" ht="15.75" customHeight="1">
      <c r="A351" s="1"/>
      <c r="B351" s="2"/>
      <c r="C351" s="2"/>
      <c r="D351" s="2"/>
      <c r="E351" s="2"/>
      <c r="F351" s="2"/>
      <c r="G351" s="2"/>
      <c r="H351" s="2"/>
      <c r="I351" s="2"/>
      <c r="J351" s="2"/>
      <c r="K351" s="2"/>
      <c r="L351" s="2"/>
      <c r="M351" s="2"/>
      <c r="N351" s="2"/>
      <c r="O351" s="2"/>
      <c r="P351" s="2"/>
      <c r="Q351" s="2"/>
      <c r="R351" s="2"/>
      <c r="S351" s="2"/>
      <c r="T351" s="2"/>
    </row>
    <row r="352" spans="1:20" ht="15.75" customHeight="1">
      <c r="A352" s="1"/>
      <c r="B352" s="2"/>
      <c r="C352" s="2"/>
      <c r="D352" s="2"/>
      <c r="E352" s="2"/>
      <c r="F352" s="2"/>
      <c r="G352" s="2"/>
      <c r="H352" s="2"/>
      <c r="I352" s="2"/>
      <c r="J352" s="2"/>
      <c r="K352" s="2"/>
      <c r="L352" s="2"/>
      <c r="M352" s="2"/>
      <c r="N352" s="2"/>
      <c r="O352" s="2"/>
      <c r="P352" s="2"/>
      <c r="Q352" s="2"/>
      <c r="R352" s="2"/>
      <c r="S352" s="2"/>
      <c r="T352" s="2"/>
    </row>
    <row r="353" spans="1:20" ht="15.75" customHeight="1">
      <c r="A353" s="1"/>
      <c r="B353" s="2"/>
      <c r="C353" s="2"/>
      <c r="D353" s="2"/>
      <c r="E353" s="2"/>
      <c r="F353" s="2"/>
      <c r="G353" s="2"/>
      <c r="H353" s="2"/>
      <c r="I353" s="2"/>
      <c r="J353" s="2"/>
      <c r="K353" s="2"/>
      <c r="L353" s="2"/>
      <c r="M353" s="2"/>
      <c r="N353" s="2"/>
      <c r="O353" s="2"/>
      <c r="P353" s="2"/>
      <c r="Q353" s="2"/>
      <c r="R353" s="2"/>
      <c r="S353" s="2"/>
      <c r="T353" s="2"/>
    </row>
    <row r="354" spans="1:20" ht="15.75" customHeight="1">
      <c r="A354" s="1"/>
      <c r="B354" s="2"/>
      <c r="C354" s="2"/>
      <c r="D354" s="2"/>
      <c r="E354" s="2"/>
      <c r="F354" s="2"/>
      <c r="G354" s="2"/>
      <c r="H354" s="2"/>
      <c r="I354" s="2"/>
      <c r="J354" s="2"/>
      <c r="K354" s="2"/>
      <c r="L354" s="2"/>
      <c r="M354" s="2"/>
      <c r="N354" s="2"/>
      <c r="O354" s="2"/>
      <c r="P354" s="2"/>
      <c r="Q354" s="2"/>
      <c r="R354" s="2"/>
      <c r="S354" s="2"/>
      <c r="T354" s="2"/>
    </row>
    <row r="355" spans="1:20" ht="15.75" customHeight="1">
      <c r="A355" s="1"/>
      <c r="B355" s="2"/>
      <c r="C355" s="2"/>
      <c r="D355" s="2"/>
      <c r="E355" s="2"/>
      <c r="F355" s="2"/>
      <c r="G355" s="2"/>
      <c r="H355" s="2"/>
      <c r="I355" s="2"/>
      <c r="J355" s="2"/>
      <c r="K355" s="2"/>
      <c r="L355" s="2"/>
      <c r="M355" s="2"/>
      <c r="N355" s="2"/>
      <c r="O355" s="2"/>
      <c r="P355" s="2"/>
      <c r="Q355" s="2"/>
      <c r="R355" s="2"/>
      <c r="S355" s="2"/>
      <c r="T355" s="2"/>
    </row>
    <row r="356" spans="1:20" ht="15.75" customHeight="1">
      <c r="A356" s="1"/>
      <c r="B356" s="2"/>
      <c r="C356" s="2"/>
      <c r="D356" s="2"/>
      <c r="E356" s="2"/>
      <c r="F356" s="2"/>
      <c r="G356" s="2"/>
      <c r="H356" s="2"/>
      <c r="I356" s="2"/>
      <c r="J356" s="2"/>
      <c r="K356" s="2"/>
      <c r="L356" s="2"/>
      <c r="M356" s="2"/>
      <c r="N356" s="2"/>
      <c r="O356" s="2"/>
      <c r="P356" s="2"/>
      <c r="Q356" s="2"/>
      <c r="R356" s="2"/>
      <c r="S356" s="2"/>
      <c r="T356" s="2"/>
    </row>
    <row r="357" spans="1:20" ht="15.75" customHeight="1">
      <c r="A357" s="1"/>
      <c r="B357" s="2"/>
      <c r="C357" s="2"/>
      <c r="D357" s="2"/>
      <c r="E357" s="2"/>
      <c r="F357" s="2"/>
      <c r="G357" s="2"/>
      <c r="H357" s="2"/>
      <c r="I357" s="2"/>
      <c r="J357" s="2"/>
      <c r="K357" s="2"/>
      <c r="L357" s="2"/>
      <c r="M357" s="2"/>
      <c r="N357" s="2"/>
      <c r="O357" s="2"/>
      <c r="P357" s="2"/>
      <c r="Q357" s="2"/>
      <c r="R357" s="2"/>
      <c r="S357" s="2"/>
      <c r="T357" s="2"/>
    </row>
    <row r="358" spans="1:20" ht="15.75" customHeight="1">
      <c r="A358" s="1"/>
      <c r="B358" s="2"/>
      <c r="C358" s="2"/>
      <c r="D358" s="2"/>
      <c r="E358" s="2"/>
      <c r="F358" s="2"/>
      <c r="G358" s="2"/>
      <c r="H358" s="2"/>
      <c r="I358" s="2"/>
      <c r="J358" s="2"/>
      <c r="K358" s="2"/>
      <c r="L358" s="2"/>
      <c r="M358" s="2"/>
      <c r="N358" s="2"/>
      <c r="O358" s="2"/>
      <c r="P358" s="2"/>
      <c r="Q358" s="2"/>
      <c r="R358" s="2"/>
      <c r="S358" s="2"/>
      <c r="T358" s="2"/>
    </row>
    <row r="359" spans="1:20" ht="15.75" customHeight="1">
      <c r="A359" s="1"/>
      <c r="B359" s="2"/>
      <c r="C359" s="2"/>
      <c r="D359" s="2"/>
      <c r="E359" s="2"/>
      <c r="F359" s="2"/>
      <c r="G359" s="2"/>
      <c r="H359" s="2"/>
      <c r="I359" s="2"/>
      <c r="J359" s="2"/>
      <c r="K359" s="2"/>
      <c r="L359" s="2"/>
      <c r="M359" s="2"/>
      <c r="N359" s="2"/>
      <c r="O359" s="2"/>
      <c r="P359" s="2"/>
      <c r="Q359" s="2"/>
      <c r="R359" s="2"/>
      <c r="S359" s="2"/>
      <c r="T359" s="2"/>
    </row>
    <row r="360" spans="1:20" ht="15.75" customHeight="1">
      <c r="A360" s="1"/>
      <c r="B360" s="2"/>
      <c r="C360" s="2"/>
      <c r="D360" s="2"/>
      <c r="E360" s="2"/>
      <c r="F360" s="2"/>
      <c r="G360" s="2"/>
      <c r="H360" s="2"/>
      <c r="I360" s="2"/>
      <c r="J360" s="2"/>
      <c r="K360" s="2"/>
      <c r="L360" s="2"/>
      <c r="M360" s="2"/>
      <c r="N360" s="2"/>
      <c r="O360" s="2"/>
      <c r="P360" s="2"/>
      <c r="Q360" s="2"/>
      <c r="R360" s="2"/>
      <c r="S360" s="2"/>
      <c r="T360" s="2"/>
    </row>
    <row r="361" spans="1:20" ht="15.75" customHeight="1">
      <c r="A361" s="1"/>
      <c r="B361" s="2"/>
      <c r="C361" s="2"/>
      <c r="D361" s="2"/>
      <c r="E361" s="2"/>
      <c r="F361" s="2"/>
      <c r="G361" s="2"/>
      <c r="H361" s="2"/>
      <c r="I361" s="2"/>
      <c r="J361" s="2"/>
      <c r="K361" s="2"/>
      <c r="L361" s="2"/>
      <c r="M361" s="2"/>
      <c r="N361" s="2"/>
      <c r="O361" s="2"/>
      <c r="P361" s="2"/>
      <c r="Q361" s="2"/>
      <c r="R361" s="2"/>
      <c r="S361" s="2"/>
      <c r="T361" s="2"/>
    </row>
    <row r="362" spans="1:20" ht="15.75" customHeight="1">
      <c r="A362" s="1"/>
      <c r="B362" s="2"/>
      <c r="C362" s="2"/>
      <c r="D362" s="2"/>
      <c r="E362" s="2"/>
      <c r="F362" s="2"/>
      <c r="G362" s="2"/>
      <c r="H362" s="2"/>
      <c r="I362" s="2"/>
      <c r="J362" s="2"/>
      <c r="K362" s="2"/>
      <c r="L362" s="2"/>
      <c r="M362" s="2"/>
      <c r="N362" s="2"/>
      <c r="O362" s="2"/>
      <c r="P362" s="2"/>
      <c r="Q362" s="2"/>
      <c r="R362" s="2"/>
      <c r="S362" s="2"/>
      <c r="T362" s="2"/>
    </row>
    <row r="363" spans="1:20" ht="15.75" customHeight="1">
      <c r="A363" s="1"/>
      <c r="B363" s="2"/>
      <c r="C363" s="2"/>
      <c r="D363" s="2"/>
      <c r="E363" s="2"/>
      <c r="F363" s="2"/>
      <c r="G363" s="2"/>
      <c r="H363" s="2"/>
      <c r="I363" s="2"/>
      <c r="J363" s="2"/>
      <c r="K363" s="2"/>
      <c r="L363" s="2"/>
      <c r="M363" s="2"/>
      <c r="N363" s="2"/>
      <c r="O363" s="2"/>
      <c r="P363" s="2"/>
      <c r="Q363" s="2"/>
      <c r="R363" s="2"/>
      <c r="S363" s="2"/>
      <c r="T363" s="2"/>
    </row>
    <row r="364" spans="1:20" ht="15.75" customHeight="1">
      <c r="A364" s="1"/>
      <c r="B364" s="2"/>
      <c r="C364" s="2"/>
      <c r="D364" s="2"/>
      <c r="E364" s="2"/>
      <c r="F364" s="2"/>
      <c r="G364" s="2"/>
      <c r="H364" s="2"/>
      <c r="I364" s="2"/>
      <c r="J364" s="2"/>
      <c r="K364" s="2"/>
      <c r="L364" s="2"/>
      <c r="M364" s="2"/>
      <c r="N364" s="2"/>
      <c r="O364" s="2"/>
      <c r="P364" s="2"/>
      <c r="Q364" s="2"/>
      <c r="R364" s="2"/>
      <c r="S364" s="2"/>
      <c r="T364" s="2"/>
    </row>
    <row r="365" spans="1:20" ht="15.75" customHeight="1">
      <c r="A365" s="1"/>
      <c r="B365" s="2"/>
      <c r="C365" s="2"/>
      <c r="D365" s="2"/>
      <c r="E365" s="2"/>
      <c r="F365" s="2"/>
      <c r="G365" s="2"/>
      <c r="H365" s="2"/>
      <c r="I365" s="2"/>
      <c r="J365" s="2"/>
      <c r="K365" s="2"/>
      <c r="L365" s="2"/>
      <c r="M365" s="2"/>
      <c r="N365" s="2"/>
      <c r="O365" s="2"/>
      <c r="P365" s="2"/>
      <c r="Q365" s="2"/>
      <c r="R365" s="2"/>
      <c r="S365" s="2"/>
      <c r="T365" s="2"/>
    </row>
    <row r="366" spans="1:20" ht="15.75" customHeight="1">
      <c r="A366" s="1"/>
      <c r="B366" s="2"/>
      <c r="C366" s="2"/>
      <c r="D366" s="2"/>
      <c r="E366" s="2"/>
      <c r="F366" s="2"/>
      <c r="G366" s="2"/>
      <c r="H366" s="2"/>
      <c r="I366" s="2"/>
      <c r="J366" s="2"/>
      <c r="K366" s="2"/>
      <c r="L366" s="2"/>
      <c r="M366" s="2"/>
      <c r="N366" s="2"/>
      <c r="O366" s="2"/>
      <c r="P366" s="2"/>
      <c r="Q366" s="2"/>
      <c r="R366" s="2"/>
      <c r="S366" s="2"/>
      <c r="T366" s="2"/>
    </row>
    <row r="367" spans="1:20" ht="15.75" customHeight="1">
      <c r="A367" s="1"/>
      <c r="B367" s="2"/>
      <c r="C367" s="2"/>
      <c r="D367" s="2"/>
      <c r="E367" s="2"/>
      <c r="F367" s="2"/>
      <c r="G367" s="2"/>
      <c r="H367" s="2"/>
      <c r="I367" s="2"/>
      <c r="J367" s="2"/>
      <c r="K367" s="2"/>
      <c r="L367" s="2"/>
      <c r="M367" s="2"/>
      <c r="N367" s="2"/>
      <c r="O367" s="2"/>
      <c r="P367" s="2"/>
      <c r="Q367" s="2"/>
      <c r="R367" s="2"/>
      <c r="S367" s="2"/>
      <c r="T367" s="2"/>
    </row>
    <row r="368" spans="1:20" ht="15.75" customHeight="1">
      <c r="A368" s="1"/>
      <c r="B368" s="2"/>
      <c r="C368" s="2"/>
      <c r="D368" s="2"/>
      <c r="E368" s="2"/>
      <c r="F368" s="2"/>
      <c r="G368" s="2"/>
      <c r="H368" s="2"/>
      <c r="I368" s="2"/>
      <c r="J368" s="2"/>
      <c r="K368" s="2"/>
      <c r="L368" s="2"/>
      <c r="M368" s="2"/>
      <c r="N368" s="2"/>
      <c r="O368" s="2"/>
      <c r="P368" s="2"/>
      <c r="Q368" s="2"/>
      <c r="R368" s="2"/>
      <c r="S368" s="2"/>
      <c r="T368" s="2"/>
    </row>
    <row r="369" spans="1:20" ht="15.75" customHeight="1">
      <c r="A369" s="1"/>
      <c r="B369" s="2"/>
      <c r="C369" s="2"/>
      <c r="D369" s="2"/>
      <c r="E369" s="2"/>
      <c r="F369" s="2"/>
      <c r="G369" s="2"/>
      <c r="H369" s="2"/>
      <c r="I369" s="2"/>
      <c r="J369" s="2"/>
      <c r="K369" s="2"/>
      <c r="L369" s="2"/>
      <c r="M369" s="2"/>
      <c r="N369" s="2"/>
      <c r="O369" s="2"/>
      <c r="P369" s="2"/>
      <c r="Q369" s="2"/>
      <c r="R369" s="2"/>
      <c r="S369" s="2"/>
      <c r="T369" s="2"/>
    </row>
    <row r="370" spans="1:20" ht="15.75" customHeight="1">
      <c r="A370" s="1"/>
      <c r="B370" s="2"/>
      <c r="C370" s="2"/>
      <c r="D370" s="2"/>
      <c r="E370" s="2"/>
      <c r="F370" s="2"/>
      <c r="G370" s="2"/>
      <c r="H370" s="2"/>
      <c r="I370" s="2"/>
      <c r="J370" s="2"/>
      <c r="K370" s="2"/>
      <c r="L370" s="2"/>
      <c r="M370" s="2"/>
      <c r="N370" s="2"/>
      <c r="O370" s="2"/>
      <c r="P370" s="2"/>
      <c r="Q370" s="2"/>
      <c r="R370" s="2"/>
      <c r="S370" s="2"/>
      <c r="T370" s="2"/>
    </row>
    <row r="371" spans="1:20" ht="15.75" customHeight="1">
      <c r="A371" s="1"/>
      <c r="B371" s="2"/>
      <c r="C371" s="2"/>
      <c r="D371" s="2"/>
      <c r="E371" s="2"/>
      <c r="F371" s="2"/>
      <c r="G371" s="2"/>
      <c r="H371" s="2"/>
      <c r="I371" s="2"/>
      <c r="J371" s="2"/>
      <c r="K371" s="2"/>
      <c r="L371" s="2"/>
      <c r="M371" s="2"/>
      <c r="N371" s="2"/>
      <c r="O371" s="2"/>
      <c r="P371" s="2"/>
      <c r="Q371" s="2"/>
      <c r="R371" s="2"/>
      <c r="S371" s="2"/>
      <c r="T371" s="2"/>
    </row>
    <row r="372" spans="1:20" ht="15.75" customHeight="1">
      <c r="A372" s="1"/>
      <c r="B372" s="2"/>
      <c r="C372" s="2"/>
      <c r="D372" s="2"/>
      <c r="E372" s="2"/>
      <c r="F372" s="2"/>
      <c r="G372" s="2"/>
      <c r="H372" s="2"/>
      <c r="I372" s="2"/>
      <c r="J372" s="2"/>
      <c r="K372" s="2"/>
      <c r="L372" s="2"/>
      <c r="M372" s="2"/>
      <c r="N372" s="2"/>
      <c r="O372" s="2"/>
      <c r="P372" s="2"/>
      <c r="Q372" s="2"/>
      <c r="R372" s="2"/>
      <c r="S372" s="2"/>
      <c r="T372" s="2"/>
    </row>
    <row r="373" spans="1:20" ht="15.75" customHeight="1">
      <c r="A373" s="1"/>
      <c r="B373" s="2"/>
      <c r="C373" s="2"/>
      <c r="D373" s="2"/>
      <c r="E373" s="2"/>
      <c r="F373" s="2"/>
      <c r="G373" s="2"/>
      <c r="H373" s="2"/>
      <c r="I373" s="2"/>
      <c r="J373" s="2"/>
      <c r="K373" s="2"/>
      <c r="L373" s="2"/>
      <c r="M373" s="2"/>
      <c r="N373" s="2"/>
      <c r="O373" s="2"/>
      <c r="P373" s="2"/>
      <c r="Q373" s="2"/>
      <c r="R373" s="2"/>
      <c r="S373" s="2"/>
      <c r="T373" s="2"/>
    </row>
    <row r="374" spans="1:20" ht="15.75" customHeight="1">
      <c r="A374" s="1"/>
      <c r="B374" s="2"/>
      <c r="C374" s="2"/>
      <c r="D374" s="2"/>
      <c r="E374" s="2"/>
      <c r="F374" s="2"/>
      <c r="G374" s="2"/>
      <c r="H374" s="2"/>
      <c r="I374" s="2"/>
      <c r="J374" s="2"/>
      <c r="K374" s="2"/>
      <c r="L374" s="2"/>
      <c r="M374" s="2"/>
      <c r="N374" s="2"/>
      <c r="O374" s="2"/>
      <c r="P374" s="2"/>
      <c r="Q374" s="2"/>
      <c r="R374" s="2"/>
      <c r="S374" s="2"/>
      <c r="T374" s="2"/>
    </row>
    <row r="375" spans="1:20" ht="15.75" customHeight="1">
      <c r="A375" s="1"/>
      <c r="B375" s="2"/>
      <c r="C375" s="2"/>
      <c r="D375" s="2"/>
      <c r="E375" s="2"/>
      <c r="F375" s="2"/>
      <c r="G375" s="2"/>
      <c r="H375" s="2"/>
      <c r="I375" s="2"/>
      <c r="J375" s="2"/>
      <c r="K375" s="2"/>
      <c r="L375" s="2"/>
      <c r="M375" s="2"/>
      <c r="N375" s="2"/>
      <c r="O375" s="2"/>
      <c r="P375" s="2"/>
      <c r="Q375" s="2"/>
      <c r="R375" s="2"/>
      <c r="S375" s="2"/>
      <c r="T375" s="2"/>
    </row>
    <row r="376" spans="1:20" ht="15.75" customHeight="1">
      <c r="A376" s="1"/>
      <c r="B376" s="2"/>
      <c r="C376" s="2"/>
      <c r="D376" s="2"/>
      <c r="E376" s="2"/>
      <c r="F376" s="2"/>
      <c r="G376" s="2"/>
      <c r="H376" s="2"/>
      <c r="I376" s="2"/>
      <c r="J376" s="2"/>
      <c r="K376" s="2"/>
      <c r="L376" s="2"/>
      <c r="M376" s="2"/>
      <c r="N376" s="2"/>
      <c r="O376" s="2"/>
      <c r="P376" s="2"/>
      <c r="Q376" s="2"/>
      <c r="R376" s="2"/>
      <c r="S376" s="2"/>
      <c r="T376" s="2"/>
    </row>
    <row r="377" spans="1:20" ht="15.75" customHeight="1">
      <c r="A377" s="1"/>
      <c r="B377" s="2"/>
      <c r="C377" s="2"/>
      <c r="D377" s="2"/>
      <c r="E377" s="2"/>
      <c r="F377" s="2"/>
      <c r="G377" s="2"/>
      <c r="H377" s="2"/>
      <c r="I377" s="2"/>
      <c r="J377" s="2"/>
      <c r="K377" s="2"/>
      <c r="L377" s="2"/>
      <c r="M377" s="2"/>
      <c r="N377" s="2"/>
      <c r="O377" s="2"/>
      <c r="P377" s="2"/>
      <c r="Q377" s="2"/>
      <c r="R377" s="2"/>
      <c r="S377" s="2"/>
      <c r="T377" s="2"/>
    </row>
    <row r="378" spans="1:20" ht="15.75" customHeight="1">
      <c r="A378" s="1"/>
      <c r="B378" s="2"/>
      <c r="C378" s="2"/>
      <c r="D378" s="2"/>
      <c r="E378" s="2"/>
      <c r="F378" s="2"/>
      <c r="G378" s="2"/>
      <c r="H378" s="2"/>
      <c r="I378" s="2"/>
      <c r="J378" s="2"/>
      <c r="K378" s="2"/>
      <c r="L378" s="2"/>
      <c r="M378" s="2"/>
      <c r="N378" s="2"/>
      <c r="O378" s="2"/>
      <c r="P378" s="2"/>
      <c r="Q378" s="2"/>
      <c r="R378" s="2"/>
      <c r="S378" s="2"/>
      <c r="T378" s="2"/>
    </row>
    <row r="379" spans="1:20" ht="15.75" customHeight="1">
      <c r="A379" s="1"/>
      <c r="B379" s="2"/>
      <c r="C379" s="2"/>
      <c r="D379" s="2"/>
      <c r="E379" s="2"/>
      <c r="F379" s="2"/>
      <c r="G379" s="2"/>
      <c r="H379" s="2"/>
      <c r="I379" s="2"/>
      <c r="J379" s="2"/>
      <c r="K379" s="2"/>
      <c r="L379" s="2"/>
      <c r="M379" s="2"/>
      <c r="N379" s="2"/>
      <c r="O379" s="2"/>
      <c r="P379" s="2"/>
      <c r="Q379" s="2"/>
      <c r="R379" s="2"/>
      <c r="S379" s="2"/>
      <c r="T379" s="2"/>
    </row>
    <row r="380" spans="1:20" ht="15.75" customHeight="1">
      <c r="A380" s="1"/>
      <c r="B380" s="2"/>
      <c r="C380" s="2"/>
      <c r="D380" s="2"/>
      <c r="E380" s="2"/>
      <c r="F380" s="2"/>
      <c r="G380" s="2"/>
      <c r="H380" s="2"/>
      <c r="I380" s="2"/>
      <c r="J380" s="2"/>
      <c r="K380" s="2"/>
      <c r="L380" s="2"/>
      <c r="M380" s="2"/>
      <c r="N380" s="2"/>
      <c r="O380" s="2"/>
      <c r="P380" s="2"/>
      <c r="Q380" s="2"/>
      <c r="R380" s="2"/>
      <c r="S380" s="2"/>
      <c r="T380" s="2"/>
    </row>
    <row r="381" spans="1:20" ht="15.75" customHeight="1">
      <c r="A381" s="1"/>
      <c r="B381" s="2"/>
      <c r="C381" s="2"/>
      <c r="D381" s="2"/>
      <c r="E381" s="2"/>
      <c r="F381" s="2"/>
      <c r="G381" s="2"/>
      <c r="H381" s="2"/>
      <c r="I381" s="2"/>
      <c r="J381" s="2"/>
      <c r="K381" s="2"/>
      <c r="L381" s="2"/>
      <c r="M381" s="2"/>
      <c r="N381" s="2"/>
      <c r="O381" s="2"/>
      <c r="P381" s="2"/>
      <c r="Q381" s="2"/>
      <c r="R381" s="2"/>
      <c r="S381" s="2"/>
      <c r="T381" s="2"/>
    </row>
    <row r="382" spans="1:20" ht="15.75" customHeight="1">
      <c r="A382" s="1"/>
      <c r="B382" s="2"/>
      <c r="C382" s="2"/>
      <c r="D382" s="2"/>
      <c r="E382" s="2"/>
      <c r="F382" s="2"/>
      <c r="G382" s="2"/>
      <c r="H382" s="2"/>
      <c r="I382" s="2"/>
      <c r="J382" s="2"/>
      <c r="K382" s="2"/>
      <c r="L382" s="2"/>
      <c r="M382" s="2"/>
      <c r="N382" s="2"/>
      <c r="O382" s="2"/>
      <c r="P382" s="2"/>
      <c r="Q382" s="2"/>
      <c r="R382" s="2"/>
      <c r="S382" s="2"/>
      <c r="T382" s="2"/>
    </row>
    <row r="383" spans="1:20" ht="15.75" customHeight="1">
      <c r="A383" s="1"/>
      <c r="B383" s="2"/>
      <c r="C383" s="2"/>
      <c r="D383" s="2"/>
      <c r="E383" s="2"/>
      <c r="F383" s="2"/>
      <c r="G383" s="2"/>
      <c r="H383" s="2"/>
      <c r="I383" s="2"/>
      <c r="J383" s="2"/>
      <c r="K383" s="2"/>
      <c r="L383" s="2"/>
      <c r="M383" s="2"/>
      <c r="N383" s="2"/>
      <c r="O383" s="2"/>
      <c r="P383" s="2"/>
      <c r="Q383" s="2"/>
      <c r="R383" s="2"/>
      <c r="S383" s="2"/>
      <c r="T383" s="2"/>
    </row>
    <row r="384" spans="1:20" ht="15.75" customHeight="1">
      <c r="A384" s="1"/>
      <c r="B384" s="2"/>
      <c r="C384" s="2"/>
      <c r="D384" s="2"/>
      <c r="E384" s="2"/>
      <c r="F384" s="2"/>
      <c r="G384" s="2"/>
      <c r="H384" s="2"/>
      <c r="I384" s="2"/>
      <c r="J384" s="2"/>
      <c r="K384" s="2"/>
      <c r="L384" s="2"/>
      <c r="M384" s="2"/>
      <c r="N384" s="2"/>
      <c r="O384" s="2"/>
      <c r="P384" s="2"/>
      <c r="Q384" s="2"/>
      <c r="R384" s="2"/>
      <c r="S384" s="2"/>
      <c r="T384" s="2"/>
    </row>
    <row r="385" spans="1:20" ht="15.75" customHeight="1">
      <c r="A385" s="1"/>
      <c r="B385" s="2"/>
      <c r="C385" s="2"/>
      <c r="D385" s="2"/>
      <c r="E385" s="2"/>
      <c r="F385" s="2"/>
      <c r="G385" s="2"/>
      <c r="H385" s="2"/>
      <c r="I385" s="2"/>
      <c r="J385" s="2"/>
      <c r="K385" s="2"/>
      <c r="L385" s="2"/>
      <c r="M385" s="2"/>
      <c r="N385" s="2"/>
      <c r="O385" s="2"/>
      <c r="P385" s="2"/>
      <c r="Q385" s="2"/>
      <c r="R385" s="2"/>
      <c r="S385" s="2"/>
      <c r="T385" s="2"/>
    </row>
    <row r="386" spans="1:20" ht="15.75" customHeight="1">
      <c r="A386" s="1"/>
      <c r="B386" s="2"/>
      <c r="C386" s="2"/>
      <c r="D386" s="2"/>
      <c r="E386" s="2"/>
      <c r="F386" s="2"/>
      <c r="G386" s="2"/>
      <c r="H386" s="2"/>
      <c r="I386" s="2"/>
      <c r="J386" s="2"/>
      <c r="K386" s="2"/>
      <c r="L386" s="2"/>
      <c r="M386" s="2"/>
      <c r="N386" s="2"/>
      <c r="O386" s="2"/>
      <c r="P386" s="2"/>
      <c r="Q386" s="2"/>
      <c r="R386" s="2"/>
      <c r="S386" s="2"/>
      <c r="T386" s="2"/>
    </row>
    <row r="387" spans="1:20" ht="15.75" customHeight="1">
      <c r="A387" s="1"/>
      <c r="B387" s="2"/>
      <c r="C387" s="2"/>
      <c r="D387" s="2"/>
      <c r="E387" s="2"/>
      <c r="F387" s="2"/>
      <c r="G387" s="2"/>
      <c r="H387" s="2"/>
      <c r="I387" s="2"/>
      <c r="J387" s="2"/>
      <c r="K387" s="2"/>
      <c r="L387" s="2"/>
      <c r="M387" s="2"/>
      <c r="N387" s="2"/>
      <c r="O387" s="2"/>
      <c r="P387" s="2"/>
      <c r="Q387" s="2"/>
      <c r="R387" s="2"/>
      <c r="S387" s="2"/>
      <c r="T387" s="2"/>
    </row>
    <row r="388" spans="1:20" ht="15.75" customHeight="1">
      <c r="A388" s="1"/>
      <c r="B388" s="2"/>
      <c r="C388" s="2"/>
      <c r="D388" s="2"/>
      <c r="E388" s="2"/>
      <c r="F388" s="2"/>
      <c r="G388" s="2"/>
      <c r="H388" s="2"/>
      <c r="I388" s="2"/>
      <c r="J388" s="2"/>
      <c r="K388" s="2"/>
      <c r="L388" s="2"/>
      <c r="M388" s="2"/>
      <c r="N388" s="2"/>
      <c r="O388" s="2"/>
      <c r="P388" s="2"/>
      <c r="Q388" s="2"/>
      <c r="R388" s="2"/>
      <c r="S388" s="2"/>
      <c r="T388" s="2"/>
    </row>
    <row r="389" spans="1:20" ht="15.75" customHeight="1">
      <c r="A389" s="1"/>
      <c r="B389" s="2"/>
      <c r="C389" s="2"/>
      <c r="D389" s="2"/>
      <c r="E389" s="2"/>
      <c r="F389" s="2"/>
      <c r="G389" s="2"/>
      <c r="H389" s="2"/>
      <c r="I389" s="2"/>
      <c r="J389" s="2"/>
      <c r="K389" s="2"/>
      <c r="L389" s="2"/>
      <c r="M389" s="2"/>
      <c r="N389" s="2"/>
      <c r="O389" s="2"/>
      <c r="P389" s="2"/>
      <c r="Q389" s="2"/>
      <c r="R389" s="2"/>
      <c r="S389" s="2"/>
      <c r="T389" s="2"/>
    </row>
    <row r="390" spans="1:20" ht="15.75" customHeight="1">
      <c r="A390" s="1"/>
      <c r="B390" s="2"/>
      <c r="C390" s="2"/>
      <c r="D390" s="2"/>
      <c r="E390" s="2"/>
      <c r="F390" s="2"/>
      <c r="G390" s="2"/>
      <c r="H390" s="2"/>
      <c r="I390" s="2"/>
      <c r="J390" s="2"/>
      <c r="K390" s="2"/>
      <c r="L390" s="2"/>
      <c r="M390" s="2"/>
      <c r="N390" s="2"/>
      <c r="O390" s="2"/>
      <c r="P390" s="2"/>
      <c r="Q390" s="2"/>
      <c r="R390" s="2"/>
      <c r="S390" s="2"/>
      <c r="T390" s="2"/>
    </row>
    <row r="391" spans="1:20" ht="15.75" customHeight="1">
      <c r="A391" s="1"/>
      <c r="B391" s="2"/>
      <c r="C391" s="2"/>
      <c r="D391" s="2"/>
      <c r="E391" s="2"/>
      <c r="F391" s="2"/>
      <c r="G391" s="2"/>
      <c r="H391" s="2"/>
      <c r="I391" s="2"/>
      <c r="J391" s="2"/>
      <c r="K391" s="2"/>
      <c r="L391" s="2"/>
      <c r="M391" s="2"/>
      <c r="N391" s="2"/>
      <c r="O391" s="2"/>
      <c r="P391" s="2"/>
      <c r="Q391" s="2"/>
      <c r="R391" s="2"/>
      <c r="S391" s="2"/>
      <c r="T391" s="2"/>
    </row>
    <row r="392" spans="1:20" ht="15.75" customHeight="1">
      <c r="A392" s="1"/>
      <c r="B392" s="2"/>
      <c r="C392" s="2"/>
      <c r="D392" s="2"/>
      <c r="E392" s="2"/>
      <c r="F392" s="2"/>
      <c r="G392" s="2"/>
      <c r="H392" s="2"/>
      <c r="I392" s="2"/>
      <c r="J392" s="2"/>
      <c r="K392" s="2"/>
      <c r="L392" s="2"/>
      <c r="M392" s="2"/>
      <c r="N392" s="2"/>
      <c r="O392" s="2"/>
      <c r="P392" s="2"/>
      <c r="Q392" s="2"/>
      <c r="R392" s="2"/>
      <c r="S392" s="2"/>
      <c r="T392" s="2"/>
    </row>
    <row r="393" spans="1:20" ht="15.75" customHeight="1">
      <c r="A393" s="1"/>
      <c r="B393" s="2"/>
      <c r="C393" s="2"/>
      <c r="D393" s="2"/>
      <c r="E393" s="2"/>
      <c r="F393" s="2"/>
      <c r="G393" s="2"/>
      <c r="H393" s="2"/>
      <c r="I393" s="2"/>
      <c r="J393" s="2"/>
      <c r="K393" s="2"/>
      <c r="L393" s="2"/>
      <c r="M393" s="2"/>
      <c r="N393" s="2"/>
      <c r="O393" s="2"/>
      <c r="P393" s="2"/>
      <c r="Q393" s="2"/>
      <c r="R393" s="2"/>
      <c r="S393" s="2"/>
      <c r="T393" s="2"/>
    </row>
    <row r="394" spans="1:20" ht="15.75" customHeight="1">
      <c r="A394" s="1"/>
      <c r="B394" s="2"/>
      <c r="C394" s="2"/>
      <c r="D394" s="2"/>
      <c r="E394" s="2"/>
      <c r="F394" s="2"/>
      <c r="G394" s="2"/>
      <c r="H394" s="2"/>
      <c r="I394" s="2"/>
      <c r="J394" s="2"/>
      <c r="K394" s="2"/>
      <c r="L394" s="2"/>
      <c r="M394" s="2"/>
      <c r="N394" s="2"/>
      <c r="O394" s="2"/>
      <c r="P394" s="2"/>
      <c r="Q394" s="2"/>
      <c r="R394" s="2"/>
      <c r="S394" s="2"/>
      <c r="T394" s="2"/>
    </row>
    <row r="395" spans="1:20" ht="15.75" customHeight="1">
      <c r="A395" s="1"/>
      <c r="B395" s="2"/>
      <c r="C395" s="2"/>
      <c r="D395" s="2"/>
      <c r="E395" s="2"/>
      <c r="F395" s="2"/>
      <c r="G395" s="2"/>
      <c r="H395" s="2"/>
      <c r="I395" s="2"/>
      <c r="J395" s="2"/>
      <c r="K395" s="2"/>
      <c r="L395" s="2"/>
      <c r="M395" s="2"/>
      <c r="N395" s="2"/>
      <c r="O395" s="2"/>
      <c r="P395" s="2"/>
      <c r="Q395" s="2"/>
      <c r="R395" s="2"/>
      <c r="S395" s="2"/>
      <c r="T395" s="2"/>
    </row>
    <row r="396" spans="1:20" ht="15.75" customHeight="1">
      <c r="A396" s="1"/>
      <c r="B396" s="2"/>
      <c r="C396" s="2"/>
      <c r="D396" s="2"/>
      <c r="E396" s="2"/>
      <c r="F396" s="2"/>
      <c r="G396" s="2"/>
      <c r="H396" s="2"/>
      <c r="I396" s="2"/>
      <c r="J396" s="2"/>
      <c r="K396" s="2"/>
      <c r="L396" s="2"/>
      <c r="M396" s="2"/>
      <c r="N396" s="2"/>
      <c r="O396" s="2"/>
      <c r="P396" s="2"/>
      <c r="Q396" s="2"/>
      <c r="R396" s="2"/>
      <c r="S396" s="2"/>
      <c r="T396" s="2"/>
    </row>
    <row r="397" spans="1:20" ht="15.75" customHeight="1">
      <c r="A397" s="1"/>
      <c r="B397" s="2"/>
      <c r="C397" s="2"/>
      <c r="D397" s="2"/>
      <c r="E397" s="2"/>
      <c r="F397" s="2"/>
      <c r="G397" s="2"/>
      <c r="H397" s="2"/>
      <c r="I397" s="2"/>
      <c r="J397" s="2"/>
      <c r="K397" s="2"/>
      <c r="L397" s="2"/>
      <c r="M397" s="2"/>
      <c r="N397" s="2"/>
      <c r="O397" s="2"/>
      <c r="P397" s="2"/>
      <c r="Q397" s="2"/>
      <c r="R397" s="2"/>
      <c r="S397" s="2"/>
      <c r="T397" s="2"/>
    </row>
    <row r="398" spans="1:20" ht="15.75" customHeight="1">
      <c r="A398" s="1"/>
      <c r="B398" s="2"/>
      <c r="C398" s="2"/>
      <c r="D398" s="2"/>
      <c r="E398" s="2"/>
      <c r="F398" s="2"/>
      <c r="G398" s="2"/>
      <c r="H398" s="2"/>
      <c r="I398" s="2"/>
      <c r="J398" s="2"/>
      <c r="K398" s="2"/>
      <c r="L398" s="2"/>
      <c r="M398" s="2"/>
      <c r="N398" s="2"/>
      <c r="O398" s="2"/>
      <c r="P398" s="2"/>
      <c r="Q398" s="2"/>
      <c r="R398" s="2"/>
      <c r="S398" s="2"/>
      <c r="T398" s="2"/>
    </row>
    <row r="399" spans="1:20" ht="15.75" customHeight="1">
      <c r="A399" s="1"/>
      <c r="B399" s="2"/>
      <c r="C399" s="2"/>
      <c r="D399" s="2"/>
      <c r="E399" s="2"/>
      <c r="F399" s="2"/>
      <c r="G399" s="2"/>
      <c r="H399" s="2"/>
      <c r="I399" s="2"/>
      <c r="J399" s="2"/>
      <c r="K399" s="2"/>
      <c r="L399" s="2"/>
      <c r="M399" s="2"/>
      <c r="N399" s="2"/>
      <c r="O399" s="2"/>
      <c r="P399" s="2"/>
      <c r="Q399" s="2"/>
      <c r="R399" s="2"/>
      <c r="S399" s="2"/>
      <c r="T399" s="2"/>
    </row>
    <row r="400" spans="1:20" ht="15.75" customHeight="1">
      <c r="A400" s="1"/>
      <c r="B400" s="2"/>
      <c r="C400" s="2"/>
      <c r="D400" s="2"/>
      <c r="E400" s="2"/>
      <c r="F400" s="2"/>
      <c r="G400" s="2"/>
      <c r="H400" s="2"/>
      <c r="I400" s="2"/>
      <c r="J400" s="2"/>
      <c r="K400" s="2"/>
      <c r="L400" s="2"/>
      <c r="M400" s="2"/>
      <c r="N400" s="2"/>
      <c r="O400" s="2"/>
      <c r="P400" s="2"/>
      <c r="Q400" s="2"/>
      <c r="R400" s="2"/>
      <c r="S400" s="2"/>
      <c r="T400" s="2"/>
    </row>
    <row r="401" spans="1:20" ht="15.75" customHeight="1">
      <c r="A401" s="1"/>
      <c r="B401" s="2"/>
      <c r="C401" s="2"/>
      <c r="D401" s="2"/>
      <c r="E401" s="2"/>
      <c r="F401" s="2"/>
      <c r="G401" s="2"/>
      <c r="H401" s="2"/>
      <c r="I401" s="2"/>
      <c r="J401" s="2"/>
      <c r="K401" s="2"/>
      <c r="L401" s="2"/>
      <c r="M401" s="2"/>
      <c r="N401" s="2"/>
      <c r="O401" s="2"/>
      <c r="P401" s="2"/>
      <c r="Q401" s="2"/>
      <c r="R401" s="2"/>
      <c r="S401" s="2"/>
      <c r="T401" s="2"/>
    </row>
    <row r="402" spans="1:20" ht="15.75" customHeight="1">
      <c r="A402" s="1"/>
      <c r="B402" s="2"/>
      <c r="C402" s="2"/>
      <c r="D402" s="2"/>
      <c r="E402" s="2"/>
      <c r="F402" s="2"/>
      <c r="G402" s="2"/>
      <c r="H402" s="2"/>
      <c r="I402" s="2"/>
      <c r="J402" s="2"/>
      <c r="K402" s="2"/>
      <c r="L402" s="2"/>
      <c r="M402" s="2"/>
      <c r="N402" s="2"/>
      <c r="O402" s="2"/>
      <c r="P402" s="2"/>
      <c r="Q402" s="2"/>
      <c r="R402" s="2"/>
      <c r="S402" s="2"/>
      <c r="T402" s="2"/>
    </row>
    <row r="403" spans="1:20" ht="15.75" customHeight="1">
      <c r="A403" s="1"/>
      <c r="B403" s="2"/>
      <c r="C403" s="2"/>
      <c r="D403" s="2"/>
      <c r="E403" s="2"/>
      <c r="F403" s="2"/>
      <c r="G403" s="2"/>
      <c r="H403" s="2"/>
      <c r="I403" s="2"/>
      <c r="J403" s="2"/>
      <c r="K403" s="2"/>
      <c r="L403" s="2"/>
      <c r="M403" s="2"/>
      <c r="N403" s="2"/>
      <c r="O403" s="2"/>
      <c r="P403" s="2"/>
      <c r="Q403" s="2"/>
      <c r="R403" s="2"/>
      <c r="S403" s="2"/>
      <c r="T403" s="2"/>
    </row>
    <row r="404" spans="1:20" ht="15.75" customHeight="1">
      <c r="A404" s="1"/>
      <c r="B404" s="2"/>
      <c r="C404" s="2"/>
      <c r="D404" s="2"/>
      <c r="E404" s="2"/>
      <c r="F404" s="2"/>
      <c r="G404" s="2"/>
      <c r="H404" s="2"/>
      <c r="I404" s="2"/>
      <c r="J404" s="2"/>
      <c r="K404" s="2"/>
      <c r="L404" s="2"/>
      <c r="M404" s="2"/>
      <c r="N404" s="2"/>
      <c r="O404" s="2"/>
      <c r="P404" s="2"/>
      <c r="Q404" s="2"/>
      <c r="R404" s="2"/>
      <c r="S404" s="2"/>
      <c r="T404" s="2"/>
    </row>
    <row r="405" spans="1:20" ht="15.75" customHeight="1">
      <c r="A405" s="1"/>
      <c r="B405" s="2"/>
      <c r="C405" s="2"/>
      <c r="D405" s="2"/>
      <c r="E405" s="2"/>
      <c r="F405" s="2"/>
      <c r="G405" s="2"/>
      <c r="H405" s="2"/>
      <c r="I405" s="2"/>
      <c r="J405" s="2"/>
      <c r="K405" s="2"/>
      <c r="L405" s="2"/>
      <c r="M405" s="2"/>
      <c r="N405" s="2"/>
      <c r="O405" s="2"/>
      <c r="P405" s="2"/>
      <c r="Q405" s="2"/>
      <c r="R405" s="2"/>
      <c r="S405" s="2"/>
      <c r="T405" s="2"/>
    </row>
    <row r="406" spans="1:20" ht="15.75" customHeight="1">
      <c r="A406" s="1"/>
      <c r="B406" s="2"/>
      <c r="C406" s="2"/>
      <c r="D406" s="2"/>
      <c r="E406" s="2"/>
      <c r="F406" s="2"/>
      <c r="G406" s="2"/>
      <c r="H406" s="2"/>
      <c r="I406" s="2"/>
      <c r="J406" s="2"/>
      <c r="K406" s="2"/>
      <c r="L406" s="2"/>
      <c r="M406" s="2"/>
      <c r="N406" s="2"/>
      <c r="O406" s="2"/>
      <c r="P406" s="2"/>
      <c r="Q406" s="2"/>
      <c r="R406" s="2"/>
      <c r="S406" s="2"/>
      <c r="T406" s="2"/>
    </row>
    <row r="407" spans="1:20" ht="15.75" customHeight="1">
      <c r="A407" s="1"/>
      <c r="B407" s="2"/>
      <c r="C407" s="2"/>
      <c r="D407" s="2"/>
      <c r="E407" s="2"/>
      <c r="F407" s="2"/>
      <c r="G407" s="2"/>
      <c r="H407" s="2"/>
      <c r="I407" s="2"/>
      <c r="J407" s="2"/>
      <c r="K407" s="2"/>
      <c r="L407" s="2"/>
      <c r="M407" s="2"/>
      <c r="N407" s="2"/>
      <c r="O407" s="2"/>
      <c r="P407" s="2"/>
      <c r="Q407" s="2"/>
      <c r="R407" s="2"/>
      <c r="S407" s="2"/>
      <c r="T407" s="2"/>
    </row>
    <row r="408" spans="1:20" ht="15.75" customHeight="1">
      <c r="A408" s="1"/>
      <c r="B408" s="2"/>
      <c r="C408" s="2"/>
      <c r="D408" s="2"/>
      <c r="E408" s="2"/>
      <c r="F408" s="2"/>
      <c r="G408" s="2"/>
      <c r="H408" s="2"/>
      <c r="I408" s="2"/>
      <c r="J408" s="2"/>
      <c r="K408" s="2"/>
      <c r="L408" s="2"/>
      <c r="M408" s="2"/>
      <c r="N408" s="2"/>
      <c r="O408" s="2"/>
      <c r="P408" s="2"/>
      <c r="Q408" s="2"/>
      <c r="R408" s="2"/>
      <c r="S408" s="2"/>
      <c r="T408" s="2"/>
    </row>
    <row r="409" spans="1:20" ht="15.75" customHeight="1">
      <c r="A409" s="1"/>
      <c r="B409" s="2"/>
      <c r="C409" s="2"/>
      <c r="D409" s="2"/>
      <c r="E409" s="2"/>
      <c r="F409" s="2"/>
      <c r="G409" s="2"/>
      <c r="H409" s="2"/>
      <c r="I409" s="2"/>
      <c r="J409" s="2"/>
      <c r="K409" s="2"/>
      <c r="L409" s="2"/>
      <c r="M409" s="2"/>
      <c r="N409" s="2"/>
      <c r="O409" s="2"/>
      <c r="P409" s="2"/>
      <c r="Q409" s="2"/>
      <c r="R409" s="2"/>
      <c r="S409" s="2"/>
      <c r="T409" s="2"/>
    </row>
    <row r="410" spans="1:20" ht="15.75" customHeight="1">
      <c r="A410" s="1"/>
      <c r="B410" s="2"/>
      <c r="C410" s="2"/>
      <c r="D410" s="2"/>
      <c r="E410" s="2"/>
      <c r="F410" s="2"/>
      <c r="G410" s="2"/>
      <c r="H410" s="2"/>
      <c r="I410" s="2"/>
      <c r="J410" s="2"/>
      <c r="K410" s="2"/>
      <c r="L410" s="2"/>
      <c r="M410" s="2"/>
      <c r="N410" s="2"/>
      <c r="O410" s="2"/>
      <c r="P410" s="2"/>
      <c r="Q410" s="2"/>
      <c r="R410" s="2"/>
      <c r="S410" s="2"/>
      <c r="T410" s="2"/>
    </row>
    <row r="411" spans="1:20" ht="15.75" customHeight="1">
      <c r="A411" s="1"/>
      <c r="B411" s="2"/>
      <c r="C411" s="2"/>
      <c r="D411" s="2"/>
      <c r="E411" s="2"/>
      <c r="F411" s="2"/>
      <c r="G411" s="2"/>
      <c r="H411" s="2"/>
      <c r="I411" s="2"/>
      <c r="J411" s="2"/>
      <c r="K411" s="2"/>
      <c r="L411" s="2"/>
      <c r="M411" s="2"/>
      <c r="N411" s="2"/>
      <c r="O411" s="2"/>
      <c r="P411" s="2"/>
      <c r="Q411" s="2"/>
      <c r="R411" s="2"/>
      <c r="S411" s="2"/>
      <c r="T411" s="2"/>
    </row>
    <row r="412" spans="1:20" ht="15.75" customHeight="1">
      <c r="A412" s="1"/>
      <c r="B412" s="2"/>
      <c r="C412" s="2"/>
      <c r="D412" s="2"/>
      <c r="E412" s="2"/>
      <c r="F412" s="2"/>
      <c r="G412" s="2"/>
      <c r="H412" s="2"/>
      <c r="I412" s="2"/>
      <c r="J412" s="2"/>
      <c r="K412" s="2"/>
      <c r="L412" s="2"/>
      <c r="M412" s="2"/>
      <c r="N412" s="2"/>
      <c r="O412" s="2"/>
      <c r="P412" s="2"/>
      <c r="Q412" s="2"/>
      <c r="R412" s="2"/>
      <c r="S412" s="2"/>
      <c r="T412" s="2"/>
    </row>
    <row r="413" spans="1:20" ht="15.75" customHeight="1">
      <c r="A413" s="1"/>
      <c r="B413" s="2"/>
      <c r="C413" s="2"/>
      <c r="D413" s="2"/>
      <c r="E413" s="2"/>
      <c r="F413" s="2"/>
      <c r="G413" s="2"/>
      <c r="H413" s="2"/>
      <c r="I413" s="2"/>
      <c r="J413" s="2"/>
      <c r="K413" s="2"/>
      <c r="L413" s="2"/>
      <c r="M413" s="2"/>
      <c r="N413" s="2"/>
      <c r="O413" s="2"/>
      <c r="P413" s="2"/>
      <c r="Q413" s="2"/>
      <c r="R413" s="2"/>
      <c r="S413" s="2"/>
      <c r="T413" s="2"/>
    </row>
    <row r="414" spans="1:20" ht="15.75" customHeight="1">
      <c r="A414" s="1"/>
      <c r="B414" s="2"/>
      <c r="C414" s="2"/>
      <c r="D414" s="2"/>
      <c r="E414" s="2"/>
      <c r="F414" s="2"/>
      <c r="G414" s="2"/>
      <c r="H414" s="2"/>
      <c r="I414" s="2"/>
      <c r="J414" s="2"/>
      <c r="K414" s="2"/>
      <c r="L414" s="2"/>
      <c r="M414" s="2"/>
      <c r="N414" s="2"/>
      <c r="O414" s="2"/>
      <c r="P414" s="2"/>
      <c r="Q414" s="2"/>
      <c r="R414" s="2"/>
      <c r="S414" s="2"/>
      <c r="T414" s="2"/>
    </row>
    <row r="415" spans="1:20" ht="15.75" customHeight="1">
      <c r="A415" s="1"/>
      <c r="B415" s="2"/>
      <c r="C415" s="2"/>
      <c r="D415" s="2"/>
      <c r="E415" s="2"/>
      <c r="F415" s="2"/>
      <c r="G415" s="2"/>
      <c r="H415" s="2"/>
      <c r="I415" s="2"/>
      <c r="J415" s="2"/>
      <c r="K415" s="2"/>
      <c r="L415" s="2"/>
      <c r="M415" s="2"/>
      <c r="N415" s="2"/>
      <c r="O415" s="2"/>
      <c r="P415" s="2"/>
      <c r="Q415" s="2"/>
      <c r="R415" s="2"/>
      <c r="S415" s="2"/>
      <c r="T415" s="2"/>
    </row>
    <row r="416" spans="1:20" ht="15.75" customHeight="1">
      <c r="A416" s="1"/>
      <c r="B416" s="2"/>
      <c r="C416" s="2"/>
      <c r="D416" s="2"/>
      <c r="E416" s="2"/>
      <c r="F416" s="2"/>
      <c r="G416" s="2"/>
      <c r="H416" s="2"/>
      <c r="I416" s="2"/>
      <c r="J416" s="2"/>
      <c r="K416" s="2"/>
      <c r="L416" s="2"/>
      <c r="M416" s="2"/>
      <c r="N416" s="2"/>
      <c r="O416" s="2"/>
      <c r="P416" s="2"/>
      <c r="Q416" s="2"/>
      <c r="R416" s="2"/>
      <c r="S416" s="2"/>
      <c r="T416" s="2"/>
    </row>
    <row r="417" spans="1:20" ht="15.75" customHeight="1">
      <c r="A417" s="1"/>
      <c r="B417" s="2"/>
      <c r="C417" s="2"/>
      <c r="D417" s="2"/>
      <c r="E417" s="2"/>
      <c r="F417" s="2"/>
      <c r="G417" s="2"/>
      <c r="H417" s="2"/>
      <c r="I417" s="2"/>
      <c r="J417" s="2"/>
      <c r="K417" s="2"/>
      <c r="L417" s="2"/>
      <c r="M417" s="2"/>
      <c r="N417" s="2"/>
      <c r="O417" s="2"/>
      <c r="P417" s="2"/>
      <c r="Q417" s="2"/>
      <c r="R417" s="2"/>
      <c r="S417" s="2"/>
      <c r="T417" s="2"/>
    </row>
    <row r="418" spans="1:20" ht="15.75" customHeight="1">
      <c r="A418" s="1"/>
      <c r="B418" s="2"/>
      <c r="C418" s="2"/>
      <c r="D418" s="2"/>
      <c r="E418" s="2"/>
      <c r="F418" s="2"/>
      <c r="G418" s="2"/>
      <c r="H418" s="2"/>
      <c r="I418" s="2"/>
      <c r="J418" s="2"/>
      <c r="K418" s="2"/>
      <c r="L418" s="2"/>
      <c r="M418" s="2"/>
      <c r="N418" s="2"/>
      <c r="O418" s="2"/>
      <c r="P418" s="2"/>
      <c r="Q418" s="2"/>
      <c r="R418" s="2"/>
      <c r="S418" s="2"/>
      <c r="T418" s="2"/>
    </row>
    <row r="419" spans="1:20" ht="15.75" customHeight="1">
      <c r="A419" s="1"/>
      <c r="B419" s="2"/>
      <c r="C419" s="2"/>
      <c r="D419" s="2"/>
      <c r="E419" s="2"/>
      <c r="F419" s="2"/>
      <c r="G419" s="2"/>
      <c r="H419" s="2"/>
      <c r="I419" s="2"/>
      <c r="J419" s="2"/>
      <c r="K419" s="2"/>
      <c r="L419" s="2"/>
      <c r="M419" s="2"/>
      <c r="N419" s="2"/>
      <c r="O419" s="2"/>
      <c r="P419" s="2"/>
      <c r="Q419" s="2"/>
      <c r="R419" s="2"/>
      <c r="S419" s="2"/>
      <c r="T419" s="2"/>
    </row>
    <row r="420" spans="1:20" ht="15.75" customHeight="1">
      <c r="A420" s="1"/>
      <c r="B420" s="2"/>
      <c r="C420" s="2"/>
      <c r="D420" s="2"/>
      <c r="E420" s="2"/>
      <c r="F420" s="2"/>
      <c r="G420" s="2"/>
      <c r="H420" s="2"/>
      <c r="I420" s="2"/>
      <c r="J420" s="2"/>
      <c r="K420" s="2"/>
      <c r="L420" s="2"/>
      <c r="M420" s="2"/>
      <c r="N420" s="2"/>
      <c r="O420" s="2"/>
      <c r="P420" s="2"/>
      <c r="Q420" s="2"/>
      <c r="R420" s="2"/>
      <c r="S420" s="2"/>
      <c r="T420" s="2"/>
    </row>
    <row r="421" spans="1:20" ht="15.75" customHeight="1">
      <c r="A421" s="1"/>
      <c r="B421" s="2"/>
      <c r="C421" s="2"/>
      <c r="D421" s="2"/>
      <c r="E421" s="2"/>
      <c r="F421" s="2"/>
      <c r="G421" s="2"/>
      <c r="H421" s="2"/>
      <c r="I421" s="2"/>
      <c r="J421" s="2"/>
      <c r="K421" s="2"/>
      <c r="L421" s="2"/>
      <c r="M421" s="2"/>
      <c r="N421" s="2"/>
      <c r="O421" s="2"/>
      <c r="P421" s="2"/>
      <c r="Q421" s="2"/>
      <c r="R421" s="2"/>
      <c r="S421" s="2"/>
      <c r="T421" s="2"/>
    </row>
    <row r="422" spans="1:20" ht="15.75" customHeight="1">
      <c r="A422" s="1"/>
      <c r="B422" s="2"/>
      <c r="C422" s="2"/>
      <c r="D422" s="2"/>
      <c r="E422" s="2"/>
      <c r="F422" s="2"/>
      <c r="G422" s="2"/>
      <c r="H422" s="2"/>
      <c r="I422" s="2"/>
      <c r="J422" s="2"/>
      <c r="K422" s="2"/>
      <c r="L422" s="2"/>
      <c r="M422" s="2"/>
      <c r="N422" s="2"/>
      <c r="O422" s="2"/>
      <c r="P422" s="2"/>
      <c r="Q422" s="2"/>
      <c r="R422" s="2"/>
      <c r="S422" s="2"/>
      <c r="T422" s="2"/>
    </row>
    <row r="423" spans="1:20" ht="15.75" customHeight="1">
      <c r="A423" s="1"/>
      <c r="B423" s="2"/>
      <c r="C423" s="2"/>
      <c r="D423" s="2"/>
      <c r="E423" s="2"/>
      <c r="F423" s="2"/>
      <c r="G423" s="2"/>
      <c r="H423" s="2"/>
      <c r="I423" s="2"/>
      <c r="J423" s="2"/>
      <c r="K423" s="2"/>
      <c r="L423" s="2"/>
      <c r="M423" s="2"/>
      <c r="N423" s="2"/>
      <c r="O423" s="2"/>
      <c r="P423" s="2"/>
      <c r="Q423" s="2"/>
      <c r="R423" s="2"/>
      <c r="S423" s="2"/>
      <c r="T423" s="2"/>
    </row>
    <row r="424" spans="1:20" ht="15.75" customHeight="1">
      <c r="A424" s="1"/>
      <c r="B424" s="2"/>
      <c r="C424" s="2"/>
      <c r="D424" s="2"/>
      <c r="E424" s="2"/>
      <c r="F424" s="2"/>
      <c r="G424" s="2"/>
      <c r="H424" s="2"/>
      <c r="I424" s="2"/>
      <c r="J424" s="2"/>
      <c r="K424" s="2"/>
      <c r="L424" s="2"/>
      <c r="M424" s="2"/>
      <c r="N424" s="2"/>
      <c r="O424" s="2"/>
      <c r="P424" s="2"/>
      <c r="Q424" s="2"/>
      <c r="R424" s="2"/>
      <c r="S424" s="2"/>
      <c r="T424" s="2"/>
    </row>
    <row r="425" spans="1:20" ht="15.75" customHeight="1">
      <c r="A425" s="1"/>
      <c r="B425" s="2"/>
      <c r="C425" s="2"/>
      <c r="D425" s="2"/>
      <c r="E425" s="2"/>
      <c r="F425" s="2"/>
      <c r="G425" s="2"/>
      <c r="H425" s="2"/>
      <c r="I425" s="2"/>
      <c r="J425" s="2"/>
      <c r="K425" s="2"/>
      <c r="L425" s="2"/>
      <c r="M425" s="2"/>
      <c r="N425" s="2"/>
      <c r="O425" s="2"/>
      <c r="P425" s="2"/>
      <c r="Q425" s="2"/>
      <c r="R425" s="2"/>
      <c r="S425" s="2"/>
      <c r="T425" s="2"/>
    </row>
    <row r="426" spans="1:20" ht="15.75" customHeight="1">
      <c r="A426" s="1"/>
      <c r="B426" s="2"/>
      <c r="C426" s="2"/>
      <c r="D426" s="2"/>
      <c r="E426" s="2"/>
      <c r="F426" s="2"/>
      <c r="G426" s="2"/>
      <c r="H426" s="2"/>
      <c r="I426" s="2"/>
      <c r="J426" s="2"/>
      <c r="K426" s="2"/>
      <c r="L426" s="2"/>
      <c r="M426" s="2"/>
      <c r="N426" s="2"/>
      <c r="O426" s="2"/>
      <c r="P426" s="2"/>
      <c r="Q426" s="2"/>
      <c r="R426" s="2"/>
      <c r="S426" s="2"/>
      <c r="T426" s="2"/>
    </row>
    <row r="427" spans="1:20" ht="15.75" customHeight="1">
      <c r="A427" s="1"/>
      <c r="B427" s="2"/>
      <c r="C427" s="2"/>
      <c r="D427" s="2"/>
      <c r="E427" s="2"/>
      <c r="F427" s="2"/>
      <c r="G427" s="2"/>
      <c r="H427" s="2"/>
      <c r="I427" s="2"/>
      <c r="J427" s="2"/>
      <c r="K427" s="2"/>
      <c r="L427" s="2"/>
      <c r="M427" s="2"/>
      <c r="N427" s="2"/>
      <c r="O427" s="2"/>
      <c r="P427" s="2"/>
      <c r="Q427" s="2"/>
      <c r="R427" s="2"/>
      <c r="S427" s="2"/>
      <c r="T427" s="2"/>
    </row>
    <row r="428" spans="1:20" ht="15.75" customHeight="1">
      <c r="A428" s="1"/>
      <c r="B428" s="2"/>
      <c r="C428" s="2"/>
      <c r="D428" s="2"/>
      <c r="E428" s="2"/>
      <c r="F428" s="2"/>
      <c r="G428" s="2"/>
      <c r="H428" s="2"/>
      <c r="I428" s="2"/>
      <c r="J428" s="2"/>
      <c r="K428" s="2"/>
      <c r="L428" s="2"/>
      <c r="M428" s="2"/>
      <c r="N428" s="2"/>
      <c r="O428" s="2"/>
      <c r="P428" s="2"/>
      <c r="Q428" s="2"/>
      <c r="R428" s="2"/>
      <c r="S428" s="2"/>
      <c r="T428" s="2"/>
    </row>
    <row r="429" spans="1:20" ht="15.75" customHeight="1">
      <c r="A429" s="1"/>
      <c r="B429" s="2"/>
      <c r="C429" s="2"/>
      <c r="D429" s="2"/>
      <c r="E429" s="2"/>
      <c r="F429" s="2"/>
      <c r="G429" s="2"/>
      <c r="H429" s="2"/>
      <c r="I429" s="2"/>
      <c r="J429" s="2"/>
      <c r="K429" s="2"/>
      <c r="L429" s="2"/>
      <c r="M429" s="2"/>
      <c r="N429" s="2"/>
      <c r="O429" s="2"/>
      <c r="P429" s="2"/>
      <c r="Q429" s="2"/>
      <c r="R429" s="2"/>
      <c r="S429" s="2"/>
      <c r="T429" s="2"/>
    </row>
    <row r="430" spans="1:20" ht="15.75" customHeight="1">
      <c r="A430" s="1"/>
      <c r="B430" s="2"/>
      <c r="C430" s="2"/>
      <c r="D430" s="2"/>
      <c r="E430" s="2"/>
      <c r="F430" s="2"/>
      <c r="G430" s="2"/>
      <c r="H430" s="2"/>
      <c r="I430" s="2"/>
      <c r="J430" s="2"/>
      <c r="K430" s="2"/>
      <c r="L430" s="2"/>
      <c r="M430" s="2"/>
      <c r="N430" s="2"/>
      <c r="O430" s="2"/>
      <c r="P430" s="2"/>
      <c r="Q430" s="2"/>
      <c r="R430" s="2"/>
      <c r="S430" s="2"/>
      <c r="T430" s="2"/>
    </row>
    <row r="431" spans="1:20" ht="15.75" customHeight="1">
      <c r="A431" s="1"/>
      <c r="B431" s="2"/>
      <c r="C431" s="2"/>
      <c r="D431" s="2"/>
      <c r="E431" s="2"/>
      <c r="F431" s="2"/>
      <c r="G431" s="2"/>
      <c r="H431" s="2"/>
      <c r="I431" s="2"/>
      <c r="J431" s="2"/>
      <c r="K431" s="2"/>
      <c r="L431" s="2"/>
      <c r="M431" s="2"/>
      <c r="N431" s="2"/>
      <c r="O431" s="2"/>
      <c r="P431" s="2"/>
      <c r="Q431" s="2"/>
      <c r="R431" s="2"/>
      <c r="S431" s="2"/>
      <c r="T431" s="2"/>
    </row>
    <row r="432" spans="1:20" ht="15.75" customHeight="1">
      <c r="A432" s="1"/>
      <c r="B432" s="2"/>
      <c r="C432" s="2"/>
      <c r="D432" s="2"/>
      <c r="E432" s="2"/>
      <c r="F432" s="2"/>
      <c r="G432" s="2"/>
      <c r="H432" s="2"/>
      <c r="I432" s="2"/>
      <c r="J432" s="2"/>
      <c r="K432" s="2"/>
      <c r="L432" s="2"/>
      <c r="M432" s="2"/>
      <c r="N432" s="2"/>
      <c r="O432" s="2"/>
      <c r="P432" s="2"/>
      <c r="Q432" s="2"/>
      <c r="R432" s="2"/>
      <c r="S432" s="2"/>
      <c r="T432" s="2"/>
    </row>
    <row r="433" spans="1:20" ht="15.75" customHeight="1">
      <c r="A433" s="1"/>
      <c r="B433" s="2"/>
      <c r="C433" s="2"/>
      <c r="D433" s="2"/>
      <c r="E433" s="2"/>
      <c r="F433" s="2"/>
      <c r="G433" s="2"/>
      <c r="H433" s="2"/>
      <c r="I433" s="2"/>
      <c r="J433" s="2"/>
      <c r="K433" s="2"/>
      <c r="L433" s="2"/>
      <c r="M433" s="2"/>
      <c r="N433" s="2"/>
      <c r="O433" s="2"/>
      <c r="P433" s="2"/>
      <c r="Q433" s="2"/>
      <c r="R433" s="2"/>
      <c r="S433" s="2"/>
      <c r="T433" s="2"/>
    </row>
    <row r="434" spans="1:20" ht="15.75" customHeight="1">
      <c r="A434" s="1"/>
      <c r="B434" s="2"/>
      <c r="C434" s="2"/>
      <c r="D434" s="2"/>
      <c r="E434" s="2"/>
      <c r="F434" s="2"/>
      <c r="G434" s="2"/>
      <c r="H434" s="2"/>
      <c r="I434" s="2"/>
      <c r="J434" s="2"/>
      <c r="K434" s="2"/>
      <c r="L434" s="2"/>
      <c r="M434" s="2"/>
      <c r="N434" s="2"/>
      <c r="O434" s="2"/>
      <c r="P434" s="2"/>
      <c r="Q434" s="2"/>
      <c r="R434" s="2"/>
      <c r="S434" s="2"/>
      <c r="T434" s="2"/>
    </row>
    <row r="435" spans="1:20" ht="15.75" customHeight="1">
      <c r="A435" s="1"/>
      <c r="B435" s="2"/>
      <c r="C435" s="2"/>
      <c r="D435" s="2"/>
      <c r="E435" s="2"/>
      <c r="F435" s="2"/>
      <c r="G435" s="2"/>
      <c r="H435" s="2"/>
      <c r="I435" s="2"/>
      <c r="J435" s="2"/>
      <c r="K435" s="2"/>
      <c r="L435" s="2"/>
      <c r="M435" s="2"/>
      <c r="N435" s="2"/>
      <c r="O435" s="2"/>
      <c r="P435" s="2"/>
      <c r="Q435" s="2"/>
      <c r="R435" s="2"/>
      <c r="S435" s="2"/>
      <c r="T435" s="2"/>
    </row>
    <row r="436" spans="1:20" ht="15.75" customHeight="1">
      <c r="A436" s="1"/>
      <c r="B436" s="2"/>
      <c r="C436" s="2"/>
      <c r="D436" s="2"/>
      <c r="E436" s="2"/>
      <c r="F436" s="2"/>
      <c r="G436" s="2"/>
      <c r="H436" s="2"/>
      <c r="I436" s="2"/>
      <c r="J436" s="2"/>
      <c r="K436" s="2"/>
      <c r="L436" s="2"/>
      <c r="M436" s="2"/>
      <c r="N436" s="2"/>
      <c r="O436" s="2"/>
      <c r="P436" s="2"/>
      <c r="Q436" s="2"/>
      <c r="R436" s="2"/>
      <c r="S436" s="2"/>
      <c r="T436" s="2"/>
    </row>
    <row r="437" spans="1:20" ht="15.75" customHeight="1">
      <c r="A437" s="1"/>
      <c r="B437" s="2"/>
      <c r="C437" s="2"/>
      <c r="D437" s="2"/>
      <c r="E437" s="2"/>
      <c r="F437" s="2"/>
      <c r="G437" s="2"/>
      <c r="H437" s="2"/>
      <c r="I437" s="2"/>
      <c r="J437" s="2"/>
      <c r="K437" s="2"/>
      <c r="L437" s="2"/>
      <c r="M437" s="2"/>
      <c r="N437" s="2"/>
      <c r="O437" s="2"/>
      <c r="P437" s="2"/>
      <c r="Q437" s="2"/>
      <c r="R437" s="2"/>
      <c r="S437" s="2"/>
      <c r="T437" s="2"/>
    </row>
    <row r="438" spans="1:20" ht="15.75" customHeight="1">
      <c r="A438" s="1"/>
      <c r="B438" s="2"/>
      <c r="C438" s="2"/>
      <c r="D438" s="2"/>
      <c r="E438" s="2"/>
      <c r="F438" s="2"/>
      <c r="G438" s="2"/>
      <c r="H438" s="2"/>
      <c r="I438" s="2"/>
      <c r="J438" s="2"/>
      <c r="K438" s="2"/>
      <c r="L438" s="2"/>
      <c r="M438" s="2"/>
      <c r="N438" s="2"/>
      <c r="O438" s="2"/>
      <c r="P438" s="2"/>
      <c r="Q438" s="2"/>
      <c r="R438" s="2"/>
      <c r="S438" s="2"/>
      <c r="T438" s="2"/>
    </row>
    <row r="439" spans="1:20" ht="15.75" customHeight="1">
      <c r="A439" s="1"/>
      <c r="B439" s="2"/>
      <c r="C439" s="2"/>
      <c r="D439" s="2"/>
      <c r="E439" s="2"/>
      <c r="F439" s="2"/>
      <c r="G439" s="2"/>
      <c r="H439" s="2"/>
      <c r="I439" s="2"/>
      <c r="J439" s="2"/>
      <c r="K439" s="2"/>
      <c r="L439" s="2"/>
      <c r="M439" s="2"/>
      <c r="N439" s="2"/>
      <c r="O439" s="2"/>
      <c r="P439" s="2"/>
      <c r="Q439" s="2"/>
      <c r="R439" s="2"/>
      <c r="S439" s="2"/>
      <c r="T439" s="2"/>
    </row>
    <row r="440" spans="1:20" ht="15.75" customHeight="1">
      <c r="A440" s="1"/>
      <c r="B440" s="2"/>
      <c r="C440" s="2"/>
      <c r="D440" s="2"/>
      <c r="E440" s="2"/>
      <c r="F440" s="2"/>
      <c r="G440" s="2"/>
      <c r="H440" s="2"/>
      <c r="I440" s="2"/>
      <c r="J440" s="2"/>
      <c r="K440" s="2"/>
      <c r="L440" s="2"/>
      <c r="M440" s="2"/>
      <c r="N440" s="2"/>
      <c r="O440" s="2"/>
      <c r="P440" s="2"/>
      <c r="Q440" s="2"/>
      <c r="R440" s="2"/>
      <c r="S440" s="2"/>
      <c r="T440" s="2"/>
    </row>
    <row r="441" spans="1:20" ht="15.75" customHeight="1">
      <c r="A441" s="1"/>
      <c r="B441" s="2"/>
      <c r="C441" s="2"/>
      <c r="D441" s="2"/>
      <c r="E441" s="2"/>
      <c r="F441" s="2"/>
      <c r="G441" s="2"/>
      <c r="H441" s="2"/>
      <c r="I441" s="2"/>
      <c r="J441" s="2"/>
      <c r="K441" s="2"/>
      <c r="L441" s="2"/>
      <c r="M441" s="2"/>
      <c r="N441" s="2"/>
      <c r="O441" s="2"/>
      <c r="P441" s="2"/>
      <c r="Q441" s="2"/>
      <c r="R441" s="2"/>
      <c r="S441" s="2"/>
      <c r="T441" s="2"/>
    </row>
    <row r="442" spans="1:20" ht="15.75" customHeight="1">
      <c r="A442" s="1"/>
      <c r="B442" s="2"/>
      <c r="C442" s="2"/>
      <c r="D442" s="2"/>
      <c r="E442" s="2"/>
      <c r="F442" s="2"/>
      <c r="G442" s="2"/>
      <c r="H442" s="2"/>
      <c r="I442" s="2"/>
      <c r="J442" s="2"/>
      <c r="K442" s="2"/>
      <c r="L442" s="2"/>
      <c r="M442" s="2"/>
      <c r="N442" s="2"/>
      <c r="O442" s="2"/>
      <c r="P442" s="2"/>
      <c r="Q442" s="2"/>
      <c r="R442" s="2"/>
      <c r="S442" s="2"/>
      <c r="T442" s="2"/>
    </row>
    <row r="443" spans="1:20" ht="15.75" customHeight="1">
      <c r="A443" s="1"/>
      <c r="B443" s="2"/>
      <c r="C443" s="2"/>
      <c r="D443" s="2"/>
      <c r="E443" s="2"/>
      <c r="F443" s="2"/>
      <c r="G443" s="2"/>
      <c r="H443" s="2"/>
      <c r="I443" s="2"/>
      <c r="J443" s="2"/>
      <c r="K443" s="2"/>
      <c r="L443" s="2"/>
      <c r="M443" s="2"/>
      <c r="N443" s="2"/>
      <c r="O443" s="2"/>
      <c r="P443" s="2"/>
      <c r="Q443" s="2"/>
      <c r="R443" s="2"/>
      <c r="S443" s="2"/>
      <c r="T443" s="2"/>
    </row>
    <row r="444" spans="1:20" ht="15.75" customHeight="1">
      <c r="A444" s="1"/>
      <c r="B444" s="2"/>
      <c r="C444" s="2"/>
      <c r="D444" s="2"/>
      <c r="E444" s="2"/>
      <c r="F444" s="2"/>
      <c r="G444" s="2"/>
      <c r="H444" s="2"/>
      <c r="I444" s="2"/>
      <c r="J444" s="2"/>
      <c r="K444" s="2"/>
      <c r="L444" s="2"/>
      <c r="M444" s="2"/>
      <c r="N444" s="2"/>
      <c r="O444" s="2"/>
      <c r="P444" s="2"/>
      <c r="Q444" s="2"/>
      <c r="R444" s="2"/>
      <c r="S444" s="2"/>
      <c r="T444" s="2"/>
    </row>
    <row r="445" spans="1:20" ht="15.75" customHeight="1">
      <c r="A445" s="1"/>
      <c r="B445" s="2"/>
      <c r="C445" s="2"/>
      <c r="D445" s="2"/>
      <c r="E445" s="2"/>
      <c r="F445" s="2"/>
      <c r="G445" s="2"/>
      <c r="H445" s="2"/>
      <c r="I445" s="2"/>
      <c r="J445" s="2"/>
      <c r="K445" s="2"/>
      <c r="L445" s="2"/>
      <c r="M445" s="2"/>
      <c r="N445" s="2"/>
      <c r="O445" s="2"/>
      <c r="P445" s="2"/>
      <c r="Q445" s="2"/>
      <c r="R445" s="2"/>
      <c r="S445" s="2"/>
      <c r="T445" s="2"/>
    </row>
    <row r="446" spans="1:20" ht="15.75" customHeight="1">
      <c r="A446" s="1"/>
      <c r="B446" s="2"/>
      <c r="C446" s="2"/>
      <c r="D446" s="2"/>
      <c r="E446" s="2"/>
      <c r="F446" s="2"/>
      <c r="G446" s="2"/>
      <c r="H446" s="2"/>
      <c r="I446" s="2"/>
      <c r="J446" s="2"/>
      <c r="K446" s="2"/>
      <c r="L446" s="2"/>
      <c r="M446" s="2"/>
      <c r="N446" s="2"/>
      <c r="O446" s="2"/>
      <c r="P446" s="2"/>
      <c r="Q446" s="2"/>
      <c r="R446" s="2"/>
      <c r="S446" s="2"/>
      <c r="T446" s="2"/>
    </row>
    <row r="447" spans="1:20" ht="15.75" customHeight="1">
      <c r="A447" s="1"/>
      <c r="B447" s="2"/>
      <c r="C447" s="2"/>
      <c r="D447" s="2"/>
      <c r="E447" s="2"/>
      <c r="F447" s="2"/>
      <c r="G447" s="2"/>
      <c r="H447" s="2"/>
      <c r="I447" s="2"/>
      <c r="J447" s="2"/>
      <c r="K447" s="2"/>
      <c r="L447" s="2"/>
      <c r="M447" s="2"/>
      <c r="N447" s="2"/>
      <c r="O447" s="2"/>
      <c r="P447" s="2"/>
      <c r="Q447" s="2"/>
      <c r="R447" s="2"/>
      <c r="S447" s="2"/>
      <c r="T447" s="2"/>
    </row>
    <row r="448" spans="1:20" ht="15.75" customHeight="1">
      <c r="A448" s="1"/>
      <c r="B448" s="2"/>
      <c r="C448" s="2"/>
      <c r="D448" s="2"/>
      <c r="E448" s="2"/>
      <c r="F448" s="2"/>
      <c r="G448" s="2"/>
      <c r="H448" s="2"/>
      <c r="I448" s="2"/>
      <c r="J448" s="2"/>
      <c r="K448" s="2"/>
      <c r="L448" s="2"/>
      <c r="M448" s="2"/>
      <c r="N448" s="2"/>
      <c r="O448" s="2"/>
      <c r="P448" s="2"/>
      <c r="Q448" s="2"/>
      <c r="R448" s="2"/>
      <c r="S448" s="2"/>
      <c r="T448" s="2"/>
    </row>
    <row r="449" spans="1:20" ht="15.75" customHeight="1">
      <c r="A449" s="1"/>
      <c r="B449" s="2"/>
      <c r="C449" s="2"/>
      <c r="D449" s="2"/>
      <c r="E449" s="2"/>
      <c r="F449" s="2"/>
      <c r="G449" s="2"/>
      <c r="H449" s="2"/>
      <c r="I449" s="2"/>
      <c r="J449" s="2"/>
      <c r="K449" s="2"/>
      <c r="L449" s="2"/>
      <c r="M449" s="2"/>
      <c r="N449" s="2"/>
      <c r="O449" s="2"/>
      <c r="P449" s="2"/>
      <c r="Q449" s="2"/>
      <c r="R449" s="2"/>
      <c r="S449" s="2"/>
      <c r="T449" s="2"/>
    </row>
    <row r="450" spans="1:20" ht="15.75" customHeight="1">
      <c r="A450" s="1"/>
      <c r="B450" s="2"/>
      <c r="C450" s="2"/>
      <c r="D450" s="2"/>
      <c r="E450" s="2"/>
      <c r="F450" s="2"/>
      <c r="G450" s="2"/>
      <c r="H450" s="2"/>
      <c r="I450" s="2"/>
      <c r="J450" s="2"/>
      <c r="K450" s="2"/>
      <c r="L450" s="2"/>
      <c r="M450" s="2"/>
      <c r="N450" s="2"/>
      <c r="O450" s="2"/>
      <c r="P450" s="2"/>
      <c r="Q450" s="2"/>
      <c r="R450" s="2"/>
      <c r="S450" s="2"/>
      <c r="T450" s="2"/>
    </row>
    <row r="451" spans="1:20" ht="15.75" customHeight="1">
      <c r="A451" s="1"/>
      <c r="B451" s="2"/>
      <c r="C451" s="2"/>
      <c r="D451" s="2"/>
      <c r="E451" s="2"/>
      <c r="F451" s="2"/>
      <c r="G451" s="2"/>
      <c r="H451" s="2"/>
      <c r="I451" s="2"/>
      <c r="J451" s="2"/>
      <c r="K451" s="2"/>
      <c r="L451" s="2"/>
      <c r="M451" s="2"/>
      <c r="N451" s="2"/>
      <c r="O451" s="2"/>
      <c r="P451" s="2"/>
      <c r="Q451" s="2"/>
      <c r="R451" s="2"/>
      <c r="S451" s="2"/>
      <c r="T451" s="2"/>
    </row>
    <row r="452" spans="1:20" ht="15.75" customHeight="1">
      <c r="A452" s="1"/>
      <c r="B452" s="2"/>
      <c r="C452" s="2"/>
      <c r="D452" s="2"/>
      <c r="E452" s="2"/>
      <c r="F452" s="2"/>
      <c r="G452" s="2"/>
      <c r="H452" s="2"/>
      <c r="I452" s="2"/>
      <c r="J452" s="2"/>
      <c r="K452" s="2"/>
      <c r="L452" s="2"/>
      <c r="M452" s="2"/>
      <c r="N452" s="2"/>
      <c r="O452" s="2"/>
      <c r="P452" s="2"/>
      <c r="Q452" s="2"/>
      <c r="R452" s="2"/>
      <c r="S452" s="2"/>
      <c r="T452" s="2"/>
    </row>
    <row r="453" spans="1:20" ht="15.75" customHeight="1">
      <c r="A453" s="1"/>
      <c r="B453" s="2"/>
      <c r="C453" s="2"/>
      <c r="D453" s="2"/>
      <c r="E453" s="2"/>
      <c r="F453" s="2"/>
      <c r="G453" s="2"/>
      <c r="H453" s="2"/>
      <c r="I453" s="2"/>
      <c r="J453" s="2"/>
      <c r="K453" s="2"/>
      <c r="L453" s="2"/>
      <c r="M453" s="2"/>
      <c r="N453" s="2"/>
      <c r="O453" s="2"/>
      <c r="P453" s="2"/>
      <c r="Q453" s="2"/>
      <c r="R453" s="2"/>
      <c r="S453" s="2"/>
      <c r="T453" s="2"/>
    </row>
    <row r="454" spans="1:20" ht="15.75" customHeight="1">
      <c r="A454" s="1"/>
      <c r="B454" s="2"/>
      <c r="C454" s="2"/>
      <c r="D454" s="2"/>
      <c r="E454" s="2"/>
      <c r="F454" s="2"/>
      <c r="G454" s="2"/>
      <c r="H454" s="2"/>
      <c r="I454" s="2"/>
      <c r="J454" s="2"/>
      <c r="K454" s="2"/>
      <c r="L454" s="2"/>
      <c r="M454" s="2"/>
      <c r="N454" s="2"/>
      <c r="O454" s="2"/>
      <c r="P454" s="2"/>
      <c r="Q454" s="2"/>
      <c r="R454" s="2"/>
      <c r="S454" s="2"/>
      <c r="T454" s="2"/>
    </row>
    <row r="455" spans="1:20" ht="15.75" customHeight="1">
      <c r="A455" s="1"/>
      <c r="B455" s="2"/>
      <c r="C455" s="2"/>
      <c r="D455" s="2"/>
      <c r="E455" s="2"/>
      <c r="F455" s="2"/>
      <c r="G455" s="2"/>
      <c r="H455" s="2"/>
      <c r="I455" s="2"/>
      <c r="J455" s="2"/>
      <c r="K455" s="2"/>
      <c r="L455" s="2"/>
      <c r="M455" s="2"/>
      <c r="N455" s="2"/>
      <c r="O455" s="2"/>
      <c r="P455" s="2"/>
      <c r="Q455" s="2"/>
      <c r="R455" s="2"/>
      <c r="S455" s="2"/>
      <c r="T455" s="2"/>
    </row>
    <row r="456" spans="1:20" ht="15.75" customHeight="1">
      <c r="A456" s="1"/>
      <c r="B456" s="2"/>
      <c r="C456" s="2"/>
      <c r="D456" s="2"/>
      <c r="E456" s="2"/>
      <c r="F456" s="2"/>
      <c r="G456" s="2"/>
      <c r="H456" s="2"/>
      <c r="I456" s="2"/>
      <c r="J456" s="2"/>
      <c r="K456" s="2"/>
      <c r="L456" s="2"/>
      <c r="M456" s="2"/>
      <c r="N456" s="2"/>
      <c r="O456" s="2"/>
      <c r="P456" s="2"/>
      <c r="Q456" s="2"/>
      <c r="R456" s="2"/>
      <c r="S456" s="2"/>
      <c r="T456" s="2"/>
    </row>
    <row r="457" spans="1:20" ht="15.75" customHeight="1">
      <c r="A457" s="1"/>
      <c r="B457" s="2"/>
      <c r="C457" s="2"/>
      <c r="D457" s="2"/>
      <c r="E457" s="2"/>
      <c r="F457" s="2"/>
      <c r="G457" s="2"/>
      <c r="H457" s="2"/>
      <c r="I457" s="2"/>
      <c r="J457" s="2"/>
      <c r="K457" s="2"/>
      <c r="L457" s="2"/>
      <c r="M457" s="2"/>
      <c r="N457" s="2"/>
      <c r="O457" s="2"/>
      <c r="P457" s="2"/>
      <c r="Q457" s="2"/>
      <c r="R457" s="2"/>
      <c r="S457" s="2"/>
      <c r="T457" s="2"/>
    </row>
    <row r="458" spans="1:20" ht="15.75" customHeight="1">
      <c r="A458" s="1"/>
      <c r="B458" s="2"/>
      <c r="C458" s="2"/>
      <c r="D458" s="2"/>
      <c r="E458" s="2"/>
      <c r="F458" s="2"/>
      <c r="G458" s="2"/>
      <c r="H458" s="2"/>
      <c r="I458" s="2"/>
      <c r="J458" s="2"/>
      <c r="K458" s="2"/>
      <c r="L458" s="2"/>
      <c r="M458" s="2"/>
      <c r="N458" s="2"/>
      <c r="O458" s="2"/>
      <c r="P458" s="2"/>
      <c r="Q458" s="2"/>
      <c r="R458" s="2"/>
      <c r="S458" s="2"/>
      <c r="T458" s="2"/>
    </row>
    <row r="459" spans="1:20" ht="15.75" customHeight="1">
      <c r="A459" s="1"/>
      <c r="B459" s="2"/>
      <c r="C459" s="2"/>
      <c r="D459" s="2"/>
      <c r="E459" s="2"/>
      <c r="F459" s="2"/>
      <c r="G459" s="2"/>
      <c r="H459" s="2"/>
      <c r="I459" s="2"/>
      <c r="J459" s="2"/>
      <c r="K459" s="2"/>
      <c r="L459" s="2"/>
      <c r="M459" s="2"/>
      <c r="N459" s="2"/>
      <c r="O459" s="2"/>
      <c r="P459" s="2"/>
      <c r="Q459" s="2"/>
      <c r="R459" s="2"/>
      <c r="S459" s="2"/>
      <c r="T459" s="2"/>
    </row>
    <row r="460" spans="1:20" ht="15.75" customHeight="1">
      <c r="A460" s="1"/>
      <c r="B460" s="2"/>
      <c r="C460" s="2"/>
      <c r="D460" s="2"/>
      <c r="E460" s="2"/>
      <c r="F460" s="2"/>
      <c r="G460" s="2"/>
      <c r="H460" s="2"/>
      <c r="I460" s="2"/>
      <c r="J460" s="2"/>
      <c r="K460" s="2"/>
      <c r="L460" s="2"/>
      <c r="M460" s="2"/>
      <c r="N460" s="2"/>
      <c r="O460" s="2"/>
      <c r="P460" s="2"/>
      <c r="Q460" s="2"/>
      <c r="R460" s="2"/>
      <c r="S460" s="2"/>
      <c r="T460" s="2"/>
    </row>
    <row r="461" spans="1:20" ht="15.75" customHeight="1">
      <c r="A461" s="1"/>
      <c r="B461" s="2"/>
      <c r="C461" s="2"/>
      <c r="D461" s="2"/>
      <c r="E461" s="2"/>
      <c r="F461" s="2"/>
      <c r="G461" s="2"/>
      <c r="H461" s="2"/>
      <c r="I461" s="2"/>
      <c r="J461" s="2"/>
      <c r="K461" s="2"/>
      <c r="L461" s="2"/>
      <c r="M461" s="2"/>
      <c r="N461" s="2"/>
      <c r="O461" s="2"/>
      <c r="P461" s="2"/>
      <c r="Q461" s="2"/>
      <c r="R461" s="2"/>
      <c r="S461" s="2"/>
      <c r="T461" s="2"/>
    </row>
    <row r="462" spans="1:20" ht="15.75" customHeight="1">
      <c r="A462" s="1"/>
      <c r="B462" s="2"/>
      <c r="C462" s="2"/>
      <c r="D462" s="2"/>
      <c r="E462" s="2"/>
      <c r="F462" s="2"/>
      <c r="G462" s="2"/>
      <c r="H462" s="2"/>
      <c r="I462" s="2"/>
      <c r="J462" s="2"/>
      <c r="K462" s="2"/>
      <c r="L462" s="2"/>
      <c r="M462" s="2"/>
      <c r="N462" s="2"/>
      <c r="O462" s="2"/>
      <c r="P462" s="2"/>
      <c r="Q462" s="2"/>
      <c r="R462" s="2"/>
      <c r="S462" s="2"/>
      <c r="T462" s="2"/>
    </row>
    <row r="463" spans="1:20" ht="15.75" customHeight="1">
      <c r="A463" s="1"/>
      <c r="B463" s="2"/>
      <c r="C463" s="2"/>
      <c r="D463" s="2"/>
      <c r="E463" s="2"/>
      <c r="F463" s="2"/>
      <c r="G463" s="2"/>
      <c r="H463" s="2"/>
      <c r="I463" s="2"/>
      <c r="J463" s="2"/>
      <c r="K463" s="2"/>
      <c r="L463" s="2"/>
      <c r="M463" s="2"/>
      <c r="N463" s="2"/>
      <c r="O463" s="2"/>
      <c r="P463" s="2"/>
      <c r="Q463" s="2"/>
      <c r="R463" s="2"/>
      <c r="S463" s="2"/>
      <c r="T463" s="2"/>
    </row>
    <row r="464" spans="1:20" ht="15.75" customHeight="1">
      <c r="A464" s="1"/>
      <c r="B464" s="2"/>
      <c r="C464" s="2"/>
      <c r="D464" s="2"/>
      <c r="E464" s="2"/>
      <c r="F464" s="2"/>
      <c r="G464" s="2"/>
      <c r="H464" s="2"/>
      <c r="I464" s="2"/>
      <c r="J464" s="2"/>
      <c r="K464" s="2"/>
      <c r="L464" s="2"/>
      <c r="M464" s="2"/>
      <c r="N464" s="2"/>
      <c r="O464" s="2"/>
      <c r="P464" s="2"/>
      <c r="Q464" s="2"/>
      <c r="R464" s="2"/>
      <c r="S464" s="2"/>
      <c r="T464" s="2"/>
    </row>
    <row r="465" spans="1:20" ht="15.75" customHeight="1">
      <c r="A465" s="1"/>
      <c r="B465" s="2"/>
      <c r="C465" s="2"/>
      <c r="D465" s="2"/>
      <c r="E465" s="2"/>
      <c r="F465" s="2"/>
      <c r="G465" s="2"/>
      <c r="H465" s="2"/>
      <c r="I465" s="2"/>
      <c r="J465" s="2"/>
      <c r="K465" s="2"/>
      <c r="L465" s="2"/>
      <c r="M465" s="2"/>
      <c r="N465" s="2"/>
      <c r="O465" s="2"/>
      <c r="P465" s="2"/>
      <c r="Q465" s="2"/>
      <c r="R465" s="2"/>
      <c r="S465" s="2"/>
      <c r="T465" s="2"/>
    </row>
    <row r="466" spans="1:20" ht="15.75" customHeight="1">
      <c r="A466" s="1"/>
      <c r="B466" s="2"/>
      <c r="C466" s="2"/>
      <c r="D466" s="2"/>
      <c r="E466" s="2"/>
      <c r="F466" s="2"/>
      <c r="G466" s="2"/>
      <c r="H466" s="2"/>
      <c r="I466" s="2"/>
      <c r="J466" s="2"/>
      <c r="K466" s="2"/>
      <c r="L466" s="2"/>
      <c r="M466" s="2"/>
      <c r="N466" s="2"/>
      <c r="O466" s="2"/>
      <c r="P466" s="2"/>
      <c r="Q466" s="2"/>
      <c r="R466" s="2"/>
      <c r="S466" s="2"/>
      <c r="T466" s="2"/>
    </row>
    <row r="467" spans="1:20" ht="15.75" customHeight="1">
      <c r="A467" s="1"/>
      <c r="B467" s="2"/>
      <c r="C467" s="2"/>
      <c r="D467" s="2"/>
      <c r="E467" s="2"/>
      <c r="F467" s="2"/>
      <c r="G467" s="2"/>
      <c r="H467" s="2"/>
      <c r="I467" s="2"/>
      <c r="J467" s="2"/>
      <c r="K467" s="2"/>
      <c r="L467" s="2"/>
      <c r="M467" s="2"/>
      <c r="N467" s="2"/>
      <c r="O467" s="2"/>
      <c r="P467" s="2"/>
      <c r="Q467" s="2"/>
      <c r="R467" s="2"/>
      <c r="S467" s="2"/>
      <c r="T467" s="2"/>
    </row>
    <row r="468" spans="1:20" ht="15.75" customHeight="1">
      <c r="A468" s="1"/>
      <c r="B468" s="2"/>
      <c r="C468" s="2"/>
      <c r="D468" s="2"/>
      <c r="E468" s="2"/>
      <c r="F468" s="2"/>
      <c r="G468" s="2"/>
      <c r="H468" s="2"/>
      <c r="I468" s="2"/>
      <c r="J468" s="2"/>
      <c r="K468" s="2"/>
      <c r="L468" s="2"/>
      <c r="M468" s="2"/>
      <c r="N468" s="2"/>
      <c r="O468" s="2"/>
      <c r="P468" s="2"/>
      <c r="Q468" s="2"/>
      <c r="R468" s="2"/>
      <c r="S468" s="2"/>
      <c r="T468" s="2"/>
    </row>
    <row r="469" spans="1:20" ht="15.75" customHeight="1">
      <c r="A469" s="1"/>
      <c r="B469" s="2"/>
      <c r="C469" s="2"/>
      <c r="D469" s="2"/>
      <c r="E469" s="2"/>
      <c r="F469" s="2"/>
      <c r="G469" s="2"/>
      <c r="H469" s="2"/>
      <c r="I469" s="2"/>
      <c r="J469" s="2"/>
      <c r="K469" s="2"/>
      <c r="L469" s="2"/>
      <c r="M469" s="2"/>
      <c r="N469" s="2"/>
      <c r="O469" s="2"/>
      <c r="P469" s="2"/>
      <c r="Q469" s="2"/>
      <c r="R469" s="2"/>
      <c r="S469" s="2"/>
      <c r="T469" s="2"/>
    </row>
    <row r="470" spans="1:20" ht="15.75" customHeight="1">
      <c r="A470" s="1"/>
      <c r="B470" s="2"/>
      <c r="C470" s="2"/>
      <c r="D470" s="2"/>
      <c r="E470" s="2"/>
      <c r="F470" s="2"/>
      <c r="G470" s="2"/>
      <c r="H470" s="2"/>
      <c r="I470" s="2"/>
      <c r="J470" s="2"/>
      <c r="K470" s="2"/>
      <c r="L470" s="2"/>
      <c r="M470" s="2"/>
      <c r="N470" s="2"/>
      <c r="O470" s="2"/>
      <c r="P470" s="2"/>
      <c r="Q470" s="2"/>
      <c r="R470" s="2"/>
      <c r="S470" s="2"/>
      <c r="T470" s="2"/>
    </row>
    <row r="471" spans="1:20" ht="15.75" customHeight="1">
      <c r="A471" s="1"/>
      <c r="B471" s="2"/>
      <c r="C471" s="2"/>
      <c r="D471" s="2"/>
      <c r="E471" s="2"/>
      <c r="F471" s="2"/>
      <c r="G471" s="2"/>
      <c r="H471" s="2"/>
      <c r="I471" s="2"/>
      <c r="J471" s="2"/>
      <c r="K471" s="2"/>
      <c r="L471" s="2"/>
      <c r="M471" s="2"/>
      <c r="N471" s="2"/>
      <c r="O471" s="2"/>
      <c r="P471" s="2"/>
      <c r="Q471" s="2"/>
      <c r="R471" s="2"/>
      <c r="S471" s="2"/>
      <c r="T471" s="2"/>
    </row>
    <row r="472" spans="1:20" ht="15.75" customHeight="1">
      <c r="A472" s="1"/>
      <c r="B472" s="2"/>
      <c r="C472" s="2"/>
      <c r="D472" s="2"/>
      <c r="E472" s="2"/>
      <c r="F472" s="2"/>
      <c r="G472" s="2"/>
      <c r="H472" s="2"/>
      <c r="I472" s="2"/>
      <c r="J472" s="2"/>
      <c r="K472" s="2"/>
      <c r="L472" s="2"/>
      <c r="M472" s="2"/>
      <c r="N472" s="2"/>
      <c r="O472" s="2"/>
      <c r="P472" s="2"/>
      <c r="Q472" s="2"/>
      <c r="R472" s="2"/>
      <c r="S472" s="2"/>
      <c r="T472" s="2"/>
    </row>
    <row r="473" spans="1:20" ht="15.75" customHeight="1">
      <c r="A473" s="1"/>
      <c r="B473" s="2"/>
      <c r="C473" s="2"/>
      <c r="D473" s="2"/>
      <c r="E473" s="2"/>
      <c r="F473" s="2"/>
      <c r="G473" s="2"/>
      <c r="H473" s="2"/>
      <c r="I473" s="2"/>
      <c r="J473" s="2"/>
      <c r="K473" s="2"/>
      <c r="L473" s="2"/>
      <c r="M473" s="2"/>
      <c r="N473" s="2"/>
      <c r="O473" s="2"/>
      <c r="P473" s="2"/>
      <c r="Q473" s="2"/>
      <c r="R473" s="2"/>
      <c r="S473" s="2"/>
      <c r="T473" s="2"/>
    </row>
    <row r="474" spans="1:20" ht="15.75" customHeight="1">
      <c r="A474" s="1"/>
      <c r="B474" s="2"/>
      <c r="C474" s="2"/>
      <c r="D474" s="2"/>
      <c r="E474" s="2"/>
      <c r="F474" s="2"/>
      <c r="G474" s="2"/>
      <c r="H474" s="2"/>
      <c r="I474" s="2"/>
      <c r="J474" s="2"/>
      <c r="K474" s="2"/>
      <c r="L474" s="2"/>
      <c r="M474" s="2"/>
      <c r="N474" s="2"/>
      <c r="O474" s="2"/>
      <c r="P474" s="2"/>
      <c r="Q474" s="2"/>
      <c r="R474" s="2"/>
      <c r="S474" s="2"/>
      <c r="T474" s="2"/>
    </row>
    <row r="475" spans="1:20" ht="15.75" customHeight="1">
      <c r="A475" s="1"/>
      <c r="B475" s="2"/>
      <c r="C475" s="2"/>
      <c r="D475" s="2"/>
      <c r="E475" s="2"/>
      <c r="F475" s="2"/>
      <c r="G475" s="2"/>
      <c r="H475" s="2"/>
      <c r="I475" s="2"/>
      <c r="J475" s="2"/>
      <c r="K475" s="2"/>
      <c r="L475" s="2"/>
      <c r="M475" s="2"/>
      <c r="N475" s="2"/>
      <c r="O475" s="2"/>
      <c r="P475" s="2"/>
      <c r="Q475" s="2"/>
      <c r="R475" s="2"/>
      <c r="S475" s="2"/>
      <c r="T475" s="2"/>
    </row>
    <row r="476" spans="1:20" ht="15.75" customHeight="1">
      <c r="A476" s="1"/>
      <c r="B476" s="2"/>
      <c r="C476" s="2"/>
      <c r="D476" s="2"/>
      <c r="E476" s="2"/>
      <c r="F476" s="2"/>
      <c r="G476" s="2"/>
      <c r="H476" s="2"/>
      <c r="I476" s="2"/>
      <c r="J476" s="2"/>
      <c r="K476" s="2"/>
      <c r="L476" s="2"/>
      <c r="M476" s="2"/>
      <c r="N476" s="2"/>
      <c r="O476" s="2"/>
      <c r="P476" s="2"/>
      <c r="Q476" s="2"/>
      <c r="R476" s="2"/>
      <c r="S476" s="2"/>
      <c r="T476" s="2"/>
    </row>
    <row r="477" spans="1:20" ht="15.75" customHeight="1">
      <c r="A477" s="1"/>
      <c r="B477" s="2"/>
      <c r="C477" s="2"/>
      <c r="D477" s="2"/>
      <c r="E477" s="2"/>
      <c r="F477" s="2"/>
      <c r="G477" s="2"/>
      <c r="H477" s="2"/>
      <c r="I477" s="2"/>
      <c r="J477" s="2"/>
      <c r="K477" s="2"/>
      <c r="L477" s="2"/>
      <c r="M477" s="2"/>
      <c r="N477" s="2"/>
      <c r="O477" s="2"/>
      <c r="P477" s="2"/>
      <c r="Q477" s="2"/>
      <c r="R477" s="2"/>
      <c r="S477" s="2"/>
      <c r="T477" s="2"/>
    </row>
    <row r="478" spans="1:20" ht="15.75" customHeight="1">
      <c r="A478" s="1"/>
      <c r="B478" s="2"/>
      <c r="C478" s="2"/>
      <c r="D478" s="2"/>
      <c r="E478" s="2"/>
      <c r="F478" s="2"/>
      <c r="G478" s="2"/>
      <c r="H478" s="2"/>
      <c r="I478" s="2"/>
      <c r="J478" s="2"/>
      <c r="K478" s="2"/>
      <c r="L478" s="2"/>
      <c r="M478" s="2"/>
      <c r="N478" s="2"/>
      <c r="O478" s="2"/>
      <c r="P478" s="2"/>
      <c r="Q478" s="2"/>
      <c r="R478" s="2"/>
      <c r="S478" s="2"/>
      <c r="T478" s="2"/>
    </row>
    <row r="479" spans="1:20" ht="15.75" customHeight="1">
      <c r="A479" s="1"/>
      <c r="B479" s="2"/>
      <c r="C479" s="2"/>
      <c r="D479" s="2"/>
      <c r="E479" s="2"/>
      <c r="F479" s="2"/>
      <c r="G479" s="2"/>
      <c r="H479" s="2"/>
      <c r="I479" s="2"/>
      <c r="J479" s="2"/>
      <c r="K479" s="2"/>
      <c r="L479" s="2"/>
      <c r="M479" s="2"/>
      <c r="N479" s="2"/>
      <c r="O479" s="2"/>
      <c r="P479" s="2"/>
      <c r="Q479" s="2"/>
      <c r="R479" s="2"/>
      <c r="S479" s="2"/>
      <c r="T479" s="2"/>
    </row>
    <row r="480" spans="1:20" ht="15.75" customHeight="1">
      <c r="A480" s="1"/>
      <c r="B480" s="2"/>
      <c r="C480" s="2"/>
      <c r="D480" s="2"/>
      <c r="E480" s="2"/>
      <c r="F480" s="2"/>
      <c r="G480" s="2"/>
      <c r="H480" s="2"/>
      <c r="I480" s="2"/>
      <c r="J480" s="2"/>
      <c r="K480" s="2"/>
      <c r="L480" s="2"/>
      <c r="M480" s="2"/>
      <c r="N480" s="2"/>
      <c r="O480" s="2"/>
      <c r="P480" s="2"/>
      <c r="Q480" s="2"/>
      <c r="R480" s="2"/>
      <c r="S480" s="2"/>
      <c r="T480" s="2"/>
    </row>
    <row r="481" spans="1:20" ht="15.75" customHeight="1">
      <c r="A481" s="1"/>
      <c r="B481" s="2"/>
      <c r="C481" s="2"/>
      <c r="D481" s="2"/>
      <c r="E481" s="2"/>
      <c r="F481" s="2"/>
      <c r="G481" s="2"/>
      <c r="H481" s="2"/>
      <c r="I481" s="2"/>
      <c r="J481" s="2"/>
      <c r="K481" s="2"/>
      <c r="L481" s="2"/>
      <c r="M481" s="2"/>
      <c r="N481" s="2"/>
      <c r="O481" s="2"/>
      <c r="P481" s="2"/>
      <c r="Q481" s="2"/>
      <c r="R481" s="2"/>
      <c r="S481" s="2"/>
      <c r="T481" s="2"/>
    </row>
    <row r="482" spans="1:20" ht="15.75" customHeight="1">
      <c r="A482" s="1"/>
      <c r="B482" s="2"/>
      <c r="C482" s="2"/>
      <c r="D482" s="2"/>
      <c r="E482" s="2"/>
      <c r="F482" s="2"/>
      <c r="G482" s="2"/>
      <c r="H482" s="2"/>
      <c r="I482" s="2"/>
      <c r="J482" s="2"/>
      <c r="K482" s="2"/>
      <c r="L482" s="2"/>
      <c r="M482" s="2"/>
      <c r="N482" s="2"/>
      <c r="O482" s="2"/>
      <c r="P482" s="2"/>
      <c r="Q482" s="2"/>
      <c r="R482" s="2"/>
      <c r="S482" s="2"/>
      <c r="T482" s="2"/>
    </row>
    <row r="483" spans="1:20" ht="15.75" customHeight="1">
      <c r="A483" s="1"/>
      <c r="B483" s="2"/>
      <c r="C483" s="2"/>
      <c r="D483" s="2"/>
      <c r="E483" s="2"/>
      <c r="F483" s="2"/>
      <c r="G483" s="2"/>
      <c r="H483" s="2"/>
      <c r="I483" s="2"/>
      <c r="J483" s="2"/>
      <c r="K483" s="2"/>
      <c r="L483" s="2"/>
      <c r="M483" s="2"/>
      <c r="N483" s="2"/>
      <c r="O483" s="2"/>
      <c r="P483" s="2"/>
      <c r="Q483" s="2"/>
      <c r="R483" s="2"/>
      <c r="S483" s="2"/>
      <c r="T483" s="2"/>
    </row>
    <row r="484" spans="1:20" ht="15.75" customHeight="1">
      <c r="A484" s="1"/>
      <c r="B484" s="2"/>
      <c r="C484" s="2"/>
      <c r="D484" s="2"/>
      <c r="E484" s="2"/>
      <c r="F484" s="2"/>
      <c r="G484" s="2"/>
      <c r="H484" s="2"/>
      <c r="I484" s="2"/>
      <c r="J484" s="2"/>
      <c r="K484" s="2"/>
      <c r="L484" s="2"/>
      <c r="M484" s="2"/>
      <c r="N484" s="2"/>
      <c r="O484" s="2"/>
      <c r="P484" s="2"/>
      <c r="Q484" s="2"/>
      <c r="R484" s="2"/>
      <c r="S484" s="2"/>
      <c r="T484" s="2"/>
    </row>
    <row r="485" spans="1:20" ht="15.75" customHeight="1">
      <c r="A485" s="1"/>
      <c r="B485" s="2"/>
      <c r="C485" s="2"/>
      <c r="D485" s="2"/>
      <c r="E485" s="2"/>
      <c r="F485" s="2"/>
      <c r="G485" s="2"/>
      <c r="H485" s="2"/>
      <c r="I485" s="2"/>
      <c r="J485" s="2"/>
      <c r="K485" s="2"/>
      <c r="L485" s="2"/>
      <c r="M485" s="2"/>
      <c r="N485" s="2"/>
      <c r="O485" s="2"/>
      <c r="P485" s="2"/>
      <c r="Q485" s="2"/>
      <c r="R485" s="2"/>
      <c r="S485" s="2"/>
      <c r="T485" s="2"/>
    </row>
    <row r="486" spans="1:20" ht="15.75" customHeight="1">
      <c r="A486" s="1"/>
      <c r="B486" s="2"/>
      <c r="C486" s="2"/>
      <c r="D486" s="2"/>
      <c r="E486" s="2"/>
      <c r="F486" s="2"/>
      <c r="G486" s="2"/>
      <c r="H486" s="2"/>
      <c r="I486" s="2"/>
      <c r="J486" s="2"/>
      <c r="K486" s="2"/>
      <c r="L486" s="2"/>
      <c r="M486" s="2"/>
      <c r="N486" s="2"/>
      <c r="O486" s="2"/>
      <c r="P486" s="2"/>
      <c r="Q486" s="2"/>
      <c r="R486" s="2"/>
      <c r="S486" s="2"/>
      <c r="T486" s="2"/>
    </row>
    <row r="487" spans="1:20" ht="15.75" customHeight="1">
      <c r="A487" s="1"/>
      <c r="B487" s="2"/>
      <c r="C487" s="2"/>
      <c r="D487" s="2"/>
      <c r="E487" s="2"/>
      <c r="F487" s="2"/>
      <c r="G487" s="2"/>
      <c r="H487" s="2"/>
      <c r="I487" s="2"/>
      <c r="J487" s="2"/>
      <c r="K487" s="2"/>
      <c r="L487" s="2"/>
      <c r="M487" s="2"/>
      <c r="N487" s="2"/>
      <c r="O487" s="2"/>
      <c r="P487" s="2"/>
      <c r="Q487" s="2"/>
      <c r="R487" s="2"/>
      <c r="S487" s="2"/>
      <c r="T487" s="2"/>
    </row>
    <row r="488" spans="1:20" ht="15.75" customHeight="1">
      <c r="A488" s="1"/>
      <c r="B488" s="2"/>
      <c r="C488" s="2"/>
      <c r="D488" s="2"/>
      <c r="E488" s="2"/>
      <c r="F488" s="2"/>
      <c r="G488" s="2"/>
      <c r="H488" s="2"/>
      <c r="I488" s="2"/>
      <c r="J488" s="2"/>
      <c r="K488" s="2"/>
      <c r="L488" s="2"/>
      <c r="M488" s="2"/>
      <c r="N488" s="2"/>
      <c r="O488" s="2"/>
      <c r="P488" s="2"/>
      <c r="Q488" s="2"/>
      <c r="R488" s="2"/>
      <c r="S488" s="2"/>
      <c r="T488" s="2"/>
    </row>
    <row r="489" spans="1:20" ht="15.75" customHeight="1">
      <c r="A489" s="1"/>
      <c r="B489" s="2"/>
      <c r="C489" s="2"/>
      <c r="D489" s="2"/>
      <c r="E489" s="2"/>
      <c r="F489" s="2"/>
      <c r="G489" s="2"/>
      <c r="H489" s="2"/>
      <c r="I489" s="2"/>
      <c r="J489" s="2"/>
      <c r="K489" s="2"/>
      <c r="L489" s="2"/>
      <c r="M489" s="2"/>
      <c r="N489" s="2"/>
      <c r="O489" s="2"/>
      <c r="P489" s="2"/>
      <c r="Q489" s="2"/>
      <c r="R489" s="2"/>
      <c r="S489" s="2"/>
      <c r="T489" s="2"/>
    </row>
    <row r="490" spans="1:20" ht="15.75" customHeight="1">
      <c r="A490" s="1"/>
      <c r="B490" s="2"/>
      <c r="C490" s="2"/>
      <c r="D490" s="2"/>
      <c r="E490" s="2"/>
      <c r="F490" s="2"/>
      <c r="G490" s="2"/>
      <c r="H490" s="2"/>
      <c r="I490" s="2"/>
      <c r="J490" s="2"/>
      <c r="K490" s="2"/>
      <c r="L490" s="2"/>
      <c r="M490" s="2"/>
      <c r="N490" s="2"/>
      <c r="O490" s="2"/>
      <c r="P490" s="2"/>
      <c r="Q490" s="2"/>
      <c r="R490" s="2"/>
      <c r="S490" s="2"/>
      <c r="T490" s="2"/>
    </row>
    <row r="491" spans="1:20" ht="15.75" customHeight="1">
      <c r="A491" s="1"/>
      <c r="B491" s="2"/>
      <c r="C491" s="2"/>
      <c r="D491" s="2"/>
      <c r="E491" s="2"/>
      <c r="F491" s="2"/>
      <c r="G491" s="2"/>
      <c r="H491" s="2"/>
      <c r="I491" s="2"/>
      <c r="J491" s="2"/>
      <c r="K491" s="2"/>
      <c r="L491" s="2"/>
      <c r="M491" s="2"/>
      <c r="N491" s="2"/>
      <c r="O491" s="2"/>
      <c r="P491" s="2"/>
      <c r="Q491" s="2"/>
      <c r="R491" s="2"/>
      <c r="S491" s="2"/>
      <c r="T491" s="2"/>
    </row>
    <row r="492" spans="1:20" ht="15.75" customHeight="1">
      <c r="A492" s="1"/>
      <c r="B492" s="2"/>
      <c r="C492" s="2"/>
      <c r="D492" s="2"/>
      <c r="E492" s="2"/>
      <c r="F492" s="2"/>
      <c r="G492" s="2"/>
      <c r="H492" s="2"/>
      <c r="I492" s="2"/>
      <c r="J492" s="2"/>
      <c r="K492" s="2"/>
      <c r="L492" s="2"/>
      <c r="M492" s="2"/>
      <c r="N492" s="2"/>
      <c r="O492" s="2"/>
      <c r="P492" s="2"/>
      <c r="Q492" s="2"/>
      <c r="R492" s="2"/>
      <c r="S492" s="2"/>
      <c r="T492" s="2"/>
    </row>
    <row r="493" spans="1:20" ht="15.75" customHeight="1">
      <c r="A493" s="1"/>
      <c r="B493" s="2"/>
      <c r="C493" s="2"/>
      <c r="D493" s="2"/>
      <c r="E493" s="2"/>
      <c r="F493" s="2"/>
      <c r="G493" s="2"/>
      <c r="H493" s="2"/>
      <c r="I493" s="2"/>
      <c r="J493" s="2"/>
      <c r="K493" s="2"/>
      <c r="L493" s="2"/>
      <c r="M493" s="2"/>
      <c r="N493" s="2"/>
      <c r="O493" s="2"/>
      <c r="P493" s="2"/>
      <c r="Q493" s="2"/>
      <c r="R493" s="2"/>
      <c r="S493" s="2"/>
      <c r="T493" s="2"/>
    </row>
    <row r="494" spans="1:20" ht="15.75" customHeight="1">
      <c r="A494" s="1"/>
      <c r="B494" s="2"/>
      <c r="C494" s="2"/>
      <c r="D494" s="2"/>
      <c r="E494" s="2"/>
      <c r="F494" s="2"/>
      <c r="G494" s="2"/>
      <c r="H494" s="2"/>
      <c r="I494" s="2"/>
      <c r="J494" s="2"/>
      <c r="K494" s="2"/>
      <c r="L494" s="2"/>
      <c r="M494" s="2"/>
      <c r="N494" s="2"/>
      <c r="O494" s="2"/>
      <c r="P494" s="2"/>
      <c r="Q494" s="2"/>
      <c r="R494" s="2"/>
      <c r="S494" s="2"/>
      <c r="T494" s="2"/>
    </row>
    <row r="495" spans="1:20" ht="15.75" customHeight="1">
      <c r="A495" s="1"/>
      <c r="B495" s="2"/>
      <c r="C495" s="2"/>
      <c r="D495" s="2"/>
      <c r="E495" s="2"/>
      <c r="F495" s="2"/>
      <c r="G495" s="2"/>
      <c r="H495" s="2"/>
      <c r="I495" s="2"/>
      <c r="J495" s="2"/>
      <c r="K495" s="2"/>
      <c r="L495" s="2"/>
      <c r="M495" s="2"/>
      <c r="N495" s="2"/>
      <c r="O495" s="2"/>
      <c r="P495" s="2"/>
      <c r="Q495" s="2"/>
      <c r="R495" s="2"/>
      <c r="S495" s="2"/>
      <c r="T495" s="2"/>
    </row>
    <row r="496" spans="1:20" ht="15.75" customHeight="1">
      <c r="A496" s="1"/>
      <c r="B496" s="2"/>
      <c r="C496" s="2"/>
      <c r="D496" s="2"/>
      <c r="E496" s="2"/>
      <c r="F496" s="2"/>
      <c r="G496" s="2"/>
      <c r="H496" s="2"/>
      <c r="I496" s="2"/>
      <c r="J496" s="2"/>
      <c r="K496" s="2"/>
      <c r="L496" s="2"/>
      <c r="M496" s="2"/>
      <c r="N496" s="2"/>
      <c r="O496" s="2"/>
      <c r="P496" s="2"/>
      <c r="Q496" s="2"/>
      <c r="R496" s="2"/>
      <c r="S496" s="2"/>
      <c r="T496" s="2"/>
    </row>
    <row r="497" spans="1:20" ht="15.75" customHeight="1">
      <c r="A497" s="1"/>
      <c r="B497" s="2"/>
      <c r="C497" s="2"/>
      <c r="D497" s="2"/>
      <c r="E497" s="2"/>
      <c r="F497" s="2"/>
      <c r="G497" s="2"/>
      <c r="H497" s="2"/>
      <c r="I497" s="2"/>
      <c r="J497" s="2"/>
      <c r="K497" s="2"/>
      <c r="L497" s="2"/>
      <c r="M497" s="2"/>
      <c r="N497" s="2"/>
      <c r="O497" s="2"/>
      <c r="P497" s="2"/>
      <c r="Q497" s="2"/>
      <c r="R497" s="2"/>
      <c r="S497" s="2"/>
      <c r="T497" s="2"/>
    </row>
    <row r="498" spans="1:20" ht="15.75" customHeight="1">
      <c r="A498" s="1"/>
      <c r="B498" s="2"/>
      <c r="C498" s="2"/>
      <c r="D498" s="2"/>
      <c r="E498" s="2"/>
      <c r="F498" s="2"/>
      <c r="G498" s="2"/>
      <c r="H498" s="2"/>
      <c r="I498" s="2"/>
      <c r="J498" s="2"/>
      <c r="K498" s="2"/>
      <c r="L498" s="2"/>
      <c r="M498" s="2"/>
      <c r="N498" s="2"/>
      <c r="O498" s="2"/>
      <c r="P498" s="2"/>
      <c r="Q498" s="2"/>
      <c r="R498" s="2"/>
      <c r="S498" s="2"/>
      <c r="T498" s="2"/>
    </row>
    <row r="499" spans="1:20" ht="15.75" customHeight="1">
      <c r="A499" s="1"/>
      <c r="B499" s="2"/>
      <c r="C499" s="2"/>
      <c r="D499" s="2"/>
      <c r="E499" s="2"/>
      <c r="F499" s="2"/>
      <c r="G499" s="2"/>
      <c r="H499" s="2"/>
      <c r="I499" s="2"/>
      <c r="J499" s="2"/>
      <c r="K499" s="2"/>
      <c r="L499" s="2"/>
      <c r="M499" s="2"/>
      <c r="N499" s="2"/>
      <c r="O499" s="2"/>
      <c r="P499" s="2"/>
      <c r="Q499" s="2"/>
      <c r="R499" s="2"/>
      <c r="S499" s="2"/>
      <c r="T499" s="2"/>
    </row>
    <row r="500" spans="1:20" ht="15.75" customHeight="1">
      <c r="A500" s="1"/>
      <c r="B500" s="2"/>
      <c r="C500" s="2"/>
      <c r="D500" s="2"/>
      <c r="E500" s="2"/>
      <c r="F500" s="2"/>
      <c r="G500" s="2"/>
      <c r="H500" s="2"/>
      <c r="I500" s="2"/>
      <c r="J500" s="2"/>
      <c r="K500" s="2"/>
      <c r="L500" s="2"/>
      <c r="M500" s="2"/>
      <c r="N500" s="2"/>
      <c r="O500" s="2"/>
      <c r="P500" s="2"/>
      <c r="Q500" s="2"/>
      <c r="R500" s="2"/>
      <c r="S500" s="2"/>
      <c r="T500" s="2"/>
    </row>
    <row r="501" spans="1:20" ht="15.75" customHeight="1">
      <c r="A501" s="1"/>
      <c r="B501" s="2"/>
      <c r="C501" s="2"/>
      <c r="D501" s="2"/>
      <c r="E501" s="2"/>
      <c r="F501" s="2"/>
      <c r="G501" s="2"/>
      <c r="H501" s="2"/>
      <c r="I501" s="2"/>
      <c r="J501" s="2"/>
      <c r="K501" s="2"/>
      <c r="L501" s="2"/>
      <c r="M501" s="2"/>
      <c r="N501" s="2"/>
      <c r="O501" s="2"/>
      <c r="P501" s="2"/>
      <c r="Q501" s="2"/>
      <c r="R501" s="2"/>
      <c r="S501" s="2"/>
      <c r="T501" s="2"/>
    </row>
    <row r="502" spans="1:20" ht="15.75" customHeight="1">
      <c r="A502" s="1"/>
      <c r="B502" s="2"/>
      <c r="C502" s="2"/>
      <c r="D502" s="2"/>
      <c r="E502" s="2"/>
      <c r="F502" s="2"/>
      <c r="G502" s="2"/>
      <c r="H502" s="2"/>
      <c r="I502" s="2"/>
      <c r="J502" s="2"/>
      <c r="K502" s="2"/>
      <c r="L502" s="2"/>
      <c r="M502" s="2"/>
      <c r="N502" s="2"/>
      <c r="O502" s="2"/>
      <c r="P502" s="2"/>
      <c r="Q502" s="2"/>
      <c r="R502" s="2"/>
      <c r="S502" s="2"/>
      <c r="T502" s="2"/>
    </row>
    <row r="503" spans="1:20" ht="15.75" customHeight="1">
      <c r="A503" s="1"/>
      <c r="B503" s="2"/>
      <c r="C503" s="2"/>
      <c r="D503" s="2"/>
      <c r="E503" s="2"/>
      <c r="F503" s="2"/>
      <c r="G503" s="2"/>
      <c r="H503" s="2"/>
      <c r="I503" s="2"/>
      <c r="J503" s="2"/>
      <c r="K503" s="2"/>
      <c r="L503" s="2"/>
      <c r="M503" s="2"/>
      <c r="N503" s="2"/>
      <c r="O503" s="2"/>
      <c r="P503" s="2"/>
      <c r="Q503" s="2"/>
      <c r="R503" s="2"/>
      <c r="S503" s="2"/>
      <c r="T503" s="2"/>
    </row>
    <row r="504" spans="1:20" ht="15.75" customHeight="1">
      <c r="A504" s="1"/>
      <c r="B504" s="2"/>
      <c r="C504" s="2"/>
      <c r="D504" s="2"/>
      <c r="E504" s="2"/>
      <c r="F504" s="2"/>
      <c r="G504" s="2"/>
      <c r="H504" s="2"/>
      <c r="I504" s="2"/>
      <c r="J504" s="2"/>
      <c r="K504" s="2"/>
      <c r="L504" s="2"/>
      <c r="M504" s="2"/>
      <c r="N504" s="2"/>
      <c r="O504" s="2"/>
      <c r="P504" s="2"/>
      <c r="Q504" s="2"/>
      <c r="R504" s="2"/>
      <c r="S504" s="2"/>
      <c r="T504" s="2"/>
    </row>
    <row r="505" spans="1:20" ht="15.75" customHeight="1">
      <c r="A505" s="1"/>
      <c r="B505" s="2"/>
      <c r="C505" s="2"/>
      <c r="D505" s="2"/>
      <c r="E505" s="2"/>
      <c r="F505" s="2"/>
      <c r="G505" s="2"/>
      <c r="H505" s="2"/>
      <c r="I505" s="2"/>
      <c r="J505" s="2"/>
      <c r="K505" s="2"/>
      <c r="L505" s="2"/>
      <c r="M505" s="2"/>
      <c r="N505" s="2"/>
      <c r="O505" s="2"/>
      <c r="P505" s="2"/>
      <c r="Q505" s="2"/>
      <c r="R505" s="2"/>
      <c r="S505" s="2"/>
      <c r="T505" s="2"/>
    </row>
    <row r="506" spans="1:20" ht="15.75" customHeight="1">
      <c r="A506" s="1"/>
      <c r="B506" s="2"/>
      <c r="C506" s="2"/>
      <c r="D506" s="2"/>
      <c r="E506" s="2"/>
      <c r="F506" s="2"/>
      <c r="G506" s="2"/>
      <c r="H506" s="2"/>
      <c r="I506" s="2"/>
      <c r="J506" s="2"/>
      <c r="K506" s="2"/>
      <c r="L506" s="2"/>
      <c r="M506" s="2"/>
      <c r="N506" s="2"/>
      <c r="O506" s="2"/>
      <c r="P506" s="2"/>
      <c r="Q506" s="2"/>
      <c r="R506" s="2"/>
      <c r="S506" s="2"/>
      <c r="T506" s="2"/>
    </row>
    <row r="507" spans="1:20" ht="15.75" customHeight="1">
      <c r="A507" s="1"/>
      <c r="B507" s="2"/>
      <c r="C507" s="2"/>
      <c r="D507" s="2"/>
      <c r="E507" s="2"/>
      <c r="F507" s="2"/>
      <c r="G507" s="2"/>
      <c r="H507" s="2"/>
      <c r="I507" s="2"/>
      <c r="J507" s="2"/>
      <c r="K507" s="2"/>
      <c r="L507" s="2"/>
      <c r="M507" s="2"/>
      <c r="N507" s="2"/>
      <c r="O507" s="2"/>
      <c r="P507" s="2"/>
      <c r="Q507" s="2"/>
      <c r="R507" s="2"/>
      <c r="S507" s="2"/>
      <c r="T507" s="2"/>
    </row>
    <row r="508" spans="1:20" ht="15.75" customHeight="1">
      <c r="A508" s="1"/>
      <c r="B508" s="2"/>
      <c r="C508" s="2"/>
      <c r="D508" s="2"/>
      <c r="E508" s="2"/>
      <c r="F508" s="2"/>
      <c r="G508" s="2"/>
      <c r="H508" s="2"/>
      <c r="I508" s="2"/>
      <c r="J508" s="2"/>
      <c r="K508" s="2"/>
      <c r="L508" s="2"/>
      <c r="M508" s="2"/>
      <c r="N508" s="2"/>
      <c r="O508" s="2"/>
      <c r="P508" s="2"/>
      <c r="Q508" s="2"/>
      <c r="R508" s="2"/>
      <c r="S508" s="2"/>
      <c r="T508" s="2"/>
    </row>
    <row r="509" spans="1:20" ht="15.75" customHeight="1">
      <c r="A509" s="1"/>
      <c r="B509" s="2"/>
      <c r="C509" s="2"/>
      <c r="D509" s="2"/>
      <c r="E509" s="2"/>
      <c r="F509" s="2"/>
      <c r="G509" s="2"/>
      <c r="H509" s="2"/>
      <c r="I509" s="2"/>
      <c r="J509" s="2"/>
      <c r="K509" s="2"/>
      <c r="L509" s="2"/>
      <c r="M509" s="2"/>
      <c r="N509" s="2"/>
      <c r="O509" s="2"/>
      <c r="P509" s="2"/>
      <c r="Q509" s="2"/>
      <c r="R509" s="2"/>
      <c r="S509" s="2"/>
      <c r="T509" s="2"/>
    </row>
    <row r="510" spans="1:20" ht="15.75" customHeight="1">
      <c r="A510" s="1"/>
      <c r="B510" s="2"/>
      <c r="C510" s="2"/>
      <c r="D510" s="2"/>
      <c r="E510" s="2"/>
      <c r="F510" s="2"/>
      <c r="G510" s="2"/>
      <c r="H510" s="2"/>
      <c r="I510" s="2"/>
      <c r="J510" s="2"/>
      <c r="K510" s="2"/>
      <c r="L510" s="2"/>
      <c r="M510" s="2"/>
      <c r="N510" s="2"/>
      <c r="O510" s="2"/>
      <c r="P510" s="2"/>
      <c r="Q510" s="2"/>
      <c r="R510" s="2"/>
      <c r="S510" s="2"/>
      <c r="T510" s="2"/>
    </row>
    <row r="511" spans="1:20" ht="15.75" customHeight="1">
      <c r="A511" s="1"/>
      <c r="B511" s="2"/>
      <c r="C511" s="2"/>
      <c r="D511" s="2"/>
      <c r="E511" s="2"/>
      <c r="F511" s="2"/>
      <c r="G511" s="2"/>
      <c r="H511" s="2"/>
      <c r="I511" s="2"/>
      <c r="J511" s="2"/>
      <c r="K511" s="2"/>
      <c r="L511" s="2"/>
      <c r="M511" s="2"/>
      <c r="N511" s="2"/>
      <c r="O511" s="2"/>
      <c r="P511" s="2"/>
      <c r="Q511" s="2"/>
      <c r="R511" s="2"/>
      <c r="S511" s="2"/>
      <c r="T511" s="2"/>
    </row>
    <row r="512" spans="1:20" ht="15.75" customHeight="1">
      <c r="A512" s="1"/>
      <c r="B512" s="2"/>
      <c r="C512" s="2"/>
      <c r="D512" s="2"/>
      <c r="E512" s="2"/>
      <c r="F512" s="2"/>
      <c r="G512" s="2"/>
      <c r="H512" s="2"/>
      <c r="I512" s="2"/>
      <c r="J512" s="2"/>
      <c r="K512" s="2"/>
      <c r="L512" s="2"/>
      <c r="M512" s="2"/>
      <c r="N512" s="2"/>
      <c r="O512" s="2"/>
      <c r="P512" s="2"/>
      <c r="Q512" s="2"/>
      <c r="R512" s="2"/>
      <c r="S512" s="2"/>
      <c r="T512" s="2"/>
    </row>
    <row r="513" spans="1:20" ht="15.75" customHeight="1">
      <c r="A513" s="1"/>
      <c r="B513" s="2"/>
      <c r="C513" s="2"/>
      <c r="D513" s="2"/>
      <c r="E513" s="2"/>
      <c r="F513" s="2"/>
      <c r="G513" s="2"/>
      <c r="H513" s="2"/>
      <c r="I513" s="2"/>
      <c r="J513" s="2"/>
      <c r="K513" s="2"/>
      <c r="L513" s="2"/>
      <c r="M513" s="2"/>
      <c r="N513" s="2"/>
      <c r="O513" s="2"/>
      <c r="P513" s="2"/>
      <c r="Q513" s="2"/>
      <c r="R513" s="2"/>
      <c r="S513" s="2"/>
      <c r="T513" s="2"/>
    </row>
    <row r="514" spans="1:20" ht="15.75" customHeight="1">
      <c r="A514" s="1"/>
      <c r="B514" s="2"/>
      <c r="C514" s="2"/>
      <c r="D514" s="2"/>
      <c r="E514" s="2"/>
      <c r="F514" s="2"/>
      <c r="G514" s="2"/>
      <c r="H514" s="2"/>
      <c r="I514" s="2"/>
      <c r="J514" s="2"/>
      <c r="K514" s="2"/>
      <c r="L514" s="2"/>
      <c r="M514" s="2"/>
      <c r="N514" s="2"/>
      <c r="O514" s="2"/>
      <c r="P514" s="2"/>
      <c r="Q514" s="2"/>
      <c r="R514" s="2"/>
      <c r="S514" s="2"/>
      <c r="T514" s="2"/>
    </row>
    <row r="515" spans="1:20" ht="15.75" customHeight="1">
      <c r="A515" s="1"/>
      <c r="B515" s="2"/>
      <c r="C515" s="2"/>
      <c r="D515" s="2"/>
      <c r="E515" s="2"/>
      <c r="F515" s="2"/>
      <c r="G515" s="2"/>
      <c r="H515" s="2"/>
      <c r="I515" s="2"/>
      <c r="J515" s="2"/>
      <c r="K515" s="2"/>
      <c r="L515" s="2"/>
      <c r="M515" s="2"/>
      <c r="N515" s="2"/>
      <c r="O515" s="2"/>
      <c r="P515" s="2"/>
      <c r="Q515" s="2"/>
      <c r="R515" s="2"/>
      <c r="S515" s="2"/>
      <c r="T515" s="2"/>
    </row>
    <row r="516" spans="1:20" ht="15.75" customHeight="1">
      <c r="A516" s="1"/>
      <c r="B516" s="2"/>
      <c r="C516" s="2"/>
      <c r="D516" s="2"/>
      <c r="E516" s="2"/>
      <c r="F516" s="2"/>
      <c r="G516" s="2"/>
      <c r="H516" s="2"/>
      <c r="I516" s="2"/>
      <c r="J516" s="2"/>
      <c r="K516" s="2"/>
      <c r="L516" s="2"/>
      <c r="M516" s="2"/>
      <c r="N516" s="2"/>
      <c r="O516" s="2"/>
      <c r="P516" s="2"/>
      <c r="Q516" s="2"/>
      <c r="R516" s="2"/>
      <c r="S516" s="2"/>
      <c r="T516" s="2"/>
    </row>
    <row r="517" spans="1:20" ht="15.75" customHeight="1">
      <c r="A517" s="1"/>
      <c r="B517" s="2"/>
      <c r="C517" s="2"/>
      <c r="D517" s="2"/>
      <c r="E517" s="2"/>
      <c r="F517" s="2"/>
      <c r="G517" s="2"/>
      <c r="H517" s="2"/>
      <c r="I517" s="2"/>
      <c r="J517" s="2"/>
      <c r="K517" s="2"/>
      <c r="L517" s="2"/>
      <c r="M517" s="2"/>
      <c r="N517" s="2"/>
      <c r="O517" s="2"/>
      <c r="P517" s="2"/>
      <c r="Q517" s="2"/>
      <c r="R517" s="2"/>
      <c r="S517" s="2"/>
      <c r="T517" s="2"/>
    </row>
    <row r="518" spans="1:20" ht="15.75" customHeight="1">
      <c r="A518" s="1"/>
      <c r="B518" s="2"/>
      <c r="C518" s="2"/>
      <c r="D518" s="2"/>
      <c r="E518" s="2"/>
      <c r="F518" s="2"/>
      <c r="G518" s="2"/>
      <c r="H518" s="2"/>
      <c r="I518" s="2"/>
      <c r="J518" s="2"/>
      <c r="K518" s="2"/>
      <c r="L518" s="2"/>
      <c r="M518" s="2"/>
      <c r="N518" s="2"/>
      <c r="O518" s="2"/>
      <c r="P518" s="2"/>
      <c r="Q518" s="2"/>
      <c r="R518" s="2"/>
      <c r="S518" s="2"/>
      <c r="T518" s="2"/>
    </row>
    <row r="519" spans="1:20" ht="15.75" customHeight="1">
      <c r="A519" s="1"/>
      <c r="B519" s="2"/>
      <c r="C519" s="2"/>
      <c r="D519" s="2"/>
      <c r="E519" s="2"/>
      <c r="F519" s="2"/>
      <c r="G519" s="2"/>
      <c r="H519" s="2"/>
      <c r="I519" s="2"/>
      <c r="J519" s="2"/>
      <c r="K519" s="2"/>
      <c r="L519" s="2"/>
      <c r="M519" s="2"/>
      <c r="N519" s="2"/>
      <c r="O519" s="2"/>
      <c r="P519" s="2"/>
      <c r="Q519" s="2"/>
      <c r="R519" s="2"/>
      <c r="S519" s="2"/>
      <c r="T519" s="2"/>
    </row>
    <row r="520" spans="1:20" ht="15.75" customHeight="1">
      <c r="A520" s="1"/>
      <c r="B520" s="2"/>
      <c r="C520" s="2"/>
      <c r="D520" s="2"/>
      <c r="E520" s="2"/>
      <c r="F520" s="2"/>
      <c r="G520" s="2"/>
      <c r="H520" s="2"/>
      <c r="I520" s="2"/>
      <c r="J520" s="2"/>
      <c r="K520" s="2"/>
      <c r="L520" s="2"/>
      <c r="M520" s="2"/>
      <c r="N520" s="2"/>
      <c r="O520" s="2"/>
      <c r="P520" s="2"/>
      <c r="Q520" s="2"/>
      <c r="R520" s="2"/>
      <c r="S520" s="2"/>
      <c r="T520" s="2"/>
    </row>
    <row r="521" spans="1:20" ht="15.75" customHeight="1">
      <c r="A521" s="1"/>
      <c r="B521" s="2"/>
      <c r="C521" s="2"/>
      <c r="D521" s="2"/>
      <c r="E521" s="2"/>
      <c r="F521" s="2"/>
      <c r="G521" s="2"/>
      <c r="H521" s="2"/>
      <c r="I521" s="2"/>
      <c r="J521" s="2"/>
      <c r="K521" s="2"/>
      <c r="L521" s="2"/>
      <c r="M521" s="2"/>
      <c r="N521" s="2"/>
      <c r="O521" s="2"/>
      <c r="P521" s="2"/>
      <c r="Q521" s="2"/>
      <c r="R521" s="2"/>
      <c r="S521" s="2"/>
      <c r="T521" s="2"/>
    </row>
    <row r="522" spans="1:20" ht="15.75" customHeight="1">
      <c r="A522" s="1"/>
      <c r="B522" s="2"/>
      <c r="C522" s="2"/>
      <c r="D522" s="2"/>
      <c r="E522" s="2"/>
      <c r="F522" s="2"/>
      <c r="G522" s="2"/>
      <c r="H522" s="2"/>
      <c r="I522" s="2"/>
      <c r="J522" s="2"/>
      <c r="K522" s="2"/>
      <c r="L522" s="2"/>
      <c r="M522" s="2"/>
      <c r="N522" s="2"/>
      <c r="O522" s="2"/>
      <c r="P522" s="2"/>
      <c r="Q522" s="2"/>
      <c r="R522" s="2"/>
      <c r="S522" s="2"/>
      <c r="T522" s="2"/>
    </row>
    <row r="523" spans="1:20" ht="15.75" customHeight="1">
      <c r="A523" s="1"/>
      <c r="B523" s="2"/>
      <c r="C523" s="2"/>
      <c r="D523" s="2"/>
      <c r="E523" s="2"/>
      <c r="F523" s="2"/>
      <c r="G523" s="2"/>
      <c r="H523" s="2"/>
      <c r="I523" s="2"/>
      <c r="J523" s="2"/>
      <c r="K523" s="2"/>
      <c r="L523" s="2"/>
      <c r="M523" s="2"/>
      <c r="N523" s="2"/>
      <c r="O523" s="2"/>
      <c r="P523" s="2"/>
      <c r="Q523" s="2"/>
      <c r="R523" s="2"/>
      <c r="S523" s="2"/>
      <c r="T523" s="2"/>
    </row>
    <row r="524" spans="1:20" ht="15.75" customHeight="1">
      <c r="A524" s="1"/>
      <c r="B524" s="2"/>
      <c r="C524" s="2"/>
      <c r="D524" s="2"/>
      <c r="E524" s="2"/>
      <c r="F524" s="2"/>
      <c r="G524" s="2"/>
      <c r="H524" s="2"/>
      <c r="I524" s="2"/>
      <c r="J524" s="2"/>
      <c r="K524" s="2"/>
      <c r="L524" s="2"/>
      <c r="M524" s="2"/>
      <c r="N524" s="2"/>
      <c r="O524" s="2"/>
      <c r="P524" s="2"/>
      <c r="Q524" s="2"/>
      <c r="R524" s="2"/>
      <c r="S524" s="2"/>
      <c r="T524" s="2"/>
    </row>
    <row r="525" spans="1:20" ht="15.75" customHeight="1">
      <c r="A525" s="1"/>
      <c r="B525" s="2"/>
      <c r="C525" s="2"/>
      <c r="D525" s="2"/>
      <c r="E525" s="2"/>
      <c r="F525" s="2"/>
      <c r="G525" s="2"/>
      <c r="H525" s="2"/>
      <c r="I525" s="2"/>
      <c r="J525" s="2"/>
      <c r="K525" s="2"/>
      <c r="L525" s="2"/>
      <c r="M525" s="2"/>
      <c r="N525" s="2"/>
      <c r="O525" s="2"/>
      <c r="P525" s="2"/>
      <c r="Q525" s="2"/>
      <c r="R525" s="2"/>
      <c r="S525" s="2"/>
      <c r="T525" s="2"/>
    </row>
    <row r="526" spans="1:20" ht="15.75" customHeight="1">
      <c r="A526" s="1"/>
      <c r="B526" s="2"/>
      <c r="C526" s="2"/>
      <c r="D526" s="2"/>
      <c r="E526" s="2"/>
      <c r="F526" s="2"/>
      <c r="G526" s="2"/>
      <c r="H526" s="2"/>
      <c r="I526" s="2"/>
      <c r="J526" s="2"/>
      <c r="K526" s="2"/>
      <c r="L526" s="2"/>
      <c r="M526" s="2"/>
      <c r="N526" s="2"/>
      <c r="O526" s="2"/>
      <c r="P526" s="2"/>
      <c r="Q526" s="2"/>
      <c r="R526" s="2"/>
      <c r="S526" s="2"/>
      <c r="T526" s="2"/>
    </row>
    <row r="527" spans="1:20" ht="15.75" customHeight="1">
      <c r="A527" s="1"/>
      <c r="B527" s="2"/>
      <c r="C527" s="2"/>
      <c r="D527" s="2"/>
      <c r="E527" s="2"/>
      <c r="F527" s="2"/>
      <c r="G527" s="2"/>
      <c r="H527" s="2"/>
      <c r="I527" s="2"/>
      <c r="J527" s="2"/>
      <c r="K527" s="2"/>
      <c r="L527" s="2"/>
      <c r="M527" s="2"/>
      <c r="N527" s="2"/>
      <c r="O527" s="2"/>
      <c r="P527" s="2"/>
      <c r="Q527" s="2"/>
      <c r="R527" s="2"/>
      <c r="S527" s="2"/>
      <c r="T527" s="2"/>
    </row>
    <row r="528" spans="1:20" ht="15.75" customHeight="1">
      <c r="A528" s="1"/>
      <c r="B528" s="2"/>
      <c r="C528" s="2"/>
      <c r="D528" s="2"/>
      <c r="E528" s="2"/>
      <c r="F528" s="2"/>
      <c r="G528" s="2"/>
      <c r="H528" s="2"/>
      <c r="I528" s="2"/>
      <c r="J528" s="2"/>
      <c r="K528" s="2"/>
      <c r="L528" s="2"/>
      <c r="M528" s="2"/>
      <c r="N528" s="2"/>
      <c r="O528" s="2"/>
      <c r="P528" s="2"/>
      <c r="Q528" s="2"/>
      <c r="R528" s="2"/>
      <c r="S528" s="2"/>
      <c r="T528" s="2"/>
    </row>
    <row r="529" spans="1:20" ht="15.75" customHeight="1">
      <c r="A529" s="1"/>
      <c r="B529" s="2"/>
      <c r="C529" s="2"/>
      <c r="D529" s="2"/>
      <c r="E529" s="2"/>
      <c r="F529" s="2"/>
      <c r="G529" s="2"/>
      <c r="H529" s="2"/>
      <c r="I529" s="2"/>
      <c r="J529" s="2"/>
      <c r="K529" s="2"/>
      <c r="L529" s="2"/>
      <c r="M529" s="2"/>
      <c r="N529" s="2"/>
      <c r="O529" s="2"/>
      <c r="P529" s="2"/>
      <c r="Q529" s="2"/>
      <c r="R529" s="2"/>
      <c r="S529" s="2"/>
      <c r="T529" s="2"/>
    </row>
    <row r="530" spans="1:20" ht="15.75" customHeight="1">
      <c r="A530" s="1"/>
      <c r="B530" s="2"/>
      <c r="C530" s="2"/>
      <c r="D530" s="2"/>
      <c r="E530" s="2"/>
      <c r="F530" s="2"/>
      <c r="G530" s="2"/>
      <c r="H530" s="2"/>
      <c r="I530" s="2"/>
      <c r="J530" s="2"/>
      <c r="K530" s="2"/>
      <c r="L530" s="2"/>
      <c r="M530" s="2"/>
      <c r="N530" s="2"/>
      <c r="O530" s="2"/>
      <c r="P530" s="2"/>
      <c r="Q530" s="2"/>
      <c r="R530" s="2"/>
      <c r="S530" s="2"/>
      <c r="T530" s="2"/>
    </row>
    <row r="531" spans="1:20" ht="15.75" customHeight="1">
      <c r="A531" s="1"/>
      <c r="B531" s="2"/>
      <c r="C531" s="2"/>
      <c r="D531" s="2"/>
      <c r="E531" s="2"/>
      <c r="F531" s="2"/>
      <c r="G531" s="2"/>
      <c r="H531" s="2"/>
      <c r="I531" s="2"/>
      <c r="J531" s="2"/>
      <c r="K531" s="2"/>
      <c r="L531" s="2"/>
      <c r="M531" s="2"/>
      <c r="N531" s="2"/>
      <c r="O531" s="2"/>
      <c r="P531" s="2"/>
      <c r="Q531" s="2"/>
      <c r="R531" s="2"/>
      <c r="S531" s="2"/>
      <c r="T531" s="2"/>
    </row>
    <row r="532" spans="1:20" ht="15.75" customHeight="1">
      <c r="A532" s="1"/>
      <c r="B532" s="2"/>
      <c r="C532" s="2"/>
      <c r="D532" s="2"/>
      <c r="E532" s="2"/>
      <c r="F532" s="2"/>
      <c r="G532" s="2"/>
      <c r="H532" s="2"/>
      <c r="I532" s="2"/>
      <c r="J532" s="2"/>
      <c r="K532" s="2"/>
      <c r="L532" s="2"/>
      <c r="M532" s="2"/>
      <c r="N532" s="2"/>
      <c r="O532" s="2"/>
      <c r="P532" s="2"/>
      <c r="Q532" s="2"/>
      <c r="R532" s="2"/>
      <c r="S532" s="2"/>
      <c r="T532" s="2"/>
    </row>
    <row r="533" spans="1:20" ht="15.75" customHeight="1">
      <c r="A533" s="1"/>
      <c r="B533" s="2"/>
      <c r="C533" s="2"/>
      <c r="D533" s="2"/>
      <c r="E533" s="2"/>
      <c r="F533" s="2"/>
      <c r="G533" s="2"/>
      <c r="H533" s="2"/>
      <c r="I533" s="2"/>
      <c r="J533" s="2"/>
      <c r="K533" s="2"/>
      <c r="L533" s="2"/>
      <c r="M533" s="2"/>
      <c r="N533" s="2"/>
      <c r="O533" s="2"/>
      <c r="P533" s="2"/>
      <c r="Q533" s="2"/>
      <c r="R533" s="2"/>
      <c r="S533" s="2"/>
      <c r="T533" s="2"/>
    </row>
    <row r="534" spans="1:20" ht="15.75" customHeight="1">
      <c r="A534" s="1"/>
      <c r="B534" s="2"/>
      <c r="C534" s="2"/>
      <c r="D534" s="2"/>
      <c r="E534" s="2"/>
      <c r="F534" s="2"/>
      <c r="G534" s="2"/>
      <c r="H534" s="2"/>
      <c r="I534" s="2"/>
      <c r="J534" s="2"/>
      <c r="K534" s="2"/>
      <c r="L534" s="2"/>
      <c r="M534" s="2"/>
      <c r="N534" s="2"/>
      <c r="O534" s="2"/>
      <c r="P534" s="2"/>
      <c r="Q534" s="2"/>
      <c r="R534" s="2"/>
      <c r="S534" s="2"/>
      <c r="T534" s="2"/>
    </row>
    <row r="535" spans="1:20" ht="15.75" customHeight="1">
      <c r="A535" s="1"/>
      <c r="B535" s="2"/>
      <c r="C535" s="2"/>
      <c r="D535" s="2"/>
      <c r="E535" s="2"/>
      <c r="F535" s="2"/>
      <c r="G535" s="2"/>
      <c r="H535" s="2"/>
      <c r="I535" s="2"/>
      <c r="J535" s="2"/>
      <c r="K535" s="2"/>
      <c r="L535" s="2"/>
      <c r="M535" s="2"/>
      <c r="N535" s="2"/>
      <c r="O535" s="2"/>
      <c r="P535" s="2"/>
      <c r="Q535" s="2"/>
      <c r="R535" s="2"/>
      <c r="S535" s="2"/>
      <c r="T535" s="2"/>
    </row>
    <row r="536" spans="1:20" ht="15.75" customHeight="1">
      <c r="A536" s="1"/>
      <c r="B536" s="2"/>
      <c r="C536" s="2"/>
      <c r="D536" s="2"/>
      <c r="E536" s="2"/>
      <c r="F536" s="2"/>
      <c r="G536" s="2"/>
      <c r="H536" s="2"/>
      <c r="I536" s="2"/>
      <c r="J536" s="2"/>
      <c r="K536" s="2"/>
      <c r="L536" s="2"/>
      <c r="M536" s="2"/>
      <c r="N536" s="2"/>
      <c r="O536" s="2"/>
      <c r="P536" s="2"/>
      <c r="Q536" s="2"/>
      <c r="R536" s="2"/>
      <c r="S536" s="2"/>
      <c r="T536" s="2"/>
    </row>
    <row r="537" spans="1:20" ht="15.75" customHeight="1">
      <c r="A537" s="1"/>
      <c r="B537" s="2"/>
      <c r="C537" s="2"/>
      <c r="D537" s="2"/>
      <c r="E537" s="2"/>
      <c r="F537" s="2"/>
      <c r="G537" s="2"/>
      <c r="H537" s="2"/>
      <c r="I537" s="2"/>
      <c r="J537" s="2"/>
      <c r="K537" s="2"/>
      <c r="L537" s="2"/>
      <c r="M537" s="2"/>
      <c r="N537" s="2"/>
      <c r="O537" s="2"/>
      <c r="P537" s="2"/>
      <c r="Q537" s="2"/>
      <c r="R537" s="2"/>
      <c r="S537" s="2"/>
      <c r="T537" s="2"/>
    </row>
    <row r="538" spans="1:20" ht="15.75" customHeight="1">
      <c r="A538" s="1"/>
      <c r="B538" s="2"/>
      <c r="C538" s="2"/>
      <c r="D538" s="2"/>
      <c r="E538" s="2"/>
      <c r="F538" s="2"/>
      <c r="G538" s="2"/>
      <c r="H538" s="2"/>
      <c r="I538" s="2"/>
      <c r="J538" s="2"/>
      <c r="K538" s="2"/>
      <c r="L538" s="2"/>
      <c r="M538" s="2"/>
      <c r="N538" s="2"/>
      <c r="O538" s="2"/>
      <c r="P538" s="2"/>
      <c r="Q538" s="2"/>
      <c r="R538" s="2"/>
      <c r="S538" s="2"/>
      <c r="T538" s="2"/>
    </row>
    <row r="539" spans="1:20" ht="15.75" customHeight="1">
      <c r="A539" s="1"/>
      <c r="B539" s="2"/>
      <c r="C539" s="2"/>
      <c r="D539" s="2"/>
      <c r="E539" s="2"/>
      <c r="F539" s="2"/>
      <c r="G539" s="2"/>
      <c r="H539" s="2"/>
      <c r="I539" s="2"/>
      <c r="J539" s="2"/>
      <c r="K539" s="2"/>
      <c r="L539" s="2"/>
      <c r="M539" s="2"/>
      <c r="N539" s="2"/>
      <c r="O539" s="2"/>
      <c r="P539" s="2"/>
      <c r="Q539" s="2"/>
      <c r="R539" s="2"/>
      <c r="S539" s="2"/>
      <c r="T539" s="2"/>
    </row>
    <row r="540" spans="1:20" ht="15.75" customHeight="1">
      <c r="A540" s="1"/>
      <c r="B540" s="2"/>
      <c r="C540" s="2"/>
      <c r="D540" s="2"/>
      <c r="E540" s="2"/>
      <c r="F540" s="2"/>
      <c r="G540" s="2"/>
      <c r="H540" s="2"/>
      <c r="I540" s="2"/>
      <c r="J540" s="2"/>
      <c r="K540" s="2"/>
      <c r="L540" s="2"/>
      <c r="M540" s="2"/>
      <c r="N540" s="2"/>
      <c r="O540" s="2"/>
      <c r="P540" s="2"/>
      <c r="Q540" s="2"/>
      <c r="R540" s="2"/>
      <c r="S540" s="2"/>
      <c r="T540" s="2"/>
    </row>
    <row r="541" spans="1:20" ht="15.75" customHeight="1">
      <c r="A541" s="1"/>
      <c r="B541" s="2"/>
      <c r="C541" s="2"/>
      <c r="D541" s="2"/>
      <c r="E541" s="2"/>
      <c r="F541" s="2"/>
      <c r="G541" s="2"/>
      <c r="H541" s="2"/>
      <c r="I541" s="2"/>
      <c r="J541" s="2"/>
      <c r="K541" s="2"/>
      <c r="L541" s="2"/>
      <c r="M541" s="2"/>
      <c r="N541" s="2"/>
      <c r="O541" s="2"/>
      <c r="P541" s="2"/>
      <c r="Q541" s="2"/>
      <c r="R541" s="2"/>
      <c r="S541" s="2"/>
      <c r="T541" s="2"/>
    </row>
    <row r="542" spans="1:20" ht="15.75" customHeight="1">
      <c r="A542" s="1"/>
      <c r="B542" s="2"/>
      <c r="C542" s="2"/>
      <c r="D542" s="2"/>
      <c r="E542" s="2"/>
      <c r="F542" s="2"/>
      <c r="G542" s="2"/>
      <c r="H542" s="2"/>
      <c r="I542" s="2"/>
      <c r="J542" s="2"/>
      <c r="K542" s="2"/>
      <c r="L542" s="2"/>
      <c r="M542" s="2"/>
      <c r="N542" s="2"/>
      <c r="O542" s="2"/>
      <c r="P542" s="2"/>
      <c r="Q542" s="2"/>
      <c r="R542" s="2"/>
      <c r="S542" s="2"/>
      <c r="T542" s="2"/>
    </row>
    <row r="543" spans="1:20" ht="15.75" customHeight="1">
      <c r="A543" s="1"/>
      <c r="B543" s="2"/>
      <c r="C543" s="2"/>
      <c r="D543" s="2"/>
      <c r="E543" s="2"/>
      <c r="F543" s="2"/>
      <c r="G543" s="2"/>
      <c r="H543" s="2"/>
      <c r="I543" s="2"/>
      <c r="J543" s="2"/>
      <c r="K543" s="2"/>
      <c r="L543" s="2"/>
      <c r="M543" s="2"/>
      <c r="N543" s="2"/>
      <c r="O543" s="2"/>
      <c r="P543" s="2"/>
      <c r="Q543" s="2"/>
      <c r="R543" s="2"/>
      <c r="S543" s="2"/>
      <c r="T543" s="2"/>
    </row>
    <row r="544" spans="1:20" ht="15.75" customHeight="1">
      <c r="A544" s="1"/>
      <c r="B544" s="2"/>
      <c r="C544" s="2"/>
      <c r="D544" s="2"/>
      <c r="E544" s="2"/>
      <c r="F544" s="2"/>
      <c r="G544" s="2"/>
      <c r="H544" s="2"/>
      <c r="I544" s="2"/>
      <c r="J544" s="2"/>
      <c r="K544" s="2"/>
      <c r="L544" s="2"/>
      <c r="M544" s="2"/>
      <c r="N544" s="2"/>
      <c r="O544" s="2"/>
      <c r="P544" s="2"/>
      <c r="Q544" s="2"/>
      <c r="R544" s="2"/>
      <c r="S544" s="2"/>
      <c r="T544" s="2"/>
    </row>
    <row r="545" spans="1:20" ht="15.75" customHeight="1">
      <c r="A545" s="1"/>
      <c r="B545" s="2"/>
      <c r="C545" s="2"/>
      <c r="D545" s="2"/>
      <c r="E545" s="2"/>
      <c r="F545" s="2"/>
      <c r="G545" s="2"/>
      <c r="H545" s="2"/>
      <c r="I545" s="2"/>
      <c r="J545" s="2"/>
      <c r="K545" s="2"/>
      <c r="L545" s="2"/>
      <c r="M545" s="2"/>
      <c r="N545" s="2"/>
      <c r="O545" s="2"/>
      <c r="P545" s="2"/>
      <c r="Q545" s="2"/>
      <c r="R545" s="2"/>
      <c r="S545" s="2"/>
      <c r="T545" s="2"/>
    </row>
    <row r="546" spans="1:20" ht="15.75" customHeight="1">
      <c r="A546" s="1"/>
      <c r="B546" s="2"/>
      <c r="C546" s="2"/>
      <c r="D546" s="2"/>
      <c r="E546" s="2"/>
      <c r="F546" s="2"/>
      <c r="G546" s="2"/>
      <c r="H546" s="2"/>
      <c r="I546" s="2"/>
      <c r="J546" s="2"/>
      <c r="K546" s="2"/>
      <c r="L546" s="2"/>
      <c r="M546" s="2"/>
      <c r="N546" s="2"/>
      <c r="O546" s="2"/>
      <c r="P546" s="2"/>
      <c r="Q546" s="2"/>
      <c r="R546" s="2"/>
      <c r="S546" s="2"/>
      <c r="T546" s="2"/>
    </row>
    <row r="547" spans="1:20" ht="15.75" customHeight="1">
      <c r="A547" s="1"/>
      <c r="B547" s="2"/>
      <c r="C547" s="2"/>
      <c r="D547" s="2"/>
      <c r="E547" s="2"/>
      <c r="F547" s="2"/>
      <c r="G547" s="2"/>
      <c r="H547" s="2"/>
      <c r="I547" s="2"/>
      <c r="J547" s="2"/>
      <c r="K547" s="2"/>
      <c r="L547" s="2"/>
      <c r="M547" s="2"/>
      <c r="N547" s="2"/>
      <c r="O547" s="2"/>
      <c r="P547" s="2"/>
      <c r="Q547" s="2"/>
      <c r="R547" s="2"/>
      <c r="S547" s="2"/>
      <c r="T547" s="2"/>
    </row>
    <row r="548" spans="1:20" ht="15.75" customHeight="1">
      <c r="A548" s="1"/>
      <c r="B548" s="2"/>
      <c r="C548" s="2"/>
      <c r="D548" s="2"/>
      <c r="E548" s="2"/>
      <c r="F548" s="2"/>
      <c r="G548" s="2"/>
      <c r="H548" s="2"/>
      <c r="I548" s="2"/>
      <c r="J548" s="2"/>
      <c r="K548" s="2"/>
      <c r="L548" s="2"/>
      <c r="M548" s="2"/>
      <c r="N548" s="2"/>
      <c r="O548" s="2"/>
      <c r="P548" s="2"/>
      <c r="Q548" s="2"/>
      <c r="R548" s="2"/>
      <c r="S548" s="2"/>
      <c r="T548" s="2"/>
    </row>
    <row r="549" spans="1:20" ht="15.75" customHeight="1">
      <c r="A549" s="1"/>
      <c r="B549" s="2"/>
      <c r="C549" s="2"/>
      <c r="D549" s="2"/>
      <c r="E549" s="2"/>
      <c r="F549" s="2"/>
      <c r="G549" s="2"/>
      <c r="H549" s="2"/>
      <c r="I549" s="2"/>
      <c r="J549" s="2"/>
      <c r="K549" s="2"/>
      <c r="L549" s="2"/>
      <c r="M549" s="2"/>
      <c r="N549" s="2"/>
      <c r="O549" s="2"/>
      <c r="P549" s="2"/>
      <c r="Q549" s="2"/>
      <c r="R549" s="2"/>
      <c r="S549" s="2"/>
      <c r="T549" s="2"/>
    </row>
    <row r="550" spans="1:20" ht="15.75" customHeight="1">
      <c r="A550" s="1"/>
      <c r="B550" s="2"/>
      <c r="C550" s="2"/>
      <c r="D550" s="2"/>
      <c r="E550" s="2"/>
      <c r="F550" s="2"/>
      <c r="G550" s="2"/>
      <c r="H550" s="2"/>
      <c r="I550" s="2"/>
      <c r="J550" s="2"/>
      <c r="K550" s="2"/>
      <c r="L550" s="2"/>
      <c r="M550" s="2"/>
      <c r="N550" s="2"/>
      <c r="O550" s="2"/>
      <c r="P550" s="2"/>
      <c r="Q550" s="2"/>
      <c r="R550" s="2"/>
      <c r="S550" s="2"/>
      <c r="T550" s="2"/>
    </row>
    <row r="551" spans="1:20" ht="15.75" customHeight="1">
      <c r="A551" s="1"/>
      <c r="B551" s="2"/>
      <c r="C551" s="2"/>
      <c r="D551" s="2"/>
      <c r="E551" s="2"/>
      <c r="F551" s="2"/>
      <c r="G551" s="2"/>
      <c r="H551" s="2"/>
      <c r="I551" s="2"/>
      <c r="J551" s="2"/>
      <c r="K551" s="2"/>
      <c r="L551" s="2"/>
      <c r="M551" s="2"/>
      <c r="N551" s="2"/>
      <c r="O551" s="2"/>
      <c r="P551" s="2"/>
      <c r="Q551" s="2"/>
      <c r="R551" s="2"/>
      <c r="S551" s="2"/>
      <c r="T551" s="2"/>
    </row>
    <row r="552" spans="1:20" ht="15.75" customHeight="1">
      <c r="A552" s="1"/>
      <c r="B552" s="2"/>
      <c r="C552" s="2"/>
      <c r="D552" s="2"/>
      <c r="E552" s="2"/>
      <c r="F552" s="2"/>
      <c r="G552" s="2"/>
      <c r="H552" s="2"/>
      <c r="I552" s="2"/>
      <c r="J552" s="2"/>
      <c r="K552" s="2"/>
      <c r="L552" s="2"/>
      <c r="M552" s="2"/>
      <c r="N552" s="2"/>
      <c r="O552" s="2"/>
      <c r="P552" s="2"/>
      <c r="Q552" s="2"/>
      <c r="R552" s="2"/>
      <c r="S552" s="2"/>
      <c r="T552" s="2"/>
    </row>
    <row r="553" spans="1:20" ht="15.75" customHeight="1">
      <c r="A553" s="1"/>
      <c r="B553" s="2"/>
      <c r="C553" s="2"/>
      <c r="D553" s="2"/>
      <c r="E553" s="2"/>
      <c r="F553" s="2"/>
      <c r="G553" s="2"/>
      <c r="H553" s="2"/>
      <c r="I553" s="2"/>
      <c r="J553" s="2"/>
      <c r="K553" s="2"/>
      <c r="L553" s="2"/>
      <c r="M553" s="2"/>
      <c r="N553" s="2"/>
      <c r="O553" s="2"/>
      <c r="P553" s="2"/>
      <c r="Q553" s="2"/>
      <c r="R553" s="2"/>
      <c r="S553" s="2"/>
      <c r="T553" s="2"/>
    </row>
    <row r="554" spans="1:20" ht="15.75" customHeight="1">
      <c r="A554" s="1"/>
      <c r="B554" s="2"/>
      <c r="C554" s="2"/>
      <c r="D554" s="2"/>
      <c r="E554" s="2"/>
      <c r="F554" s="2"/>
      <c r="G554" s="2"/>
      <c r="H554" s="2"/>
      <c r="I554" s="2"/>
      <c r="J554" s="2"/>
      <c r="K554" s="2"/>
      <c r="L554" s="2"/>
      <c r="M554" s="2"/>
      <c r="N554" s="2"/>
      <c r="O554" s="2"/>
      <c r="P554" s="2"/>
      <c r="Q554" s="2"/>
      <c r="R554" s="2"/>
      <c r="S554" s="2"/>
      <c r="T554" s="2"/>
    </row>
    <row r="555" spans="1:20" ht="15.75" customHeight="1">
      <c r="A555" s="1"/>
      <c r="B555" s="2"/>
      <c r="C555" s="2"/>
      <c r="D555" s="2"/>
      <c r="E555" s="2"/>
      <c r="F555" s="2"/>
      <c r="G555" s="2"/>
      <c r="H555" s="2"/>
      <c r="I555" s="2"/>
      <c r="J555" s="2"/>
      <c r="K555" s="2"/>
      <c r="L555" s="2"/>
      <c r="M555" s="2"/>
      <c r="N555" s="2"/>
      <c r="O555" s="2"/>
      <c r="P555" s="2"/>
      <c r="Q555" s="2"/>
      <c r="R555" s="2"/>
      <c r="S555" s="2"/>
      <c r="T555" s="2"/>
    </row>
    <row r="556" spans="1:20" ht="15.75" customHeight="1">
      <c r="A556" s="1"/>
      <c r="B556" s="2"/>
      <c r="C556" s="2"/>
      <c r="D556" s="2"/>
      <c r="E556" s="2"/>
      <c r="F556" s="2"/>
      <c r="G556" s="2"/>
      <c r="H556" s="2"/>
      <c r="I556" s="2"/>
      <c r="J556" s="2"/>
      <c r="K556" s="2"/>
      <c r="L556" s="2"/>
      <c r="M556" s="2"/>
      <c r="N556" s="2"/>
      <c r="O556" s="2"/>
      <c r="P556" s="2"/>
      <c r="Q556" s="2"/>
      <c r="R556" s="2"/>
      <c r="S556" s="2"/>
      <c r="T556" s="2"/>
    </row>
    <row r="557" spans="1:20" ht="15.75" customHeight="1">
      <c r="A557" s="1"/>
      <c r="B557" s="2"/>
      <c r="C557" s="2"/>
      <c r="D557" s="2"/>
      <c r="E557" s="2"/>
      <c r="F557" s="2"/>
      <c r="G557" s="2"/>
      <c r="H557" s="2"/>
      <c r="I557" s="2"/>
      <c r="J557" s="2"/>
      <c r="K557" s="2"/>
      <c r="L557" s="2"/>
      <c r="M557" s="2"/>
      <c r="N557" s="2"/>
      <c r="O557" s="2"/>
      <c r="P557" s="2"/>
      <c r="Q557" s="2"/>
      <c r="R557" s="2"/>
      <c r="S557" s="2"/>
      <c r="T557" s="2"/>
    </row>
    <row r="558" spans="1:20" ht="15.75" customHeight="1">
      <c r="A558" s="1"/>
      <c r="B558" s="2"/>
      <c r="C558" s="2"/>
      <c r="D558" s="2"/>
      <c r="E558" s="2"/>
      <c r="F558" s="2"/>
      <c r="G558" s="2"/>
      <c r="H558" s="2"/>
      <c r="I558" s="2"/>
      <c r="J558" s="2"/>
      <c r="K558" s="2"/>
      <c r="L558" s="2"/>
      <c r="M558" s="2"/>
      <c r="N558" s="2"/>
      <c r="O558" s="2"/>
      <c r="P558" s="2"/>
      <c r="Q558" s="2"/>
      <c r="R558" s="2"/>
      <c r="S558" s="2"/>
      <c r="T558" s="2"/>
    </row>
    <row r="559" spans="1:20" ht="15.75" customHeight="1">
      <c r="A559" s="1"/>
      <c r="B559" s="2"/>
      <c r="C559" s="2"/>
      <c r="D559" s="2"/>
      <c r="E559" s="2"/>
      <c r="F559" s="2"/>
      <c r="G559" s="2"/>
      <c r="H559" s="2"/>
      <c r="I559" s="2"/>
      <c r="J559" s="2"/>
      <c r="K559" s="2"/>
      <c r="L559" s="2"/>
      <c r="M559" s="2"/>
      <c r="N559" s="2"/>
      <c r="O559" s="2"/>
      <c r="P559" s="2"/>
      <c r="Q559" s="2"/>
      <c r="R559" s="2"/>
      <c r="S559" s="2"/>
      <c r="T559" s="2"/>
    </row>
    <row r="560" spans="1:20" ht="15.75" customHeight="1">
      <c r="A560" s="1"/>
      <c r="B560" s="2"/>
      <c r="C560" s="2"/>
      <c r="D560" s="2"/>
      <c r="E560" s="2"/>
      <c r="F560" s="2"/>
      <c r="G560" s="2"/>
      <c r="H560" s="2"/>
      <c r="I560" s="2"/>
      <c r="J560" s="2"/>
      <c r="K560" s="2"/>
      <c r="L560" s="2"/>
      <c r="M560" s="2"/>
      <c r="N560" s="2"/>
      <c r="O560" s="2"/>
      <c r="P560" s="2"/>
      <c r="Q560" s="2"/>
      <c r="R560" s="2"/>
      <c r="S560" s="2"/>
      <c r="T560" s="2"/>
    </row>
    <row r="561" spans="1:20" ht="15.75" customHeight="1">
      <c r="A561" s="1"/>
      <c r="B561" s="2"/>
      <c r="C561" s="2"/>
      <c r="D561" s="2"/>
      <c r="E561" s="2"/>
      <c r="F561" s="2"/>
      <c r="G561" s="2"/>
      <c r="H561" s="2"/>
      <c r="I561" s="2"/>
      <c r="J561" s="2"/>
      <c r="K561" s="2"/>
      <c r="L561" s="2"/>
      <c r="M561" s="2"/>
      <c r="N561" s="2"/>
      <c r="O561" s="2"/>
      <c r="P561" s="2"/>
      <c r="Q561" s="2"/>
      <c r="R561" s="2"/>
      <c r="S561" s="2"/>
      <c r="T561" s="2"/>
    </row>
    <row r="562" spans="1:20" ht="15.75" customHeight="1">
      <c r="A562" s="1"/>
      <c r="B562" s="2"/>
      <c r="C562" s="2"/>
      <c r="D562" s="2"/>
      <c r="E562" s="2"/>
      <c r="F562" s="2"/>
      <c r="G562" s="2"/>
      <c r="H562" s="2"/>
      <c r="I562" s="2"/>
      <c r="J562" s="2"/>
      <c r="K562" s="2"/>
      <c r="L562" s="2"/>
      <c r="M562" s="2"/>
      <c r="N562" s="2"/>
      <c r="O562" s="2"/>
      <c r="P562" s="2"/>
      <c r="Q562" s="2"/>
      <c r="R562" s="2"/>
      <c r="S562" s="2"/>
      <c r="T562" s="2"/>
    </row>
    <row r="563" spans="1:20" ht="15.75" customHeight="1">
      <c r="A563" s="1"/>
      <c r="B563" s="2"/>
      <c r="C563" s="2"/>
      <c r="D563" s="2"/>
      <c r="E563" s="2"/>
      <c r="F563" s="2"/>
      <c r="G563" s="2"/>
      <c r="H563" s="2"/>
      <c r="I563" s="2"/>
      <c r="J563" s="2"/>
      <c r="K563" s="2"/>
      <c r="L563" s="2"/>
      <c r="M563" s="2"/>
      <c r="N563" s="2"/>
      <c r="O563" s="2"/>
      <c r="P563" s="2"/>
      <c r="Q563" s="2"/>
      <c r="R563" s="2"/>
      <c r="S563" s="2"/>
      <c r="T563" s="2"/>
    </row>
    <row r="564" spans="1:20" ht="15.75" customHeight="1">
      <c r="A564" s="1"/>
      <c r="B564" s="2"/>
      <c r="C564" s="2"/>
      <c r="D564" s="2"/>
      <c r="E564" s="2"/>
      <c r="F564" s="2"/>
      <c r="G564" s="2"/>
      <c r="H564" s="2"/>
      <c r="I564" s="2"/>
      <c r="J564" s="2"/>
      <c r="K564" s="2"/>
      <c r="L564" s="2"/>
      <c r="M564" s="2"/>
      <c r="N564" s="2"/>
      <c r="O564" s="2"/>
      <c r="P564" s="2"/>
      <c r="Q564" s="2"/>
      <c r="R564" s="2"/>
      <c r="S564" s="2"/>
      <c r="T564" s="2"/>
    </row>
    <row r="565" spans="1:20" ht="15.75" customHeight="1">
      <c r="A565" s="1"/>
      <c r="B565" s="2"/>
      <c r="C565" s="2"/>
      <c r="D565" s="2"/>
      <c r="E565" s="2"/>
      <c r="F565" s="2"/>
      <c r="G565" s="2"/>
      <c r="H565" s="2"/>
      <c r="I565" s="2"/>
      <c r="J565" s="2"/>
      <c r="K565" s="2"/>
      <c r="L565" s="2"/>
      <c r="M565" s="2"/>
      <c r="N565" s="2"/>
      <c r="O565" s="2"/>
      <c r="P565" s="2"/>
      <c r="Q565" s="2"/>
      <c r="R565" s="2"/>
      <c r="S565" s="2"/>
      <c r="T565" s="2"/>
    </row>
    <row r="566" spans="1:20" ht="15.75" customHeight="1">
      <c r="A566" s="1"/>
      <c r="B566" s="2"/>
      <c r="C566" s="2"/>
      <c r="D566" s="2"/>
      <c r="E566" s="2"/>
      <c r="F566" s="2"/>
      <c r="G566" s="2"/>
      <c r="H566" s="2"/>
      <c r="I566" s="2"/>
      <c r="J566" s="2"/>
      <c r="K566" s="2"/>
      <c r="L566" s="2"/>
      <c r="M566" s="2"/>
      <c r="N566" s="2"/>
      <c r="O566" s="2"/>
      <c r="P566" s="2"/>
      <c r="Q566" s="2"/>
      <c r="R566" s="2"/>
      <c r="S566" s="2"/>
      <c r="T566" s="2"/>
    </row>
    <row r="567" spans="1:20" ht="15.75" customHeight="1">
      <c r="A567" s="1"/>
      <c r="B567" s="2"/>
      <c r="C567" s="2"/>
      <c r="D567" s="2"/>
      <c r="E567" s="2"/>
      <c r="F567" s="2"/>
      <c r="G567" s="2"/>
      <c r="H567" s="2"/>
      <c r="I567" s="2"/>
      <c r="J567" s="2"/>
      <c r="K567" s="2"/>
      <c r="L567" s="2"/>
      <c r="M567" s="2"/>
      <c r="N567" s="2"/>
      <c r="O567" s="2"/>
      <c r="P567" s="2"/>
      <c r="Q567" s="2"/>
      <c r="R567" s="2"/>
      <c r="S567" s="2"/>
      <c r="T567" s="2"/>
    </row>
    <row r="568" spans="1:20" ht="15.75" customHeight="1">
      <c r="A568" s="1"/>
      <c r="B568" s="2"/>
      <c r="C568" s="2"/>
      <c r="D568" s="2"/>
      <c r="E568" s="2"/>
      <c r="F568" s="2"/>
      <c r="G568" s="2"/>
      <c r="H568" s="2"/>
      <c r="I568" s="2"/>
      <c r="J568" s="2"/>
      <c r="K568" s="2"/>
      <c r="L568" s="2"/>
      <c r="M568" s="2"/>
      <c r="N568" s="2"/>
      <c r="O568" s="2"/>
      <c r="P568" s="2"/>
      <c r="Q568" s="2"/>
      <c r="R568" s="2"/>
      <c r="S568" s="2"/>
      <c r="T568" s="2"/>
    </row>
    <row r="569" spans="1:20" ht="15.75" customHeight="1">
      <c r="A569" s="1"/>
      <c r="B569" s="2"/>
      <c r="C569" s="2"/>
      <c r="D569" s="2"/>
      <c r="E569" s="2"/>
      <c r="F569" s="2"/>
      <c r="G569" s="2"/>
      <c r="H569" s="2"/>
      <c r="I569" s="2"/>
      <c r="J569" s="2"/>
      <c r="K569" s="2"/>
      <c r="L569" s="2"/>
      <c r="M569" s="2"/>
      <c r="N569" s="2"/>
      <c r="O569" s="2"/>
      <c r="P569" s="2"/>
      <c r="Q569" s="2"/>
      <c r="R569" s="2"/>
      <c r="S569" s="2"/>
      <c r="T569" s="2"/>
    </row>
    <row r="570" spans="1:20" ht="15.75" customHeight="1">
      <c r="A570" s="1"/>
      <c r="B570" s="2"/>
      <c r="C570" s="2"/>
      <c r="D570" s="2"/>
      <c r="E570" s="2"/>
      <c r="F570" s="2"/>
      <c r="G570" s="2"/>
      <c r="H570" s="2"/>
      <c r="I570" s="2"/>
      <c r="J570" s="2"/>
      <c r="K570" s="2"/>
      <c r="L570" s="2"/>
      <c r="M570" s="2"/>
      <c r="N570" s="2"/>
      <c r="O570" s="2"/>
      <c r="P570" s="2"/>
      <c r="Q570" s="2"/>
      <c r="R570" s="2"/>
      <c r="S570" s="2"/>
      <c r="T570" s="2"/>
    </row>
    <row r="571" spans="1:20" ht="15.75" customHeight="1">
      <c r="A571" s="1"/>
      <c r="B571" s="2"/>
      <c r="C571" s="2"/>
      <c r="D571" s="2"/>
      <c r="E571" s="2"/>
      <c r="F571" s="2"/>
      <c r="G571" s="2"/>
      <c r="H571" s="2"/>
      <c r="I571" s="2"/>
      <c r="J571" s="2"/>
      <c r="K571" s="2"/>
      <c r="L571" s="2"/>
      <c r="M571" s="2"/>
      <c r="N571" s="2"/>
      <c r="O571" s="2"/>
      <c r="P571" s="2"/>
      <c r="Q571" s="2"/>
      <c r="R571" s="2"/>
      <c r="S571" s="2"/>
      <c r="T571" s="2"/>
    </row>
    <row r="572" spans="1:20" ht="15.75" customHeight="1">
      <c r="A572" s="1"/>
      <c r="B572" s="2"/>
      <c r="C572" s="2"/>
      <c r="D572" s="2"/>
      <c r="E572" s="2"/>
      <c r="F572" s="2"/>
      <c r="G572" s="2"/>
      <c r="H572" s="2"/>
      <c r="I572" s="2"/>
      <c r="J572" s="2"/>
      <c r="K572" s="2"/>
      <c r="L572" s="2"/>
      <c r="M572" s="2"/>
      <c r="N572" s="2"/>
      <c r="O572" s="2"/>
      <c r="P572" s="2"/>
      <c r="Q572" s="2"/>
      <c r="R572" s="2"/>
      <c r="S572" s="2"/>
      <c r="T572" s="2"/>
    </row>
    <row r="573" spans="1:20" ht="15.75" customHeight="1">
      <c r="A573" s="1"/>
      <c r="B573" s="2"/>
      <c r="C573" s="2"/>
      <c r="D573" s="2"/>
      <c r="E573" s="2"/>
      <c r="F573" s="2"/>
      <c r="G573" s="2"/>
      <c r="H573" s="2"/>
      <c r="I573" s="2"/>
      <c r="J573" s="2"/>
      <c r="K573" s="2"/>
      <c r="L573" s="2"/>
      <c r="M573" s="2"/>
      <c r="N573" s="2"/>
      <c r="O573" s="2"/>
      <c r="P573" s="2"/>
      <c r="Q573" s="2"/>
      <c r="R573" s="2"/>
      <c r="S573" s="2"/>
      <c r="T573" s="2"/>
    </row>
    <row r="574" spans="1:20" ht="15.75" customHeight="1">
      <c r="A574" s="1"/>
      <c r="B574" s="2"/>
      <c r="C574" s="2"/>
      <c r="D574" s="2"/>
      <c r="E574" s="2"/>
      <c r="F574" s="2"/>
      <c r="G574" s="2"/>
      <c r="H574" s="2"/>
      <c r="I574" s="2"/>
      <c r="J574" s="2"/>
      <c r="K574" s="2"/>
      <c r="L574" s="2"/>
      <c r="M574" s="2"/>
      <c r="N574" s="2"/>
      <c r="O574" s="2"/>
      <c r="P574" s="2"/>
      <c r="Q574" s="2"/>
      <c r="R574" s="2"/>
      <c r="S574" s="2"/>
      <c r="T574" s="2"/>
    </row>
    <row r="575" spans="1:20" ht="15.75" customHeight="1">
      <c r="A575" s="1"/>
      <c r="B575" s="2"/>
      <c r="C575" s="2"/>
      <c r="D575" s="2"/>
      <c r="E575" s="2"/>
      <c r="F575" s="2"/>
      <c r="G575" s="2"/>
      <c r="H575" s="2"/>
      <c r="I575" s="2"/>
      <c r="J575" s="2"/>
      <c r="K575" s="2"/>
      <c r="L575" s="2"/>
      <c r="M575" s="2"/>
      <c r="N575" s="2"/>
      <c r="O575" s="2"/>
      <c r="P575" s="2"/>
      <c r="Q575" s="2"/>
      <c r="R575" s="2"/>
      <c r="S575" s="2"/>
      <c r="T575" s="2"/>
    </row>
    <row r="576" spans="1:20" ht="15.75" customHeight="1">
      <c r="A576" s="1"/>
      <c r="B576" s="2"/>
      <c r="C576" s="2"/>
      <c r="D576" s="2"/>
      <c r="E576" s="2"/>
      <c r="F576" s="2"/>
      <c r="G576" s="2"/>
      <c r="H576" s="2"/>
      <c r="I576" s="2"/>
      <c r="J576" s="2"/>
      <c r="K576" s="2"/>
      <c r="L576" s="2"/>
      <c r="M576" s="2"/>
      <c r="N576" s="2"/>
      <c r="O576" s="2"/>
      <c r="P576" s="2"/>
      <c r="Q576" s="2"/>
      <c r="R576" s="2"/>
      <c r="S576" s="2"/>
      <c r="T576" s="2"/>
    </row>
    <row r="577" spans="1:20" ht="15.75" customHeight="1">
      <c r="A577" s="1"/>
      <c r="B577" s="2"/>
      <c r="C577" s="2"/>
      <c r="D577" s="2"/>
      <c r="E577" s="2"/>
      <c r="F577" s="2"/>
      <c r="G577" s="2"/>
      <c r="H577" s="2"/>
      <c r="I577" s="2"/>
      <c r="J577" s="2"/>
      <c r="K577" s="2"/>
      <c r="L577" s="2"/>
      <c r="M577" s="2"/>
      <c r="N577" s="2"/>
      <c r="O577" s="2"/>
      <c r="P577" s="2"/>
      <c r="Q577" s="2"/>
      <c r="R577" s="2"/>
      <c r="S577" s="2"/>
      <c r="T577" s="2"/>
    </row>
    <row r="578" spans="1:20" ht="15.75" customHeight="1">
      <c r="A578" s="1"/>
      <c r="B578" s="2"/>
      <c r="C578" s="2"/>
      <c r="D578" s="2"/>
      <c r="E578" s="2"/>
      <c r="F578" s="2"/>
      <c r="G578" s="2"/>
      <c r="H578" s="2"/>
      <c r="I578" s="2"/>
      <c r="J578" s="2"/>
      <c r="K578" s="2"/>
      <c r="L578" s="2"/>
      <c r="M578" s="2"/>
      <c r="N578" s="2"/>
      <c r="O578" s="2"/>
      <c r="P578" s="2"/>
      <c r="Q578" s="2"/>
      <c r="R578" s="2"/>
      <c r="S578" s="2"/>
      <c r="T578" s="2"/>
    </row>
    <row r="579" spans="1:20" ht="15.75" customHeight="1">
      <c r="A579" s="1"/>
      <c r="B579" s="2"/>
      <c r="C579" s="2"/>
      <c r="D579" s="2"/>
      <c r="E579" s="2"/>
      <c r="F579" s="2"/>
      <c r="G579" s="2"/>
      <c r="H579" s="2"/>
      <c r="I579" s="2"/>
      <c r="J579" s="2"/>
      <c r="K579" s="2"/>
      <c r="L579" s="2"/>
      <c r="M579" s="2"/>
      <c r="N579" s="2"/>
      <c r="O579" s="2"/>
      <c r="P579" s="2"/>
      <c r="Q579" s="2"/>
      <c r="R579" s="2"/>
      <c r="S579" s="2"/>
      <c r="T579" s="2"/>
    </row>
    <row r="580" spans="1:20" ht="15.75" customHeight="1">
      <c r="A580" s="1"/>
      <c r="B580" s="2"/>
      <c r="C580" s="2"/>
      <c r="D580" s="2"/>
      <c r="E580" s="2"/>
      <c r="F580" s="2"/>
      <c r="G580" s="2"/>
      <c r="H580" s="2"/>
      <c r="I580" s="2"/>
      <c r="J580" s="2"/>
      <c r="K580" s="2"/>
      <c r="L580" s="2"/>
      <c r="M580" s="2"/>
      <c r="N580" s="2"/>
      <c r="O580" s="2"/>
      <c r="P580" s="2"/>
      <c r="Q580" s="2"/>
      <c r="R580" s="2"/>
      <c r="S580" s="2"/>
      <c r="T580" s="2"/>
    </row>
    <row r="581" spans="1:20" ht="15.75" customHeight="1">
      <c r="A581" s="1"/>
      <c r="B581" s="2"/>
      <c r="C581" s="2"/>
      <c r="D581" s="2"/>
      <c r="E581" s="2"/>
      <c r="F581" s="2"/>
      <c r="G581" s="2"/>
      <c r="H581" s="2"/>
      <c r="I581" s="2"/>
      <c r="J581" s="2"/>
      <c r="K581" s="2"/>
      <c r="L581" s="2"/>
      <c r="M581" s="2"/>
      <c r="N581" s="2"/>
      <c r="O581" s="2"/>
      <c r="P581" s="2"/>
      <c r="Q581" s="2"/>
      <c r="R581" s="2"/>
      <c r="S581" s="2"/>
      <c r="T581" s="2"/>
    </row>
    <row r="582" spans="1:20" ht="15.75" customHeight="1">
      <c r="A582" s="1"/>
      <c r="B582" s="2"/>
      <c r="C582" s="2"/>
      <c r="D582" s="2"/>
      <c r="E582" s="2"/>
      <c r="F582" s="2"/>
      <c r="G582" s="2"/>
      <c r="H582" s="2"/>
      <c r="I582" s="2"/>
      <c r="J582" s="2"/>
      <c r="K582" s="2"/>
      <c r="L582" s="2"/>
      <c r="M582" s="2"/>
      <c r="N582" s="2"/>
      <c r="O582" s="2"/>
      <c r="P582" s="2"/>
      <c r="Q582" s="2"/>
      <c r="R582" s="2"/>
      <c r="S582" s="2"/>
      <c r="T582" s="2"/>
    </row>
    <row r="583" spans="1:20" ht="15.75" customHeight="1">
      <c r="A583" s="1"/>
      <c r="B583" s="2"/>
      <c r="C583" s="2"/>
      <c r="D583" s="2"/>
      <c r="E583" s="2"/>
      <c r="F583" s="2"/>
      <c r="G583" s="2"/>
      <c r="H583" s="2"/>
      <c r="I583" s="2"/>
      <c r="J583" s="2"/>
      <c r="K583" s="2"/>
      <c r="L583" s="2"/>
      <c r="M583" s="2"/>
      <c r="N583" s="2"/>
      <c r="O583" s="2"/>
      <c r="P583" s="2"/>
      <c r="Q583" s="2"/>
      <c r="R583" s="2"/>
      <c r="S583" s="2"/>
      <c r="T583" s="2"/>
    </row>
    <row r="584" spans="1:20" ht="15.75" customHeight="1">
      <c r="A584" s="1"/>
      <c r="B584" s="2"/>
      <c r="C584" s="2"/>
      <c r="D584" s="2"/>
      <c r="E584" s="2"/>
      <c r="F584" s="2"/>
      <c r="G584" s="2"/>
      <c r="H584" s="2"/>
      <c r="I584" s="2"/>
      <c r="J584" s="2"/>
      <c r="K584" s="2"/>
      <c r="L584" s="2"/>
      <c r="M584" s="2"/>
      <c r="N584" s="2"/>
      <c r="O584" s="2"/>
      <c r="P584" s="2"/>
      <c r="Q584" s="2"/>
      <c r="R584" s="2"/>
      <c r="S584" s="2"/>
      <c r="T584" s="2"/>
    </row>
    <row r="585" spans="1:20" ht="15.75" customHeight="1">
      <c r="A585" s="1"/>
      <c r="B585" s="2"/>
      <c r="C585" s="2"/>
      <c r="D585" s="2"/>
      <c r="E585" s="2"/>
      <c r="F585" s="2"/>
      <c r="G585" s="2"/>
      <c r="H585" s="2"/>
      <c r="I585" s="2"/>
      <c r="J585" s="2"/>
      <c r="K585" s="2"/>
      <c r="L585" s="2"/>
      <c r="M585" s="2"/>
      <c r="N585" s="2"/>
      <c r="O585" s="2"/>
      <c r="P585" s="2"/>
      <c r="Q585" s="2"/>
      <c r="R585" s="2"/>
      <c r="S585" s="2"/>
      <c r="T585" s="2"/>
    </row>
    <row r="586" spans="1:20" ht="15.75" customHeight="1">
      <c r="A586" s="1"/>
      <c r="B586" s="2"/>
      <c r="C586" s="2"/>
      <c r="D586" s="2"/>
      <c r="E586" s="2"/>
      <c r="F586" s="2"/>
      <c r="G586" s="2"/>
      <c r="H586" s="2"/>
      <c r="I586" s="2"/>
      <c r="J586" s="2"/>
      <c r="K586" s="2"/>
      <c r="L586" s="2"/>
      <c r="M586" s="2"/>
      <c r="N586" s="2"/>
      <c r="O586" s="2"/>
      <c r="P586" s="2"/>
      <c r="Q586" s="2"/>
      <c r="R586" s="2"/>
      <c r="S586" s="2"/>
      <c r="T586" s="2"/>
    </row>
    <row r="587" spans="1:20" ht="15.75" customHeight="1">
      <c r="A587" s="1"/>
      <c r="B587" s="2"/>
      <c r="C587" s="2"/>
      <c r="D587" s="2"/>
      <c r="E587" s="2"/>
      <c r="F587" s="2"/>
      <c r="G587" s="2"/>
      <c r="H587" s="2"/>
      <c r="I587" s="2"/>
      <c r="J587" s="2"/>
      <c r="K587" s="2"/>
      <c r="L587" s="2"/>
      <c r="M587" s="2"/>
      <c r="N587" s="2"/>
      <c r="O587" s="2"/>
      <c r="P587" s="2"/>
      <c r="Q587" s="2"/>
      <c r="R587" s="2"/>
      <c r="S587" s="2"/>
      <c r="T587" s="2"/>
    </row>
    <row r="588" spans="1:20" ht="15.75" customHeight="1">
      <c r="A588" s="1"/>
      <c r="B588" s="2"/>
      <c r="C588" s="2"/>
      <c r="D588" s="2"/>
      <c r="E588" s="2"/>
      <c r="F588" s="2"/>
      <c r="G588" s="2"/>
      <c r="H588" s="2"/>
      <c r="I588" s="2"/>
      <c r="J588" s="2"/>
      <c r="K588" s="2"/>
      <c r="L588" s="2"/>
      <c r="M588" s="2"/>
      <c r="N588" s="2"/>
      <c r="O588" s="2"/>
      <c r="P588" s="2"/>
      <c r="Q588" s="2"/>
      <c r="R588" s="2"/>
      <c r="S588" s="2"/>
      <c r="T588" s="2"/>
    </row>
    <row r="589" spans="1:20" ht="15.75" customHeight="1">
      <c r="A589" s="1"/>
      <c r="B589" s="2"/>
      <c r="C589" s="2"/>
      <c r="D589" s="2"/>
      <c r="E589" s="2"/>
      <c r="F589" s="2"/>
      <c r="G589" s="2"/>
      <c r="H589" s="2"/>
      <c r="I589" s="2"/>
      <c r="J589" s="2"/>
      <c r="K589" s="2"/>
      <c r="L589" s="2"/>
      <c r="M589" s="2"/>
      <c r="N589" s="2"/>
      <c r="O589" s="2"/>
      <c r="P589" s="2"/>
      <c r="Q589" s="2"/>
      <c r="R589" s="2"/>
      <c r="S589" s="2"/>
      <c r="T589" s="2"/>
    </row>
    <row r="590" spans="1:20" ht="15.75" customHeight="1">
      <c r="A590" s="1"/>
      <c r="B590" s="2"/>
      <c r="C590" s="2"/>
      <c r="D590" s="2"/>
      <c r="E590" s="2"/>
      <c r="F590" s="2"/>
      <c r="G590" s="2"/>
      <c r="H590" s="2"/>
      <c r="I590" s="2"/>
      <c r="J590" s="2"/>
      <c r="K590" s="2"/>
      <c r="L590" s="2"/>
      <c r="M590" s="2"/>
      <c r="N590" s="2"/>
      <c r="O590" s="2"/>
      <c r="P590" s="2"/>
      <c r="Q590" s="2"/>
      <c r="R590" s="2"/>
      <c r="S590" s="2"/>
      <c r="T590" s="2"/>
    </row>
    <row r="591" spans="1:20" ht="15.75" customHeight="1">
      <c r="A591" s="1"/>
      <c r="B591" s="2"/>
      <c r="C591" s="2"/>
      <c r="D591" s="2"/>
      <c r="E591" s="2"/>
      <c r="F591" s="2"/>
      <c r="G591" s="2"/>
      <c r="H591" s="2"/>
      <c r="I591" s="2"/>
      <c r="J591" s="2"/>
      <c r="K591" s="2"/>
      <c r="L591" s="2"/>
      <c r="M591" s="2"/>
      <c r="N591" s="2"/>
      <c r="O591" s="2"/>
      <c r="P591" s="2"/>
      <c r="Q591" s="2"/>
      <c r="R591" s="2"/>
      <c r="S591" s="2"/>
      <c r="T591" s="2"/>
    </row>
    <row r="592" spans="1:20" ht="15.75" customHeight="1">
      <c r="A592" s="1"/>
      <c r="B592" s="2"/>
      <c r="C592" s="2"/>
      <c r="D592" s="2"/>
      <c r="E592" s="2"/>
      <c r="F592" s="2"/>
      <c r="G592" s="2"/>
      <c r="H592" s="2"/>
      <c r="I592" s="2"/>
      <c r="J592" s="2"/>
      <c r="K592" s="2"/>
      <c r="L592" s="2"/>
      <c r="M592" s="2"/>
      <c r="N592" s="2"/>
      <c r="O592" s="2"/>
      <c r="P592" s="2"/>
      <c r="Q592" s="2"/>
      <c r="R592" s="2"/>
      <c r="S592" s="2"/>
      <c r="T592" s="2"/>
    </row>
    <row r="593" spans="1:20" ht="15.75" customHeight="1">
      <c r="A593" s="1"/>
      <c r="B593" s="2"/>
      <c r="C593" s="2"/>
      <c r="D593" s="2"/>
      <c r="E593" s="2"/>
      <c r="F593" s="2"/>
      <c r="G593" s="2"/>
      <c r="H593" s="2"/>
      <c r="I593" s="2"/>
      <c r="J593" s="2"/>
      <c r="K593" s="2"/>
      <c r="L593" s="2"/>
      <c r="M593" s="2"/>
      <c r="N593" s="2"/>
      <c r="O593" s="2"/>
      <c r="P593" s="2"/>
      <c r="Q593" s="2"/>
      <c r="R593" s="2"/>
      <c r="S593" s="2"/>
      <c r="T593" s="2"/>
    </row>
    <row r="594" spans="1:20" ht="15.75" customHeight="1">
      <c r="A594" s="1"/>
      <c r="B594" s="2"/>
      <c r="C594" s="2"/>
      <c r="D594" s="2"/>
      <c r="E594" s="2"/>
      <c r="F594" s="2"/>
      <c r="G594" s="2"/>
      <c r="H594" s="2"/>
      <c r="I594" s="2"/>
      <c r="J594" s="2"/>
      <c r="K594" s="2"/>
      <c r="L594" s="2"/>
      <c r="M594" s="2"/>
      <c r="N594" s="2"/>
      <c r="O594" s="2"/>
      <c r="P594" s="2"/>
      <c r="Q594" s="2"/>
      <c r="R594" s="2"/>
      <c r="S594" s="2"/>
      <c r="T594" s="2"/>
    </row>
    <row r="595" spans="1:20" ht="15.75" customHeight="1">
      <c r="A595" s="1"/>
      <c r="B595" s="2"/>
      <c r="C595" s="2"/>
      <c r="D595" s="2"/>
      <c r="E595" s="2"/>
      <c r="F595" s="2"/>
      <c r="G595" s="2"/>
      <c r="H595" s="2"/>
      <c r="I595" s="2"/>
      <c r="J595" s="2"/>
      <c r="K595" s="2"/>
      <c r="L595" s="2"/>
      <c r="M595" s="2"/>
      <c r="N595" s="2"/>
      <c r="O595" s="2"/>
      <c r="P595" s="2"/>
      <c r="Q595" s="2"/>
      <c r="R595" s="2"/>
      <c r="S595" s="2"/>
      <c r="T595" s="2"/>
    </row>
    <row r="596" spans="1:20" ht="15.75" customHeight="1">
      <c r="A596" s="1"/>
      <c r="B596" s="2"/>
      <c r="C596" s="2"/>
      <c r="D596" s="2"/>
      <c r="E596" s="2"/>
      <c r="F596" s="2"/>
      <c r="G596" s="2"/>
      <c r="H596" s="2"/>
      <c r="I596" s="2"/>
      <c r="J596" s="2"/>
      <c r="K596" s="2"/>
      <c r="L596" s="2"/>
      <c r="M596" s="2"/>
      <c r="N596" s="2"/>
      <c r="O596" s="2"/>
      <c r="P596" s="2"/>
      <c r="Q596" s="2"/>
      <c r="R596" s="2"/>
      <c r="S596" s="2"/>
      <c r="T596" s="2"/>
    </row>
    <row r="597" spans="1:20" ht="15.75" customHeight="1">
      <c r="A597" s="1"/>
      <c r="B597" s="2"/>
      <c r="C597" s="2"/>
      <c r="D597" s="2"/>
      <c r="E597" s="2"/>
      <c r="F597" s="2"/>
      <c r="G597" s="2"/>
      <c r="H597" s="2"/>
      <c r="I597" s="2"/>
      <c r="J597" s="2"/>
      <c r="K597" s="2"/>
      <c r="L597" s="2"/>
      <c r="M597" s="2"/>
      <c r="N597" s="2"/>
      <c r="O597" s="2"/>
      <c r="P597" s="2"/>
      <c r="Q597" s="2"/>
      <c r="R597" s="2"/>
      <c r="S597" s="2"/>
      <c r="T597" s="2"/>
    </row>
    <row r="598" spans="1:20" ht="15.75" customHeight="1">
      <c r="A598" s="1"/>
      <c r="B598" s="2"/>
      <c r="C598" s="2"/>
      <c r="D598" s="2"/>
      <c r="E598" s="2"/>
      <c r="F598" s="2"/>
      <c r="G598" s="2"/>
      <c r="H598" s="2"/>
      <c r="I598" s="2"/>
      <c r="J598" s="2"/>
      <c r="K598" s="2"/>
      <c r="L598" s="2"/>
      <c r="M598" s="2"/>
      <c r="N598" s="2"/>
      <c r="O598" s="2"/>
      <c r="P598" s="2"/>
      <c r="Q598" s="2"/>
      <c r="R598" s="2"/>
      <c r="S598" s="2"/>
      <c r="T598" s="2"/>
    </row>
    <row r="599" spans="1:20" ht="15.75" customHeight="1">
      <c r="A599" s="1"/>
      <c r="B599" s="2"/>
      <c r="C599" s="2"/>
      <c r="D599" s="2"/>
      <c r="E599" s="2"/>
      <c r="F599" s="2"/>
      <c r="G599" s="2"/>
      <c r="H599" s="2"/>
      <c r="I599" s="2"/>
      <c r="J599" s="2"/>
      <c r="K599" s="2"/>
      <c r="L599" s="2"/>
      <c r="M599" s="2"/>
      <c r="N599" s="2"/>
      <c r="O599" s="2"/>
      <c r="P599" s="2"/>
      <c r="Q599" s="2"/>
      <c r="R599" s="2"/>
      <c r="S599" s="2"/>
      <c r="T599" s="2"/>
    </row>
    <row r="600" spans="1:20" ht="15.75" customHeight="1">
      <c r="A600" s="1"/>
      <c r="B600" s="2"/>
      <c r="C600" s="2"/>
      <c r="D600" s="2"/>
      <c r="E600" s="2"/>
      <c r="F600" s="2"/>
      <c r="G600" s="2"/>
      <c r="H600" s="2"/>
      <c r="I600" s="2"/>
      <c r="J600" s="2"/>
      <c r="K600" s="2"/>
      <c r="L600" s="2"/>
      <c r="M600" s="2"/>
      <c r="N600" s="2"/>
      <c r="O600" s="2"/>
      <c r="P600" s="2"/>
      <c r="Q600" s="2"/>
      <c r="R600" s="2"/>
      <c r="S600" s="2"/>
      <c r="T600" s="2"/>
    </row>
    <row r="601" spans="1:20" ht="15.75" customHeight="1">
      <c r="A601" s="1"/>
      <c r="B601" s="2"/>
      <c r="C601" s="2"/>
      <c r="D601" s="2"/>
      <c r="E601" s="2"/>
      <c r="F601" s="2"/>
      <c r="G601" s="2"/>
      <c r="H601" s="2"/>
      <c r="I601" s="2"/>
      <c r="J601" s="2"/>
      <c r="K601" s="2"/>
      <c r="L601" s="2"/>
      <c r="M601" s="2"/>
      <c r="N601" s="2"/>
      <c r="O601" s="2"/>
      <c r="P601" s="2"/>
      <c r="Q601" s="2"/>
      <c r="R601" s="2"/>
      <c r="S601" s="2"/>
      <c r="T601" s="2"/>
    </row>
    <row r="602" spans="1:20" ht="15.75" customHeight="1">
      <c r="A602" s="1"/>
      <c r="B602" s="2"/>
      <c r="C602" s="2"/>
      <c r="D602" s="2"/>
      <c r="E602" s="2"/>
      <c r="F602" s="2"/>
      <c r="G602" s="2"/>
      <c r="H602" s="2"/>
      <c r="I602" s="2"/>
      <c r="J602" s="2"/>
      <c r="K602" s="2"/>
      <c r="L602" s="2"/>
      <c r="M602" s="2"/>
      <c r="N602" s="2"/>
      <c r="O602" s="2"/>
      <c r="P602" s="2"/>
      <c r="Q602" s="2"/>
      <c r="R602" s="2"/>
      <c r="S602" s="2"/>
      <c r="T602" s="2"/>
    </row>
    <row r="603" spans="1:20" ht="15.75" customHeight="1">
      <c r="A603" s="1"/>
      <c r="B603" s="2"/>
      <c r="C603" s="2"/>
      <c r="D603" s="2"/>
      <c r="E603" s="2"/>
      <c r="F603" s="2"/>
      <c r="G603" s="2"/>
      <c r="H603" s="2"/>
      <c r="I603" s="2"/>
      <c r="J603" s="2"/>
      <c r="K603" s="2"/>
      <c r="L603" s="2"/>
      <c r="M603" s="2"/>
      <c r="N603" s="2"/>
      <c r="O603" s="2"/>
      <c r="P603" s="2"/>
      <c r="Q603" s="2"/>
      <c r="R603" s="2"/>
      <c r="S603" s="2"/>
      <c r="T603" s="2"/>
    </row>
    <row r="604" spans="1:20" ht="15.75" customHeight="1">
      <c r="A604" s="1"/>
      <c r="B604" s="2"/>
      <c r="C604" s="2"/>
      <c r="D604" s="2"/>
      <c r="E604" s="2"/>
      <c r="F604" s="2"/>
      <c r="G604" s="2"/>
      <c r="H604" s="2"/>
      <c r="I604" s="2"/>
      <c r="J604" s="2"/>
      <c r="K604" s="2"/>
      <c r="L604" s="2"/>
      <c r="M604" s="2"/>
      <c r="N604" s="2"/>
      <c r="O604" s="2"/>
      <c r="P604" s="2"/>
      <c r="Q604" s="2"/>
      <c r="R604" s="2"/>
      <c r="S604" s="2"/>
      <c r="T604" s="2"/>
    </row>
    <row r="605" spans="1:20" ht="15.75" customHeight="1">
      <c r="A605" s="1"/>
      <c r="B605" s="2"/>
      <c r="C605" s="2"/>
      <c r="D605" s="2"/>
      <c r="E605" s="2"/>
      <c r="F605" s="2"/>
      <c r="G605" s="2"/>
      <c r="H605" s="2"/>
      <c r="I605" s="2"/>
      <c r="J605" s="2"/>
      <c r="K605" s="2"/>
      <c r="L605" s="2"/>
      <c r="M605" s="2"/>
      <c r="N605" s="2"/>
      <c r="O605" s="2"/>
      <c r="P605" s="2"/>
      <c r="Q605" s="2"/>
      <c r="R605" s="2"/>
      <c r="S605" s="2"/>
      <c r="T605" s="2"/>
    </row>
    <row r="606" spans="1:20" ht="15.75" customHeight="1">
      <c r="A606" s="1"/>
      <c r="B606" s="2"/>
      <c r="C606" s="2"/>
      <c r="D606" s="2"/>
      <c r="E606" s="2"/>
      <c r="F606" s="2"/>
      <c r="G606" s="2"/>
      <c r="H606" s="2"/>
      <c r="I606" s="2"/>
      <c r="J606" s="2"/>
      <c r="K606" s="2"/>
      <c r="L606" s="2"/>
      <c r="M606" s="2"/>
      <c r="N606" s="2"/>
      <c r="O606" s="2"/>
      <c r="P606" s="2"/>
      <c r="Q606" s="2"/>
      <c r="R606" s="2"/>
      <c r="S606" s="2"/>
      <c r="T606" s="2"/>
    </row>
    <row r="607" spans="1:20" ht="15.75" customHeight="1">
      <c r="A607" s="1"/>
      <c r="B607" s="2"/>
      <c r="C607" s="2"/>
      <c r="D607" s="2"/>
      <c r="E607" s="2"/>
      <c r="F607" s="2"/>
      <c r="G607" s="2"/>
      <c r="H607" s="2"/>
      <c r="I607" s="2"/>
      <c r="J607" s="2"/>
      <c r="K607" s="2"/>
      <c r="L607" s="2"/>
      <c r="M607" s="2"/>
      <c r="N607" s="2"/>
      <c r="O607" s="2"/>
      <c r="P607" s="2"/>
      <c r="Q607" s="2"/>
      <c r="R607" s="2"/>
      <c r="S607" s="2"/>
      <c r="T607" s="2"/>
    </row>
    <row r="608" spans="1:20" ht="15.75" customHeight="1">
      <c r="A608" s="1"/>
      <c r="B608" s="2"/>
      <c r="C608" s="2"/>
      <c r="D608" s="2"/>
      <c r="E608" s="2"/>
      <c r="F608" s="2"/>
      <c r="G608" s="2"/>
      <c r="H608" s="2"/>
      <c r="I608" s="2"/>
      <c r="J608" s="2"/>
      <c r="K608" s="2"/>
      <c r="L608" s="2"/>
      <c r="M608" s="2"/>
      <c r="N608" s="2"/>
      <c r="O608" s="2"/>
      <c r="P608" s="2"/>
      <c r="Q608" s="2"/>
      <c r="R608" s="2"/>
      <c r="S608" s="2"/>
      <c r="T608" s="2"/>
    </row>
    <row r="609" spans="1:20" ht="15.75" customHeight="1">
      <c r="A609" s="1"/>
      <c r="B609" s="2"/>
      <c r="C609" s="2"/>
      <c r="D609" s="2"/>
      <c r="E609" s="2"/>
      <c r="F609" s="2"/>
      <c r="G609" s="2"/>
      <c r="H609" s="2"/>
      <c r="I609" s="2"/>
      <c r="J609" s="2"/>
      <c r="K609" s="2"/>
      <c r="L609" s="2"/>
      <c r="M609" s="2"/>
      <c r="N609" s="2"/>
      <c r="O609" s="2"/>
      <c r="P609" s="2"/>
      <c r="Q609" s="2"/>
      <c r="R609" s="2"/>
      <c r="S609" s="2"/>
      <c r="T609" s="2"/>
    </row>
    <row r="610" spans="1:20" ht="15.75" customHeight="1">
      <c r="A610" s="1"/>
      <c r="B610" s="2"/>
      <c r="C610" s="2"/>
      <c r="D610" s="2"/>
      <c r="E610" s="2"/>
      <c r="F610" s="2"/>
      <c r="G610" s="2"/>
      <c r="H610" s="2"/>
      <c r="I610" s="2"/>
      <c r="J610" s="2"/>
      <c r="K610" s="2"/>
      <c r="L610" s="2"/>
      <c r="M610" s="2"/>
      <c r="N610" s="2"/>
      <c r="O610" s="2"/>
      <c r="P610" s="2"/>
      <c r="Q610" s="2"/>
      <c r="R610" s="2"/>
      <c r="S610" s="2"/>
      <c r="T610" s="2"/>
    </row>
    <row r="611" spans="1:20" ht="15.75" customHeight="1">
      <c r="A611" s="1"/>
      <c r="B611" s="2"/>
      <c r="C611" s="2"/>
      <c r="D611" s="2"/>
      <c r="E611" s="2"/>
      <c r="F611" s="2"/>
      <c r="G611" s="2"/>
      <c r="H611" s="2"/>
      <c r="I611" s="2"/>
      <c r="J611" s="2"/>
      <c r="K611" s="2"/>
      <c r="L611" s="2"/>
      <c r="M611" s="2"/>
      <c r="N611" s="2"/>
      <c r="O611" s="2"/>
      <c r="P611" s="2"/>
      <c r="Q611" s="2"/>
      <c r="R611" s="2"/>
      <c r="S611" s="2"/>
      <c r="T611" s="2"/>
    </row>
    <row r="612" spans="1:20" ht="15.75" customHeight="1">
      <c r="A612" s="1"/>
      <c r="B612" s="2"/>
      <c r="C612" s="2"/>
      <c r="D612" s="2"/>
      <c r="E612" s="2"/>
      <c r="F612" s="2"/>
      <c r="G612" s="2"/>
      <c r="H612" s="2"/>
      <c r="I612" s="2"/>
      <c r="J612" s="2"/>
      <c r="K612" s="2"/>
      <c r="L612" s="2"/>
      <c r="M612" s="2"/>
      <c r="N612" s="2"/>
      <c r="O612" s="2"/>
      <c r="P612" s="2"/>
      <c r="Q612" s="2"/>
      <c r="R612" s="2"/>
      <c r="S612" s="2"/>
      <c r="T612" s="2"/>
    </row>
    <row r="613" spans="1:20" ht="15.75" customHeight="1">
      <c r="A613" s="1"/>
      <c r="B613" s="2"/>
      <c r="C613" s="2"/>
      <c r="D613" s="2"/>
      <c r="E613" s="2"/>
      <c r="F613" s="2"/>
      <c r="G613" s="2"/>
      <c r="H613" s="2"/>
      <c r="I613" s="2"/>
      <c r="J613" s="2"/>
      <c r="K613" s="2"/>
      <c r="L613" s="2"/>
      <c r="M613" s="2"/>
      <c r="N613" s="2"/>
      <c r="O613" s="2"/>
      <c r="P613" s="2"/>
      <c r="Q613" s="2"/>
      <c r="R613" s="2"/>
      <c r="S613" s="2"/>
      <c r="T613" s="2"/>
    </row>
    <row r="614" spans="1:20" ht="15.75" customHeight="1">
      <c r="A614" s="1"/>
      <c r="B614" s="2"/>
      <c r="C614" s="2"/>
      <c r="D614" s="2"/>
      <c r="E614" s="2"/>
      <c r="F614" s="2"/>
      <c r="G614" s="2"/>
      <c r="H614" s="2"/>
      <c r="I614" s="2"/>
      <c r="J614" s="2"/>
      <c r="K614" s="2"/>
      <c r="L614" s="2"/>
      <c r="M614" s="2"/>
      <c r="N614" s="2"/>
      <c r="O614" s="2"/>
      <c r="P614" s="2"/>
      <c r="Q614" s="2"/>
      <c r="R614" s="2"/>
      <c r="S614" s="2"/>
      <c r="T614" s="2"/>
    </row>
    <row r="615" spans="1:20" ht="15.75" customHeight="1">
      <c r="A615" s="1"/>
      <c r="B615" s="2"/>
      <c r="C615" s="2"/>
      <c r="D615" s="2"/>
      <c r="E615" s="2"/>
      <c r="F615" s="2"/>
      <c r="G615" s="2"/>
      <c r="H615" s="2"/>
      <c r="I615" s="2"/>
      <c r="J615" s="2"/>
      <c r="K615" s="2"/>
      <c r="L615" s="2"/>
      <c r="M615" s="2"/>
      <c r="N615" s="2"/>
      <c r="O615" s="2"/>
      <c r="P615" s="2"/>
      <c r="Q615" s="2"/>
      <c r="R615" s="2"/>
      <c r="S615" s="2"/>
      <c r="T615" s="2"/>
    </row>
    <row r="616" spans="1:20" ht="15.75" customHeight="1">
      <c r="A616" s="1"/>
      <c r="B616" s="2"/>
      <c r="C616" s="2"/>
      <c r="D616" s="2"/>
      <c r="E616" s="2"/>
      <c r="F616" s="2"/>
      <c r="G616" s="2"/>
      <c r="H616" s="2"/>
      <c r="I616" s="2"/>
      <c r="J616" s="2"/>
      <c r="K616" s="2"/>
      <c r="L616" s="2"/>
      <c r="M616" s="2"/>
      <c r="N616" s="2"/>
      <c r="O616" s="2"/>
      <c r="P616" s="2"/>
      <c r="Q616" s="2"/>
      <c r="R616" s="2"/>
      <c r="S616" s="2"/>
      <c r="T616" s="2"/>
    </row>
    <row r="617" spans="1:20" ht="15.75" customHeight="1">
      <c r="A617" s="1"/>
      <c r="B617" s="2"/>
      <c r="C617" s="2"/>
      <c r="D617" s="2"/>
      <c r="E617" s="2"/>
      <c r="F617" s="2"/>
      <c r="G617" s="2"/>
      <c r="H617" s="2"/>
      <c r="I617" s="2"/>
      <c r="J617" s="2"/>
      <c r="K617" s="2"/>
      <c r="L617" s="2"/>
      <c r="M617" s="2"/>
      <c r="N617" s="2"/>
      <c r="O617" s="2"/>
      <c r="P617" s="2"/>
      <c r="Q617" s="2"/>
      <c r="R617" s="2"/>
      <c r="S617" s="2"/>
      <c r="T617" s="2"/>
    </row>
    <row r="618" spans="1:20" ht="15.75" customHeight="1">
      <c r="A618" s="1"/>
      <c r="B618" s="2"/>
      <c r="C618" s="2"/>
      <c r="D618" s="2"/>
      <c r="E618" s="2"/>
      <c r="F618" s="2"/>
      <c r="G618" s="2"/>
      <c r="H618" s="2"/>
      <c r="I618" s="2"/>
      <c r="J618" s="2"/>
      <c r="K618" s="2"/>
      <c r="L618" s="2"/>
      <c r="M618" s="2"/>
      <c r="N618" s="2"/>
      <c r="O618" s="2"/>
      <c r="P618" s="2"/>
      <c r="Q618" s="2"/>
      <c r="R618" s="2"/>
      <c r="S618" s="2"/>
      <c r="T618" s="2"/>
    </row>
    <row r="619" spans="1:20" ht="15.75" customHeight="1">
      <c r="A619" s="1"/>
      <c r="B619" s="2"/>
      <c r="C619" s="2"/>
      <c r="D619" s="2"/>
      <c r="E619" s="2"/>
      <c r="F619" s="2"/>
      <c r="G619" s="2"/>
      <c r="H619" s="2"/>
      <c r="I619" s="2"/>
      <c r="J619" s="2"/>
      <c r="K619" s="2"/>
      <c r="L619" s="2"/>
      <c r="M619" s="2"/>
      <c r="N619" s="2"/>
      <c r="O619" s="2"/>
      <c r="P619" s="2"/>
      <c r="Q619" s="2"/>
      <c r="R619" s="2"/>
      <c r="S619" s="2"/>
      <c r="T619" s="2"/>
    </row>
    <row r="620" spans="1:20" ht="15.75" customHeight="1">
      <c r="A620" s="1"/>
      <c r="B620" s="2"/>
      <c r="C620" s="2"/>
      <c r="D620" s="2"/>
      <c r="E620" s="2"/>
      <c r="F620" s="2"/>
      <c r="G620" s="2"/>
      <c r="H620" s="2"/>
      <c r="I620" s="2"/>
      <c r="J620" s="2"/>
      <c r="K620" s="2"/>
      <c r="L620" s="2"/>
      <c r="M620" s="2"/>
      <c r="N620" s="2"/>
      <c r="O620" s="2"/>
      <c r="P620" s="2"/>
      <c r="Q620" s="2"/>
      <c r="R620" s="2"/>
      <c r="S620" s="2"/>
      <c r="T620" s="2"/>
    </row>
    <row r="621" spans="1:20" ht="15.75" customHeight="1">
      <c r="A621" s="1"/>
      <c r="B621" s="2"/>
      <c r="C621" s="2"/>
      <c r="D621" s="2"/>
      <c r="E621" s="2"/>
      <c r="F621" s="2"/>
      <c r="G621" s="2"/>
      <c r="H621" s="2"/>
      <c r="I621" s="2"/>
      <c r="J621" s="2"/>
      <c r="K621" s="2"/>
      <c r="L621" s="2"/>
      <c r="M621" s="2"/>
      <c r="N621" s="2"/>
      <c r="O621" s="2"/>
      <c r="P621" s="2"/>
      <c r="Q621" s="2"/>
      <c r="R621" s="2"/>
      <c r="S621" s="2"/>
      <c r="T621" s="2"/>
    </row>
    <row r="622" spans="1:20" ht="15.75" customHeight="1">
      <c r="A622" s="1"/>
      <c r="B622" s="2"/>
      <c r="C622" s="2"/>
      <c r="D622" s="2"/>
      <c r="E622" s="2"/>
      <c r="F622" s="2"/>
      <c r="G622" s="2"/>
      <c r="H622" s="2"/>
      <c r="I622" s="2"/>
      <c r="J622" s="2"/>
      <c r="K622" s="2"/>
      <c r="L622" s="2"/>
      <c r="M622" s="2"/>
      <c r="N622" s="2"/>
      <c r="O622" s="2"/>
      <c r="P622" s="2"/>
      <c r="Q622" s="2"/>
      <c r="R622" s="2"/>
      <c r="S622" s="2"/>
      <c r="T622" s="2"/>
    </row>
    <row r="623" spans="1:20" ht="15.75" customHeight="1">
      <c r="A623" s="1"/>
      <c r="B623" s="2"/>
      <c r="C623" s="2"/>
      <c r="D623" s="2"/>
      <c r="E623" s="2"/>
      <c r="F623" s="2"/>
      <c r="G623" s="2"/>
      <c r="H623" s="2"/>
      <c r="I623" s="2"/>
      <c r="J623" s="2"/>
      <c r="K623" s="2"/>
      <c r="L623" s="2"/>
      <c r="M623" s="2"/>
      <c r="N623" s="2"/>
      <c r="O623" s="2"/>
      <c r="P623" s="2"/>
      <c r="Q623" s="2"/>
      <c r="R623" s="2"/>
      <c r="S623" s="2"/>
      <c r="T623" s="2"/>
    </row>
    <row r="624" spans="1:20" ht="15.75" customHeight="1">
      <c r="A624" s="1"/>
      <c r="B624" s="2"/>
      <c r="C624" s="2"/>
      <c r="D624" s="2"/>
      <c r="E624" s="2"/>
      <c r="F624" s="2"/>
      <c r="G624" s="2"/>
      <c r="H624" s="2"/>
      <c r="I624" s="2"/>
      <c r="J624" s="2"/>
      <c r="K624" s="2"/>
      <c r="L624" s="2"/>
      <c r="M624" s="2"/>
      <c r="N624" s="2"/>
      <c r="O624" s="2"/>
      <c r="P624" s="2"/>
      <c r="Q624" s="2"/>
      <c r="R624" s="2"/>
      <c r="S624" s="2"/>
      <c r="T624" s="2"/>
    </row>
    <row r="625" spans="1:20" ht="15.75" customHeight="1">
      <c r="A625" s="1"/>
      <c r="B625" s="2"/>
      <c r="C625" s="2"/>
      <c r="D625" s="2"/>
      <c r="E625" s="2"/>
      <c r="F625" s="2"/>
      <c r="G625" s="2"/>
      <c r="H625" s="2"/>
      <c r="I625" s="2"/>
      <c r="J625" s="2"/>
      <c r="K625" s="2"/>
      <c r="L625" s="2"/>
      <c r="M625" s="2"/>
      <c r="N625" s="2"/>
      <c r="O625" s="2"/>
      <c r="P625" s="2"/>
      <c r="Q625" s="2"/>
      <c r="R625" s="2"/>
      <c r="S625" s="2"/>
      <c r="T625" s="2"/>
    </row>
    <row r="626" spans="1:20" ht="15.75" customHeight="1">
      <c r="A626" s="1"/>
      <c r="B626" s="2"/>
      <c r="C626" s="2"/>
      <c r="D626" s="2"/>
      <c r="E626" s="2"/>
      <c r="F626" s="2"/>
      <c r="G626" s="2"/>
      <c r="H626" s="2"/>
      <c r="I626" s="2"/>
      <c r="J626" s="2"/>
      <c r="K626" s="2"/>
      <c r="L626" s="2"/>
      <c r="M626" s="2"/>
      <c r="N626" s="2"/>
      <c r="O626" s="2"/>
      <c r="P626" s="2"/>
      <c r="Q626" s="2"/>
      <c r="R626" s="2"/>
      <c r="S626" s="2"/>
      <c r="T626" s="2"/>
    </row>
    <row r="627" spans="1:20" ht="15.75" customHeight="1">
      <c r="A627" s="1"/>
      <c r="B627" s="2"/>
      <c r="C627" s="2"/>
      <c r="D627" s="2"/>
      <c r="E627" s="2"/>
      <c r="F627" s="2"/>
      <c r="G627" s="2"/>
      <c r="H627" s="2"/>
      <c r="I627" s="2"/>
      <c r="J627" s="2"/>
      <c r="K627" s="2"/>
      <c r="L627" s="2"/>
      <c r="M627" s="2"/>
      <c r="N627" s="2"/>
      <c r="O627" s="2"/>
      <c r="P627" s="2"/>
      <c r="Q627" s="2"/>
      <c r="R627" s="2"/>
      <c r="S627" s="2"/>
      <c r="T627" s="2"/>
    </row>
    <row r="628" spans="1:20" ht="15.75" customHeight="1">
      <c r="A628" s="1"/>
      <c r="B628" s="2"/>
      <c r="C628" s="2"/>
      <c r="D628" s="2"/>
      <c r="E628" s="2"/>
      <c r="F628" s="2"/>
      <c r="G628" s="2"/>
      <c r="H628" s="2"/>
      <c r="I628" s="2"/>
      <c r="J628" s="2"/>
      <c r="K628" s="2"/>
      <c r="L628" s="2"/>
      <c r="M628" s="2"/>
      <c r="N628" s="2"/>
      <c r="O628" s="2"/>
      <c r="P628" s="2"/>
      <c r="Q628" s="2"/>
      <c r="R628" s="2"/>
      <c r="S628" s="2"/>
      <c r="T628" s="2"/>
    </row>
    <row r="629" spans="1:20" ht="15.75" customHeight="1">
      <c r="A629" s="1"/>
      <c r="B629" s="2"/>
      <c r="C629" s="2"/>
      <c r="D629" s="2"/>
      <c r="E629" s="2"/>
      <c r="F629" s="2"/>
      <c r="G629" s="2"/>
      <c r="H629" s="2"/>
      <c r="I629" s="2"/>
      <c r="J629" s="2"/>
      <c r="K629" s="2"/>
      <c r="L629" s="2"/>
      <c r="M629" s="2"/>
      <c r="N629" s="2"/>
      <c r="O629" s="2"/>
      <c r="P629" s="2"/>
      <c r="Q629" s="2"/>
      <c r="R629" s="2"/>
      <c r="S629" s="2"/>
      <c r="T629" s="2"/>
    </row>
    <row r="630" spans="1:20" ht="15.75" customHeight="1">
      <c r="A630" s="1"/>
      <c r="B630" s="2"/>
      <c r="C630" s="2"/>
      <c r="D630" s="2"/>
      <c r="E630" s="2"/>
      <c r="F630" s="2"/>
      <c r="G630" s="2"/>
      <c r="H630" s="2"/>
      <c r="I630" s="2"/>
      <c r="J630" s="2"/>
      <c r="K630" s="2"/>
      <c r="L630" s="2"/>
      <c r="M630" s="2"/>
      <c r="N630" s="2"/>
      <c r="O630" s="2"/>
      <c r="P630" s="2"/>
      <c r="Q630" s="2"/>
      <c r="R630" s="2"/>
      <c r="S630" s="2"/>
      <c r="T630" s="2"/>
    </row>
    <row r="631" spans="1:20" ht="15.75" customHeight="1">
      <c r="A631" s="1"/>
      <c r="B631" s="2"/>
      <c r="C631" s="2"/>
      <c r="D631" s="2"/>
      <c r="E631" s="2"/>
      <c r="F631" s="2"/>
      <c r="G631" s="2"/>
      <c r="H631" s="2"/>
      <c r="I631" s="2"/>
      <c r="J631" s="2"/>
      <c r="K631" s="2"/>
      <c r="L631" s="2"/>
      <c r="M631" s="2"/>
      <c r="N631" s="2"/>
      <c r="O631" s="2"/>
      <c r="P631" s="2"/>
      <c r="Q631" s="2"/>
      <c r="R631" s="2"/>
      <c r="S631" s="2"/>
      <c r="T631" s="2"/>
    </row>
    <row r="632" spans="1:20" ht="15.75" customHeight="1">
      <c r="A632" s="1"/>
      <c r="B632" s="2"/>
      <c r="C632" s="2"/>
      <c r="D632" s="2"/>
      <c r="E632" s="2"/>
      <c r="F632" s="2"/>
      <c r="G632" s="2"/>
      <c r="H632" s="2"/>
      <c r="I632" s="2"/>
      <c r="J632" s="2"/>
      <c r="K632" s="2"/>
      <c r="L632" s="2"/>
      <c r="M632" s="2"/>
      <c r="N632" s="2"/>
      <c r="O632" s="2"/>
      <c r="P632" s="2"/>
      <c r="Q632" s="2"/>
      <c r="R632" s="2"/>
      <c r="S632" s="2"/>
      <c r="T632" s="2"/>
    </row>
    <row r="633" spans="1:20" ht="15.75" customHeight="1">
      <c r="A633" s="1"/>
      <c r="B633" s="2"/>
      <c r="C633" s="2"/>
      <c r="D633" s="2"/>
      <c r="E633" s="2"/>
      <c r="F633" s="2"/>
      <c r="G633" s="2"/>
      <c r="H633" s="2"/>
      <c r="I633" s="2"/>
      <c r="J633" s="2"/>
      <c r="K633" s="2"/>
      <c r="L633" s="2"/>
      <c r="M633" s="2"/>
      <c r="N633" s="2"/>
      <c r="O633" s="2"/>
      <c r="P633" s="2"/>
      <c r="Q633" s="2"/>
      <c r="R633" s="2"/>
      <c r="S633" s="2"/>
      <c r="T633" s="2"/>
    </row>
    <row r="634" spans="1:20" ht="15.75" customHeight="1">
      <c r="A634" s="1"/>
      <c r="B634" s="2"/>
      <c r="C634" s="2"/>
      <c r="D634" s="2"/>
      <c r="E634" s="2"/>
      <c r="F634" s="2"/>
      <c r="G634" s="2"/>
      <c r="H634" s="2"/>
      <c r="I634" s="2"/>
      <c r="J634" s="2"/>
      <c r="K634" s="2"/>
      <c r="L634" s="2"/>
      <c r="M634" s="2"/>
      <c r="N634" s="2"/>
      <c r="O634" s="2"/>
      <c r="P634" s="2"/>
      <c r="Q634" s="2"/>
      <c r="R634" s="2"/>
      <c r="S634" s="2"/>
      <c r="T634" s="2"/>
    </row>
    <row r="635" spans="1:20" ht="15.75" customHeight="1">
      <c r="A635" s="1"/>
      <c r="B635" s="2"/>
      <c r="C635" s="2"/>
      <c r="D635" s="2"/>
      <c r="E635" s="2"/>
      <c r="F635" s="2"/>
      <c r="G635" s="2"/>
      <c r="H635" s="2"/>
      <c r="I635" s="2"/>
      <c r="J635" s="2"/>
      <c r="K635" s="2"/>
      <c r="L635" s="2"/>
      <c r="M635" s="2"/>
      <c r="N635" s="2"/>
      <c r="O635" s="2"/>
      <c r="P635" s="2"/>
      <c r="Q635" s="2"/>
      <c r="R635" s="2"/>
      <c r="S635" s="2"/>
      <c r="T635" s="2"/>
    </row>
    <row r="636" spans="1:20" ht="15.75" customHeight="1">
      <c r="A636" s="1"/>
      <c r="B636" s="2"/>
      <c r="C636" s="2"/>
      <c r="D636" s="2"/>
      <c r="E636" s="2"/>
      <c r="F636" s="2"/>
      <c r="G636" s="2"/>
      <c r="H636" s="2"/>
      <c r="I636" s="2"/>
      <c r="J636" s="2"/>
      <c r="K636" s="2"/>
      <c r="L636" s="2"/>
      <c r="M636" s="2"/>
      <c r="N636" s="2"/>
      <c r="O636" s="2"/>
      <c r="P636" s="2"/>
      <c r="Q636" s="2"/>
      <c r="R636" s="2"/>
      <c r="S636" s="2"/>
      <c r="T636" s="2"/>
    </row>
    <row r="637" spans="1:20" ht="15.75" customHeight="1">
      <c r="A637" s="1"/>
      <c r="B637" s="2"/>
      <c r="C637" s="2"/>
      <c r="D637" s="2"/>
      <c r="E637" s="2"/>
      <c r="F637" s="2"/>
      <c r="G637" s="2"/>
      <c r="H637" s="2"/>
      <c r="I637" s="2"/>
      <c r="J637" s="2"/>
      <c r="K637" s="2"/>
      <c r="L637" s="2"/>
      <c r="M637" s="2"/>
      <c r="N637" s="2"/>
      <c r="O637" s="2"/>
      <c r="P637" s="2"/>
      <c r="Q637" s="2"/>
      <c r="R637" s="2"/>
      <c r="S637" s="2"/>
      <c r="T637" s="2"/>
    </row>
    <row r="638" spans="1:20" ht="15.75" customHeight="1">
      <c r="A638" s="1"/>
      <c r="B638" s="2"/>
      <c r="C638" s="2"/>
      <c r="D638" s="2"/>
      <c r="E638" s="2"/>
      <c r="F638" s="2"/>
      <c r="G638" s="2"/>
      <c r="H638" s="2"/>
      <c r="I638" s="2"/>
      <c r="J638" s="2"/>
      <c r="K638" s="2"/>
      <c r="L638" s="2"/>
      <c r="M638" s="2"/>
      <c r="N638" s="2"/>
      <c r="O638" s="2"/>
      <c r="P638" s="2"/>
      <c r="Q638" s="2"/>
      <c r="R638" s="2"/>
      <c r="S638" s="2"/>
      <c r="T638" s="2"/>
    </row>
    <row r="639" spans="1:20" ht="15.75" customHeight="1">
      <c r="A639" s="1"/>
      <c r="B639" s="2"/>
      <c r="C639" s="2"/>
      <c r="D639" s="2"/>
      <c r="E639" s="2"/>
      <c r="F639" s="2"/>
      <c r="G639" s="2"/>
      <c r="H639" s="2"/>
      <c r="I639" s="2"/>
      <c r="J639" s="2"/>
      <c r="K639" s="2"/>
      <c r="L639" s="2"/>
      <c r="M639" s="2"/>
      <c r="N639" s="2"/>
      <c r="O639" s="2"/>
      <c r="P639" s="2"/>
      <c r="Q639" s="2"/>
      <c r="R639" s="2"/>
      <c r="S639" s="2"/>
      <c r="T639" s="2"/>
    </row>
    <row r="640" spans="1:20" ht="15.75" customHeight="1">
      <c r="A640" s="1"/>
      <c r="B640" s="2"/>
      <c r="C640" s="2"/>
      <c r="D640" s="2"/>
      <c r="E640" s="2"/>
      <c r="F640" s="2"/>
      <c r="G640" s="2"/>
      <c r="H640" s="2"/>
      <c r="I640" s="2"/>
      <c r="J640" s="2"/>
      <c r="K640" s="2"/>
      <c r="L640" s="2"/>
      <c r="M640" s="2"/>
      <c r="N640" s="2"/>
      <c r="O640" s="2"/>
      <c r="P640" s="2"/>
      <c r="Q640" s="2"/>
      <c r="R640" s="2"/>
      <c r="S640" s="2"/>
      <c r="T640" s="2"/>
    </row>
    <row r="641" spans="1:20" ht="15.75" customHeight="1">
      <c r="A641" s="1"/>
      <c r="B641" s="2"/>
      <c r="C641" s="2"/>
      <c r="D641" s="2"/>
      <c r="E641" s="2"/>
      <c r="F641" s="2"/>
      <c r="G641" s="2"/>
      <c r="H641" s="2"/>
      <c r="I641" s="2"/>
      <c r="J641" s="2"/>
      <c r="K641" s="2"/>
      <c r="L641" s="2"/>
      <c r="M641" s="2"/>
      <c r="N641" s="2"/>
      <c r="O641" s="2"/>
      <c r="P641" s="2"/>
      <c r="Q641" s="2"/>
      <c r="R641" s="2"/>
      <c r="S641" s="2"/>
      <c r="T641" s="2"/>
    </row>
    <row r="642" spans="1:20" ht="15.75" customHeight="1">
      <c r="A642" s="1"/>
      <c r="B642" s="2"/>
      <c r="C642" s="2"/>
      <c r="D642" s="2"/>
      <c r="E642" s="2"/>
      <c r="F642" s="2"/>
      <c r="G642" s="2"/>
      <c r="H642" s="2"/>
      <c r="I642" s="2"/>
      <c r="J642" s="2"/>
      <c r="K642" s="2"/>
      <c r="L642" s="2"/>
      <c r="M642" s="2"/>
      <c r="N642" s="2"/>
      <c r="O642" s="2"/>
      <c r="P642" s="2"/>
      <c r="Q642" s="2"/>
      <c r="R642" s="2"/>
      <c r="S642" s="2"/>
      <c r="T642" s="2"/>
    </row>
    <row r="643" spans="1:20" ht="15.75" customHeight="1">
      <c r="A643" s="1"/>
      <c r="B643" s="2"/>
      <c r="C643" s="2"/>
      <c r="D643" s="2"/>
      <c r="E643" s="2"/>
      <c r="F643" s="2"/>
      <c r="G643" s="2"/>
      <c r="H643" s="2"/>
      <c r="I643" s="2"/>
      <c r="J643" s="2"/>
      <c r="K643" s="2"/>
      <c r="L643" s="2"/>
      <c r="M643" s="2"/>
      <c r="N643" s="2"/>
      <c r="O643" s="2"/>
      <c r="P643" s="2"/>
      <c r="Q643" s="2"/>
      <c r="R643" s="2"/>
      <c r="S643" s="2"/>
      <c r="T643" s="2"/>
    </row>
    <row r="644" spans="1:20" ht="15.75" customHeight="1">
      <c r="A644" s="1"/>
      <c r="B644" s="2"/>
      <c r="C644" s="2"/>
      <c r="D644" s="2"/>
      <c r="E644" s="2"/>
      <c r="F644" s="2"/>
      <c r="G644" s="2"/>
      <c r="H644" s="2"/>
      <c r="I644" s="2"/>
      <c r="J644" s="2"/>
      <c r="K644" s="2"/>
      <c r="L644" s="2"/>
      <c r="M644" s="2"/>
      <c r="N644" s="2"/>
      <c r="O644" s="2"/>
      <c r="P644" s="2"/>
      <c r="Q644" s="2"/>
      <c r="R644" s="2"/>
      <c r="S644" s="2"/>
      <c r="T644" s="2"/>
    </row>
    <row r="645" spans="1:20" ht="15.75" customHeight="1">
      <c r="A645" s="1"/>
      <c r="B645" s="2"/>
      <c r="C645" s="2"/>
      <c r="D645" s="2"/>
      <c r="E645" s="2"/>
      <c r="F645" s="2"/>
      <c r="G645" s="2"/>
      <c r="H645" s="2"/>
      <c r="I645" s="2"/>
      <c r="J645" s="2"/>
      <c r="K645" s="2"/>
      <c r="L645" s="2"/>
      <c r="M645" s="2"/>
      <c r="N645" s="2"/>
      <c r="O645" s="2"/>
      <c r="P645" s="2"/>
      <c r="Q645" s="2"/>
      <c r="R645" s="2"/>
      <c r="S645" s="2"/>
      <c r="T645" s="2"/>
    </row>
    <row r="646" spans="1:20" ht="15.75" customHeight="1">
      <c r="A646" s="1"/>
      <c r="B646" s="2"/>
      <c r="C646" s="2"/>
      <c r="D646" s="2"/>
      <c r="E646" s="2"/>
      <c r="F646" s="2"/>
      <c r="G646" s="2"/>
      <c r="H646" s="2"/>
      <c r="I646" s="2"/>
      <c r="J646" s="2"/>
      <c r="K646" s="2"/>
      <c r="L646" s="2"/>
      <c r="M646" s="2"/>
      <c r="N646" s="2"/>
      <c r="O646" s="2"/>
      <c r="P646" s="2"/>
      <c r="Q646" s="2"/>
      <c r="R646" s="2"/>
      <c r="S646" s="2"/>
      <c r="T646" s="2"/>
    </row>
    <row r="647" spans="1:20" ht="15.75" customHeight="1">
      <c r="A647" s="1"/>
      <c r="B647" s="2"/>
      <c r="C647" s="2"/>
      <c r="D647" s="2"/>
      <c r="E647" s="2"/>
      <c r="F647" s="2"/>
      <c r="G647" s="2"/>
      <c r="H647" s="2"/>
      <c r="I647" s="2"/>
      <c r="J647" s="2"/>
      <c r="K647" s="2"/>
      <c r="L647" s="2"/>
      <c r="M647" s="2"/>
      <c r="N647" s="2"/>
      <c r="O647" s="2"/>
      <c r="P647" s="2"/>
      <c r="Q647" s="2"/>
      <c r="R647" s="2"/>
      <c r="S647" s="2"/>
      <c r="T647" s="2"/>
    </row>
    <row r="648" spans="1:20" ht="15.75" customHeight="1">
      <c r="A648" s="1"/>
      <c r="B648" s="2"/>
      <c r="C648" s="2"/>
      <c r="D648" s="2"/>
      <c r="E648" s="2"/>
      <c r="F648" s="2"/>
      <c r="G648" s="2"/>
      <c r="H648" s="2"/>
      <c r="I648" s="2"/>
      <c r="J648" s="2"/>
      <c r="K648" s="2"/>
      <c r="L648" s="2"/>
      <c r="M648" s="2"/>
      <c r="N648" s="2"/>
      <c r="O648" s="2"/>
      <c r="P648" s="2"/>
      <c r="Q648" s="2"/>
      <c r="R648" s="2"/>
      <c r="S648" s="2"/>
      <c r="T648" s="2"/>
    </row>
    <row r="649" spans="1:20" ht="15.75" customHeight="1">
      <c r="A649" s="1"/>
      <c r="B649" s="2"/>
      <c r="C649" s="2"/>
      <c r="D649" s="2"/>
      <c r="E649" s="2"/>
      <c r="F649" s="2"/>
      <c r="G649" s="2"/>
      <c r="H649" s="2"/>
      <c r="I649" s="2"/>
      <c r="J649" s="2"/>
      <c r="K649" s="2"/>
      <c r="L649" s="2"/>
      <c r="M649" s="2"/>
      <c r="N649" s="2"/>
      <c r="O649" s="2"/>
      <c r="P649" s="2"/>
      <c r="Q649" s="2"/>
      <c r="R649" s="2"/>
      <c r="S649" s="2"/>
      <c r="T649" s="2"/>
    </row>
    <row r="650" spans="1:20" ht="15.75" customHeight="1">
      <c r="A650" s="1"/>
      <c r="B650" s="2"/>
      <c r="C650" s="2"/>
      <c r="D650" s="2"/>
      <c r="E650" s="2"/>
      <c r="F650" s="2"/>
      <c r="G650" s="2"/>
      <c r="H650" s="2"/>
      <c r="I650" s="2"/>
      <c r="J650" s="2"/>
      <c r="K650" s="2"/>
      <c r="L650" s="2"/>
      <c r="M650" s="2"/>
      <c r="N650" s="2"/>
      <c r="O650" s="2"/>
      <c r="P650" s="2"/>
      <c r="Q650" s="2"/>
      <c r="R650" s="2"/>
      <c r="S650" s="2"/>
      <c r="T650" s="2"/>
    </row>
    <row r="651" spans="1:20" ht="15.75" customHeight="1">
      <c r="A651" s="1"/>
      <c r="B651" s="2"/>
      <c r="C651" s="2"/>
      <c r="D651" s="2"/>
      <c r="E651" s="2"/>
      <c r="F651" s="2"/>
      <c r="G651" s="2"/>
      <c r="H651" s="2"/>
      <c r="I651" s="2"/>
      <c r="J651" s="2"/>
      <c r="K651" s="2"/>
      <c r="L651" s="2"/>
      <c r="M651" s="2"/>
      <c r="N651" s="2"/>
      <c r="O651" s="2"/>
      <c r="P651" s="2"/>
      <c r="Q651" s="2"/>
      <c r="R651" s="2"/>
      <c r="S651" s="2"/>
      <c r="T651" s="2"/>
    </row>
    <row r="652" spans="1:20" ht="15.75" customHeight="1">
      <c r="A652" s="1"/>
      <c r="B652" s="2"/>
      <c r="C652" s="2"/>
      <c r="D652" s="2"/>
      <c r="E652" s="2"/>
      <c r="F652" s="2"/>
      <c r="G652" s="2"/>
      <c r="H652" s="2"/>
      <c r="I652" s="2"/>
      <c r="J652" s="2"/>
      <c r="K652" s="2"/>
      <c r="L652" s="2"/>
      <c r="M652" s="2"/>
      <c r="N652" s="2"/>
      <c r="O652" s="2"/>
      <c r="P652" s="2"/>
      <c r="Q652" s="2"/>
      <c r="R652" s="2"/>
      <c r="S652" s="2"/>
      <c r="T652" s="2"/>
    </row>
    <row r="653" spans="1:20" ht="15.75" customHeight="1">
      <c r="A653" s="1"/>
      <c r="B653" s="2"/>
      <c r="C653" s="2"/>
      <c r="D653" s="2"/>
      <c r="E653" s="2"/>
      <c r="F653" s="2"/>
      <c r="G653" s="2"/>
      <c r="H653" s="2"/>
      <c r="I653" s="2"/>
      <c r="J653" s="2"/>
      <c r="K653" s="2"/>
      <c r="L653" s="2"/>
      <c r="M653" s="2"/>
      <c r="N653" s="2"/>
      <c r="O653" s="2"/>
      <c r="P653" s="2"/>
      <c r="Q653" s="2"/>
      <c r="R653" s="2"/>
      <c r="S653" s="2"/>
      <c r="T653" s="2"/>
    </row>
    <row r="654" spans="1:20" ht="15.75" customHeight="1">
      <c r="A654" s="1"/>
      <c r="B654" s="2"/>
      <c r="C654" s="2"/>
      <c r="D654" s="2"/>
      <c r="E654" s="2"/>
      <c r="F654" s="2"/>
      <c r="G654" s="2"/>
      <c r="H654" s="2"/>
      <c r="I654" s="2"/>
      <c r="J654" s="2"/>
      <c r="K654" s="2"/>
      <c r="L654" s="2"/>
      <c r="M654" s="2"/>
      <c r="N654" s="2"/>
      <c r="O654" s="2"/>
      <c r="P654" s="2"/>
      <c r="Q654" s="2"/>
      <c r="R654" s="2"/>
      <c r="S654" s="2"/>
      <c r="T654" s="2"/>
    </row>
    <row r="655" spans="1:20" ht="15.75" customHeight="1">
      <c r="A655" s="1"/>
      <c r="B655" s="2"/>
      <c r="C655" s="2"/>
      <c r="D655" s="2"/>
      <c r="E655" s="2"/>
      <c r="F655" s="2"/>
      <c r="G655" s="2"/>
      <c r="H655" s="2"/>
      <c r="I655" s="2"/>
      <c r="J655" s="2"/>
      <c r="K655" s="2"/>
      <c r="L655" s="2"/>
      <c r="M655" s="2"/>
      <c r="N655" s="2"/>
      <c r="O655" s="2"/>
      <c r="P655" s="2"/>
      <c r="Q655" s="2"/>
      <c r="R655" s="2"/>
      <c r="S655" s="2"/>
      <c r="T655" s="2"/>
    </row>
    <row r="656" spans="1:20" ht="15.75" customHeight="1">
      <c r="A656" s="1"/>
      <c r="B656" s="2"/>
      <c r="C656" s="2"/>
      <c r="D656" s="2"/>
      <c r="E656" s="2"/>
      <c r="F656" s="2"/>
      <c r="G656" s="2"/>
      <c r="H656" s="2"/>
      <c r="I656" s="2"/>
      <c r="J656" s="2"/>
      <c r="K656" s="2"/>
      <c r="L656" s="2"/>
      <c r="M656" s="2"/>
      <c r="N656" s="2"/>
      <c r="O656" s="2"/>
      <c r="P656" s="2"/>
      <c r="Q656" s="2"/>
      <c r="R656" s="2"/>
      <c r="S656" s="2"/>
      <c r="T656" s="2"/>
    </row>
    <row r="657" spans="1:20" ht="15.75" customHeight="1">
      <c r="A657" s="1"/>
      <c r="B657" s="2"/>
      <c r="C657" s="2"/>
      <c r="D657" s="2"/>
      <c r="E657" s="2"/>
      <c r="F657" s="2"/>
      <c r="G657" s="2"/>
      <c r="H657" s="2"/>
      <c r="I657" s="2"/>
      <c r="J657" s="2"/>
      <c r="K657" s="2"/>
      <c r="L657" s="2"/>
      <c r="M657" s="2"/>
      <c r="N657" s="2"/>
      <c r="O657" s="2"/>
      <c r="P657" s="2"/>
      <c r="Q657" s="2"/>
      <c r="R657" s="2"/>
      <c r="S657" s="2"/>
      <c r="T657" s="2"/>
    </row>
    <row r="658" spans="1:20" ht="15.75" customHeight="1">
      <c r="A658" s="1"/>
      <c r="B658" s="2"/>
      <c r="C658" s="2"/>
      <c r="D658" s="2"/>
      <c r="E658" s="2"/>
      <c r="F658" s="2"/>
      <c r="G658" s="2"/>
      <c r="H658" s="2"/>
      <c r="I658" s="2"/>
      <c r="J658" s="2"/>
      <c r="K658" s="2"/>
      <c r="L658" s="2"/>
      <c r="M658" s="2"/>
      <c r="N658" s="2"/>
      <c r="O658" s="2"/>
      <c r="P658" s="2"/>
      <c r="Q658" s="2"/>
      <c r="R658" s="2"/>
      <c r="S658" s="2"/>
      <c r="T658" s="2"/>
    </row>
    <row r="659" spans="1:20" ht="15.75" customHeight="1">
      <c r="A659" s="1"/>
      <c r="B659" s="2"/>
      <c r="C659" s="2"/>
      <c r="D659" s="2"/>
      <c r="E659" s="2"/>
      <c r="F659" s="2"/>
      <c r="G659" s="2"/>
      <c r="H659" s="2"/>
      <c r="I659" s="2"/>
      <c r="J659" s="2"/>
      <c r="K659" s="2"/>
      <c r="L659" s="2"/>
      <c r="M659" s="2"/>
      <c r="N659" s="2"/>
      <c r="O659" s="2"/>
      <c r="P659" s="2"/>
      <c r="Q659" s="2"/>
      <c r="R659" s="2"/>
      <c r="S659" s="2"/>
      <c r="T659" s="2"/>
    </row>
    <row r="660" spans="1:20" ht="15.75" customHeight="1">
      <c r="A660" s="1"/>
      <c r="B660" s="2"/>
      <c r="C660" s="2"/>
      <c r="D660" s="2"/>
      <c r="E660" s="2"/>
      <c r="F660" s="2"/>
      <c r="G660" s="2"/>
      <c r="H660" s="2"/>
      <c r="I660" s="2"/>
      <c r="J660" s="2"/>
      <c r="K660" s="2"/>
      <c r="L660" s="2"/>
      <c r="M660" s="2"/>
      <c r="N660" s="2"/>
      <c r="O660" s="2"/>
      <c r="P660" s="2"/>
      <c r="Q660" s="2"/>
      <c r="R660" s="2"/>
      <c r="S660" s="2"/>
      <c r="T660" s="2"/>
    </row>
    <row r="661" spans="1:20" ht="15.75" customHeight="1">
      <c r="A661" s="1"/>
      <c r="B661" s="2"/>
      <c r="C661" s="2"/>
      <c r="D661" s="2"/>
      <c r="E661" s="2"/>
      <c r="F661" s="2"/>
      <c r="G661" s="2"/>
      <c r="H661" s="2"/>
      <c r="I661" s="2"/>
      <c r="J661" s="2"/>
      <c r="K661" s="2"/>
      <c r="L661" s="2"/>
      <c r="M661" s="2"/>
      <c r="N661" s="2"/>
      <c r="O661" s="2"/>
      <c r="P661" s="2"/>
      <c r="Q661" s="2"/>
      <c r="R661" s="2"/>
      <c r="S661" s="2"/>
      <c r="T661" s="2"/>
    </row>
    <row r="662" spans="1:20" ht="15.75" customHeight="1">
      <c r="A662" s="1"/>
      <c r="B662" s="2"/>
      <c r="C662" s="2"/>
      <c r="D662" s="2"/>
      <c r="E662" s="2"/>
      <c r="F662" s="2"/>
      <c r="G662" s="2"/>
      <c r="H662" s="2"/>
      <c r="I662" s="2"/>
      <c r="J662" s="2"/>
      <c r="K662" s="2"/>
      <c r="L662" s="2"/>
      <c r="M662" s="2"/>
      <c r="N662" s="2"/>
      <c r="O662" s="2"/>
      <c r="P662" s="2"/>
      <c r="Q662" s="2"/>
      <c r="R662" s="2"/>
      <c r="S662" s="2"/>
      <c r="T662" s="2"/>
    </row>
    <row r="663" spans="1:20" ht="15.75" customHeight="1">
      <c r="A663" s="1"/>
      <c r="B663" s="2"/>
      <c r="C663" s="2"/>
      <c r="D663" s="2"/>
      <c r="E663" s="2"/>
      <c r="F663" s="2"/>
      <c r="G663" s="2"/>
      <c r="H663" s="2"/>
      <c r="I663" s="2"/>
      <c r="J663" s="2"/>
      <c r="K663" s="2"/>
      <c r="L663" s="2"/>
      <c r="M663" s="2"/>
      <c r="N663" s="2"/>
      <c r="O663" s="2"/>
      <c r="P663" s="2"/>
      <c r="Q663" s="2"/>
      <c r="R663" s="2"/>
      <c r="S663" s="2"/>
      <c r="T663" s="2"/>
    </row>
    <row r="664" spans="1:20" ht="15.75" customHeight="1">
      <c r="A664" s="1"/>
      <c r="B664" s="2"/>
      <c r="C664" s="2"/>
      <c r="D664" s="2"/>
      <c r="E664" s="2"/>
      <c r="F664" s="2"/>
      <c r="G664" s="2"/>
      <c r="H664" s="2"/>
      <c r="I664" s="2"/>
      <c r="J664" s="2"/>
      <c r="K664" s="2"/>
      <c r="L664" s="2"/>
      <c r="M664" s="2"/>
      <c r="N664" s="2"/>
      <c r="O664" s="2"/>
      <c r="P664" s="2"/>
      <c r="Q664" s="2"/>
      <c r="R664" s="2"/>
      <c r="S664" s="2"/>
      <c r="T664" s="2"/>
    </row>
    <row r="665" spans="1:20" ht="15.75" customHeight="1">
      <c r="A665" s="1"/>
      <c r="B665" s="2"/>
      <c r="C665" s="2"/>
      <c r="D665" s="2"/>
      <c r="E665" s="2"/>
      <c r="F665" s="2"/>
      <c r="G665" s="2"/>
      <c r="H665" s="2"/>
      <c r="I665" s="2"/>
      <c r="J665" s="2"/>
      <c r="K665" s="2"/>
      <c r="L665" s="2"/>
      <c r="M665" s="2"/>
      <c r="N665" s="2"/>
      <c r="O665" s="2"/>
      <c r="P665" s="2"/>
      <c r="Q665" s="2"/>
      <c r="R665" s="2"/>
      <c r="S665" s="2"/>
      <c r="T665" s="2"/>
    </row>
    <row r="666" spans="1:20" ht="15.75" customHeight="1">
      <c r="A666" s="1"/>
      <c r="B666" s="2"/>
      <c r="C666" s="2"/>
      <c r="D666" s="2"/>
      <c r="E666" s="2"/>
      <c r="F666" s="2"/>
      <c r="G666" s="2"/>
      <c r="H666" s="2"/>
      <c r="I666" s="2"/>
      <c r="J666" s="2"/>
      <c r="K666" s="2"/>
      <c r="L666" s="2"/>
      <c r="M666" s="2"/>
      <c r="N666" s="2"/>
      <c r="O666" s="2"/>
      <c r="P666" s="2"/>
      <c r="Q666" s="2"/>
      <c r="R666" s="2"/>
      <c r="S666" s="2"/>
      <c r="T666" s="2"/>
    </row>
    <row r="667" spans="1:20" ht="15.75" customHeight="1">
      <c r="A667" s="1"/>
      <c r="B667" s="2"/>
      <c r="C667" s="2"/>
      <c r="D667" s="2"/>
      <c r="E667" s="2"/>
      <c r="F667" s="2"/>
      <c r="G667" s="2"/>
      <c r="H667" s="2"/>
      <c r="I667" s="2"/>
      <c r="J667" s="2"/>
      <c r="K667" s="2"/>
      <c r="L667" s="2"/>
      <c r="M667" s="2"/>
      <c r="N667" s="2"/>
      <c r="O667" s="2"/>
      <c r="P667" s="2"/>
      <c r="Q667" s="2"/>
      <c r="R667" s="2"/>
      <c r="S667" s="2"/>
      <c r="T667" s="2"/>
    </row>
    <row r="668" spans="1:20" ht="15.75" customHeight="1">
      <c r="A668" s="1"/>
      <c r="B668" s="2"/>
      <c r="C668" s="2"/>
      <c r="D668" s="2"/>
      <c r="E668" s="2"/>
      <c r="F668" s="2"/>
      <c r="G668" s="2"/>
      <c r="H668" s="2"/>
      <c r="I668" s="2"/>
      <c r="J668" s="2"/>
      <c r="K668" s="2"/>
      <c r="L668" s="2"/>
      <c r="M668" s="2"/>
      <c r="N668" s="2"/>
      <c r="O668" s="2"/>
      <c r="P668" s="2"/>
      <c r="Q668" s="2"/>
      <c r="R668" s="2"/>
      <c r="S668" s="2"/>
      <c r="T668" s="2"/>
    </row>
    <row r="669" spans="1:20" ht="15.75" customHeight="1">
      <c r="A669" s="1"/>
      <c r="B669" s="2"/>
      <c r="C669" s="2"/>
      <c r="D669" s="2"/>
      <c r="E669" s="2"/>
      <c r="F669" s="2"/>
      <c r="G669" s="2"/>
      <c r="H669" s="2"/>
      <c r="I669" s="2"/>
      <c r="J669" s="2"/>
      <c r="K669" s="2"/>
      <c r="L669" s="2"/>
      <c r="M669" s="2"/>
      <c r="N669" s="2"/>
      <c r="O669" s="2"/>
      <c r="P669" s="2"/>
      <c r="Q669" s="2"/>
      <c r="R669" s="2"/>
      <c r="S669" s="2"/>
      <c r="T669" s="2"/>
    </row>
    <row r="670" spans="1:20" ht="15.75" customHeight="1">
      <c r="A670" s="1"/>
      <c r="B670" s="2"/>
      <c r="C670" s="2"/>
      <c r="D670" s="2"/>
      <c r="E670" s="2"/>
      <c r="F670" s="2"/>
      <c r="G670" s="2"/>
      <c r="H670" s="2"/>
      <c r="I670" s="2"/>
      <c r="J670" s="2"/>
      <c r="K670" s="2"/>
      <c r="L670" s="2"/>
      <c r="M670" s="2"/>
      <c r="N670" s="2"/>
      <c r="O670" s="2"/>
      <c r="P670" s="2"/>
      <c r="Q670" s="2"/>
      <c r="R670" s="2"/>
      <c r="S670" s="2"/>
      <c r="T670" s="2"/>
    </row>
    <row r="671" spans="1:20" ht="15.75" customHeight="1">
      <c r="A671" s="1"/>
      <c r="B671" s="2"/>
      <c r="C671" s="2"/>
      <c r="D671" s="2"/>
      <c r="E671" s="2"/>
      <c r="F671" s="2"/>
      <c r="G671" s="2"/>
      <c r="H671" s="2"/>
      <c r="I671" s="2"/>
      <c r="J671" s="2"/>
      <c r="K671" s="2"/>
      <c r="L671" s="2"/>
      <c r="M671" s="2"/>
      <c r="N671" s="2"/>
      <c r="O671" s="2"/>
      <c r="P671" s="2"/>
      <c r="Q671" s="2"/>
      <c r="R671" s="2"/>
      <c r="S671" s="2"/>
      <c r="T671" s="2"/>
    </row>
    <row r="672" spans="1:20" ht="15.75" customHeight="1">
      <c r="A672" s="1"/>
      <c r="B672" s="2"/>
      <c r="C672" s="2"/>
      <c r="D672" s="2"/>
      <c r="E672" s="2"/>
      <c r="F672" s="2"/>
      <c r="G672" s="2"/>
      <c r="H672" s="2"/>
      <c r="I672" s="2"/>
      <c r="J672" s="2"/>
      <c r="K672" s="2"/>
      <c r="L672" s="2"/>
      <c r="M672" s="2"/>
      <c r="N672" s="2"/>
      <c r="O672" s="2"/>
      <c r="P672" s="2"/>
      <c r="Q672" s="2"/>
      <c r="R672" s="2"/>
      <c r="S672" s="2"/>
      <c r="T672" s="2"/>
    </row>
    <row r="673" spans="1:20" ht="15.75" customHeight="1">
      <c r="A673" s="1"/>
      <c r="B673" s="2"/>
      <c r="C673" s="2"/>
      <c r="D673" s="2"/>
      <c r="E673" s="2"/>
      <c r="F673" s="2"/>
      <c r="G673" s="2"/>
      <c r="H673" s="2"/>
      <c r="I673" s="2"/>
      <c r="J673" s="2"/>
      <c r="K673" s="2"/>
      <c r="L673" s="2"/>
      <c r="M673" s="2"/>
      <c r="N673" s="2"/>
      <c r="O673" s="2"/>
      <c r="P673" s="2"/>
      <c r="Q673" s="2"/>
      <c r="R673" s="2"/>
      <c r="S673" s="2"/>
      <c r="T673" s="2"/>
    </row>
    <row r="674" spans="1:20" ht="15.75" customHeight="1">
      <c r="A674" s="1"/>
      <c r="B674" s="2"/>
      <c r="C674" s="2"/>
      <c r="D674" s="2"/>
      <c r="E674" s="2"/>
      <c r="F674" s="2"/>
      <c r="G674" s="2"/>
      <c r="H674" s="2"/>
      <c r="I674" s="2"/>
      <c r="J674" s="2"/>
      <c r="K674" s="2"/>
      <c r="L674" s="2"/>
      <c r="M674" s="2"/>
      <c r="N674" s="2"/>
      <c r="O674" s="2"/>
      <c r="P674" s="2"/>
      <c r="Q674" s="2"/>
      <c r="R674" s="2"/>
      <c r="S674" s="2"/>
      <c r="T674" s="2"/>
    </row>
    <row r="675" spans="1:20" ht="15.75" customHeight="1">
      <c r="A675" s="1"/>
      <c r="B675" s="2"/>
      <c r="C675" s="2"/>
      <c r="D675" s="2"/>
      <c r="E675" s="2"/>
      <c r="F675" s="2"/>
      <c r="G675" s="2"/>
      <c r="H675" s="2"/>
      <c r="I675" s="2"/>
      <c r="J675" s="2"/>
      <c r="K675" s="2"/>
      <c r="L675" s="2"/>
      <c r="M675" s="2"/>
      <c r="N675" s="2"/>
      <c r="O675" s="2"/>
      <c r="P675" s="2"/>
      <c r="Q675" s="2"/>
      <c r="R675" s="2"/>
      <c r="S675" s="2"/>
      <c r="T675" s="2"/>
    </row>
    <row r="676" spans="1:20" ht="15.75" customHeight="1">
      <c r="A676" s="1"/>
      <c r="B676" s="2"/>
      <c r="C676" s="2"/>
      <c r="D676" s="2"/>
      <c r="E676" s="2"/>
      <c r="F676" s="2"/>
      <c r="G676" s="2"/>
      <c r="H676" s="2"/>
      <c r="I676" s="2"/>
      <c r="J676" s="2"/>
      <c r="K676" s="2"/>
      <c r="L676" s="2"/>
      <c r="M676" s="2"/>
      <c r="N676" s="2"/>
      <c r="O676" s="2"/>
      <c r="P676" s="2"/>
      <c r="Q676" s="2"/>
      <c r="R676" s="2"/>
      <c r="S676" s="2"/>
      <c r="T676" s="2"/>
    </row>
    <row r="677" spans="1:20" ht="15.75" customHeight="1">
      <c r="A677" s="1"/>
      <c r="B677" s="2"/>
      <c r="C677" s="2"/>
      <c r="D677" s="2"/>
      <c r="E677" s="2"/>
      <c r="F677" s="2"/>
      <c r="G677" s="2"/>
      <c r="H677" s="2"/>
      <c r="I677" s="2"/>
      <c r="J677" s="2"/>
      <c r="K677" s="2"/>
      <c r="L677" s="2"/>
      <c r="M677" s="2"/>
      <c r="N677" s="2"/>
      <c r="O677" s="2"/>
      <c r="P677" s="2"/>
      <c r="Q677" s="2"/>
      <c r="R677" s="2"/>
      <c r="S677" s="2"/>
      <c r="T677" s="2"/>
    </row>
    <row r="678" spans="1:20" ht="15.75" customHeight="1">
      <c r="A678" s="1"/>
      <c r="B678" s="2"/>
      <c r="C678" s="2"/>
      <c r="D678" s="2"/>
      <c r="E678" s="2"/>
      <c r="F678" s="2"/>
      <c r="G678" s="2"/>
      <c r="H678" s="2"/>
      <c r="I678" s="2"/>
      <c r="J678" s="2"/>
      <c r="K678" s="2"/>
      <c r="L678" s="2"/>
      <c r="M678" s="2"/>
      <c r="N678" s="2"/>
      <c r="O678" s="2"/>
      <c r="P678" s="2"/>
      <c r="Q678" s="2"/>
      <c r="R678" s="2"/>
      <c r="S678" s="2"/>
      <c r="T678" s="2"/>
    </row>
    <row r="679" spans="1:20" ht="15.75" customHeight="1">
      <c r="A679" s="1"/>
      <c r="B679" s="2"/>
      <c r="C679" s="2"/>
      <c r="D679" s="2"/>
      <c r="E679" s="2"/>
      <c r="F679" s="2"/>
      <c r="G679" s="2"/>
      <c r="H679" s="2"/>
      <c r="I679" s="2"/>
      <c r="J679" s="2"/>
      <c r="K679" s="2"/>
      <c r="L679" s="2"/>
      <c r="M679" s="2"/>
      <c r="N679" s="2"/>
      <c r="O679" s="2"/>
      <c r="P679" s="2"/>
      <c r="Q679" s="2"/>
      <c r="R679" s="2"/>
      <c r="S679" s="2"/>
      <c r="T679" s="2"/>
    </row>
    <row r="680" spans="1:20" ht="15.75" customHeight="1">
      <c r="A680" s="1"/>
      <c r="B680" s="2"/>
      <c r="C680" s="2"/>
      <c r="D680" s="2"/>
      <c r="E680" s="2"/>
      <c r="F680" s="2"/>
      <c r="G680" s="2"/>
      <c r="H680" s="2"/>
      <c r="I680" s="2"/>
      <c r="J680" s="2"/>
      <c r="K680" s="2"/>
      <c r="L680" s="2"/>
      <c r="M680" s="2"/>
      <c r="N680" s="2"/>
      <c r="O680" s="2"/>
      <c r="P680" s="2"/>
      <c r="Q680" s="2"/>
      <c r="R680" s="2"/>
      <c r="S680" s="2"/>
      <c r="T680" s="2"/>
    </row>
    <row r="681" spans="1:20" ht="15.75" customHeight="1">
      <c r="A681" s="1"/>
      <c r="B681" s="2"/>
      <c r="C681" s="2"/>
      <c r="D681" s="2"/>
      <c r="E681" s="2"/>
      <c r="F681" s="2"/>
      <c r="G681" s="2"/>
      <c r="H681" s="2"/>
      <c r="I681" s="2"/>
      <c r="J681" s="2"/>
      <c r="K681" s="2"/>
      <c r="L681" s="2"/>
      <c r="M681" s="2"/>
      <c r="N681" s="2"/>
      <c r="O681" s="2"/>
      <c r="P681" s="2"/>
      <c r="Q681" s="2"/>
      <c r="R681" s="2"/>
      <c r="S681" s="2"/>
      <c r="T681" s="2"/>
    </row>
    <row r="682" spans="1:20" ht="15.75" customHeight="1">
      <c r="A682" s="1"/>
      <c r="B682" s="2"/>
      <c r="C682" s="2"/>
      <c r="D682" s="2"/>
      <c r="E682" s="2"/>
      <c r="F682" s="2"/>
      <c r="G682" s="2"/>
      <c r="H682" s="2"/>
      <c r="I682" s="2"/>
      <c r="J682" s="2"/>
      <c r="K682" s="2"/>
      <c r="L682" s="2"/>
      <c r="M682" s="2"/>
      <c r="N682" s="2"/>
      <c r="O682" s="2"/>
      <c r="P682" s="2"/>
      <c r="Q682" s="2"/>
      <c r="R682" s="2"/>
      <c r="S682" s="2"/>
      <c r="T682" s="2"/>
    </row>
    <row r="683" spans="1:20" ht="15.75" customHeight="1">
      <c r="A683" s="1"/>
      <c r="B683" s="2"/>
      <c r="C683" s="2"/>
      <c r="D683" s="2"/>
      <c r="E683" s="2"/>
      <c r="F683" s="2"/>
      <c r="G683" s="2"/>
      <c r="H683" s="2"/>
      <c r="I683" s="2"/>
      <c r="J683" s="2"/>
      <c r="K683" s="2"/>
      <c r="L683" s="2"/>
      <c r="M683" s="2"/>
      <c r="N683" s="2"/>
      <c r="O683" s="2"/>
      <c r="P683" s="2"/>
      <c r="Q683" s="2"/>
      <c r="R683" s="2"/>
      <c r="S683" s="2"/>
      <c r="T683" s="2"/>
    </row>
    <row r="684" spans="1:20" ht="15.75" customHeight="1">
      <c r="A684" s="1"/>
      <c r="B684" s="2"/>
      <c r="C684" s="2"/>
      <c r="D684" s="2"/>
      <c r="E684" s="2"/>
      <c r="F684" s="2"/>
      <c r="G684" s="2"/>
      <c r="H684" s="2"/>
      <c r="I684" s="2"/>
      <c r="J684" s="2"/>
      <c r="K684" s="2"/>
      <c r="L684" s="2"/>
      <c r="M684" s="2"/>
      <c r="N684" s="2"/>
      <c r="O684" s="2"/>
      <c r="P684" s="2"/>
      <c r="Q684" s="2"/>
      <c r="R684" s="2"/>
      <c r="S684" s="2"/>
      <c r="T684" s="2"/>
    </row>
    <row r="685" spans="1:20" ht="15.75" customHeight="1">
      <c r="A685" s="1"/>
      <c r="B685" s="2"/>
      <c r="C685" s="2"/>
      <c r="D685" s="2"/>
      <c r="E685" s="2"/>
      <c r="F685" s="2"/>
      <c r="G685" s="2"/>
      <c r="H685" s="2"/>
      <c r="I685" s="2"/>
      <c r="J685" s="2"/>
      <c r="K685" s="2"/>
      <c r="L685" s="2"/>
      <c r="M685" s="2"/>
      <c r="N685" s="2"/>
      <c r="O685" s="2"/>
      <c r="P685" s="2"/>
      <c r="Q685" s="2"/>
      <c r="R685" s="2"/>
      <c r="S685" s="2"/>
      <c r="T685" s="2"/>
    </row>
    <row r="686" spans="1:20" ht="15.75" customHeight="1">
      <c r="A686" s="1"/>
      <c r="B686" s="2"/>
      <c r="C686" s="2"/>
      <c r="D686" s="2"/>
      <c r="E686" s="2"/>
      <c r="F686" s="2"/>
      <c r="G686" s="2"/>
      <c r="H686" s="2"/>
      <c r="I686" s="2"/>
      <c r="J686" s="2"/>
      <c r="K686" s="2"/>
      <c r="L686" s="2"/>
      <c r="M686" s="2"/>
      <c r="N686" s="2"/>
      <c r="O686" s="2"/>
      <c r="P686" s="2"/>
      <c r="Q686" s="2"/>
      <c r="R686" s="2"/>
      <c r="S686" s="2"/>
      <c r="T686" s="2"/>
    </row>
    <row r="687" spans="1:20" ht="15.75" customHeight="1">
      <c r="A687" s="1"/>
      <c r="B687" s="2"/>
      <c r="C687" s="2"/>
      <c r="D687" s="2"/>
      <c r="E687" s="2"/>
      <c r="F687" s="2"/>
      <c r="G687" s="2"/>
      <c r="H687" s="2"/>
      <c r="I687" s="2"/>
      <c r="J687" s="2"/>
      <c r="K687" s="2"/>
      <c r="L687" s="2"/>
      <c r="M687" s="2"/>
      <c r="N687" s="2"/>
      <c r="O687" s="2"/>
      <c r="P687" s="2"/>
      <c r="Q687" s="2"/>
      <c r="R687" s="2"/>
      <c r="S687" s="2"/>
      <c r="T687" s="2"/>
    </row>
    <row r="688" spans="1:20" ht="15.75" customHeight="1">
      <c r="A688" s="1"/>
      <c r="B688" s="2"/>
      <c r="C688" s="2"/>
      <c r="D688" s="2"/>
      <c r="E688" s="2"/>
      <c r="F688" s="2"/>
      <c r="G688" s="2"/>
      <c r="H688" s="2"/>
      <c r="I688" s="2"/>
      <c r="J688" s="2"/>
      <c r="K688" s="2"/>
      <c r="L688" s="2"/>
      <c r="M688" s="2"/>
      <c r="N688" s="2"/>
      <c r="O688" s="2"/>
      <c r="P688" s="2"/>
      <c r="Q688" s="2"/>
      <c r="R688" s="2"/>
      <c r="S688" s="2"/>
      <c r="T688" s="2"/>
    </row>
    <row r="689" spans="1:20" ht="15.75" customHeight="1">
      <c r="A689" s="1"/>
      <c r="B689" s="2"/>
      <c r="C689" s="2"/>
      <c r="D689" s="2"/>
      <c r="E689" s="2"/>
      <c r="F689" s="2"/>
      <c r="G689" s="2"/>
      <c r="H689" s="2"/>
      <c r="I689" s="2"/>
      <c r="J689" s="2"/>
      <c r="K689" s="2"/>
      <c r="L689" s="2"/>
      <c r="M689" s="2"/>
      <c r="N689" s="2"/>
      <c r="O689" s="2"/>
      <c r="P689" s="2"/>
      <c r="Q689" s="2"/>
      <c r="R689" s="2"/>
      <c r="S689" s="2"/>
      <c r="T689" s="2"/>
    </row>
    <row r="690" spans="1:20" ht="15.75" customHeight="1">
      <c r="A690" s="1"/>
      <c r="B690" s="2"/>
      <c r="C690" s="2"/>
      <c r="D690" s="2"/>
      <c r="E690" s="2"/>
      <c r="F690" s="2"/>
      <c r="G690" s="2"/>
      <c r="H690" s="2"/>
      <c r="I690" s="2"/>
      <c r="J690" s="2"/>
      <c r="K690" s="2"/>
      <c r="L690" s="2"/>
      <c r="M690" s="2"/>
      <c r="N690" s="2"/>
      <c r="O690" s="2"/>
      <c r="P690" s="2"/>
      <c r="Q690" s="2"/>
      <c r="R690" s="2"/>
      <c r="S690" s="2"/>
      <c r="T690" s="2"/>
    </row>
    <row r="691" spans="1:20" ht="15.75" customHeight="1">
      <c r="A691" s="1"/>
      <c r="B691" s="2"/>
      <c r="C691" s="2"/>
      <c r="D691" s="2"/>
      <c r="E691" s="2"/>
      <c r="F691" s="2"/>
      <c r="G691" s="2"/>
      <c r="H691" s="2"/>
      <c r="I691" s="2"/>
      <c r="J691" s="2"/>
      <c r="K691" s="2"/>
      <c r="L691" s="2"/>
      <c r="M691" s="2"/>
      <c r="N691" s="2"/>
      <c r="O691" s="2"/>
      <c r="P691" s="2"/>
      <c r="Q691" s="2"/>
      <c r="R691" s="2"/>
      <c r="S691" s="2"/>
      <c r="T691" s="2"/>
    </row>
    <row r="692" spans="1:20" ht="15.75" customHeight="1">
      <c r="A692" s="1"/>
      <c r="B692" s="2"/>
      <c r="C692" s="2"/>
      <c r="D692" s="2"/>
      <c r="E692" s="2"/>
      <c r="F692" s="2"/>
      <c r="G692" s="2"/>
      <c r="H692" s="2"/>
      <c r="I692" s="2"/>
      <c r="J692" s="2"/>
      <c r="K692" s="2"/>
      <c r="L692" s="2"/>
      <c r="M692" s="2"/>
      <c r="N692" s="2"/>
      <c r="O692" s="2"/>
      <c r="P692" s="2"/>
      <c r="Q692" s="2"/>
      <c r="R692" s="2"/>
      <c r="S692" s="2"/>
      <c r="T692" s="2"/>
    </row>
    <row r="693" spans="1:20" ht="15.75" customHeight="1">
      <c r="A693" s="1"/>
      <c r="B693" s="2"/>
      <c r="C693" s="2"/>
      <c r="D693" s="2"/>
      <c r="E693" s="2"/>
      <c r="F693" s="2"/>
      <c r="G693" s="2"/>
      <c r="H693" s="2"/>
      <c r="I693" s="2"/>
      <c r="J693" s="2"/>
      <c r="K693" s="2"/>
      <c r="L693" s="2"/>
      <c r="M693" s="2"/>
      <c r="N693" s="2"/>
      <c r="O693" s="2"/>
      <c r="P693" s="2"/>
      <c r="Q693" s="2"/>
      <c r="R693" s="2"/>
      <c r="S693" s="2"/>
      <c r="T693" s="2"/>
    </row>
    <row r="694" spans="1:20" ht="15.75" customHeight="1">
      <c r="A694" s="1"/>
      <c r="B694" s="2"/>
      <c r="C694" s="2"/>
      <c r="D694" s="2"/>
      <c r="E694" s="2"/>
      <c r="F694" s="2"/>
      <c r="G694" s="2"/>
      <c r="H694" s="2"/>
      <c r="I694" s="2"/>
      <c r="J694" s="2"/>
      <c r="K694" s="2"/>
      <c r="L694" s="2"/>
      <c r="M694" s="2"/>
      <c r="N694" s="2"/>
      <c r="O694" s="2"/>
      <c r="P694" s="2"/>
      <c r="Q694" s="2"/>
      <c r="R694" s="2"/>
      <c r="S694" s="2"/>
      <c r="T694" s="2"/>
    </row>
    <row r="695" spans="1:20" ht="15.75" customHeight="1">
      <c r="A695" s="1"/>
      <c r="B695" s="2"/>
      <c r="C695" s="2"/>
      <c r="D695" s="2"/>
      <c r="E695" s="2"/>
      <c r="F695" s="2"/>
      <c r="G695" s="2"/>
      <c r="H695" s="2"/>
      <c r="I695" s="2"/>
      <c r="J695" s="2"/>
      <c r="K695" s="2"/>
      <c r="L695" s="2"/>
      <c r="M695" s="2"/>
      <c r="N695" s="2"/>
      <c r="O695" s="2"/>
      <c r="P695" s="2"/>
      <c r="Q695" s="2"/>
      <c r="R695" s="2"/>
      <c r="S695" s="2"/>
      <c r="T695" s="2"/>
    </row>
    <row r="696" spans="1:20" ht="15.75" customHeight="1">
      <c r="A696" s="1"/>
      <c r="B696" s="2"/>
      <c r="C696" s="2"/>
      <c r="D696" s="2"/>
      <c r="E696" s="2"/>
      <c r="F696" s="2"/>
      <c r="G696" s="2"/>
      <c r="H696" s="2"/>
      <c r="I696" s="2"/>
      <c r="J696" s="2"/>
      <c r="K696" s="2"/>
      <c r="L696" s="2"/>
      <c r="M696" s="2"/>
      <c r="N696" s="2"/>
      <c r="O696" s="2"/>
      <c r="P696" s="2"/>
      <c r="Q696" s="2"/>
      <c r="R696" s="2"/>
      <c r="S696" s="2"/>
      <c r="T696" s="2"/>
    </row>
    <row r="697" spans="1:20" ht="15.75" customHeight="1">
      <c r="A697" s="1"/>
      <c r="B697" s="2"/>
      <c r="C697" s="2"/>
      <c r="D697" s="2"/>
      <c r="E697" s="2"/>
      <c r="F697" s="2"/>
      <c r="G697" s="2"/>
      <c r="H697" s="2"/>
      <c r="I697" s="2"/>
      <c r="J697" s="2"/>
      <c r="K697" s="2"/>
      <c r="L697" s="2"/>
      <c r="M697" s="2"/>
      <c r="N697" s="2"/>
      <c r="O697" s="2"/>
      <c r="P697" s="2"/>
      <c r="Q697" s="2"/>
      <c r="R697" s="2"/>
      <c r="S697" s="2"/>
      <c r="T697" s="2"/>
    </row>
    <row r="698" spans="1:20" ht="15.75" customHeight="1">
      <c r="A698" s="1"/>
      <c r="B698" s="2"/>
      <c r="C698" s="2"/>
      <c r="D698" s="2"/>
      <c r="E698" s="2"/>
      <c r="F698" s="2"/>
      <c r="G698" s="2"/>
      <c r="H698" s="2"/>
      <c r="I698" s="2"/>
      <c r="J698" s="2"/>
      <c r="K698" s="2"/>
      <c r="L698" s="2"/>
      <c r="M698" s="2"/>
      <c r="N698" s="2"/>
      <c r="O698" s="2"/>
      <c r="P698" s="2"/>
      <c r="Q698" s="2"/>
      <c r="R698" s="2"/>
      <c r="S698" s="2"/>
      <c r="T698" s="2"/>
    </row>
    <row r="699" spans="1:20" ht="15.75" customHeight="1">
      <c r="A699" s="1"/>
      <c r="B699" s="2"/>
      <c r="C699" s="2"/>
      <c r="D699" s="2"/>
      <c r="E699" s="2"/>
      <c r="F699" s="2"/>
      <c r="G699" s="2"/>
      <c r="H699" s="2"/>
      <c r="I699" s="2"/>
      <c r="J699" s="2"/>
      <c r="K699" s="2"/>
      <c r="L699" s="2"/>
      <c r="M699" s="2"/>
      <c r="N699" s="2"/>
      <c r="O699" s="2"/>
      <c r="P699" s="2"/>
      <c r="Q699" s="2"/>
      <c r="R699" s="2"/>
      <c r="S699" s="2"/>
      <c r="T699" s="2"/>
    </row>
    <row r="700" spans="1:20" ht="15.75" customHeight="1">
      <c r="A700" s="1"/>
      <c r="B700" s="2"/>
      <c r="C700" s="2"/>
      <c r="D700" s="2"/>
      <c r="E700" s="2"/>
      <c r="F700" s="2"/>
      <c r="G700" s="2"/>
      <c r="H700" s="2"/>
      <c r="I700" s="2"/>
      <c r="J700" s="2"/>
      <c r="K700" s="2"/>
      <c r="L700" s="2"/>
      <c r="M700" s="2"/>
      <c r="N700" s="2"/>
      <c r="O700" s="2"/>
      <c r="P700" s="2"/>
      <c r="Q700" s="2"/>
      <c r="R700" s="2"/>
      <c r="S700" s="2"/>
      <c r="T700" s="2"/>
    </row>
    <row r="701" spans="1:20" ht="15.75" customHeight="1">
      <c r="A701" s="1"/>
      <c r="B701" s="2"/>
      <c r="C701" s="2"/>
      <c r="D701" s="2"/>
      <c r="E701" s="2"/>
      <c r="F701" s="2"/>
      <c r="G701" s="2"/>
      <c r="H701" s="2"/>
      <c r="I701" s="2"/>
      <c r="J701" s="2"/>
      <c r="K701" s="2"/>
      <c r="L701" s="2"/>
      <c r="M701" s="2"/>
      <c r="N701" s="2"/>
      <c r="O701" s="2"/>
      <c r="P701" s="2"/>
      <c r="Q701" s="2"/>
      <c r="R701" s="2"/>
      <c r="S701" s="2"/>
      <c r="T701" s="2"/>
    </row>
    <row r="702" spans="1:20" ht="15.75" customHeight="1">
      <c r="A702" s="1"/>
      <c r="B702" s="2"/>
      <c r="C702" s="2"/>
      <c r="D702" s="2"/>
      <c r="E702" s="2"/>
      <c r="F702" s="2"/>
      <c r="G702" s="2"/>
      <c r="H702" s="2"/>
      <c r="I702" s="2"/>
      <c r="J702" s="2"/>
      <c r="K702" s="2"/>
      <c r="L702" s="2"/>
      <c r="M702" s="2"/>
      <c r="N702" s="2"/>
      <c r="O702" s="2"/>
      <c r="P702" s="2"/>
      <c r="Q702" s="2"/>
      <c r="R702" s="2"/>
      <c r="S702" s="2"/>
      <c r="T702" s="2"/>
    </row>
    <row r="703" spans="1:20" ht="15.75" customHeight="1">
      <c r="A703" s="1"/>
      <c r="B703" s="2"/>
      <c r="C703" s="2"/>
      <c r="D703" s="2"/>
      <c r="E703" s="2"/>
      <c r="F703" s="2"/>
      <c r="G703" s="2"/>
      <c r="H703" s="2"/>
      <c r="I703" s="2"/>
      <c r="J703" s="2"/>
      <c r="K703" s="2"/>
      <c r="L703" s="2"/>
      <c r="M703" s="2"/>
      <c r="N703" s="2"/>
      <c r="O703" s="2"/>
      <c r="P703" s="2"/>
      <c r="Q703" s="2"/>
      <c r="R703" s="2"/>
      <c r="S703" s="2"/>
      <c r="T703" s="2"/>
    </row>
    <row r="704" spans="1:20" ht="15.75" customHeight="1">
      <c r="A704" s="1"/>
      <c r="B704" s="2"/>
      <c r="C704" s="2"/>
      <c r="D704" s="2"/>
      <c r="E704" s="2"/>
      <c r="F704" s="2"/>
      <c r="G704" s="2"/>
      <c r="H704" s="2"/>
      <c r="I704" s="2"/>
      <c r="J704" s="2"/>
      <c r="K704" s="2"/>
      <c r="L704" s="2"/>
      <c r="M704" s="2"/>
      <c r="N704" s="2"/>
      <c r="O704" s="2"/>
      <c r="P704" s="2"/>
      <c r="Q704" s="2"/>
      <c r="R704" s="2"/>
      <c r="S704" s="2"/>
      <c r="T704" s="2"/>
    </row>
    <row r="705" spans="1:20" ht="15.75" customHeight="1">
      <c r="A705" s="1"/>
      <c r="B705" s="2"/>
      <c r="C705" s="2"/>
      <c r="D705" s="2"/>
      <c r="E705" s="2"/>
      <c r="F705" s="2"/>
      <c r="G705" s="2"/>
      <c r="H705" s="2"/>
      <c r="I705" s="2"/>
      <c r="J705" s="2"/>
      <c r="K705" s="2"/>
      <c r="L705" s="2"/>
      <c r="M705" s="2"/>
      <c r="N705" s="2"/>
      <c r="O705" s="2"/>
      <c r="P705" s="2"/>
      <c r="Q705" s="2"/>
      <c r="R705" s="2"/>
      <c r="S705" s="2"/>
      <c r="T705" s="2"/>
    </row>
    <row r="706" spans="1:20" ht="15.75" customHeight="1">
      <c r="A706" s="1"/>
      <c r="B706" s="2"/>
      <c r="C706" s="2"/>
      <c r="D706" s="2"/>
      <c r="E706" s="2"/>
      <c r="F706" s="2"/>
      <c r="G706" s="2"/>
      <c r="H706" s="2"/>
      <c r="I706" s="2"/>
      <c r="J706" s="2"/>
      <c r="K706" s="2"/>
      <c r="L706" s="2"/>
      <c r="M706" s="2"/>
      <c r="N706" s="2"/>
      <c r="O706" s="2"/>
      <c r="P706" s="2"/>
      <c r="Q706" s="2"/>
      <c r="R706" s="2"/>
      <c r="S706" s="2"/>
      <c r="T706" s="2"/>
    </row>
    <row r="707" spans="1:20" ht="15.75" customHeight="1">
      <c r="A707" s="1"/>
      <c r="B707" s="2"/>
      <c r="C707" s="2"/>
      <c r="D707" s="2"/>
      <c r="E707" s="2"/>
      <c r="F707" s="2"/>
      <c r="G707" s="2"/>
      <c r="H707" s="2"/>
      <c r="I707" s="2"/>
      <c r="J707" s="2"/>
      <c r="K707" s="2"/>
      <c r="L707" s="2"/>
      <c r="M707" s="2"/>
      <c r="N707" s="2"/>
      <c r="O707" s="2"/>
      <c r="P707" s="2"/>
      <c r="Q707" s="2"/>
      <c r="R707" s="2"/>
      <c r="S707" s="2"/>
      <c r="T707" s="2"/>
    </row>
    <row r="708" spans="1:20" ht="15.75" customHeight="1">
      <c r="A708" s="1"/>
      <c r="B708" s="2"/>
      <c r="C708" s="2"/>
      <c r="D708" s="2"/>
      <c r="E708" s="2"/>
      <c r="F708" s="2"/>
      <c r="G708" s="2"/>
      <c r="H708" s="2"/>
      <c r="I708" s="2"/>
      <c r="J708" s="2"/>
      <c r="K708" s="2"/>
      <c r="L708" s="2"/>
      <c r="M708" s="2"/>
      <c r="N708" s="2"/>
      <c r="O708" s="2"/>
      <c r="P708" s="2"/>
      <c r="Q708" s="2"/>
      <c r="R708" s="2"/>
      <c r="S708" s="2"/>
      <c r="T708" s="2"/>
    </row>
    <row r="709" spans="1:20" ht="15.75" customHeight="1">
      <c r="A709" s="1"/>
      <c r="B709" s="2"/>
      <c r="C709" s="2"/>
      <c r="D709" s="2"/>
      <c r="E709" s="2"/>
      <c r="F709" s="2"/>
      <c r="G709" s="2"/>
      <c r="H709" s="2"/>
      <c r="I709" s="2"/>
      <c r="J709" s="2"/>
      <c r="K709" s="2"/>
      <c r="L709" s="2"/>
      <c r="M709" s="2"/>
      <c r="N709" s="2"/>
      <c r="O709" s="2"/>
      <c r="P709" s="2"/>
      <c r="Q709" s="2"/>
      <c r="R709" s="2"/>
      <c r="S709" s="2"/>
      <c r="T709" s="2"/>
    </row>
    <row r="710" spans="1:20" ht="15.75" customHeight="1">
      <c r="A710" s="1"/>
      <c r="B710" s="2"/>
      <c r="C710" s="2"/>
      <c r="D710" s="2"/>
      <c r="E710" s="2"/>
      <c r="F710" s="2"/>
      <c r="G710" s="2"/>
      <c r="H710" s="2"/>
      <c r="I710" s="2"/>
      <c r="J710" s="2"/>
      <c r="K710" s="2"/>
      <c r="L710" s="2"/>
      <c r="M710" s="2"/>
      <c r="N710" s="2"/>
      <c r="O710" s="2"/>
      <c r="P710" s="2"/>
      <c r="Q710" s="2"/>
      <c r="R710" s="2"/>
      <c r="S710" s="2"/>
      <c r="T710" s="2"/>
    </row>
    <row r="711" spans="1:20" ht="15.75" customHeight="1">
      <c r="A711" s="1"/>
      <c r="B711" s="2"/>
      <c r="C711" s="2"/>
      <c r="D711" s="2"/>
      <c r="E711" s="2"/>
      <c r="F711" s="2"/>
      <c r="G711" s="2"/>
      <c r="H711" s="2"/>
      <c r="I711" s="2"/>
      <c r="J711" s="2"/>
      <c r="K711" s="2"/>
      <c r="L711" s="2"/>
      <c r="M711" s="2"/>
      <c r="N711" s="2"/>
      <c r="O711" s="2"/>
      <c r="P711" s="2"/>
      <c r="Q711" s="2"/>
      <c r="R711" s="2"/>
      <c r="S711" s="2"/>
      <c r="T711" s="2"/>
    </row>
    <row r="712" spans="1:20" ht="15.75" customHeight="1">
      <c r="A712" s="1"/>
      <c r="B712" s="2"/>
      <c r="C712" s="2"/>
      <c r="D712" s="2"/>
      <c r="E712" s="2"/>
      <c r="F712" s="2"/>
      <c r="G712" s="2"/>
      <c r="H712" s="2"/>
      <c r="I712" s="2"/>
      <c r="J712" s="2"/>
      <c r="K712" s="2"/>
      <c r="L712" s="2"/>
      <c r="M712" s="2"/>
      <c r="N712" s="2"/>
      <c r="O712" s="2"/>
      <c r="P712" s="2"/>
      <c r="Q712" s="2"/>
      <c r="R712" s="2"/>
      <c r="S712" s="2"/>
      <c r="T712" s="2"/>
    </row>
    <row r="713" spans="1:20" ht="15.75" customHeight="1">
      <c r="A713" s="1"/>
      <c r="B713" s="2"/>
      <c r="C713" s="2"/>
      <c r="D713" s="2"/>
      <c r="E713" s="2"/>
      <c r="F713" s="2"/>
      <c r="G713" s="2"/>
      <c r="H713" s="2"/>
      <c r="I713" s="2"/>
      <c r="J713" s="2"/>
      <c r="K713" s="2"/>
      <c r="L713" s="2"/>
      <c r="M713" s="2"/>
      <c r="N713" s="2"/>
      <c r="O713" s="2"/>
      <c r="P713" s="2"/>
      <c r="Q713" s="2"/>
      <c r="R713" s="2"/>
      <c r="S713" s="2"/>
      <c r="T713" s="2"/>
    </row>
    <row r="714" spans="1:20" ht="15.75" customHeight="1">
      <c r="A714" s="1"/>
      <c r="B714" s="2"/>
      <c r="C714" s="2"/>
      <c r="D714" s="2"/>
      <c r="E714" s="2"/>
      <c r="F714" s="2"/>
      <c r="G714" s="2"/>
      <c r="H714" s="2"/>
      <c r="I714" s="2"/>
      <c r="J714" s="2"/>
      <c r="K714" s="2"/>
      <c r="L714" s="2"/>
      <c r="M714" s="2"/>
      <c r="N714" s="2"/>
      <c r="O714" s="2"/>
      <c r="P714" s="2"/>
      <c r="Q714" s="2"/>
      <c r="R714" s="2"/>
      <c r="S714" s="2"/>
      <c r="T714" s="2"/>
    </row>
    <row r="715" spans="1:20" ht="15.75" customHeight="1">
      <c r="A715" s="1"/>
      <c r="B715" s="2"/>
      <c r="C715" s="2"/>
      <c r="D715" s="2"/>
      <c r="E715" s="2"/>
      <c r="F715" s="2"/>
      <c r="G715" s="2"/>
      <c r="H715" s="2"/>
      <c r="I715" s="2"/>
      <c r="J715" s="2"/>
      <c r="K715" s="2"/>
      <c r="L715" s="2"/>
      <c r="M715" s="2"/>
      <c r="N715" s="2"/>
      <c r="O715" s="2"/>
      <c r="P715" s="2"/>
      <c r="Q715" s="2"/>
      <c r="R715" s="2"/>
      <c r="S715" s="2"/>
      <c r="T715" s="2"/>
    </row>
    <row r="716" spans="1:20" ht="15.75" customHeight="1">
      <c r="A716" s="1"/>
      <c r="B716" s="2"/>
      <c r="C716" s="2"/>
      <c r="D716" s="2"/>
      <c r="E716" s="2"/>
      <c r="F716" s="2"/>
      <c r="G716" s="2"/>
      <c r="H716" s="2"/>
      <c r="I716" s="2"/>
      <c r="J716" s="2"/>
      <c r="K716" s="2"/>
      <c r="L716" s="2"/>
      <c r="M716" s="2"/>
      <c r="N716" s="2"/>
      <c r="O716" s="2"/>
      <c r="P716" s="2"/>
      <c r="Q716" s="2"/>
      <c r="R716" s="2"/>
      <c r="S716" s="2"/>
      <c r="T716" s="2"/>
    </row>
    <row r="717" spans="1:20" ht="15.75" customHeight="1">
      <c r="A717" s="1"/>
      <c r="B717" s="2"/>
      <c r="C717" s="2"/>
      <c r="D717" s="2"/>
      <c r="E717" s="2"/>
      <c r="F717" s="2"/>
      <c r="G717" s="2"/>
      <c r="H717" s="2"/>
      <c r="I717" s="2"/>
      <c r="J717" s="2"/>
      <c r="K717" s="2"/>
      <c r="L717" s="2"/>
      <c r="M717" s="2"/>
      <c r="N717" s="2"/>
      <c r="O717" s="2"/>
      <c r="P717" s="2"/>
      <c r="Q717" s="2"/>
      <c r="R717" s="2"/>
      <c r="S717" s="2"/>
      <c r="T717" s="2"/>
    </row>
    <row r="718" spans="1:20" ht="15.75" customHeight="1">
      <c r="A718" s="1"/>
      <c r="B718" s="2"/>
      <c r="C718" s="2"/>
      <c r="D718" s="2"/>
      <c r="E718" s="2"/>
      <c r="F718" s="2"/>
      <c r="G718" s="2"/>
      <c r="H718" s="2"/>
      <c r="I718" s="2"/>
      <c r="J718" s="2"/>
      <c r="K718" s="2"/>
      <c r="L718" s="2"/>
      <c r="M718" s="2"/>
      <c r="N718" s="2"/>
      <c r="O718" s="2"/>
      <c r="P718" s="2"/>
      <c r="Q718" s="2"/>
      <c r="R718" s="2"/>
      <c r="S718" s="2"/>
      <c r="T718" s="2"/>
    </row>
    <row r="719" spans="1:20" ht="15.75" customHeight="1">
      <c r="A719" s="1"/>
      <c r="B719" s="2"/>
      <c r="C719" s="2"/>
      <c r="D719" s="2"/>
      <c r="E719" s="2"/>
      <c r="F719" s="2"/>
      <c r="G719" s="2"/>
      <c r="H719" s="2"/>
      <c r="I719" s="2"/>
      <c r="J719" s="2"/>
      <c r="K719" s="2"/>
      <c r="L719" s="2"/>
      <c r="M719" s="2"/>
      <c r="N719" s="2"/>
      <c r="O719" s="2"/>
      <c r="P719" s="2"/>
      <c r="Q719" s="2"/>
      <c r="R719" s="2"/>
      <c r="S719" s="2"/>
      <c r="T719" s="2"/>
    </row>
    <row r="720" spans="1:20" ht="15.75" customHeight="1">
      <c r="A720" s="1"/>
      <c r="B720" s="2"/>
      <c r="C720" s="2"/>
      <c r="D720" s="2"/>
      <c r="E720" s="2"/>
      <c r="F720" s="2"/>
      <c r="G720" s="2"/>
      <c r="H720" s="2"/>
      <c r="I720" s="2"/>
      <c r="J720" s="2"/>
      <c r="K720" s="2"/>
      <c r="L720" s="2"/>
      <c r="M720" s="2"/>
      <c r="N720" s="2"/>
      <c r="O720" s="2"/>
      <c r="P720" s="2"/>
      <c r="Q720" s="2"/>
      <c r="R720" s="2"/>
      <c r="S720" s="2"/>
      <c r="T720" s="2"/>
    </row>
    <row r="721" spans="1:20" ht="15.75" customHeight="1">
      <c r="A721" s="1"/>
      <c r="B721" s="2"/>
      <c r="C721" s="2"/>
      <c r="D721" s="2"/>
      <c r="E721" s="2"/>
      <c r="F721" s="2"/>
      <c r="G721" s="2"/>
      <c r="H721" s="2"/>
      <c r="I721" s="2"/>
      <c r="J721" s="2"/>
      <c r="K721" s="2"/>
      <c r="L721" s="2"/>
      <c r="M721" s="2"/>
      <c r="N721" s="2"/>
      <c r="O721" s="2"/>
      <c r="P721" s="2"/>
      <c r="Q721" s="2"/>
      <c r="R721" s="2"/>
      <c r="S721" s="2"/>
      <c r="T721" s="2"/>
    </row>
    <row r="722" spans="1:20" ht="15.75" customHeight="1">
      <c r="A722" s="1"/>
      <c r="B722" s="2"/>
      <c r="C722" s="2"/>
      <c r="D722" s="2"/>
      <c r="E722" s="2"/>
      <c r="F722" s="2"/>
      <c r="G722" s="2"/>
      <c r="H722" s="2"/>
      <c r="I722" s="2"/>
      <c r="J722" s="2"/>
      <c r="K722" s="2"/>
      <c r="L722" s="2"/>
      <c r="M722" s="2"/>
      <c r="N722" s="2"/>
      <c r="O722" s="2"/>
      <c r="P722" s="2"/>
      <c r="Q722" s="2"/>
      <c r="R722" s="2"/>
      <c r="S722" s="2"/>
      <c r="T722" s="2"/>
    </row>
    <row r="723" spans="1:20" ht="15.75" customHeight="1">
      <c r="A723" s="1"/>
      <c r="B723" s="2"/>
      <c r="C723" s="2"/>
      <c r="D723" s="2"/>
      <c r="E723" s="2"/>
      <c r="F723" s="2"/>
      <c r="G723" s="2"/>
      <c r="H723" s="2"/>
      <c r="I723" s="2"/>
      <c r="J723" s="2"/>
      <c r="K723" s="2"/>
      <c r="L723" s="2"/>
      <c r="M723" s="2"/>
      <c r="N723" s="2"/>
      <c r="O723" s="2"/>
      <c r="P723" s="2"/>
      <c r="Q723" s="2"/>
      <c r="R723" s="2"/>
      <c r="S723" s="2"/>
      <c r="T723" s="2"/>
    </row>
    <row r="724" spans="1:20" ht="15.75" customHeight="1">
      <c r="A724" s="1"/>
      <c r="B724" s="2"/>
      <c r="C724" s="2"/>
      <c r="D724" s="2"/>
      <c r="E724" s="2"/>
      <c r="F724" s="2"/>
      <c r="G724" s="2"/>
      <c r="H724" s="2"/>
      <c r="I724" s="2"/>
      <c r="J724" s="2"/>
      <c r="K724" s="2"/>
      <c r="L724" s="2"/>
      <c r="M724" s="2"/>
      <c r="N724" s="2"/>
      <c r="O724" s="2"/>
      <c r="P724" s="2"/>
      <c r="Q724" s="2"/>
      <c r="R724" s="2"/>
      <c r="S724" s="2"/>
      <c r="T724" s="2"/>
    </row>
    <row r="725" spans="1:20" ht="15.75" customHeight="1">
      <c r="A725" s="1"/>
      <c r="B725" s="2"/>
      <c r="C725" s="2"/>
      <c r="D725" s="2"/>
      <c r="E725" s="2"/>
      <c r="F725" s="2"/>
      <c r="G725" s="2"/>
      <c r="H725" s="2"/>
      <c r="I725" s="2"/>
      <c r="J725" s="2"/>
      <c r="K725" s="2"/>
      <c r="L725" s="2"/>
      <c r="M725" s="2"/>
      <c r="N725" s="2"/>
      <c r="O725" s="2"/>
      <c r="P725" s="2"/>
      <c r="Q725" s="2"/>
      <c r="R725" s="2"/>
      <c r="S725" s="2"/>
      <c r="T725" s="2"/>
    </row>
    <row r="726" spans="1:20" ht="15.75" customHeight="1">
      <c r="A726" s="1"/>
      <c r="B726" s="2"/>
      <c r="C726" s="2"/>
      <c r="D726" s="2"/>
      <c r="E726" s="2"/>
      <c r="F726" s="2"/>
      <c r="G726" s="2"/>
      <c r="H726" s="2"/>
      <c r="I726" s="2"/>
      <c r="J726" s="2"/>
      <c r="K726" s="2"/>
      <c r="L726" s="2"/>
      <c r="M726" s="2"/>
      <c r="N726" s="2"/>
      <c r="O726" s="2"/>
      <c r="P726" s="2"/>
      <c r="Q726" s="2"/>
      <c r="R726" s="2"/>
      <c r="S726" s="2"/>
      <c r="T726" s="2"/>
    </row>
    <row r="727" spans="1:20" ht="15.75" customHeight="1">
      <c r="A727" s="1"/>
      <c r="B727" s="2"/>
      <c r="C727" s="2"/>
      <c r="D727" s="2"/>
      <c r="E727" s="2"/>
      <c r="F727" s="2"/>
      <c r="G727" s="2"/>
      <c r="H727" s="2"/>
      <c r="I727" s="2"/>
      <c r="J727" s="2"/>
      <c r="K727" s="2"/>
      <c r="L727" s="2"/>
      <c r="M727" s="2"/>
      <c r="N727" s="2"/>
      <c r="O727" s="2"/>
      <c r="P727" s="2"/>
      <c r="Q727" s="2"/>
      <c r="R727" s="2"/>
      <c r="S727" s="2"/>
      <c r="T727" s="2"/>
    </row>
    <row r="728" spans="1:20" ht="15.75" customHeight="1">
      <c r="A728" s="1"/>
      <c r="B728" s="2"/>
      <c r="C728" s="2"/>
      <c r="D728" s="2"/>
      <c r="E728" s="2"/>
      <c r="F728" s="2"/>
      <c r="G728" s="2"/>
      <c r="H728" s="2"/>
      <c r="I728" s="2"/>
      <c r="J728" s="2"/>
      <c r="K728" s="2"/>
      <c r="L728" s="2"/>
      <c r="M728" s="2"/>
      <c r="N728" s="2"/>
      <c r="O728" s="2"/>
      <c r="P728" s="2"/>
      <c r="Q728" s="2"/>
      <c r="R728" s="2"/>
      <c r="S728" s="2"/>
      <c r="T728" s="2"/>
    </row>
    <row r="729" spans="1:20" ht="15.75" customHeight="1">
      <c r="A729" s="1"/>
      <c r="B729" s="2"/>
      <c r="C729" s="2"/>
      <c r="D729" s="2"/>
      <c r="E729" s="2"/>
      <c r="F729" s="2"/>
      <c r="G729" s="2"/>
      <c r="H729" s="2"/>
      <c r="I729" s="2"/>
      <c r="J729" s="2"/>
      <c r="K729" s="2"/>
      <c r="L729" s="2"/>
      <c r="M729" s="2"/>
      <c r="N729" s="2"/>
      <c r="O729" s="2"/>
      <c r="P729" s="2"/>
      <c r="Q729" s="2"/>
      <c r="R729" s="2"/>
      <c r="S729" s="2"/>
      <c r="T729" s="2"/>
    </row>
    <row r="730" spans="1:20" ht="15.75" customHeight="1">
      <c r="A730" s="1"/>
      <c r="B730" s="2"/>
      <c r="C730" s="2"/>
      <c r="D730" s="2"/>
      <c r="E730" s="2"/>
      <c r="F730" s="2"/>
      <c r="G730" s="2"/>
      <c r="H730" s="2"/>
      <c r="I730" s="2"/>
      <c r="J730" s="2"/>
      <c r="K730" s="2"/>
      <c r="L730" s="2"/>
      <c r="M730" s="2"/>
      <c r="N730" s="2"/>
      <c r="O730" s="2"/>
      <c r="P730" s="2"/>
      <c r="Q730" s="2"/>
      <c r="R730" s="2"/>
      <c r="S730" s="2"/>
      <c r="T730" s="2"/>
    </row>
    <row r="731" spans="1:20" ht="15.75" customHeight="1">
      <c r="A731" s="1"/>
      <c r="B731" s="2"/>
      <c r="C731" s="2"/>
      <c r="D731" s="2"/>
      <c r="E731" s="2"/>
      <c r="F731" s="2"/>
      <c r="G731" s="2"/>
      <c r="H731" s="2"/>
      <c r="I731" s="2"/>
      <c r="J731" s="2"/>
      <c r="K731" s="2"/>
      <c r="L731" s="2"/>
      <c r="M731" s="2"/>
      <c r="N731" s="2"/>
      <c r="O731" s="2"/>
      <c r="P731" s="2"/>
      <c r="Q731" s="2"/>
      <c r="R731" s="2"/>
      <c r="S731" s="2"/>
      <c r="T731" s="2"/>
    </row>
    <row r="732" spans="1:20" ht="15.75" customHeight="1">
      <c r="A732" s="1"/>
      <c r="B732" s="2"/>
      <c r="C732" s="2"/>
      <c r="D732" s="2"/>
      <c r="E732" s="2"/>
      <c r="F732" s="2"/>
      <c r="G732" s="2"/>
      <c r="H732" s="2"/>
      <c r="I732" s="2"/>
      <c r="J732" s="2"/>
      <c r="K732" s="2"/>
      <c r="L732" s="2"/>
      <c r="M732" s="2"/>
      <c r="N732" s="2"/>
      <c r="O732" s="2"/>
      <c r="P732" s="2"/>
      <c r="Q732" s="2"/>
      <c r="R732" s="2"/>
      <c r="S732" s="2"/>
      <c r="T732" s="2"/>
    </row>
    <row r="733" spans="1:20" ht="15.75" customHeight="1">
      <c r="A733" s="1"/>
      <c r="B733" s="2"/>
      <c r="C733" s="2"/>
      <c r="D733" s="2"/>
      <c r="E733" s="2"/>
      <c r="F733" s="2"/>
      <c r="G733" s="2"/>
      <c r="H733" s="2"/>
      <c r="I733" s="2"/>
      <c r="J733" s="2"/>
      <c r="K733" s="2"/>
      <c r="L733" s="2"/>
      <c r="M733" s="2"/>
      <c r="N733" s="2"/>
      <c r="O733" s="2"/>
      <c r="P733" s="2"/>
      <c r="Q733" s="2"/>
      <c r="R733" s="2"/>
      <c r="S733" s="2"/>
      <c r="T733" s="2"/>
    </row>
    <row r="734" spans="1:20" ht="15.75" customHeight="1">
      <c r="A734" s="1"/>
      <c r="B734" s="2"/>
      <c r="C734" s="2"/>
      <c r="D734" s="2"/>
      <c r="E734" s="2"/>
      <c r="F734" s="2"/>
      <c r="G734" s="2"/>
      <c r="H734" s="2"/>
      <c r="I734" s="2"/>
      <c r="J734" s="2"/>
      <c r="K734" s="2"/>
      <c r="L734" s="2"/>
      <c r="M734" s="2"/>
      <c r="N734" s="2"/>
      <c r="O734" s="2"/>
      <c r="P734" s="2"/>
      <c r="Q734" s="2"/>
      <c r="R734" s="2"/>
      <c r="S734" s="2"/>
      <c r="T734" s="2"/>
    </row>
    <row r="735" spans="1:20" ht="15.75" customHeight="1">
      <c r="A735" s="1"/>
      <c r="B735" s="2"/>
      <c r="C735" s="2"/>
      <c r="D735" s="2"/>
      <c r="E735" s="2"/>
      <c r="F735" s="2"/>
      <c r="G735" s="2"/>
      <c r="H735" s="2"/>
      <c r="I735" s="2"/>
      <c r="J735" s="2"/>
      <c r="K735" s="2"/>
      <c r="L735" s="2"/>
      <c r="M735" s="2"/>
      <c r="N735" s="2"/>
      <c r="O735" s="2"/>
      <c r="P735" s="2"/>
      <c r="Q735" s="2"/>
      <c r="R735" s="2"/>
      <c r="S735" s="2"/>
      <c r="T735" s="2"/>
    </row>
    <row r="736" spans="1:20" ht="15.75" customHeight="1">
      <c r="A736" s="1"/>
      <c r="B736" s="2"/>
      <c r="C736" s="2"/>
      <c r="D736" s="2"/>
      <c r="E736" s="2"/>
      <c r="F736" s="2"/>
      <c r="G736" s="2"/>
      <c r="H736" s="2"/>
      <c r="I736" s="2"/>
      <c r="J736" s="2"/>
      <c r="K736" s="2"/>
      <c r="L736" s="2"/>
      <c r="M736" s="2"/>
      <c r="N736" s="2"/>
      <c r="O736" s="2"/>
      <c r="P736" s="2"/>
      <c r="Q736" s="2"/>
      <c r="R736" s="2"/>
      <c r="S736" s="2"/>
      <c r="T736" s="2"/>
    </row>
    <row r="737" spans="1:20" ht="15.75" customHeight="1">
      <c r="A737" s="1"/>
      <c r="B737" s="2"/>
      <c r="C737" s="2"/>
      <c r="D737" s="2"/>
      <c r="E737" s="2"/>
      <c r="F737" s="2"/>
      <c r="G737" s="2"/>
      <c r="H737" s="2"/>
      <c r="I737" s="2"/>
      <c r="J737" s="2"/>
      <c r="K737" s="2"/>
      <c r="L737" s="2"/>
      <c r="M737" s="2"/>
      <c r="N737" s="2"/>
      <c r="O737" s="2"/>
      <c r="P737" s="2"/>
      <c r="Q737" s="2"/>
      <c r="R737" s="2"/>
      <c r="S737" s="2"/>
      <c r="T737" s="2"/>
    </row>
    <row r="738" spans="1:20" ht="15.75" customHeight="1">
      <c r="A738" s="1"/>
      <c r="B738" s="2"/>
      <c r="C738" s="2"/>
      <c r="D738" s="2"/>
      <c r="E738" s="2"/>
      <c r="F738" s="2"/>
      <c r="G738" s="2"/>
      <c r="H738" s="2"/>
      <c r="I738" s="2"/>
      <c r="J738" s="2"/>
      <c r="K738" s="2"/>
      <c r="L738" s="2"/>
      <c r="M738" s="2"/>
      <c r="N738" s="2"/>
      <c r="O738" s="2"/>
      <c r="P738" s="2"/>
      <c r="Q738" s="2"/>
      <c r="R738" s="2"/>
      <c r="S738" s="2"/>
      <c r="T738" s="2"/>
    </row>
    <row r="739" spans="1:20" ht="15.75" customHeight="1">
      <c r="A739" s="1"/>
      <c r="B739" s="2"/>
      <c r="C739" s="2"/>
      <c r="D739" s="2"/>
      <c r="E739" s="2"/>
      <c r="F739" s="2"/>
      <c r="G739" s="2"/>
      <c r="H739" s="2"/>
      <c r="I739" s="2"/>
      <c r="J739" s="2"/>
      <c r="K739" s="2"/>
      <c r="L739" s="2"/>
      <c r="M739" s="2"/>
      <c r="N739" s="2"/>
      <c r="O739" s="2"/>
      <c r="P739" s="2"/>
      <c r="Q739" s="2"/>
      <c r="R739" s="2"/>
      <c r="S739" s="2"/>
      <c r="T739" s="2"/>
    </row>
    <row r="740" spans="1:20" ht="15.75" customHeight="1">
      <c r="A740" s="1"/>
      <c r="B740" s="2"/>
      <c r="C740" s="2"/>
      <c r="D740" s="2"/>
      <c r="E740" s="2"/>
      <c r="F740" s="2"/>
      <c r="G740" s="2"/>
      <c r="H740" s="2"/>
      <c r="I740" s="2"/>
      <c r="J740" s="2"/>
      <c r="K740" s="2"/>
      <c r="L740" s="2"/>
      <c r="M740" s="2"/>
      <c r="N740" s="2"/>
      <c r="O740" s="2"/>
      <c r="P740" s="2"/>
      <c r="Q740" s="2"/>
      <c r="R740" s="2"/>
      <c r="S740" s="2"/>
      <c r="T740" s="2"/>
    </row>
    <row r="741" spans="1:20" ht="15.75" customHeight="1">
      <c r="A741" s="1"/>
      <c r="B741" s="2"/>
      <c r="C741" s="2"/>
      <c r="D741" s="2"/>
      <c r="E741" s="2"/>
      <c r="F741" s="2"/>
      <c r="G741" s="2"/>
      <c r="H741" s="2"/>
      <c r="I741" s="2"/>
      <c r="J741" s="2"/>
      <c r="K741" s="2"/>
      <c r="L741" s="2"/>
      <c r="M741" s="2"/>
      <c r="N741" s="2"/>
      <c r="O741" s="2"/>
      <c r="P741" s="2"/>
      <c r="Q741" s="2"/>
      <c r="R741" s="2"/>
      <c r="S741" s="2"/>
      <c r="T741" s="2"/>
    </row>
    <row r="742" spans="1:20" ht="15.75" customHeight="1">
      <c r="A742" s="1"/>
      <c r="B742" s="2"/>
      <c r="C742" s="2"/>
      <c r="D742" s="2"/>
      <c r="E742" s="2"/>
      <c r="F742" s="2"/>
      <c r="G742" s="2"/>
      <c r="H742" s="2"/>
      <c r="I742" s="2"/>
      <c r="J742" s="2"/>
      <c r="K742" s="2"/>
      <c r="L742" s="2"/>
      <c r="M742" s="2"/>
      <c r="N742" s="2"/>
      <c r="O742" s="2"/>
      <c r="P742" s="2"/>
      <c r="Q742" s="2"/>
      <c r="R742" s="2"/>
      <c r="S742" s="2"/>
      <c r="T742" s="2"/>
    </row>
    <row r="743" spans="1:20" ht="15.75" customHeight="1">
      <c r="A743" s="1"/>
      <c r="B743" s="2"/>
      <c r="C743" s="2"/>
      <c r="D743" s="2"/>
      <c r="E743" s="2"/>
      <c r="F743" s="2"/>
      <c r="G743" s="2"/>
      <c r="H743" s="2"/>
      <c r="I743" s="2"/>
      <c r="J743" s="2"/>
      <c r="K743" s="2"/>
      <c r="L743" s="2"/>
      <c r="M743" s="2"/>
      <c r="N743" s="2"/>
      <c r="O743" s="2"/>
      <c r="P743" s="2"/>
      <c r="Q743" s="2"/>
      <c r="R743" s="2"/>
      <c r="S743" s="2"/>
      <c r="T743" s="2"/>
    </row>
    <row r="744" spans="1:20" ht="15.75" customHeight="1">
      <c r="A744" s="1"/>
      <c r="B744" s="2"/>
      <c r="C744" s="2"/>
      <c r="D744" s="2"/>
      <c r="E744" s="2"/>
      <c r="F744" s="2"/>
      <c r="G744" s="2"/>
      <c r="H744" s="2"/>
      <c r="I744" s="2"/>
      <c r="J744" s="2"/>
      <c r="K744" s="2"/>
      <c r="L744" s="2"/>
      <c r="M744" s="2"/>
      <c r="N744" s="2"/>
      <c r="O744" s="2"/>
      <c r="P744" s="2"/>
      <c r="Q744" s="2"/>
      <c r="R744" s="2"/>
      <c r="S744" s="2"/>
      <c r="T744" s="2"/>
    </row>
    <row r="745" spans="1:20" ht="15.75" customHeight="1">
      <c r="A745" s="1"/>
      <c r="B745" s="2"/>
      <c r="C745" s="2"/>
      <c r="D745" s="2"/>
      <c r="E745" s="2"/>
      <c r="F745" s="2"/>
      <c r="G745" s="2"/>
      <c r="H745" s="2"/>
      <c r="I745" s="2"/>
      <c r="J745" s="2"/>
      <c r="K745" s="2"/>
      <c r="L745" s="2"/>
      <c r="M745" s="2"/>
      <c r="N745" s="2"/>
      <c r="O745" s="2"/>
      <c r="P745" s="2"/>
      <c r="Q745" s="2"/>
      <c r="R745" s="2"/>
      <c r="S745" s="2"/>
      <c r="T745" s="2"/>
    </row>
    <row r="746" spans="1:20" ht="15.75" customHeight="1">
      <c r="A746" s="1"/>
      <c r="B746" s="2"/>
      <c r="C746" s="2"/>
      <c r="D746" s="2"/>
      <c r="E746" s="2"/>
      <c r="F746" s="2"/>
      <c r="G746" s="2"/>
      <c r="H746" s="2"/>
      <c r="I746" s="2"/>
      <c r="J746" s="2"/>
      <c r="K746" s="2"/>
      <c r="L746" s="2"/>
      <c r="M746" s="2"/>
      <c r="N746" s="2"/>
      <c r="O746" s="2"/>
      <c r="P746" s="2"/>
      <c r="Q746" s="2"/>
      <c r="R746" s="2"/>
      <c r="S746" s="2"/>
      <c r="T746" s="2"/>
    </row>
    <row r="747" spans="1:20" ht="15.75" customHeight="1">
      <c r="A747" s="1"/>
      <c r="B747" s="2"/>
      <c r="C747" s="2"/>
      <c r="D747" s="2"/>
      <c r="E747" s="2"/>
      <c r="F747" s="2"/>
      <c r="G747" s="2"/>
      <c r="H747" s="2"/>
      <c r="I747" s="2"/>
      <c r="J747" s="2"/>
      <c r="K747" s="2"/>
      <c r="L747" s="2"/>
      <c r="M747" s="2"/>
      <c r="N747" s="2"/>
      <c r="O747" s="2"/>
      <c r="P747" s="2"/>
      <c r="Q747" s="2"/>
      <c r="R747" s="2"/>
      <c r="S747" s="2"/>
      <c r="T747" s="2"/>
    </row>
    <row r="748" spans="1:20" ht="15.75" customHeight="1">
      <c r="A748" s="1"/>
      <c r="B748" s="2"/>
      <c r="C748" s="2"/>
      <c r="D748" s="2"/>
      <c r="E748" s="2"/>
      <c r="F748" s="2"/>
      <c r="G748" s="2"/>
      <c r="H748" s="2"/>
      <c r="I748" s="2"/>
      <c r="J748" s="2"/>
      <c r="K748" s="2"/>
      <c r="L748" s="2"/>
      <c r="M748" s="2"/>
      <c r="N748" s="2"/>
      <c r="O748" s="2"/>
      <c r="P748" s="2"/>
      <c r="Q748" s="2"/>
      <c r="R748" s="2"/>
      <c r="S748" s="2"/>
      <c r="T748" s="2"/>
    </row>
    <row r="749" spans="1:20" ht="15.75" customHeight="1">
      <c r="A749" s="1"/>
      <c r="B749" s="2"/>
      <c r="C749" s="2"/>
      <c r="D749" s="2"/>
      <c r="E749" s="2"/>
      <c r="F749" s="2"/>
      <c r="G749" s="2"/>
      <c r="H749" s="2"/>
      <c r="I749" s="2"/>
      <c r="J749" s="2"/>
      <c r="K749" s="2"/>
      <c r="L749" s="2"/>
      <c r="M749" s="2"/>
      <c r="N749" s="2"/>
      <c r="O749" s="2"/>
      <c r="P749" s="2"/>
      <c r="Q749" s="2"/>
      <c r="R749" s="2"/>
      <c r="S749" s="2"/>
      <c r="T749" s="2"/>
    </row>
    <row r="750" spans="1:20" ht="15.75" customHeight="1">
      <c r="A750" s="1"/>
      <c r="B750" s="2"/>
      <c r="C750" s="2"/>
      <c r="D750" s="2"/>
      <c r="E750" s="2"/>
      <c r="F750" s="2"/>
      <c r="G750" s="2"/>
      <c r="H750" s="2"/>
      <c r="I750" s="2"/>
      <c r="J750" s="2"/>
      <c r="K750" s="2"/>
      <c r="L750" s="2"/>
      <c r="M750" s="2"/>
      <c r="N750" s="2"/>
      <c r="O750" s="2"/>
      <c r="P750" s="2"/>
      <c r="Q750" s="2"/>
      <c r="R750" s="2"/>
      <c r="S750" s="2"/>
      <c r="T750" s="2"/>
    </row>
    <row r="751" spans="1:20" ht="15.75" customHeight="1">
      <c r="A751" s="1"/>
      <c r="B751" s="2"/>
      <c r="C751" s="2"/>
      <c r="D751" s="2"/>
      <c r="E751" s="2"/>
      <c r="F751" s="2"/>
      <c r="G751" s="2"/>
      <c r="H751" s="2"/>
      <c r="I751" s="2"/>
      <c r="J751" s="2"/>
      <c r="K751" s="2"/>
      <c r="L751" s="2"/>
      <c r="M751" s="2"/>
      <c r="N751" s="2"/>
      <c r="O751" s="2"/>
      <c r="P751" s="2"/>
      <c r="Q751" s="2"/>
      <c r="R751" s="2"/>
      <c r="S751" s="2"/>
      <c r="T751" s="2"/>
    </row>
    <row r="752" spans="1:20" ht="15.75" customHeight="1">
      <c r="A752" s="1"/>
      <c r="B752" s="2"/>
      <c r="C752" s="2"/>
      <c r="D752" s="2"/>
      <c r="E752" s="2"/>
      <c r="F752" s="2"/>
      <c r="G752" s="2"/>
      <c r="H752" s="2"/>
      <c r="I752" s="2"/>
      <c r="J752" s="2"/>
      <c r="K752" s="2"/>
      <c r="L752" s="2"/>
      <c r="M752" s="2"/>
      <c r="N752" s="2"/>
      <c r="O752" s="2"/>
      <c r="P752" s="2"/>
      <c r="Q752" s="2"/>
      <c r="R752" s="2"/>
      <c r="S752" s="2"/>
      <c r="T752" s="2"/>
    </row>
    <row r="753" spans="1:20" ht="15.75" customHeight="1">
      <c r="A753" s="1"/>
      <c r="B753" s="2"/>
      <c r="C753" s="2"/>
      <c r="D753" s="2"/>
      <c r="E753" s="2"/>
      <c r="F753" s="2"/>
      <c r="G753" s="2"/>
      <c r="H753" s="2"/>
      <c r="I753" s="2"/>
      <c r="J753" s="2"/>
      <c r="K753" s="2"/>
      <c r="L753" s="2"/>
      <c r="M753" s="2"/>
      <c r="N753" s="2"/>
      <c r="O753" s="2"/>
      <c r="P753" s="2"/>
      <c r="Q753" s="2"/>
      <c r="R753" s="2"/>
      <c r="S753" s="2"/>
      <c r="T753" s="2"/>
    </row>
    <row r="754" spans="1:20" ht="15.75" customHeight="1">
      <c r="A754" s="1"/>
      <c r="B754" s="2"/>
      <c r="C754" s="2"/>
      <c r="D754" s="2"/>
      <c r="E754" s="2"/>
      <c r="F754" s="2"/>
      <c r="G754" s="2"/>
      <c r="H754" s="2"/>
      <c r="I754" s="2"/>
      <c r="J754" s="2"/>
      <c r="K754" s="2"/>
      <c r="L754" s="2"/>
      <c r="M754" s="2"/>
      <c r="N754" s="2"/>
      <c r="O754" s="2"/>
      <c r="P754" s="2"/>
      <c r="Q754" s="2"/>
      <c r="R754" s="2"/>
      <c r="S754" s="2"/>
      <c r="T754" s="2"/>
    </row>
    <row r="755" spans="1:20" ht="15.75" customHeight="1">
      <c r="A755" s="1"/>
      <c r="B755" s="2"/>
      <c r="C755" s="2"/>
      <c r="D755" s="2"/>
      <c r="E755" s="2"/>
      <c r="F755" s="2"/>
      <c r="G755" s="2"/>
      <c r="H755" s="2"/>
      <c r="I755" s="2"/>
      <c r="J755" s="2"/>
      <c r="K755" s="2"/>
      <c r="L755" s="2"/>
      <c r="M755" s="2"/>
      <c r="N755" s="2"/>
      <c r="O755" s="2"/>
      <c r="P755" s="2"/>
      <c r="Q755" s="2"/>
      <c r="R755" s="2"/>
      <c r="S755" s="2"/>
      <c r="T755" s="2"/>
    </row>
    <row r="756" spans="1:20" ht="15.75" customHeight="1">
      <c r="A756" s="1"/>
      <c r="B756" s="2"/>
      <c r="C756" s="2"/>
      <c r="D756" s="2"/>
      <c r="E756" s="2"/>
      <c r="F756" s="2"/>
      <c r="G756" s="2"/>
      <c r="H756" s="2"/>
      <c r="I756" s="2"/>
      <c r="J756" s="2"/>
      <c r="K756" s="2"/>
      <c r="L756" s="2"/>
      <c r="M756" s="2"/>
      <c r="N756" s="2"/>
      <c r="O756" s="2"/>
      <c r="P756" s="2"/>
      <c r="Q756" s="2"/>
      <c r="R756" s="2"/>
      <c r="S756" s="2"/>
      <c r="T756" s="2"/>
    </row>
    <row r="757" spans="1:20" ht="15.75" customHeight="1">
      <c r="A757" s="1"/>
      <c r="B757" s="2"/>
      <c r="C757" s="2"/>
      <c r="D757" s="2"/>
      <c r="E757" s="2"/>
      <c r="F757" s="2"/>
      <c r="G757" s="2"/>
      <c r="H757" s="2"/>
      <c r="I757" s="2"/>
      <c r="J757" s="2"/>
      <c r="K757" s="2"/>
      <c r="L757" s="2"/>
      <c r="M757" s="2"/>
      <c r="N757" s="2"/>
      <c r="O757" s="2"/>
      <c r="P757" s="2"/>
      <c r="Q757" s="2"/>
      <c r="R757" s="2"/>
      <c r="S757" s="2"/>
      <c r="T757" s="2"/>
    </row>
    <row r="758" spans="1:20" ht="15.75" customHeight="1">
      <c r="A758" s="1"/>
      <c r="B758" s="2"/>
      <c r="C758" s="2"/>
      <c r="D758" s="2"/>
      <c r="E758" s="2"/>
      <c r="F758" s="2"/>
      <c r="G758" s="2"/>
      <c r="H758" s="2"/>
      <c r="I758" s="2"/>
      <c r="J758" s="2"/>
      <c r="K758" s="2"/>
      <c r="L758" s="2"/>
      <c r="M758" s="2"/>
      <c r="N758" s="2"/>
      <c r="O758" s="2"/>
      <c r="P758" s="2"/>
      <c r="Q758" s="2"/>
      <c r="R758" s="2"/>
      <c r="S758" s="2"/>
      <c r="T758" s="2"/>
    </row>
    <row r="759" spans="1:20" ht="15.75" customHeight="1">
      <c r="A759" s="1"/>
      <c r="B759" s="2"/>
      <c r="C759" s="2"/>
      <c r="D759" s="2"/>
      <c r="E759" s="2"/>
      <c r="F759" s="2"/>
      <c r="G759" s="2"/>
      <c r="H759" s="2"/>
      <c r="I759" s="2"/>
      <c r="J759" s="2"/>
      <c r="K759" s="2"/>
      <c r="L759" s="2"/>
      <c r="M759" s="2"/>
      <c r="N759" s="2"/>
      <c r="O759" s="2"/>
      <c r="P759" s="2"/>
      <c r="Q759" s="2"/>
      <c r="R759" s="2"/>
      <c r="S759" s="2"/>
      <c r="T759" s="2"/>
    </row>
    <row r="760" spans="1:20" ht="15.75" customHeight="1">
      <c r="A760" s="1"/>
      <c r="B760" s="2"/>
      <c r="C760" s="2"/>
      <c r="D760" s="2"/>
      <c r="E760" s="2"/>
      <c r="F760" s="2"/>
      <c r="G760" s="2"/>
      <c r="H760" s="2"/>
      <c r="I760" s="2"/>
      <c r="J760" s="2"/>
      <c r="K760" s="2"/>
      <c r="L760" s="2"/>
      <c r="M760" s="2"/>
      <c r="N760" s="2"/>
      <c r="O760" s="2"/>
      <c r="P760" s="2"/>
      <c r="Q760" s="2"/>
      <c r="R760" s="2"/>
      <c r="S760" s="2"/>
      <c r="T760" s="2"/>
    </row>
    <row r="761" spans="1:20" ht="15.75" customHeight="1">
      <c r="A761" s="1"/>
      <c r="B761" s="2"/>
      <c r="C761" s="2"/>
      <c r="D761" s="2"/>
      <c r="E761" s="2"/>
      <c r="F761" s="2"/>
      <c r="G761" s="2"/>
      <c r="H761" s="2"/>
      <c r="I761" s="2"/>
      <c r="J761" s="2"/>
      <c r="K761" s="2"/>
      <c r="L761" s="2"/>
      <c r="M761" s="2"/>
      <c r="N761" s="2"/>
      <c r="O761" s="2"/>
      <c r="P761" s="2"/>
      <c r="Q761" s="2"/>
      <c r="R761" s="2"/>
      <c r="S761" s="2"/>
      <c r="T761" s="2"/>
    </row>
    <row r="762" spans="1:20" ht="15.75" customHeight="1">
      <c r="A762" s="1"/>
      <c r="B762" s="2"/>
      <c r="C762" s="2"/>
      <c r="D762" s="2"/>
      <c r="E762" s="2"/>
      <c r="F762" s="2"/>
      <c r="G762" s="2"/>
      <c r="H762" s="2"/>
      <c r="I762" s="2"/>
      <c r="J762" s="2"/>
      <c r="K762" s="2"/>
      <c r="L762" s="2"/>
      <c r="M762" s="2"/>
      <c r="N762" s="2"/>
      <c r="O762" s="2"/>
      <c r="P762" s="2"/>
      <c r="Q762" s="2"/>
      <c r="R762" s="2"/>
      <c r="S762" s="2"/>
      <c r="T762" s="2"/>
    </row>
    <row r="763" spans="1:20" ht="15.75" customHeight="1">
      <c r="A763" s="1"/>
      <c r="B763" s="2"/>
      <c r="C763" s="2"/>
      <c r="D763" s="2"/>
      <c r="E763" s="2"/>
      <c r="F763" s="2"/>
      <c r="G763" s="2"/>
      <c r="H763" s="2"/>
      <c r="I763" s="2"/>
      <c r="J763" s="2"/>
      <c r="K763" s="2"/>
      <c r="L763" s="2"/>
      <c r="M763" s="2"/>
      <c r="N763" s="2"/>
      <c r="O763" s="2"/>
      <c r="P763" s="2"/>
      <c r="Q763" s="2"/>
      <c r="R763" s="2"/>
      <c r="S763" s="2"/>
      <c r="T763" s="2"/>
    </row>
    <row r="764" spans="1:20" ht="15.75" customHeight="1">
      <c r="A764" s="1"/>
      <c r="B764" s="2"/>
      <c r="C764" s="2"/>
      <c r="D764" s="2"/>
      <c r="E764" s="2"/>
      <c r="F764" s="2"/>
      <c r="G764" s="2"/>
      <c r="H764" s="2"/>
      <c r="I764" s="2"/>
      <c r="J764" s="2"/>
      <c r="K764" s="2"/>
      <c r="L764" s="2"/>
      <c r="M764" s="2"/>
      <c r="N764" s="2"/>
      <c r="O764" s="2"/>
      <c r="P764" s="2"/>
      <c r="Q764" s="2"/>
      <c r="R764" s="2"/>
      <c r="S764" s="2"/>
      <c r="T764" s="2"/>
    </row>
    <row r="765" spans="1:20" ht="15.75" customHeight="1">
      <c r="A765" s="1"/>
      <c r="B765" s="2"/>
      <c r="C765" s="2"/>
      <c r="D765" s="2"/>
      <c r="E765" s="2"/>
      <c r="F765" s="2"/>
      <c r="G765" s="2"/>
      <c r="H765" s="2"/>
      <c r="I765" s="2"/>
      <c r="J765" s="2"/>
      <c r="K765" s="2"/>
      <c r="L765" s="2"/>
      <c r="M765" s="2"/>
      <c r="N765" s="2"/>
      <c r="O765" s="2"/>
      <c r="P765" s="2"/>
      <c r="Q765" s="2"/>
      <c r="R765" s="2"/>
      <c r="S765" s="2"/>
      <c r="T765" s="2"/>
    </row>
    <row r="766" spans="1:20" ht="15.75" customHeight="1">
      <c r="A766" s="1"/>
      <c r="B766" s="2"/>
      <c r="C766" s="2"/>
      <c r="D766" s="2"/>
      <c r="E766" s="2"/>
      <c r="F766" s="2"/>
      <c r="G766" s="2"/>
      <c r="H766" s="2"/>
      <c r="I766" s="2"/>
      <c r="J766" s="2"/>
      <c r="K766" s="2"/>
      <c r="L766" s="2"/>
      <c r="M766" s="2"/>
      <c r="N766" s="2"/>
      <c r="O766" s="2"/>
      <c r="P766" s="2"/>
      <c r="Q766" s="2"/>
      <c r="R766" s="2"/>
      <c r="S766" s="2"/>
      <c r="T766" s="2"/>
    </row>
    <row r="767" spans="1:20" ht="15.75" customHeight="1">
      <c r="A767" s="1"/>
      <c r="B767" s="2"/>
      <c r="C767" s="2"/>
      <c r="D767" s="2"/>
      <c r="E767" s="2"/>
      <c r="F767" s="2"/>
      <c r="G767" s="2"/>
      <c r="H767" s="2"/>
      <c r="I767" s="2"/>
      <c r="J767" s="2"/>
      <c r="K767" s="2"/>
      <c r="L767" s="2"/>
      <c r="M767" s="2"/>
      <c r="N767" s="2"/>
      <c r="O767" s="2"/>
      <c r="P767" s="2"/>
      <c r="Q767" s="2"/>
      <c r="R767" s="2"/>
      <c r="S767" s="2"/>
      <c r="T767" s="2"/>
    </row>
    <row r="768" spans="1:20" ht="15.75" customHeight="1">
      <c r="A768" s="1"/>
      <c r="B768" s="2"/>
      <c r="C768" s="2"/>
      <c r="D768" s="2"/>
      <c r="E768" s="2"/>
      <c r="F768" s="2"/>
      <c r="G768" s="2"/>
      <c r="H768" s="2"/>
      <c r="I768" s="2"/>
      <c r="J768" s="2"/>
      <c r="K768" s="2"/>
      <c r="L768" s="2"/>
      <c r="M768" s="2"/>
      <c r="N768" s="2"/>
      <c r="O768" s="2"/>
      <c r="P768" s="2"/>
      <c r="Q768" s="2"/>
      <c r="R768" s="2"/>
      <c r="S768" s="2"/>
      <c r="T768" s="2"/>
    </row>
    <row r="769" spans="1:20" ht="15.75" customHeight="1">
      <c r="A769" s="1"/>
      <c r="B769" s="2"/>
      <c r="C769" s="2"/>
      <c r="D769" s="2"/>
      <c r="E769" s="2"/>
      <c r="F769" s="2"/>
      <c r="G769" s="2"/>
      <c r="H769" s="2"/>
      <c r="I769" s="2"/>
      <c r="J769" s="2"/>
      <c r="K769" s="2"/>
      <c r="L769" s="2"/>
      <c r="M769" s="2"/>
      <c r="N769" s="2"/>
      <c r="O769" s="2"/>
      <c r="P769" s="2"/>
      <c r="Q769" s="2"/>
      <c r="R769" s="2"/>
      <c r="S769" s="2"/>
      <c r="T769" s="2"/>
    </row>
    <row r="770" spans="1:20" ht="15.75" customHeight="1">
      <c r="A770" s="1"/>
      <c r="B770" s="2"/>
      <c r="C770" s="2"/>
      <c r="D770" s="2"/>
      <c r="E770" s="2"/>
      <c r="F770" s="2"/>
      <c r="G770" s="2"/>
      <c r="H770" s="2"/>
      <c r="I770" s="2"/>
      <c r="J770" s="2"/>
      <c r="K770" s="2"/>
      <c r="L770" s="2"/>
      <c r="M770" s="2"/>
      <c r="N770" s="2"/>
      <c r="O770" s="2"/>
      <c r="P770" s="2"/>
      <c r="Q770" s="2"/>
      <c r="R770" s="2"/>
      <c r="S770" s="2"/>
      <c r="T770" s="2"/>
    </row>
    <row r="771" spans="1:20" ht="15.75" customHeight="1">
      <c r="A771" s="1"/>
      <c r="B771" s="2"/>
      <c r="C771" s="2"/>
      <c r="D771" s="2"/>
      <c r="E771" s="2"/>
      <c r="F771" s="2"/>
      <c r="G771" s="2"/>
      <c r="H771" s="2"/>
      <c r="I771" s="2"/>
      <c r="J771" s="2"/>
      <c r="K771" s="2"/>
      <c r="L771" s="2"/>
      <c r="M771" s="2"/>
      <c r="N771" s="2"/>
      <c r="O771" s="2"/>
      <c r="P771" s="2"/>
      <c r="Q771" s="2"/>
      <c r="R771" s="2"/>
      <c r="S771" s="2"/>
      <c r="T771" s="2"/>
    </row>
    <row r="772" spans="1:20" ht="15.75" customHeight="1">
      <c r="A772" s="1"/>
      <c r="B772" s="2"/>
      <c r="C772" s="2"/>
      <c r="D772" s="2"/>
      <c r="E772" s="2"/>
      <c r="F772" s="2"/>
      <c r="G772" s="2"/>
      <c r="H772" s="2"/>
      <c r="I772" s="2"/>
      <c r="J772" s="2"/>
      <c r="K772" s="2"/>
      <c r="L772" s="2"/>
      <c r="M772" s="2"/>
      <c r="N772" s="2"/>
      <c r="O772" s="2"/>
      <c r="P772" s="2"/>
      <c r="Q772" s="2"/>
      <c r="R772" s="2"/>
      <c r="S772" s="2"/>
      <c r="T772" s="2"/>
    </row>
    <row r="773" spans="1:20" ht="15.75" customHeight="1">
      <c r="A773" s="1"/>
      <c r="B773" s="2"/>
      <c r="C773" s="2"/>
      <c r="D773" s="2"/>
      <c r="E773" s="2"/>
      <c r="F773" s="2"/>
      <c r="G773" s="2"/>
      <c r="H773" s="2"/>
      <c r="I773" s="2"/>
      <c r="J773" s="2"/>
      <c r="K773" s="2"/>
      <c r="L773" s="2"/>
      <c r="M773" s="2"/>
      <c r="N773" s="2"/>
      <c r="O773" s="2"/>
      <c r="P773" s="2"/>
      <c r="Q773" s="2"/>
      <c r="R773" s="2"/>
      <c r="S773" s="2"/>
      <c r="T773" s="2"/>
    </row>
    <row r="774" spans="1:20" ht="15.75" customHeight="1">
      <c r="A774" s="1"/>
      <c r="B774" s="2"/>
      <c r="C774" s="2"/>
      <c r="D774" s="2"/>
      <c r="E774" s="2"/>
      <c r="F774" s="2"/>
      <c r="G774" s="2"/>
      <c r="H774" s="2"/>
      <c r="I774" s="2"/>
      <c r="J774" s="2"/>
      <c r="K774" s="2"/>
      <c r="L774" s="2"/>
      <c r="M774" s="2"/>
      <c r="N774" s="2"/>
      <c r="O774" s="2"/>
      <c r="P774" s="2"/>
      <c r="Q774" s="2"/>
      <c r="R774" s="2"/>
      <c r="S774" s="2"/>
      <c r="T774" s="2"/>
    </row>
    <row r="775" spans="1:20" ht="15.75" customHeight="1">
      <c r="A775" s="1"/>
      <c r="B775" s="2"/>
      <c r="C775" s="2"/>
      <c r="D775" s="2"/>
      <c r="E775" s="2"/>
      <c r="F775" s="2"/>
      <c r="G775" s="2"/>
      <c r="H775" s="2"/>
      <c r="I775" s="2"/>
      <c r="J775" s="2"/>
      <c r="K775" s="2"/>
      <c r="L775" s="2"/>
      <c r="M775" s="2"/>
      <c r="N775" s="2"/>
      <c r="O775" s="2"/>
      <c r="P775" s="2"/>
      <c r="Q775" s="2"/>
      <c r="R775" s="2"/>
      <c r="S775" s="2"/>
      <c r="T775" s="2"/>
    </row>
    <row r="776" spans="1:20" ht="15.75" customHeight="1">
      <c r="A776" s="1"/>
      <c r="B776" s="2"/>
      <c r="C776" s="2"/>
      <c r="D776" s="2"/>
      <c r="E776" s="2"/>
      <c r="F776" s="2"/>
      <c r="G776" s="2"/>
      <c r="H776" s="2"/>
      <c r="I776" s="2"/>
      <c r="J776" s="2"/>
      <c r="K776" s="2"/>
      <c r="L776" s="2"/>
      <c r="M776" s="2"/>
      <c r="N776" s="2"/>
      <c r="O776" s="2"/>
      <c r="P776" s="2"/>
      <c r="Q776" s="2"/>
      <c r="R776" s="2"/>
      <c r="S776" s="2"/>
      <c r="T776" s="2"/>
    </row>
    <row r="777" spans="1:20" ht="15.75" customHeight="1">
      <c r="A777" s="1"/>
      <c r="B777" s="2"/>
      <c r="C777" s="2"/>
      <c r="D777" s="2"/>
      <c r="E777" s="2"/>
      <c r="F777" s="2"/>
      <c r="G777" s="2"/>
      <c r="H777" s="2"/>
      <c r="I777" s="2"/>
      <c r="J777" s="2"/>
      <c r="K777" s="2"/>
      <c r="L777" s="2"/>
      <c r="M777" s="2"/>
      <c r="N777" s="2"/>
      <c r="O777" s="2"/>
      <c r="P777" s="2"/>
      <c r="Q777" s="2"/>
      <c r="R777" s="2"/>
      <c r="S777" s="2"/>
      <c r="T777" s="2"/>
    </row>
    <row r="778" spans="1:20" ht="15.75" customHeight="1">
      <c r="A778" s="1"/>
      <c r="B778" s="2"/>
      <c r="C778" s="2"/>
      <c r="D778" s="2"/>
      <c r="E778" s="2"/>
      <c r="F778" s="2"/>
      <c r="G778" s="2"/>
      <c r="H778" s="2"/>
      <c r="I778" s="2"/>
      <c r="J778" s="2"/>
      <c r="K778" s="2"/>
      <c r="L778" s="2"/>
      <c r="M778" s="2"/>
      <c r="N778" s="2"/>
      <c r="O778" s="2"/>
      <c r="P778" s="2"/>
      <c r="Q778" s="2"/>
      <c r="R778" s="2"/>
      <c r="S778" s="2"/>
      <c r="T778" s="2"/>
    </row>
    <row r="779" spans="1:20" ht="15.75" customHeight="1">
      <c r="A779" s="1"/>
      <c r="B779" s="2"/>
      <c r="C779" s="2"/>
      <c r="D779" s="2"/>
      <c r="E779" s="2"/>
      <c r="F779" s="2"/>
      <c r="G779" s="2"/>
      <c r="H779" s="2"/>
      <c r="I779" s="2"/>
      <c r="J779" s="2"/>
      <c r="K779" s="2"/>
      <c r="L779" s="2"/>
      <c r="M779" s="2"/>
      <c r="N779" s="2"/>
      <c r="O779" s="2"/>
      <c r="P779" s="2"/>
      <c r="Q779" s="2"/>
      <c r="R779" s="2"/>
      <c r="S779" s="2"/>
      <c r="T779" s="2"/>
    </row>
    <row r="780" spans="1:20" ht="15.75" customHeight="1">
      <c r="A780" s="1"/>
      <c r="B780" s="2"/>
      <c r="C780" s="2"/>
      <c r="D780" s="2"/>
      <c r="E780" s="2"/>
      <c r="F780" s="2"/>
      <c r="G780" s="2"/>
      <c r="H780" s="2"/>
      <c r="I780" s="2"/>
      <c r="J780" s="2"/>
      <c r="K780" s="2"/>
      <c r="L780" s="2"/>
      <c r="M780" s="2"/>
      <c r="N780" s="2"/>
      <c r="O780" s="2"/>
      <c r="P780" s="2"/>
      <c r="Q780" s="2"/>
      <c r="R780" s="2"/>
      <c r="S780" s="2"/>
      <c r="T780" s="2"/>
    </row>
    <row r="781" spans="1:20" ht="15.75" customHeight="1">
      <c r="A781" s="1"/>
      <c r="B781" s="2"/>
      <c r="C781" s="2"/>
      <c r="D781" s="2"/>
      <c r="E781" s="2"/>
      <c r="F781" s="2"/>
      <c r="G781" s="2"/>
      <c r="H781" s="2"/>
      <c r="I781" s="2"/>
      <c r="J781" s="2"/>
      <c r="K781" s="2"/>
      <c r="L781" s="2"/>
      <c r="M781" s="2"/>
      <c r="N781" s="2"/>
      <c r="O781" s="2"/>
      <c r="P781" s="2"/>
      <c r="Q781" s="2"/>
      <c r="R781" s="2"/>
      <c r="S781" s="2"/>
      <c r="T781" s="2"/>
    </row>
    <row r="782" spans="1:20" ht="15.75" customHeight="1">
      <c r="A782" s="1"/>
      <c r="B782" s="2"/>
      <c r="C782" s="2"/>
      <c r="D782" s="2"/>
      <c r="E782" s="2"/>
      <c r="F782" s="2"/>
      <c r="G782" s="2"/>
      <c r="H782" s="2"/>
      <c r="I782" s="2"/>
      <c r="J782" s="2"/>
      <c r="K782" s="2"/>
      <c r="L782" s="2"/>
      <c r="M782" s="2"/>
      <c r="N782" s="2"/>
      <c r="O782" s="2"/>
      <c r="P782" s="2"/>
      <c r="Q782" s="2"/>
      <c r="R782" s="2"/>
      <c r="S782" s="2"/>
      <c r="T782" s="2"/>
    </row>
    <row r="783" spans="1:20" ht="15.75" customHeight="1">
      <c r="A783" s="1"/>
      <c r="B783" s="2"/>
      <c r="C783" s="2"/>
      <c r="D783" s="2"/>
      <c r="E783" s="2"/>
      <c r="F783" s="2"/>
      <c r="G783" s="2"/>
      <c r="H783" s="2"/>
      <c r="I783" s="2"/>
      <c r="J783" s="2"/>
      <c r="K783" s="2"/>
      <c r="L783" s="2"/>
      <c r="M783" s="2"/>
      <c r="N783" s="2"/>
      <c r="O783" s="2"/>
      <c r="P783" s="2"/>
      <c r="Q783" s="2"/>
      <c r="R783" s="2"/>
      <c r="S783" s="2"/>
      <c r="T783" s="2"/>
    </row>
    <row r="784" spans="1:20" ht="15.75" customHeight="1">
      <c r="A784" s="1"/>
      <c r="B784" s="2"/>
      <c r="C784" s="2"/>
      <c r="D784" s="2"/>
      <c r="E784" s="2"/>
      <c r="F784" s="2"/>
      <c r="G784" s="2"/>
      <c r="H784" s="2"/>
      <c r="I784" s="2"/>
      <c r="J784" s="2"/>
      <c r="K784" s="2"/>
      <c r="L784" s="2"/>
      <c r="M784" s="2"/>
      <c r="N784" s="2"/>
      <c r="O784" s="2"/>
      <c r="P784" s="2"/>
      <c r="Q784" s="2"/>
      <c r="R784" s="2"/>
      <c r="S784" s="2"/>
      <c r="T784" s="2"/>
    </row>
    <row r="785" spans="1:20" ht="15.75" customHeight="1">
      <c r="A785" s="1"/>
      <c r="B785" s="2"/>
      <c r="C785" s="2"/>
      <c r="D785" s="2"/>
      <c r="E785" s="2"/>
      <c r="F785" s="2"/>
      <c r="G785" s="2"/>
      <c r="H785" s="2"/>
      <c r="I785" s="2"/>
      <c r="J785" s="2"/>
      <c r="K785" s="2"/>
      <c r="L785" s="2"/>
      <c r="M785" s="2"/>
      <c r="N785" s="2"/>
      <c r="O785" s="2"/>
      <c r="P785" s="2"/>
      <c r="Q785" s="2"/>
      <c r="R785" s="2"/>
      <c r="S785" s="2"/>
      <c r="T785" s="2"/>
    </row>
    <row r="786" spans="1:20" ht="15.75" customHeight="1">
      <c r="A786" s="1"/>
      <c r="B786" s="2"/>
      <c r="C786" s="2"/>
      <c r="D786" s="2"/>
      <c r="E786" s="2"/>
      <c r="F786" s="2"/>
      <c r="G786" s="2"/>
      <c r="H786" s="2"/>
      <c r="I786" s="2"/>
      <c r="J786" s="2"/>
      <c r="K786" s="2"/>
      <c r="L786" s="2"/>
      <c r="M786" s="2"/>
      <c r="N786" s="2"/>
      <c r="O786" s="2"/>
      <c r="P786" s="2"/>
      <c r="Q786" s="2"/>
      <c r="R786" s="2"/>
      <c r="S786" s="2"/>
      <c r="T786" s="2"/>
    </row>
    <row r="787" spans="1:20" ht="15.75" customHeight="1">
      <c r="A787" s="1"/>
      <c r="B787" s="2"/>
      <c r="C787" s="2"/>
      <c r="D787" s="2"/>
      <c r="E787" s="2"/>
      <c r="F787" s="2"/>
      <c r="G787" s="2"/>
      <c r="H787" s="2"/>
      <c r="I787" s="2"/>
      <c r="J787" s="2"/>
      <c r="K787" s="2"/>
      <c r="L787" s="2"/>
      <c r="M787" s="2"/>
      <c r="N787" s="2"/>
      <c r="O787" s="2"/>
      <c r="P787" s="2"/>
      <c r="Q787" s="2"/>
      <c r="R787" s="2"/>
      <c r="S787" s="2"/>
      <c r="T787" s="2"/>
    </row>
    <row r="788" spans="1:20" ht="15.75" customHeight="1">
      <c r="A788" s="1"/>
      <c r="B788" s="2"/>
      <c r="C788" s="2"/>
      <c r="D788" s="2"/>
      <c r="E788" s="2"/>
      <c r="F788" s="2"/>
      <c r="G788" s="2"/>
      <c r="H788" s="2"/>
      <c r="I788" s="2"/>
      <c r="J788" s="2"/>
      <c r="K788" s="2"/>
      <c r="L788" s="2"/>
      <c r="M788" s="2"/>
      <c r="N788" s="2"/>
      <c r="O788" s="2"/>
      <c r="P788" s="2"/>
      <c r="Q788" s="2"/>
      <c r="R788" s="2"/>
      <c r="S788" s="2"/>
      <c r="T788" s="2"/>
    </row>
    <row r="789" spans="1:20" ht="15.75" customHeight="1">
      <c r="A789" s="1"/>
      <c r="B789" s="2"/>
      <c r="C789" s="2"/>
      <c r="D789" s="2"/>
      <c r="E789" s="2"/>
      <c r="F789" s="2"/>
      <c r="G789" s="2"/>
      <c r="H789" s="2"/>
      <c r="I789" s="2"/>
      <c r="J789" s="2"/>
      <c r="K789" s="2"/>
      <c r="L789" s="2"/>
      <c r="M789" s="2"/>
      <c r="N789" s="2"/>
      <c r="O789" s="2"/>
      <c r="P789" s="2"/>
      <c r="Q789" s="2"/>
      <c r="R789" s="2"/>
      <c r="S789" s="2"/>
      <c r="T789" s="2"/>
    </row>
    <row r="790" spans="1:20" ht="15.75" customHeight="1">
      <c r="A790" s="1"/>
      <c r="B790" s="2"/>
      <c r="C790" s="2"/>
      <c r="D790" s="2"/>
      <c r="E790" s="2"/>
      <c r="F790" s="2"/>
      <c r="G790" s="2"/>
      <c r="H790" s="2"/>
      <c r="I790" s="2"/>
      <c r="J790" s="2"/>
      <c r="K790" s="2"/>
      <c r="L790" s="2"/>
      <c r="M790" s="2"/>
      <c r="N790" s="2"/>
      <c r="O790" s="2"/>
      <c r="P790" s="2"/>
      <c r="Q790" s="2"/>
      <c r="R790" s="2"/>
      <c r="S790" s="2"/>
      <c r="T790" s="2"/>
    </row>
    <row r="791" spans="1:20" ht="15.75" customHeight="1">
      <c r="A791" s="1"/>
      <c r="B791" s="2"/>
      <c r="C791" s="2"/>
      <c r="D791" s="2"/>
      <c r="E791" s="2"/>
      <c r="F791" s="2"/>
      <c r="G791" s="2"/>
      <c r="H791" s="2"/>
      <c r="I791" s="2"/>
      <c r="J791" s="2"/>
      <c r="K791" s="2"/>
      <c r="L791" s="2"/>
      <c r="M791" s="2"/>
      <c r="N791" s="2"/>
      <c r="O791" s="2"/>
      <c r="P791" s="2"/>
      <c r="Q791" s="2"/>
      <c r="R791" s="2"/>
      <c r="S791" s="2"/>
      <c r="T791" s="2"/>
    </row>
    <row r="792" spans="1:20" ht="15.75" customHeight="1">
      <c r="A792" s="1"/>
      <c r="B792" s="2"/>
      <c r="C792" s="2"/>
      <c r="D792" s="2"/>
      <c r="E792" s="2"/>
      <c r="F792" s="2"/>
      <c r="G792" s="2"/>
      <c r="H792" s="2"/>
      <c r="I792" s="2"/>
      <c r="J792" s="2"/>
      <c r="K792" s="2"/>
      <c r="L792" s="2"/>
      <c r="M792" s="2"/>
      <c r="N792" s="2"/>
      <c r="O792" s="2"/>
      <c r="P792" s="2"/>
      <c r="Q792" s="2"/>
      <c r="R792" s="2"/>
      <c r="S792" s="2"/>
      <c r="T792" s="2"/>
    </row>
    <row r="793" spans="1:20" ht="15.75" customHeight="1">
      <c r="A793" s="1"/>
      <c r="B793" s="2"/>
      <c r="C793" s="2"/>
      <c r="D793" s="2"/>
      <c r="E793" s="2"/>
      <c r="F793" s="2"/>
      <c r="G793" s="2"/>
      <c r="H793" s="2"/>
      <c r="I793" s="2"/>
      <c r="J793" s="2"/>
      <c r="K793" s="2"/>
      <c r="L793" s="2"/>
      <c r="M793" s="2"/>
      <c r="N793" s="2"/>
      <c r="O793" s="2"/>
      <c r="P793" s="2"/>
      <c r="Q793" s="2"/>
      <c r="R793" s="2"/>
      <c r="S793" s="2"/>
      <c r="T793" s="2"/>
    </row>
    <row r="794" spans="1:20" ht="15.75" customHeight="1">
      <c r="A794" s="1"/>
      <c r="B794" s="2"/>
      <c r="C794" s="2"/>
      <c r="D794" s="2"/>
      <c r="E794" s="2"/>
      <c r="F794" s="2"/>
      <c r="G794" s="2"/>
      <c r="H794" s="2"/>
      <c r="I794" s="2"/>
      <c r="J794" s="2"/>
      <c r="K794" s="2"/>
      <c r="L794" s="2"/>
      <c r="M794" s="2"/>
      <c r="N794" s="2"/>
      <c r="O794" s="2"/>
      <c r="P794" s="2"/>
      <c r="Q794" s="2"/>
      <c r="R794" s="2"/>
      <c r="S794" s="2"/>
      <c r="T794" s="2"/>
    </row>
    <row r="795" spans="1:20" ht="15.75" customHeight="1">
      <c r="A795" s="1"/>
      <c r="B795" s="2"/>
      <c r="C795" s="2"/>
      <c r="D795" s="2"/>
      <c r="E795" s="2"/>
      <c r="F795" s="2"/>
      <c r="G795" s="2"/>
      <c r="H795" s="2"/>
      <c r="I795" s="2"/>
      <c r="J795" s="2"/>
      <c r="K795" s="2"/>
      <c r="L795" s="2"/>
      <c r="M795" s="2"/>
      <c r="N795" s="2"/>
      <c r="O795" s="2"/>
      <c r="P795" s="2"/>
      <c r="Q795" s="2"/>
      <c r="R795" s="2"/>
      <c r="S795" s="2"/>
      <c r="T795" s="2"/>
    </row>
    <row r="796" spans="1:20" ht="15.75" customHeight="1">
      <c r="A796" s="1"/>
      <c r="B796" s="2"/>
      <c r="C796" s="2"/>
      <c r="D796" s="2"/>
      <c r="E796" s="2"/>
      <c r="F796" s="2"/>
      <c r="G796" s="2"/>
      <c r="H796" s="2"/>
      <c r="I796" s="2"/>
      <c r="J796" s="2"/>
      <c r="K796" s="2"/>
      <c r="L796" s="2"/>
      <c r="M796" s="2"/>
      <c r="N796" s="2"/>
      <c r="O796" s="2"/>
      <c r="P796" s="2"/>
      <c r="Q796" s="2"/>
      <c r="R796" s="2"/>
      <c r="S796" s="2"/>
      <c r="T796" s="2"/>
    </row>
    <row r="797" spans="1:20" ht="15.75" customHeight="1">
      <c r="A797" s="1"/>
      <c r="B797" s="2"/>
      <c r="C797" s="2"/>
      <c r="D797" s="2"/>
      <c r="E797" s="2"/>
      <c r="F797" s="2"/>
      <c r="G797" s="2"/>
      <c r="H797" s="2"/>
      <c r="I797" s="2"/>
      <c r="J797" s="2"/>
      <c r="K797" s="2"/>
      <c r="L797" s="2"/>
      <c r="M797" s="2"/>
      <c r="N797" s="2"/>
      <c r="O797" s="2"/>
      <c r="P797" s="2"/>
      <c r="Q797" s="2"/>
      <c r="R797" s="2"/>
      <c r="S797" s="2"/>
      <c r="T797" s="2"/>
    </row>
    <row r="798" spans="1:20" ht="15.75" customHeight="1">
      <c r="A798" s="1"/>
      <c r="B798" s="2"/>
      <c r="C798" s="2"/>
      <c r="D798" s="2"/>
      <c r="E798" s="2"/>
      <c r="F798" s="2"/>
      <c r="G798" s="2"/>
      <c r="H798" s="2"/>
      <c r="I798" s="2"/>
      <c r="J798" s="2"/>
      <c r="K798" s="2"/>
      <c r="L798" s="2"/>
      <c r="M798" s="2"/>
      <c r="N798" s="2"/>
      <c r="O798" s="2"/>
      <c r="P798" s="2"/>
      <c r="Q798" s="2"/>
      <c r="R798" s="2"/>
      <c r="S798" s="2"/>
      <c r="T798" s="2"/>
    </row>
    <row r="799" spans="1:20" ht="15.75" customHeight="1">
      <c r="A799" s="1"/>
      <c r="B799" s="2"/>
      <c r="C799" s="2"/>
      <c r="D799" s="2"/>
      <c r="E799" s="2"/>
      <c r="F799" s="2"/>
      <c r="G799" s="2"/>
      <c r="H799" s="2"/>
      <c r="I799" s="2"/>
      <c r="J799" s="2"/>
      <c r="K799" s="2"/>
      <c r="L799" s="2"/>
      <c r="M799" s="2"/>
      <c r="N799" s="2"/>
      <c r="O799" s="2"/>
      <c r="P799" s="2"/>
      <c r="Q799" s="2"/>
      <c r="R799" s="2"/>
      <c r="S799" s="2"/>
      <c r="T799" s="2"/>
    </row>
    <row r="800" spans="1:20" ht="15.75" customHeight="1">
      <c r="A800" s="1"/>
      <c r="B800" s="2"/>
      <c r="C800" s="2"/>
      <c r="D800" s="2"/>
      <c r="E800" s="2"/>
      <c r="F800" s="2"/>
      <c r="G800" s="2"/>
      <c r="H800" s="2"/>
      <c r="I800" s="2"/>
      <c r="J800" s="2"/>
      <c r="K800" s="2"/>
      <c r="L800" s="2"/>
      <c r="M800" s="2"/>
      <c r="N800" s="2"/>
      <c r="O800" s="2"/>
      <c r="P800" s="2"/>
      <c r="Q800" s="2"/>
      <c r="R800" s="2"/>
      <c r="S800" s="2"/>
      <c r="T800" s="2"/>
    </row>
    <row r="801" spans="1:20" ht="15.75" customHeight="1">
      <c r="A801" s="1"/>
      <c r="B801" s="2"/>
      <c r="C801" s="2"/>
      <c r="D801" s="2"/>
      <c r="E801" s="2"/>
      <c r="F801" s="2"/>
      <c r="G801" s="2"/>
      <c r="H801" s="2"/>
      <c r="I801" s="2"/>
      <c r="J801" s="2"/>
      <c r="K801" s="2"/>
      <c r="L801" s="2"/>
      <c r="M801" s="2"/>
      <c r="N801" s="2"/>
      <c r="O801" s="2"/>
      <c r="P801" s="2"/>
      <c r="Q801" s="2"/>
      <c r="R801" s="2"/>
      <c r="S801" s="2"/>
      <c r="T801" s="2"/>
    </row>
    <row r="802" spans="1:20" ht="15.75" customHeight="1">
      <c r="A802" s="1"/>
      <c r="B802" s="2"/>
      <c r="C802" s="2"/>
      <c r="D802" s="2"/>
      <c r="E802" s="2"/>
      <c r="F802" s="2"/>
      <c r="G802" s="2"/>
      <c r="H802" s="2"/>
      <c r="I802" s="2"/>
      <c r="J802" s="2"/>
      <c r="K802" s="2"/>
      <c r="L802" s="2"/>
      <c r="M802" s="2"/>
      <c r="N802" s="2"/>
      <c r="O802" s="2"/>
      <c r="P802" s="2"/>
      <c r="Q802" s="2"/>
      <c r="R802" s="2"/>
      <c r="S802" s="2"/>
      <c r="T802" s="2"/>
    </row>
    <row r="803" spans="1:20" ht="15.75" customHeight="1">
      <c r="A803" s="1"/>
      <c r="B803" s="2"/>
      <c r="C803" s="2"/>
      <c r="D803" s="2"/>
      <c r="E803" s="2"/>
      <c r="F803" s="2"/>
      <c r="G803" s="2"/>
      <c r="H803" s="2"/>
      <c r="I803" s="2"/>
      <c r="J803" s="2"/>
      <c r="K803" s="2"/>
      <c r="L803" s="2"/>
      <c r="M803" s="2"/>
      <c r="N803" s="2"/>
      <c r="O803" s="2"/>
      <c r="P803" s="2"/>
      <c r="Q803" s="2"/>
      <c r="R803" s="2"/>
      <c r="S803" s="2"/>
      <c r="T803" s="2"/>
    </row>
    <row r="804" spans="1:20" ht="15.75" customHeight="1">
      <c r="A804" s="1"/>
      <c r="B804" s="2"/>
      <c r="C804" s="2"/>
      <c r="D804" s="2"/>
      <c r="E804" s="2"/>
      <c r="F804" s="2"/>
      <c r="G804" s="2"/>
      <c r="H804" s="2"/>
      <c r="I804" s="2"/>
      <c r="J804" s="2"/>
      <c r="K804" s="2"/>
      <c r="L804" s="2"/>
      <c r="M804" s="2"/>
      <c r="N804" s="2"/>
      <c r="O804" s="2"/>
      <c r="P804" s="2"/>
      <c r="Q804" s="2"/>
      <c r="R804" s="2"/>
      <c r="S804" s="2"/>
      <c r="T804" s="2"/>
    </row>
    <row r="805" spans="1:20" ht="15.75" customHeight="1">
      <c r="A805" s="1"/>
      <c r="B805" s="2"/>
      <c r="C805" s="2"/>
      <c r="D805" s="2"/>
      <c r="E805" s="2"/>
      <c r="F805" s="2"/>
      <c r="G805" s="2"/>
      <c r="H805" s="2"/>
      <c r="I805" s="2"/>
      <c r="J805" s="2"/>
      <c r="K805" s="2"/>
      <c r="L805" s="2"/>
      <c r="M805" s="2"/>
      <c r="N805" s="2"/>
      <c r="O805" s="2"/>
      <c r="P805" s="2"/>
      <c r="Q805" s="2"/>
      <c r="R805" s="2"/>
      <c r="S805" s="2"/>
      <c r="T805" s="2"/>
    </row>
    <row r="806" spans="1:20" ht="15.75" customHeight="1">
      <c r="A806" s="1"/>
      <c r="B806" s="2"/>
      <c r="C806" s="2"/>
      <c r="D806" s="2"/>
      <c r="E806" s="2"/>
      <c r="F806" s="2"/>
      <c r="G806" s="2"/>
      <c r="H806" s="2"/>
      <c r="I806" s="2"/>
      <c r="J806" s="2"/>
      <c r="K806" s="2"/>
      <c r="L806" s="2"/>
      <c r="M806" s="2"/>
      <c r="N806" s="2"/>
      <c r="O806" s="2"/>
      <c r="P806" s="2"/>
      <c r="Q806" s="2"/>
      <c r="R806" s="2"/>
      <c r="S806" s="2"/>
      <c r="T806" s="2"/>
    </row>
    <row r="807" spans="1:20" ht="15.75" customHeight="1">
      <c r="A807" s="1"/>
      <c r="B807" s="2"/>
      <c r="C807" s="2"/>
      <c r="D807" s="2"/>
      <c r="E807" s="2"/>
      <c r="F807" s="2"/>
      <c r="G807" s="2"/>
      <c r="H807" s="2"/>
      <c r="I807" s="2"/>
      <c r="J807" s="2"/>
      <c r="K807" s="2"/>
      <c r="L807" s="2"/>
      <c r="M807" s="2"/>
      <c r="N807" s="2"/>
      <c r="O807" s="2"/>
      <c r="P807" s="2"/>
      <c r="Q807" s="2"/>
      <c r="R807" s="2"/>
      <c r="S807" s="2"/>
      <c r="T807" s="2"/>
    </row>
    <row r="808" spans="1:20" ht="15.75" customHeight="1">
      <c r="A808" s="1"/>
      <c r="B808" s="2"/>
      <c r="C808" s="2"/>
      <c r="D808" s="2"/>
      <c r="E808" s="2"/>
      <c r="F808" s="2"/>
      <c r="G808" s="2"/>
      <c r="H808" s="2"/>
      <c r="I808" s="2"/>
      <c r="J808" s="2"/>
      <c r="K808" s="2"/>
      <c r="L808" s="2"/>
      <c r="M808" s="2"/>
      <c r="N808" s="2"/>
      <c r="O808" s="2"/>
      <c r="P808" s="2"/>
      <c r="Q808" s="2"/>
      <c r="R808" s="2"/>
      <c r="S808" s="2"/>
      <c r="T808" s="2"/>
    </row>
    <row r="809" spans="1:20" ht="15.75" customHeight="1">
      <c r="A809" s="1"/>
      <c r="B809" s="2"/>
      <c r="C809" s="2"/>
      <c r="D809" s="2"/>
      <c r="E809" s="2"/>
      <c r="F809" s="2"/>
      <c r="G809" s="2"/>
      <c r="H809" s="2"/>
      <c r="I809" s="2"/>
      <c r="J809" s="2"/>
      <c r="K809" s="2"/>
      <c r="L809" s="2"/>
      <c r="M809" s="2"/>
      <c r="N809" s="2"/>
      <c r="O809" s="2"/>
      <c r="P809" s="2"/>
      <c r="Q809" s="2"/>
      <c r="R809" s="2"/>
      <c r="S809" s="2"/>
      <c r="T809" s="2"/>
    </row>
    <row r="810" spans="1:20" ht="15.75" customHeight="1">
      <c r="A810" s="1"/>
      <c r="B810" s="2"/>
      <c r="C810" s="2"/>
      <c r="D810" s="2"/>
      <c r="E810" s="2"/>
      <c r="F810" s="2"/>
      <c r="G810" s="2"/>
      <c r="H810" s="2"/>
      <c r="I810" s="2"/>
      <c r="J810" s="2"/>
      <c r="K810" s="2"/>
      <c r="L810" s="2"/>
      <c r="M810" s="2"/>
      <c r="N810" s="2"/>
      <c r="O810" s="2"/>
      <c r="P810" s="2"/>
      <c r="Q810" s="2"/>
      <c r="R810" s="2"/>
      <c r="S810" s="2"/>
      <c r="T810" s="2"/>
    </row>
    <row r="811" spans="1:20" ht="15.75" customHeight="1">
      <c r="A811" s="1"/>
      <c r="B811" s="2"/>
      <c r="C811" s="2"/>
      <c r="D811" s="2"/>
      <c r="E811" s="2"/>
      <c r="F811" s="2"/>
      <c r="G811" s="2"/>
      <c r="H811" s="2"/>
      <c r="I811" s="2"/>
      <c r="J811" s="2"/>
      <c r="K811" s="2"/>
      <c r="L811" s="2"/>
      <c r="M811" s="2"/>
      <c r="N811" s="2"/>
      <c r="O811" s="2"/>
      <c r="P811" s="2"/>
      <c r="Q811" s="2"/>
      <c r="R811" s="2"/>
      <c r="S811" s="2"/>
      <c r="T811" s="2"/>
    </row>
    <row r="812" spans="1:20" ht="15.75" customHeight="1">
      <c r="A812" s="1"/>
      <c r="B812" s="2"/>
      <c r="C812" s="2"/>
      <c r="D812" s="2"/>
      <c r="E812" s="2"/>
      <c r="F812" s="2"/>
      <c r="G812" s="2"/>
      <c r="H812" s="2"/>
      <c r="I812" s="2"/>
      <c r="J812" s="2"/>
      <c r="K812" s="2"/>
      <c r="L812" s="2"/>
      <c r="M812" s="2"/>
      <c r="N812" s="2"/>
      <c r="O812" s="2"/>
      <c r="P812" s="2"/>
      <c r="Q812" s="2"/>
      <c r="R812" s="2"/>
      <c r="S812" s="2"/>
      <c r="T812" s="2"/>
    </row>
    <row r="813" spans="1:20" ht="15.75" customHeight="1">
      <c r="A813" s="1"/>
      <c r="B813" s="2"/>
      <c r="C813" s="2"/>
      <c r="D813" s="2"/>
      <c r="E813" s="2"/>
      <c r="F813" s="2"/>
      <c r="G813" s="2"/>
      <c r="H813" s="2"/>
      <c r="I813" s="2"/>
      <c r="J813" s="2"/>
      <c r="K813" s="2"/>
      <c r="L813" s="2"/>
      <c r="M813" s="2"/>
      <c r="N813" s="2"/>
      <c r="O813" s="2"/>
      <c r="P813" s="2"/>
      <c r="Q813" s="2"/>
      <c r="R813" s="2"/>
      <c r="S813" s="2"/>
      <c r="T813" s="2"/>
    </row>
    <row r="814" spans="1:20" ht="15.75" customHeight="1">
      <c r="A814" s="1"/>
      <c r="B814" s="2"/>
      <c r="C814" s="2"/>
      <c r="D814" s="2"/>
      <c r="E814" s="2"/>
      <c r="F814" s="2"/>
      <c r="G814" s="2"/>
      <c r="H814" s="2"/>
      <c r="I814" s="2"/>
      <c r="J814" s="2"/>
      <c r="K814" s="2"/>
      <c r="L814" s="2"/>
      <c r="M814" s="2"/>
      <c r="N814" s="2"/>
      <c r="O814" s="2"/>
      <c r="P814" s="2"/>
      <c r="Q814" s="2"/>
      <c r="R814" s="2"/>
      <c r="S814" s="2"/>
      <c r="T814" s="2"/>
    </row>
    <row r="815" spans="1:20" ht="15.75" customHeight="1">
      <c r="A815" s="1"/>
      <c r="B815" s="2"/>
      <c r="C815" s="2"/>
      <c r="D815" s="2"/>
      <c r="E815" s="2"/>
      <c r="F815" s="2"/>
      <c r="G815" s="2"/>
      <c r="H815" s="2"/>
      <c r="I815" s="2"/>
      <c r="J815" s="2"/>
      <c r="K815" s="2"/>
      <c r="L815" s="2"/>
      <c r="M815" s="2"/>
      <c r="N815" s="2"/>
      <c r="O815" s="2"/>
      <c r="P815" s="2"/>
      <c r="Q815" s="2"/>
      <c r="R815" s="2"/>
      <c r="S815" s="2"/>
      <c r="T815" s="2"/>
    </row>
    <row r="816" spans="1:20" ht="15.75" customHeight="1">
      <c r="A816" s="1"/>
      <c r="B816" s="2"/>
      <c r="C816" s="2"/>
      <c r="D816" s="2"/>
      <c r="E816" s="2"/>
      <c r="F816" s="2"/>
      <c r="G816" s="2"/>
      <c r="H816" s="2"/>
      <c r="I816" s="2"/>
      <c r="J816" s="2"/>
      <c r="K816" s="2"/>
      <c r="L816" s="2"/>
      <c r="M816" s="2"/>
      <c r="N816" s="2"/>
      <c r="O816" s="2"/>
      <c r="P816" s="2"/>
      <c r="Q816" s="2"/>
      <c r="R816" s="2"/>
      <c r="S816" s="2"/>
      <c r="T816" s="2"/>
    </row>
    <row r="817" spans="1:20" ht="15.75" customHeight="1">
      <c r="A817" s="1"/>
      <c r="B817" s="2"/>
      <c r="C817" s="2"/>
      <c r="D817" s="2"/>
      <c r="E817" s="2"/>
      <c r="F817" s="2"/>
      <c r="G817" s="2"/>
      <c r="H817" s="2"/>
      <c r="I817" s="2"/>
      <c r="J817" s="2"/>
      <c r="K817" s="2"/>
      <c r="L817" s="2"/>
      <c r="M817" s="2"/>
      <c r="N817" s="2"/>
      <c r="O817" s="2"/>
      <c r="P817" s="2"/>
      <c r="Q817" s="2"/>
      <c r="R817" s="2"/>
      <c r="S817" s="2"/>
      <c r="T817" s="2"/>
    </row>
    <row r="818" spans="1:20" ht="15.75" customHeight="1">
      <c r="A818" s="1"/>
      <c r="B818" s="2"/>
      <c r="C818" s="2"/>
      <c r="D818" s="2"/>
      <c r="E818" s="2"/>
      <c r="F818" s="2"/>
      <c r="G818" s="2"/>
      <c r="H818" s="2"/>
      <c r="I818" s="2"/>
      <c r="J818" s="2"/>
      <c r="K818" s="2"/>
      <c r="L818" s="2"/>
      <c r="M818" s="2"/>
      <c r="N818" s="2"/>
      <c r="O818" s="2"/>
      <c r="P818" s="2"/>
      <c r="Q818" s="2"/>
      <c r="R818" s="2"/>
      <c r="S818" s="2"/>
      <c r="T818" s="2"/>
    </row>
    <row r="819" spans="1:20" ht="15.75" customHeight="1">
      <c r="A819" s="1"/>
      <c r="B819" s="2"/>
      <c r="C819" s="2"/>
      <c r="D819" s="2"/>
      <c r="E819" s="2"/>
      <c r="F819" s="2"/>
      <c r="G819" s="2"/>
      <c r="H819" s="2"/>
      <c r="I819" s="2"/>
      <c r="J819" s="2"/>
      <c r="K819" s="2"/>
      <c r="L819" s="2"/>
      <c r="M819" s="2"/>
      <c r="N819" s="2"/>
      <c r="O819" s="2"/>
      <c r="P819" s="2"/>
      <c r="Q819" s="2"/>
      <c r="R819" s="2"/>
      <c r="S819" s="2"/>
      <c r="T819" s="2"/>
    </row>
    <row r="820" spans="1:20" ht="15.75" customHeight="1">
      <c r="A820" s="1"/>
      <c r="B820" s="2"/>
      <c r="C820" s="2"/>
      <c r="D820" s="2"/>
      <c r="E820" s="2"/>
      <c r="F820" s="2"/>
      <c r="G820" s="2"/>
      <c r="H820" s="2"/>
      <c r="I820" s="2"/>
      <c r="J820" s="2"/>
      <c r="K820" s="2"/>
      <c r="L820" s="2"/>
      <c r="M820" s="2"/>
      <c r="N820" s="2"/>
      <c r="O820" s="2"/>
      <c r="P820" s="2"/>
      <c r="Q820" s="2"/>
      <c r="R820" s="2"/>
      <c r="S820" s="2"/>
      <c r="T820" s="2"/>
    </row>
    <row r="821" spans="1:20" ht="15.75" customHeight="1">
      <c r="A821" s="1"/>
      <c r="B821" s="2"/>
      <c r="C821" s="2"/>
      <c r="D821" s="2"/>
      <c r="E821" s="2"/>
      <c r="F821" s="2"/>
      <c r="G821" s="2"/>
      <c r="H821" s="2"/>
      <c r="I821" s="2"/>
      <c r="J821" s="2"/>
      <c r="K821" s="2"/>
      <c r="L821" s="2"/>
      <c r="M821" s="2"/>
      <c r="N821" s="2"/>
      <c r="O821" s="2"/>
      <c r="P821" s="2"/>
      <c r="Q821" s="2"/>
      <c r="R821" s="2"/>
      <c r="S821" s="2"/>
      <c r="T821" s="2"/>
    </row>
    <row r="822" spans="1:20" ht="15.75" customHeight="1">
      <c r="A822" s="1"/>
      <c r="B822" s="2"/>
      <c r="C822" s="2"/>
      <c r="D822" s="2"/>
      <c r="E822" s="2"/>
      <c r="F822" s="2"/>
      <c r="G822" s="2"/>
      <c r="H822" s="2"/>
      <c r="I822" s="2"/>
      <c r="J822" s="2"/>
      <c r="K822" s="2"/>
      <c r="L822" s="2"/>
      <c r="M822" s="2"/>
      <c r="N822" s="2"/>
      <c r="O822" s="2"/>
      <c r="P822" s="2"/>
      <c r="Q822" s="2"/>
      <c r="R822" s="2"/>
      <c r="S822" s="2"/>
      <c r="T822" s="2"/>
    </row>
    <row r="823" spans="1:20" ht="15.75" customHeight="1">
      <c r="A823" s="1"/>
      <c r="B823" s="2"/>
      <c r="C823" s="2"/>
      <c r="D823" s="2"/>
      <c r="E823" s="2"/>
      <c r="F823" s="2"/>
      <c r="G823" s="2"/>
      <c r="H823" s="2"/>
      <c r="I823" s="2"/>
      <c r="J823" s="2"/>
      <c r="K823" s="2"/>
      <c r="L823" s="2"/>
      <c r="M823" s="2"/>
      <c r="N823" s="2"/>
      <c r="O823" s="2"/>
      <c r="P823" s="2"/>
      <c r="Q823" s="2"/>
      <c r="R823" s="2"/>
      <c r="S823" s="2"/>
      <c r="T823" s="2"/>
    </row>
    <row r="824" spans="1:20" ht="15.75" customHeight="1">
      <c r="A824" s="1"/>
      <c r="B824" s="2"/>
      <c r="C824" s="2"/>
      <c r="D824" s="2"/>
      <c r="E824" s="2"/>
      <c r="F824" s="2"/>
      <c r="G824" s="2"/>
      <c r="H824" s="2"/>
      <c r="I824" s="2"/>
      <c r="J824" s="2"/>
      <c r="K824" s="2"/>
      <c r="L824" s="2"/>
      <c r="M824" s="2"/>
      <c r="N824" s="2"/>
      <c r="O824" s="2"/>
      <c r="P824" s="2"/>
      <c r="Q824" s="2"/>
      <c r="R824" s="2"/>
      <c r="S824" s="2"/>
      <c r="T824" s="2"/>
    </row>
    <row r="825" spans="1:20" ht="15.75" customHeight="1">
      <c r="A825" s="1"/>
      <c r="B825" s="2"/>
      <c r="C825" s="2"/>
      <c r="D825" s="2"/>
      <c r="E825" s="2"/>
      <c r="F825" s="2"/>
      <c r="G825" s="2"/>
      <c r="H825" s="2"/>
      <c r="I825" s="2"/>
      <c r="J825" s="2"/>
      <c r="K825" s="2"/>
      <c r="L825" s="2"/>
      <c r="M825" s="2"/>
      <c r="N825" s="2"/>
      <c r="O825" s="2"/>
      <c r="P825" s="2"/>
      <c r="Q825" s="2"/>
      <c r="R825" s="2"/>
      <c r="S825" s="2"/>
      <c r="T825" s="2"/>
    </row>
    <row r="826" spans="1:20" ht="15.75" customHeight="1">
      <c r="A826" s="1"/>
      <c r="B826" s="2"/>
      <c r="C826" s="2"/>
      <c r="D826" s="2"/>
      <c r="E826" s="2"/>
      <c r="F826" s="2"/>
      <c r="G826" s="2"/>
      <c r="H826" s="2"/>
      <c r="I826" s="2"/>
      <c r="J826" s="2"/>
      <c r="K826" s="2"/>
      <c r="L826" s="2"/>
      <c r="M826" s="2"/>
      <c r="N826" s="2"/>
      <c r="O826" s="2"/>
      <c r="P826" s="2"/>
      <c r="Q826" s="2"/>
      <c r="R826" s="2"/>
      <c r="S826" s="2"/>
      <c r="T826" s="2"/>
    </row>
    <row r="827" spans="1:20" ht="15.75" customHeight="1">
      <c r="A827" s="1"/>
      <c r="B827" s="2"/>
      <c r="C827" s="2"/>
      <c r="D827" s="2"/>
      <c r="E827" s="2"/>
      <c r="F827" s="2"/>
      <c r="G827" s="2"/>
      <c r="H827" s="2"/>
      <c r="I827" s="2"/>
      <c r="J827" s="2"/>
      <c r="K827" s="2"/>
      <c r="L827" s="2"/>
      <c r="M827" s="2"/>
      <c r="N827" s="2"/>
      <c r="O827" s="2"/>
      <c r="P827" s="2"/>
      <c r="Q827" s="2"/>
      <c r="R827" s="2"/>
      <c r="S827" s="2"/>
      <c r="T827" s="2"/>
    </row>
    <row r="828" spans="1:20" ht="15.75" customHeight="1">
      <c r="A828" s="1"/>
      <c r="B828" s="2"/>
      <c r="C828" s="2"/>
      <c r="D828" s="2"/>
      <c r="E828" s="2"/>
      <c r="F828" s="2"/>
      <c r="G828" s="2"/>
      <c r="H828" s="2"/>
      <c r="I828" s="2"/>
      <c r="J828" s="2"/>
      <c r="K828" s="2"/>
      <c r="L828" s="2"/>
      <c r="M828" s="2"/>
      <c r="N828" s="2"/>
      <c r="O828" s="2"/>
      <c r="P828" s="2"/>
      <c r="Q828" s="2"/>
      <c r="R828" s="2"/>
      <c r="S828" s="2"/>
      <c r="T828" s="2"/>
    </row>
    <row r="829" spans="1:20" ht="15.75" customHeight="1">
      <c r="A829" s="1"/>
      <c r="B829" s="2"/>
      <c r="C829" s="2"/>
      <c r="D829" s="2"/>
      <c r="E829" s="2"/>
      <c r="F829" s="2"/>
      <c r="G829" s="2"/>
      <c r="H829" s="2"/>
      <c r="I829" s="2"/>
      <c r="J829" s="2"/>
      <c r="K829" s="2"/>
      <c r="L829" s="2"/>
      <c r="M829" s="2"/>
      <c r="N829" s="2"/>
      <c r="O829" s="2"/>
      <c r="P829" s="2"/>
      <c r="Q829" s="2"/>
      <c r="R829" s="2"/>
      <c r="S829" s="2"/>
      <c r="T829" s="2"/>
    </row>
    <row r="830" spans="1:20" ht="15.75" customHeight="1">
      <c r="A830" s="1"/>
      <c r="B830" s="2"/>
      <c r="C830" s="2"/>
      <c r="D830" s="2"/>
      <c r="E830" s="2"/>
      <c r="F830" s="2"/>
      <c r="G830" s="2"/>
      <c r="H830" s="2"/>
      <c r="I830" s="2"/>
      <c r="J830" s="2"/>
      <c r="K830" s="2"/>
      <c r="L830" s="2"/>
      <c r="M830" s="2"/>
      <c r="N830" s="2"/>
      <c r="O830" s="2"/>
      <c r="P830" s="2"/>
      <c r="Q830" s="2"/>
      <c r="R830" s="2"/>
      <c r="S830" s="2"/>
      <c r="T830" s="2"/>
    </row>
    <row r="831" spans="1:20" ht="15.75" customHeight="1">
      <c r="A831" s="1"/>
      <c r="B831" s="2"/>
      <c r="C831" s="2"/>
      <c r="D831" s="2"/>
      <c r="E831" s="2"/>
      <c r="F831" s="2"/>
      <c r="G831" s="2"/>
      <c r="H831" s="2"/>
      <c r="I831" s="2"/>
      <c r="J831" s="2"/>
      <c r="K831" s="2"/>
      <c r="L831" s="2"/>
      <c r="M831" s="2"/>
      <c r="N831" s="2"/>
      <c r="O831" s="2"/>
      <c r="P831" s="2"/>
      <c r="Q831" s="2"/>
      <c r="R831" s="2"/>
      <c r="S831" s="2"/>
      <c r="T831" s="2"/>
    </row>
    <row r="832" spans="1:20" ht="15.75" customHeight="1">
      <c r="A832" s="1"/>
      <c r="B832" s="2"/>
      <c r="C832" s="2"/>
      <c r="D832" s="2"/>
      <c r="E832" s="2"/>
      <c r="F832" s="2"/>
      <c r="G832" s="2"/>
      <c r="H832" s="2"/>
      <c r="I832" s="2"/>
      <c r="J832" s="2"/>
      <c r="K832" s="2"/>
      <c r="L832" s="2"/>
      <c r="M832" s="2"/>
      <c r="N832" s="2"/>
      <c r="O832" s="2"/>
      <c r="P832" s="2"/>
      <c r="Q832" s="2"/>
      <c r="R832" s="2"/>
      <c r="S832" s="2"/>
      <c r="T832" s="2"/>
    </row>
    <row r="833" spans="1:20" ht="15.75" customHeight="1">
      <c r="A833" s="1"/>
      <c r="B833" s="2"/>
      <c r="C833" s="2"/>
      <c r="D833" s="2"/>
      <c r="E833" s="2"/>
      <c r="F833" s="2"/>
      <c r="G833" s="2"/>
      <c r="H833" s="2"/>
      <c r="I833" s="2"/>
      <c r="J833" s="2"/>
      <c r="K833" s="2"/>
      <c r="L833" s="2"/>
      <c r="M833" s="2"/>
      <c r="N833" s="2"/>
      <c r="O833" s="2"/>
      <c r="P833" s="2"/>
      <c r="Q833" s="2"/>
      <c r="R833" s="2"/>
      <c r="S833" s="2"/>
      <c r="T833" s="2"/>
    </row>
    <row r="834" spans="1:20" ht="15.75" customHeight="1">
      <c r="A834" s="1"/>
      <c r="B834" s="2"/>
      <c r="C834" s="2"/>
      <c r="D834" s="2"/>
      <c r="E834" s="2"/>
      <c r="F834" s="2"/>
      <c r="G834" s="2"/>
      <c r="H834" s="2"/>
      <c r="I834" s="2"/>
      <c r="J834" s="2"/>
      <c r="K834" s="2"/>
      <c r="L834" s="2"/>
      <c r="M834" s="2"/>
      <c r="N834" s="2"/>
      <c r="O834" s="2"/>
      <c r="P834" s="2"/>
      <c r="Q834" s="2"/>
      <c r="R834" s="2"/>
      <c r="S834" s="2"/>
      <c r="T834" s="2"/>
    </row>
    <row r="835" spans="1:20" ht="15.75" customHeight="1">
      <c r="A835" s="1"/>
      <c r="B835" s="2"/>
      <c r="C835" s="2"/>
      <c r="D835" s="2"/>
      <c r="E835" s="2"/>
      <c r="F835" s="2"/>
      <c r="G835" s="2"/>
      <c r="H835" s="2"/>
      <c r="I835" s="2"/>
      <c r="J835" s="2"/>
      <c r="K835" s="2"/>
      <c r="L835" s="2"/>
      <c r="M835" s="2"/>
      <c r="N835" s="2"/>
      <c r="O835" s="2"/>
      <c r="P835" s="2"/>
      <c r="Q835" s="2"/>
      <c r="R835" s="2"/>
      <c r="S835" s="2"/>
      <c r="T835" s="2"/>
    </row>
    <row r="836" spans="1:20" ht="15.75" customHeight="1">
      <c r="A836" s="1"/>
      <c r="B836" s="2"/>
      <c r="C836" s="2"/>
      <c r="D836" s="2"/>
      <c r="E836" s="2"/>
      <c r="F836" s="2"/>
      <c r="G836" s="2"/>
      <c r="H836" s="2"/>
      <c r="I836" s="2"/>
      <c r="J836" s="2"/>
      <c r="K836" s="2"/>
      <c r="L836" s="2"/>
      <c r="M836" s="2"/>
      <c r="N836" s="2"/>
      <c r="O836" s="2"/>
      <c r="P836" s="2"/>
      <c r="Q836" s="2"/>
      <c r="R836" s="2"/>
      <c r="S836" s="2"/>
      <c r="T836" s="2"/>
    </row>
    <row r="837" spans="1:20" ht="15.75" customHeight="1">
      <c r="A837" s="1"/>
      <c r="B837" s="2"/>
      <c r="C837" s="2"/>
      <c r="D837" s="2"/>
      <c r="E837" s="2"/>
      <c r="F837" s="2"/>
      <c r="G837" s="2"/>
      <c r="H837" s="2"/>
      <c r="I837" s="2"/>
      <c r="J837" s="2"/>
      <c r="K837" s="2"/>
      <c r="L837" s="2"/>
      <c r="M837" s="2"/>
      <c r="N837" s="2"/>
      <c r="O837" s="2"/>
      <c r="P837" s="2"/>
      <c r="Q837" s="2"/>
      <c r="R837" s="2"/>
      <c r="S837" s="2"/>
      <c r="T837" s="2"/>
    </row>
    <row r="838" spans="1:20" ht="15.75" customHeight="1">
      <c r="A838" s="1"/>
      <c r="B838" s="2"/>
      <c r="C838" s="2"/>
      <c r="D838" s="2"/>
      <c r="E838" s="2"/>
      <c r="F838" s="2"/>
      <c r="G838" s="2"/>
      <c r="H838" s="2"/>
      <c r="I838" s="2"/>
      <c r="J838" s="2"/>
      <c r="K838" s="2"/>
      <c r="L838" s="2"/>
      <c r="M838" s="2"/>
      <c r="N838" s="2"/>
      <c r="O838" s="2"/>
      <c r="P838" s="2"/>
      <c r="Q838" s="2"/>
      <c r="R838" s="2"/>
      <c r="S838" s="2"/>
      <c r="T838" s="2"/>
    </row>
    <row r="839" spans="1:20" ht="15.75" customHeight="1">
      <c r="A839" s="1"/>
      <c r="B839" s="2"/>
      <c r="C839" s="2"/>
      <c r="D839" s="2"/>
      <c r="E839" s="2"/>
      <c r="F839" s="2"/>
      <c r="G839" s="2"/>
      <c r="H839" s="2"/>
      <c r="I839" s="2"/>
      <c r="J839" s="2"/>
      <c r="K839" s="2"/>
      <c r="L839" s="2"/>
      <c r="M839" s="2"/>
      <c r="N839" s="2"/>
      <c r="O839" s="2"/>
      <c r="P839" s="2"/>
      <c r="Q839" s="2"/>
      <c r="R839" s="2"/>
      <c r="S839" s="2"/>
      <c r="T839" s="2"/>
    </row>
    <row r="840" spans="1:20" ht="15.75" customHeight="1">
      <c r="A840" s="1"/>
      <c r="B840" s="2"/>
      <c r="C840" s="2"/>
      <c r="D840" s="2"/>
      <c r="E840" s="2"/>
      <c r="F840" s="2"/>
      <c r="G840" s="2"/>
      <c r="H840" s="2"/>
      <c r="I840" s="2"/>
      <c r="J840" s="2"/>
      <c r="K840" s="2"/>
      <c r="L840" s="2"/>
      <c r="M840" s="2"/>
      <c r="N840" s="2"/>
      <c r="O840" s="2"/>
      <c r="P840" s="2"/>
      <c r="Q840" s="2"/>
      <c r="R840" s="2"/>
      <c r="S840" s="2"/>
      <c r="T840" s="2"/>
    </row>
    <row r="841" spans="1:20" ht="15.75" customHeight="1">
      <c r="A841" s="1"/>
      <c r="B841" s="2"/>
      <c r="C841" s="2"/>
      <c r="D841" s="2"/>
      <c r="E841" s="2"/>
      <c r="F841" s="2"/>
      <c r="G841" s="2"/>
      <c r="H841" s="2"/>
      <c r="I841" s="2"/>
      <c r="J841" s="2"/>
      <c r="K841" s="2"/>
      <c r="L841" s="2"/>
      <c r="M841" s="2"/>
      <c r="N841" s="2"/>
      <c r="O841" s="2"/>
      <c r="P841" s="2"/>
      <c r="Q841" s="2"/>
      <c r="R841" s="2"/>
      <c r="S841" s="2"/>
      <c r="T841" s="2"/>
    </row>
    <row r="842" spans="1:20" ht="15.75" customHeight="1">
      <c r="A842" s="1"/>
      <c r="B842" s="2"/>
      <c r="C842" s="2"/>
      <c r="D842" s="2"/>
      <c r="E842" s="2"/>
      <c r="F842" s="2"/>
      <c r="G842" s="2"/>
      <c r="H842" s="2"/>
      <c r="I842" s="2"/>
      <c r="J842" s="2"/>
      <c r="K842" s="2"/>
      <c r="L842" s="2"/>
      <c r="M842" s="2"/>
      <c r="N842" s="2"/>
      <c r="O842" s="2"/>
      <c r="P842" s="2"/>
      <c r="Q842" s="2"/>
      <c r="R842" s="2"/>
      <c r="S842" s="2"/>
      <c r="T842" s="2"/>
    </row>
    <row r="843" spans="1:20" ht="15.75" customHeight="1">
      <c r="A843" s="1"/>
      <c r="B843" s="2"/>
      <c r="C843" s="2"/>
      <c r="D843" s="2"/>
      <c r="E843" s="2"/>
      <c r="F843" s="2"/>
      <c r="G843" s="2"/>
      <c r="H843" s="2"/>
      <c r="I843" s="2"/>
      <c r="J843" s="2"/>
      <c r="K843" s="2"/>
      <c r="L843" s="2"/>
      <c r="M843" s="2"/>
      <c r="N843" s="2"/>
      <c r="O843" s="2"/>
      <c r="P843" s="2"/>
      <c r="Q843" s="2"/>
      <c r="R843" s="2"/>
      <c r="S843" s="2"/>
      <c r="T843" s="2"/>
    </row>
    <row r="844" spans="1:20" ht="15.75" customHeight="1">
      <c r="A844" s="1"/>
      <c r="B844" s="2"/>
      <c r="C844" s="2"/>
      <c r="D844" s="2"/>
      <c r="E844" s="2"/>
      <c r="F844" s="2"/>
      <c r="G844" s="2"/>
      <c r="H844" s="2"/>
      <c r="I844" s="2"/>
      <c r="J844" s="2"/>
      <c r="K844" s="2"/>
      <c r="L844" s="2"/>
      <c r="M844" s="2"/>
      <c r="N844" s="2"/>
      <c r="O844" s="2"/>
      <c r="P844" s="2"/>
      <c r="Q844" s="2"/>
      <c r="R844" s="2"/>
      <c r="S844" s="2"/>
      <c r="T844" s="2"/>
    </row>
    <row r="845" spans="1:20" ht="15.75" customHeight="1">
      <c r="A845" s="1"/>
      <c r="B845" s="2"/>
      <c r="C845" s="2"/>
      <c r="D845" s="2"/>
      <c r="E845" s="2"/>
      <c r="F845" s="2"/>
      <c r="G845" s="2"/>
      <c r="H845" s="2"/>
      <c r="I845" s="2"/>
      <c r="J845" s="2"/>
      <c r="K845" s="2"/>
      <c r="L845" s="2"/>
      <c r="M845" s="2"/>
      <c r="N845" s="2"/>
      <c r="O845" s="2"/>
      <c r="P845" s="2"/>
      <c r="Q845" s="2"/>
      <c r="R845" s="2"/>
      <c r="S845" s="2"/>
      <c r="T845" s="2"/>
    </row>
    <row r="846" spans="1:20" ht="15.75" customHeight="1">
      <c r="A846" s="1"/>
      <c r="B846" s="2"/>
      <c r="C846" s="2"/>
      <c r="D846" s="2"/>
      <c r="E846" s="2"/>
      <c r="F846" s="2"/>
      <c r="G846" s="2"/>
      <c r="H846" s="2"/>
      <c r="I846" s="2"/>
      <c r="J846" s="2"/>
      <c r="K846" s="2"/>
      <c r="L846" s="2"/>
      <c r="M846" s="2"/>
      <c r="N846" s="2"/>
      <c r="O846" s="2"/>
      <c r="P846" s="2"/>
      <c r="Q846" s="2"/>
      <c r="R846" s="2"/>
      <c r="S846" s="2"/>
      <c r="T846" s="2"/>
    </row>
    <row r="847" spans="1:20" ht="15.75" customHeight="1">
      <c r="A847" s="1"/>
      <c r="B847" s="2"/>
      <c r="C847" s="2"/>
      <c r="D847" s="2"/>
      <c r="E847" s="2"/>
      <c r="F847" s="2"/>
      <c r="G847" s="2"/>
      <c r="H847" s="2"/>
      <c r="I847" s="2"/>
      <c r="J847" s="2"/>
      <c r="K847" s="2"/>
      <c r="L847" s="2"/>
      <c r="M847" s="2"/>
      <c r="N847" s="2"/>
      <c r="O847" s="2"/>
      <c r="P847" s="2"/>
      <c r="Q847" s="2"/>
      <c r="R847" s="2"/>
      <c r="S847" s="2"/>
      <c r="T847" s="2"/>
    </row>
    <row r="848" spans="1:20" ht="15.75" customHeight="1">
      <c r="A848" s="1"/>
      <c r="B848" s="2"/>
      <c r="C848" s="2"/>
      <c r="D848" s="2"/>
      <c r="E848" s="2"/>
      <c r="F848" s="2"/>
      <c r="G848" s="2"/>
      <c r="H848" s="2"/>
      <c r="I848" s="2"/>
      <c r="J848" s="2"/>
      <c r="K848" s="2"/>
      <c r="L848" s="2"/>
      <c r="M848" s="2"/>
      <c r="N848" s="2"/>
      <c r="O848" s="2"/>
      <c r="P848" s="2"/>
      <c r="Q848" s="2"/>
      <c r="R848" s="2"/>
      <c r="S848" s="2"/>
      <c r="T848" s="2"/>
    </row>
    <row r="849" spans="1:20" ht="15.75" customHeight="1">
      <c r="A849" s="1"/>
      <c r="B849" s="2"/>
      <c r="C849" s="2"/>
      <c r="D849" s="2"/>
      <c r="E849" s="2"/>
      <c r="F849" s="2"/>
      <c r="G849" s="2"/>
      <c r="H849" s="2"/>
      <c r="I849" s="2"/>
      <c r="J849" s="2"/>
      <c r="K849" s="2"/>
      <c r="L849" s="2"/>
      <c r="M849" s="2"/>
      <c r="N849" s="2"/>
      <c r="O849" s="2"/>
      <c r="P849" s="2"/>
      <c r="Q849" s="2"/>
      <c r="R849" s="2"/>
      <c r="S849" s="2"/>
      <c r="T849" s="2"/>
    </row>
    <row r="850" spans="1:20" ht="15.75" customHeight="1">
      <c r="A850" s="1"/>
      <c r="B850" s="2"/>
      <c r="C850" s="2"/>
      <c r="D850" s="2"/>
      <c r="E850" s="2"/>
      <c r="F850" s="2"/>
      <c r="G850" s="2"/>
      <c r="H850" s="2"/>
      <c r="I850" s="2"/>
      <c r="J850" s="2"/>
      <c r="K850" s="2"/>
      <c r="L850" s="2"/>
      <c r="M850" s="2"/>
      <c r="N850" s="2"/>
      <c r="O850" s="2"/>
      <c r="P850" s="2"/>
      <c r="Q850" s="2"/>
      <c r="R850" s="2"/>
      <c r="S850" s="2"/>
      <c r="T850" s="2"/>
    </row>
    <row r="851" spans="1:20" ht="15.75" customHeight="1">
      <c r="A851" s="1"/>
      <c r="B851" s="2"/>
      <c r="C851" s="2"/>
      <c r="D851" s="2"/>
      <c r="E851" s="2"/>
      <c r="F851" s="2"/>
      <c r="G851" s="2"/>
      <c r="H851" s="2"/>
      <c r="I851" s="2"/>
      <c r="J851" s="2"/>
      <c r="K851" s="2"/>
      <c r="L851" s="2"/>
      <c r="M851" s="2"/>
      <c r="N851" s="2"/>
      <c r="O851" s="2"/>
      <c r="P851" s="2"/>
      <c r="Q851" s="2"/>
      <c r="R851" s="2"/>
      <c r="S851" s="2"/>
      <c r="T851" s="2"/>
    </row>
    <row r="852" spans="1:20" ht="15.75" customHeight="1">
      <c r="A852" s="1"/>
      <c r="B852" s="2"/>
      <c r="C852" s="2"/>
      <c r="D852" s="2"/>
      <c r="E852" s="2"/>
      <c r="F852" s="2"/>
      <c r="G852" s="2"/>
      <c r="H852" s="2"/>
      <c r="I852" s="2"/>
      <c r="J852" s="2"/>
      <c r="K852" s="2"/>
      <c r="L852" s="2"/>
      <c r="M852" s="2"/>
      <c r="N852" s="2"/>
      <c r="O852" s="2"/>
      <c r="P852" s="2"/>
      <c r="Q852" s="2"/>
      <c r="R852" s="2"/>
      <c r="S852" s="2"/>
      <c r="T852" s="2"/>
    </row>
    <row r="853" spans="1:20" ht="15.75" customHeight="1">
      <c r="A853" s="1"/>
      <c r="B853" s="2"/>
      <c r="C853" s="2"/>
      <c r="D853" s="2"/>
      <c r="E853" s="2"/>
      <c r="F853" s="2"/>
      <c r="G853" s="2"/>
      <c r="H853" s="2"/>
      <c r="I853" s="2"/>
      <c r="J853" s="2"/>
      <c r="K853" s="2"/>
      <c r="L853" s="2"/>
      <c r="M853" s="2"/>
      <c r="N853" s="2"/>
      <c r="O853" s="2"/>
      <c r="P853" s="2"/>
      <c r="Q853" s="2"/>
      <c r="R853" s="2"/>
      <c r="S853" s="2"/>
      <c r="T853" s="2"/>
    </row>
    <row r="854" spans="1:20" ht="15.75" customHeight="1">
      <c r="A854" s="1"/>
      <c r="B854" s="2"/>
      <c r="C854" s="2"/>
      <c r="D854" s="2"/>
      <c r="E854" s="2"/>
      <c r="F854" s="2"/>
      <c r="G854" s="2"/>
      <c r="H854" s="2"/>
      <c r="I854" s="2"/>
      <c r="J854" s="2"/>
      <c r="K854" s="2"/>
      <c r="L854" s="2"/>
      <c r="M854" s="2"/>
      <c r="N854" s="2"/>
      <c r="O854" s="2"/>
      <c r="P854" s="2"/>
      <c r="Q854" s="2"/>
      <c r="R854" s="2"/>
      <c r="S854" s="2"/>
      <c r="T854" s="2"/>
    </row>
    <row r="855" spans="1:20" ht="15.75" customHeight="1">
      <c r="A855" s="1"/>
      <c r="B855" s="2"/>
      <c r="C855" s="2"/>
      <c r="D855" s="2"/>
      <c r="E855" s="2"/>
      <c r="F855" s="2"/>
      <c r="G855" s="2"/>
      <c r="H855" s="2"/>
      <c r="I855" s="2"/>
      <c r="J855" s="2"/>
      <c r="K855" s="2"/>
      <c r="L855" s="2"/>
      <c r="M855" s="2"/>
      <c r="N855" s="2"/>
      <c r="O855" s="2"/>
      <c r="P855" s="2"/>
      <c r="Q855" s="2"/>
      <c r="R855" s="2"/>
      <c r="S855" s="2"/>
      <c r="T855" s="2"/>
    </row>
    <row r="856" spans="1:20" ht="15.75" customHeight="1">
      <c r="A856" s="1"/>
      <c r="B856" s="2"/>
      <c r="C856" s="2"/>
      <c r="D856" s="2"/>
      <c r="E856" s="2"/>
      <c r="F856" s="2"/>
      <c r="G856" s="2"/>
      <c r="H856" s="2"/>
      <c r="I856" s="2"/>
      <c r="J856" s="2"/>
      <c r="K856" s="2"/>
      <c r="L856" s="2"/>
      <c r="M856" s="2"/>
      <c r="N856" s="2"/>
      <c r="O856" s="2"/>
      <c r="P856" s="2"/>
      <c r="Q856" s="2"/>
      <c r="R856" s="2"/>
      <c r="S856" s="2"/>
      <c r="T856" s="2"/>
    </row>
    <row r="857" spans="1:20" ht="15.75" customHeight="1">
      <c r="A857" s="1"/>
      <c r="B857" s="2"/>
      <c r="C857" s="2"/>
      <c r="D857" s="2"/>
      <c r="E857" s="2"/>
      <c r="F857" s="2"/>
      <c r="G857" s="2"/>
      <c r="H857" s="2"/>
      <c r="I857" s="2"/>
      <c r="J857" s="2"/>
      <c r="K857" s="2"/>
      <c r="L857" s="2"/>
      <c r="M857" s="2"/>
      <c r="N857" s="2"/>
      <c r="O857" s="2"/>
      <c r="P857" s="2"/>
      <c r="Q857" s="2"/>
      <c r="R857" s="2"/>
      <c r="S857" s="2"/>
      <c r="T857" s="2"/>
    </row>
    <row r="858" spans="1:20" ht="15.75" customHeight="1">
      <c r="A858" s="1"/>
      <c r="B858" s="2"/>
      <c r="C858" s="2"/>
      <c r="D858" s="2"/>
      <c r="E858" s="2"/>
      <c r="F858" s="2"/>
      <c r="G858" s="2"/>
      <c r="H858" s="2"/>
      <c r="I858" s="2"/>
      <c r="J858" s="2"/>
      <c r="K858" s="2"/>
      <c r="L858" s="2"/>
      <c r="M858" s="2"/>
      <c r="N858" s="2"/>
      <c r="O858" s="2"/>
      <c r="P858" s="2"/>
      <c r="Q858" s="2"/>
      <c r="R858" s="2"/>
      <c r="S858" s="2"/>
      <c r="T858" s="2"/>
    </row>
    <row r="859" spans="1:20" ht="15.75" customHeight="1">
      <c r="A859" s="1"/>
      <c r="B859" s="2"/>
      <c r="C859" s="2"/>
      <c r="D859" s="2"/>
      <c r="E859" s="2"/>
      <c r="F859" s="2"/>
      <c r="G859" s="2"/>
      <c r="H859" s="2"/>
      <c r="I859" s="2"/>
      <c r="J859" s="2"/>
      <c r="K859" s="2"/>
      <c r="L859" s="2"/>
      <c r="M859" s="2"/>
      <c r="N859" s="2"/>
      <c r="O859" s="2"/>
      <c r="P859" s="2"/>
      <c r="Q859" s="2"/>
      <c r="R859" s="2"/>
      <c r="S859" s="2"/>
      <c r="T859" s="2"/>
    </row>
    <row r="860" spans="1:20" ht="15.75" customHeight="1">
      <c r="A860" s="1"/>
      <c r="B860" s="2"/>
      <c r="C860" s="2"/>
      <c r="D860" s="2"/>
      <c r="E860" s="2"/>
      <c r="F860" s="2"/>
      <c r="G860" s="2"/>
      <c r="H860" s="2"/>
      <c r="I860" s="2"/>
      <c r="J860" s="2"/>
      <c r="K860" s="2"/>
      <c r="L860" s="2"/>
      <c r="M860" s="2"/>
      <c r="N860" s="2"/>
      <c r="O860" s="2"/>
      <c r="P860" s="2"/>
      <c r="Q860" s="2"/>
      <c r="R860" s="2"/>
      <c r="S860" s="2"/>
      <c r="T860" s="2"/>
    </row>
    <row r="861" spans="1:20" ht="15.75" customHeight="1">
      <c r="A861" s="1"/>
      <c r="B861" s="2"/>
      <c r="C861" s="2"/>
      <c r="D861" s="2"/>
      <c r="E861" s="2"/>
      <c r="F861" s="2"/>
      <c r="G861" s="2"/>
      <c r="H861" s="2"/>
      <c r="I861" s="2"/>
      <c r="J861" s="2"/>
      <c r="K861" s="2"/>
      <c r="L861" s="2"/>
      <c r="M861" s="2"/>
      <c r="N861" s="2"/>
      <c r="O861" s="2"/>
      <c r="P861" s="2"/>
      <c r="Q861" s="2"/>
      <c r="R861" s="2"/>
      <c r="S861" s="2"/>
      <c r="T861" s="2"/>
    </row>
    <row r="862" spans="1:20" ht="15.75" customHeight="1">
      <c r="A862" s="1"/>
      <c r="B862" s="2"/>
      <c r="C862" s="2"/>
      <c r="D862" s="2"/>
      <c r="E862" s="2"/>
      <c r="F862" s="2"/>
      <c r="G862" s="2"/>
      <c r="H862" s="2"/>
      <c r="I862" s="2"/>
      <c r="J862" s="2"/>
      <c r="K862" s="2"/>
      <c r="L862" s="2"/>
      <c r="M862" s="2"/>
      <c r="N862" s="2"/>
      <c r="O862" s="2"/>
      <c r="P862" s="2"/>
      <c r="Q862" s="2"/>
      <c r="R862" s="2"/>
      <c r="S862" s="2"/>
      <c r="T862" s="2"/>
    </row>
    <row r="863" spans="1:20" ht="15.75" customHeight="1">
      <c r="A863" s="1"/>
      <c r="B863" s="2"/>
      <c r="C863" s="2"/>
      <c r="D863" s="2"/>
      <c r="E863" s="2"/>
      <c r="F863" s="2"/>
      <c r="G863" s="2"/>
      <c r="H863" s="2"/>
      <c r="I863" s="2"/>
      <c r="J863" s="2"/>
      <c r="K863" s="2"/>
      <c r="L863" s="2"/>
      <c r="M863" s="2"/>
      <c r="N863" s="2"/>
      <c r="O863" s="2"/>
      <c r="P863" s="2"/>
      <c r="Q863" s="2"/>
      <c r="R863" s="2"/>
      <c r="S863" s="2"/>
      <c r="T863" s="2"/>
    </row>
    <row r="864" spans="1:20" ht="15.75" customHeight="1">
      <c r="A864" s="1"/>
      <c r="B864" s="2"/>
      <c r="C864" s="2"/>
      <c r="D864" s="2"/>
      <c r="E864" s="2"/>
      <c r="F864" s="2"/>
      <c r="G864" s="2"/>
      <c r="H864" s="2"/>
      <c r="I864" s="2"/>
      <c r="J864" s="2"/>
      <c r="K864" s="2"/>
      <c r="L864" s="2"/>
      <c r="M864" s="2"/>
      <c r="N864" s="2"/>
      <c r="O864" s="2"/>
      <c r="P864" s="2"/>
      <c r="Q864" s="2"/>
      <c r="R864" s="2"/>
      <c r="S864" s="2"/>
      <c r="T864" s="2"/>
    </row>
    <row r="865" spans="1:20" ht="15.75" customHeight="1">
      <c r="A865" s="1"/>
      <c r="B865" s="2"/>
      <c r="C865" s="2"/>
      <c r="D865" s="2"/>
      <c r="E865" s="2"/>
      <c r="F865" s="2"/>
      <c r="G865" s="2"/>
      <c r="H865" s="2"/>
      <c r="I865" s="2"/>
      <c r="J865" s="2"/>
      <c r="K865" s="2"/>
      <c r="L865" s="2"/>
      <c r="M865" s="2"/>
      <c r="N865" s="2"/>
      <c r="O865" s="2"/>
      <c r="P865" s="2"/>
      <c r="Q865" s="2"/>
      <c r="R865" s="2"/>
      <c r="S865" s="2"/>
      <c r="T865" s="2"/>
    </row>
    <row r="866" spans="1:20" ht="15.75" customHeight="1">
      <c r="A866" s="1"/>
      <c r="B866" s="2"/>
      <c r="C866" s="2"/>
      <c r="D866" s="2"/>
      <c r="E866" s="2"/>
      <c r="F866" s="2"/>
      <c r="G866" s="2"/>
      <c r="H866" s="2"/>
      <c r="I866" s="2"/>
      <c r="J866" s="2"/>
      <c r="K866" s="2"/>
      <c r="L866" s="2"/>
      <c r="M866" s="2"/>
      <c r="N866" s="2"/>
      <c r="O866" s="2"/>
      <c r="P866" s="2"/>
      <c r="Q866" s="2"/>
      <c r="R866" s="2"/>
      <c r="S866" s="2"/>
      <c r="T866" s="2"/>
    </row>
    <row r="867" spans="1:20" ht="15.75" customHeight="1">
      <c r="A867" s="1"/>
      <c r="B867" s="2"/>
      <c r="C867" s="2"/>
      <c r="D867" s="2"/>
      <c r="E867" s="2"/>
      <c r="F867" s="2"/>
      <c r="G867" s="2"/>
      <c r="H867" s="2"/>
      <c r="I867" s="2"/>
      <c r="J867" s="2"/>
      <c r="K867" s="2"/>
      <c r="L867" s="2"/>
      <c r="M867" s="2"/>
      <c r="N867" s="2"/>
      <c r="O867" s="2"/>
      <c r="P867" s="2"/>
      <c r="Q867" s="2"/>
      <c r="R867" s="2"/>
      <c r="S867" s="2"/>
      <c r="T867" s="2"/>
    </row>
    <row r="868" spans="1:20" ht="15.75" customHeight="1">
      <c r="A868" s="1"/>
      <c r="B868" s="2"/>
      <c r="C868" s="2"/>
      <c r="D868" s="2"/>
      <c r="E868" s="2"/>
      <c r="F868" s="2"/>
      <c r="G868" s="2"/>
      <c r="H868" s="2"/>
      <c r="I868" s="2"/>
      <c r="J868" s="2"/>
      <c r="K868" s="2"/>
      <c r="L868" s="2"/>
      <c r="M868" s="2"/>
      <c r="N868" s="2"/>
      <c r="O868" s="2"/>
      <c r="P868" s="2"/>
      <c r="Q868" s="2"/>
      <c r="R868" s="2"/>
      <c r="S868" s="2"/>
      <c r="T868" s="2"/>
    </row>
    <row r="869" spans="1:20" ht="15.75" customHeight="1">
      <c r="A869" s="1"/>
      <c r="B869" s="2"/>
      <c r="C869" s="2"/>
      <c r="D869" s="2"/>
      <c r="E869" s="2"/>
      <c r="F869" s="2"/>
      <c r="G869" s="2"/>
      <c r="H869" s="2"/>
      <c r="I869" s="2"/>
      <c r="J869" s="2"/>
      <c r="K869" s="2"/>
      <c r="L869" s="2"/>
      <c r="M869" s="2"/>
      <c r="N869" s="2"/>
      <c r="O869" s="2"/>
      <c r="P869" s="2"/>
      <c r="Q869" s="2"/>
      <c r="R869" s="2"/>
      <c r="S869" s="2"/>
      <c r="T869" s="2"/>
    </row>
    <row r="870" spans="1:20" ht="15.75" customHeight="1">
      <c r="A870" s="1"/>
      <c r="B870" s="2"/>
      <c r="C870" s="2"/>
      <c r="D870" s="2"/>
      <c r="E870" s="2"/>
      <c r="F870" s="2"/>
      <c r="G870" s="2"/>
      <c r="H870" s="2"/>
      <c r="I870" s="2"/>
      <c r="J870" s="2"/>
      <c r="K870" s="2"/>
      <c r="L870" s="2"/>
      <c r="M870" s="2"/>
      <c r="N870" s="2"/>
      <c r="O870" s="2"/>
      <c r="P870" s="2"/>
      <c r="Q870" s="2"/>
      <c r="R870" s="2"/>
      <c r="S870" s="2"/>
      <c r="T870" s="2"/>
    </row>
    <row r="871" spans="1:20" ht="15.75" customHeight="1">
      <c r="A871" s="1"/>
      <c r="B871" s="2"/>
      <c r="C871" s="2"/>
      <c r="D871" s="2"/>
      <c r="E871" s="2"/>
      <c r="F871" s="2"/>
      <c r="G871" s="2"/>
      <c r="H871" s="2"/>
      <c r="I871" s="2"/>
      <c r="J871" s="2"/>
      <c r="K871" s="2"/>
      <c r="L871" s="2"/>
      <c r="M871" s="2"/>
      <c r="N871" s="2"/>
      <c r="O871" s="2"/>
      <c r="P871" s="2"/>
      <c r="Q871" s="2"/>
      <c r="R871" s="2"/>
      <c r="S871" s="2"/>
      <c r="T871" s="2"/>
    </row>
    <row r="872" spans="1:20" ht="15.75" customHeight="1">
      <c r="A872" s="1"/>
      <c r="B872" s="2"/>
      <c r="C872" s="2"/>
      <c r="D872" s="2"/>
      <c r="E872" s="2"/>
      <c r="F872" s="2"/>
      <c r="G872" s="2"/>
      <c r="H872" s="2"/>
      <c r="I872" s="2"/>
      <c r="J872" s="2"/>
      <c r="K872" s="2"/>
      <c r="L872" s="2"/>
      <c r="M872" s="2"/>
      <c r="N872" s="2"/>
      <c r="O872" s="2"/>
      <c r="P872" s="2"/>
      <c r="Q872" s="2"/>
      <c r="R872" s="2"/>
      <c r="S872" s="2"/>
      <c r="T872" s="2"/>
    </row>
    <row r="873" spans="1:20" ht="15.75" customHeight="1">
      <c r="A873" s="1"/>
      <c r="B873" s="2"/>
      <c r="C873" s="2"/>
      <c r="D873" s="2"/>
      <c r="E873" s="2"/>
      <c r="F873" s="2"/>
      <c r="G873" s="2"/>
      <c r="H873" s="2"/>
      <c r="I873" s="2"/>
      <c r="J873" s="2"/>
      <c r="K873" s="2"/>
      <c r="L873" s="2"/>
      <c r="M873" s="2"/>
      <c r="N873" s="2"/>
      <c r="O873" s="2"/>
      <c r="P873" s="2"/>
      <c r="Q873" s="2"/>
      <c r="R873" s="2"/>
      <c r="S873" s="2"/>
      <c r="T873" s="2"/>
    </row>
    <row r="874" spans="1:20" ht="15.75" customHeight="1">
      <c r="A874" s="1"/>
      <c r="B874" s="2"/>
      <c r="C874" s="2"/>
      <c r="D874" s="2"/>
      <c r="E874" s="2"/>
      <c r="F874" s="2"/>
      <c r="G874" s="2"/>
      <c r="H874" s="2"/>
      <c r="I874" s="2"/>
      <c r="J874" s="2"/>
      <c r="K874" s="2"/>
      <c r="L874" s="2"/>
      <c r="M874" s="2"/>
      <c r="N874" s="2"/>
      <c r="O874" s="2"/>
      <c r="P874" s="2"/>
      <c r="Q874" s="2"/>
      <c r="R874" s="2"/>
      <c r="S874" s="2"/>
      <c r="T874" s="2"/>
    </row>
    <row r="875" spans="1:20" ht="15.75" customHeight="1">
      <c r="A875" s="1"/>
      <c r="B875" s="2"/>
      <c r="C875" s="2"/>
      <c r="D875" s="2"/>
      <c r="E875" s="2"/>
      <c r="F875" s="2"/>
      <c r="G875" s="2"/>
      <c r="H875" s="2"/>
      <c r="I875" s="2"/>
      <c r="J875" s="2"/>
      <c r="K875" s="2"/>
      <c r="L875" s="2"/>
      <c r="M875" s="2"/>
      <c r="N875" s="2"/>
      <c r="O875" s="2"/>
      <c r="P875" s="2"/>
      <c r="Q875" s="2"/>
      <c r="R875" s="2"/>
      <c r="S875" s="2"/>
      <c r="T875" s="2"/>
    </row>
    <row r="876" spans="1:20" ht="15.75" customHeight="1">
      <c r="A876" s="1"/>
      <c r="B876" s="2"/>
      <c r="C876" s="2"/>
      <c r="D876" s="2"/>
      <c r="E876" s="2"/>
      <c r="F876" s="2"/>
      <c r="G876" s="2"/>
      <c r="H876" s="2"/>
      <c r="I876" s="2"/>
      <c r="J876" s="2"/>
      <c r="K876" s="2"/>
      <c r="L876" s="2"/>
      <c r="M876" s="2"/>
      <c r="N876" s="2"/>
      <c r="O876" s="2"/>
      <c r="P876" s="2"/>
      <c r="Q876" s="2"/>
      <c r="R876" s="2"/>
      <c r="S876" s="2"/>
      <c r="T876" s="2"/>
    </row>
    <row r="877" spans="1:20" ht="15.75" customHeight="1">
      <c r="A877" s="1"/>
      <c r="B877" s="2"/>
      <c r="C877" s="2"/>
      <c r="D877" s="2"/>
      <c r="E877" s="2"/>
      <c r="F877" s="2"/>
      <c r="G877" s="2"/>
      <c r="H877" s="2"/>
      <c r="I877" s="2"/>
      <c r="J877" s="2"/>
      <c r="K877" s="2"/>
      <c r="L877" s="2"/>
      <c r="M877" s="2"/>
      <c r="N877" s="2"/>
      <c r="O877" s="2"/>
      <c r="P877" s="2"/>
      <c r="Q877" s="2"/>
      <c r="R877" s="2"/>
      <c r="S877" s="2"/>
      <c r="T877" s="2"/>
    </row>
    <row r="878" spans="1:20" ht="15.75" customHeight="1">
      <c r="A878" s="1"/>
      <c r="B878" s="2"/>
      <c r="C878" s="2"/>
      <c r="D878" s="2"/>
      <c r="E878" s="2"/>
      <c r="F878" s="2"/>
      <c r="G878" s="2"/>
      <c r="H878" s="2"/>
      <c r="I878" s="2"/>
      <c r="J878" s="2"/>
      <c r="K878" s="2"/>
      <c r="L878" s="2"/>
      <c r="M878" s="2"/>
      <c r="N878" s="2"/>
      <c r="O878" s="2"/>
      <c r="P878" s="2"/>
      <c r="Q878" s="2"/>
      <c r="R878" s="2"/>
      <c r="S878" s="2"/>
      <c r="T878" s="2"/>
    </row>
    <row r="879" spans="1:20" ht="15.75" customHeight="1">
      <c r="A879" s="1"/>
      <c r="B879" s="2"/>
      <c r="C879" s="2"/>
      <c r="D879" s="2"/>
      <c r="E879" s="2"/>
      <c r="F879" s="2"/>
      <c r="G879" s="2"/>
      <c r="H879" s="2"/>
      <c r="I879" s="2"/>
      <c r="J879" s="2"/>
      <c r="K879" s="2"/>
      <c r="L879" s="2"/>
      <c r="M879" s="2"/>
      <c r="N879" s="2"/>
      <c r="O879" s="2"/>
      <c r="P879" s="2"/>
      <c r="Q879" s="2"/>
      <c r="R879" s="2"/>
      <c r="S879" s="2"/>
      <c r="T879" s="2"/>
    </row>
    <row r="880" spans="1:20" ht="15.75" customHeight="1">
      <c r="A880" s="1"/>
      <c r="B880" s="2"/>
      <c r="C880" s="2"/>
      <c r="D880" s="2"/>
      <c r="E880" s="2"/>
      <c r="F880" s="2"/>
      <c r="G880" s="2"/>
      <c r="H880" s="2"/>
      <c r="I880" s="2"/>
      <c r="J880" s="2"/>
      <c r="K880" s="2"/>
      <c r="L880" s="2"/>
      <c r="M880" s="2"/>
      <c r="N880" s="2"/>
      <c r="O880" s="2"/>
      <c r="P880" s="2"/>
      <c r="Q880" s="2"/>
      <c r="R880" s="2"/>
      <c r="S880" s="2"/>
      <c r="T880" s="2"/>
    </row>
    <row r="881" spans="1:20" ht="15.75" customHeight="1">
      <c r="A881" s="1"/>
      <c r="B881" s="2"/>
      <c r="C881" s="2"/>
      <c r="D881" s="2"/>
      <c r="E881" s="2"/>
      <c r="F881" s="2"/>
      <c r="G881" s="2"/>
      <c r="H881" s="2"/>
      <c r="I881" s="2"/>
      <c r="J881" s="2"/>
      <c r="K881" s="2"/>
      <c r="L881" s="2"/>
      <c r="M881" s="2"/>
      <c r="N881" s="2"/>
      <c r="O881" s="2"/>
      <c r="P881" s="2"/>
      <c r="Q881" s="2"/>
      <c r="R881" s="2"/>
      <c r="S881" s="2"/>
      <c r="T881" s="2"/>
    </row>
    <row r="882" spans="1:20" ht="15.75" customHeight="1">
      <c r="A882" s="1"/>
      <c r="B882" s="2"/>
      <c r="C882" s="2"/>
      <c r="D882" s="2"/>
      <c r="E882" s="2"/>
      <c r="F882" s="2"/>
      <c r="G882" s="2"/>
      <c r="H882" s="2"/>
      <c r="I882" s="2"/>
      <c r="J882" s="2"/>
      <c r="K882" s="2"/>
      <c r="L882" s="2"/>
      <c r="M882" s="2"/>
      <c r="N882" s="2"/>
      <c r="O882" s="2"/>
      <c r="P882" s="2"/>
      <c r="Q882" s="2"/>
      <c r="R882" s="2"/>
      <c r="S882" s="2"/>
      <c r="T882" s="2"/>
    </row>
    <row r="883" spans="1:20" ht="15.75" customHeight="1">
      <c r="A883" s="1"/>
      <c r="B883" s="2"/>
      <c r="C883" s="2"/>
      <c r="D883" s="2"/>
      <c r="E883" s="2"/>
      <c r="F883" s="2"/>
      <c r="G883" s="2"/>
      <c r="H883" s="2"/>
      <c r="I883" s="2"/>
      <c r="J883" s="2"/>
      <c r="K883" s="2"/>
      <c r="L883" s="2"/>
      <c r="M883" s="2"/>
      <c r="N883" s="2"/>
      <c r="O883" s="2"/>
      <c r="P883" s="2"/>
      <c r="Q883" s="2"/>
      <c r="R883" s="2"/>
      <c r="S883" s="2"/>
      <c r="T883" s="2"/>
    </row>
    <row r="884" spans="1:20" ht="15.75" customHeight="1">
      <c r="A884" s="1"/>
      <c r="B884" s="2"/>
      <c r="C884" s="2"/>
      <c r="D884" s="2"/>
      <c r="E884" s="2"/>
      <c r="F884" s="2"/>
      <c r="G884" s="2"/>
      <c r="H884" s="2"/>
      <c r="I884" s="2"/>
      <c r="J884" s="2"/>
      <c r="K884" s="2"/>
      <c r="L884" s="2"/>
      <c r="M884" s="2"/>
      <c r="N884" s="2"/>
      <c r="O884" s="2"/>
      <c r="P884" s="2"/>
      <c r="Q884" s="2"/>
      <c r="R884" s="2"/>
      <c r="S884" s="2"/>
      <c r="T884" s="2"/>
    </row>
    <row r="885" spans="1:20" ht="15.75" customHeight="1">
      <c r="A885" s="1"/>
      <c r="B885" s="2"/>
      <c r="C885" s="2"/>
      <c r="D885" s="2"/>
      <c r="E885" s="2"/>
      <c r="F885" s="2"/>
      <c r="G885" s="2"/>
      <c r="H885" s="2"/>
      <c r="I885" s="2"/>
      <c r="J885" s="2"/>
      <c r="K885" s="2"/>
      <c r="L885" s="2"/>
      <c r="M885" s="2"/>
      <c r="N885" s="2"/>
      <c r="O885" s="2"/>
      <c r="P885" s="2"/>
      <c r="Q885" s="2"/>
      <c r="R885" s="2"/>
      <c r="S885" s="2"/>
      <c r="T885" s="2"/>
    </row>
    <row r="886" spans="1:20" ht="15.75" customHeight="1">
      <c r="A886" s="1"/>
      <c r="B886" s="2"/>
      <c r="C886" s="2"/>
      <c r="D886" s="2"/>
      <c r="E886" s="2"/>
      <c r="F886" s="2"/>
      <c r="G886" s="2"/>
      <c r="H886" s="2"/>
      <c r="I886" s="2"/>
      <c r="J886" s="2"/>
      <c r="K886" s="2"/>
      <c r="L886" s="2"/>
      <c r="M886" s="2"/>
      <c r="N886" s="2"/>
      <c r="O886" s="2"/>
      <c r="P886" s="2"/>
      <c r="Q886" s="2"/>
      <c r="R886" s="2"/>
      <c r="S886" s="2"/>
      <c r="T886" s="2"/>
    </row>
    <row r="887" spans="1:20" ht="15.75" customHeight="1">
      <c r="A887" s="1"/>
      <c r="B887" s="2"/>
      <c r="C887" s="2"/>
      <c r="D887" s="2"/>
      <c r="E887" s="2"/>
      <c r="F887" s="2"/>
      <c r="G887" s="2"/>
      <c r="H887" s="2"/>
      <c r="I887" s="2"/>
      <c r="J887" s="2"/>
      <c r="K887" s="2"/>
      <c r="L887" s="2"/>
      <c r="M887" s="2"/>
      <c r="N887" s="2"/>
      <c r="O887" s="2"/>
      <c r="P887" s="2"/>
      <c r="Q887" s="2"/>
      <c r="R887" s="2"/>
      <c r="S887" s="2"/>
      <c r="T887" s="2"/>
    </row>
    <row r="888" spans="1:20" ht="15.75" customHeight="1">
      <c r="A888" s="1"/>
      <c r="B888" s="2"/>
      <c r="C888" s="2"/>
      <c r="D888" s="2"/>
      <c r="E888" s="2"/>
      <c r="F888" s="2"/>
      <c r="G888" s="2"/>
      <c r="H888" s="2"/>
      <c r="I888" s="2"/>
      <c r="J888" s="2"/>
      <c r="K888" s="2"/>
      <c r="L888" s="2"/>
      <c r="M888" s="2"/>
      <c r="N888" s="2"/>
      <c r="O888" s="2"/>
      <c r="P888" s="2"/>
      <c r="Q888" s="2"/>
      <c r="R888" s="2"/>
      <c r="S888" s="2"/>
      <c r="T888" s="2"/>
    </row>
    <row r="889" spans="1:20" ht="15.75" customHeight="1">
      <c r="A889" s="1"/>
      <c r="B889" s="2"/>
      <c r="C889" s="2"/>
      <c r="D889" s="2"/>
      <c r="E889" s="2"/>
      <c r="F889" s="2"/>
      <c r="G889" s="2"/>
      <c r="H889" s="2"/>
      <c r="I889" s="2"/>
      <c r="J889" s="2"/>
      <c r="K889" s="2"/>
      <c r="L889" s="2"/>
      <c r="M889" s="2"/>
      <c r="N889" s="2"/>
      <c r="O889" s="2"/>
      <c r="P889" s="2"/>
      <c r="Q889" s="2"/>
      <c r="R889" s="2"/>
      <c r="S889" s="2"/>
      <c r="T889" s="2"/>
    </row>
    <row r="890" spans="1:20" ht="15.75" customHeight="1">
      <c r="A890" s="1"/>
      <c r="B890" s="2"/>
      <c r="C890" s="2"/>
      <c r="D890" s="2"/>
      <c r="E890" s="2"/>
      <c r="F890" s="2"/>
      <c r="G890" s="2"/>
      <c r="H890" s="2"/>
      <c r="I890" s="2"/>
      <c r="J890" s="2"/>
      <c r="K890" s="2"/>
      <c r="L890" s="2"/>
      <c r="M890" s="2"/>
      <c r="N890" s="2"/>
      <c r="O890" s="2"/>
      <c r="P890" s="2"/>
      <c r="Q890" s="2"/>
      <c r="R890" s="2"/>
      <c r="S890" s="2"/>
      <c r="T890" s="2"/>
    </row>
    <row r="891" spans="1:20" ht="15.75" customHeight="1">
      <c r="A891" s="1"/>
      <c r="B891" s="2"/>
      <c r="C891" s="2"/>
      <c r="D891" s="2"/>
      <c r="E891" s="2"/>
      <c r="F891" s="2"/>
      <c r="G891" s="2"/>
      <c r="H891" s="2"/>
      <c r="I891" s="2"/>
      <c r="J891" s="2"/>
      <c r="K891" s="2"/>
      <c r="L891" s="2"/>
      <c r="M891" s="2"/>
      <c r="N891" s="2"/>
      <c r="O891" s="2"/>
      <c r="P891" s="2"/>
      <c r="Q891" s="2"/>
      <c r="R891" s="2"/>
      <c r="S891" s="2"/>
      <c r="T891" s="2"/>
    </row>
    <row r="892" spans="1:20" ht="15.75" customHeight="1">
      <c r="A892" s="1"/>
      <c r="B892" s="2"/>
      <c r="C892" s="2"/>
      <c r="D892" s="2"/>
      <c r="E892" s="2"/>
      <c r="F892" s="2"/>
      <c r="G892" s="2"/>
      <c r="H892" s="2"/>
      <c r="I892" s="2"/>
      <c r="J892" s="2"/>
      <c r="K892" s="2"/>
      <c r="L892" s="2"/>
      <c r="M892" s="2"/>
      <c r="N892" s="2"/>
      <c r="O892" s="2"/>
      <c r="P892" s="2"/>
      <c r="Q892" s="2"/>
      <c r="R892" s="2"/>
      <c r="S892" s="2"/>
      <c r="T892" s="2"/>
    </row>
    <row r="893" spans="1:20" ht="15.75" customHeight="1">
      <c r="A893" s="1"/>
      <c r="B893" s="2"/>
      <c r="C893" s="2"/>
      <c r="D893" s="2"/>
      <c r="E893" s="2"/>
      <c r="F893" s="2"/>
      <c r="G893" s="2"/>
      <c r="H893" s="2"/>
      <c r="I893" s="2"/>
      <c r="J893" s="2"/>
      <c r="K893" s="2"/>
      <c r="L893" s="2"/>
      <c r="M893" s="2"/>
      <c r="N893" s="2"/>
      <c r="O893" s="2"/>
      <c r="P893" s="2"/>
      <c r="Q893" s="2"/>
      <c r="R893" s="2"/>
      <c r="S893" s="2"/>
      <c r="T893" s="2"/>
    </row>
    <row r="894" spans="1:20" ht="15.75" customHeight="1">
      <c r="A894" s="1"/>
      <c r="B894" s="2"/>
      <c r="C894" s="2"/>
      <c r="D894" s="2"/>
      <c r="E894" s="2"/>
      <c r="F894" s="2"/>
      <c r="G894" s="2"/>
      <c r="H894" s="2"/>
      <c r="I894" s="2"/>
      <c r="J894" s="2"/>
      <c r="K894" s="2"/>
      <c r="L894" s="2"/>
      <c r="M894" s="2"/>
      <c r="N894" s="2"/>
      <c r="O894" s="2"/>
      <c r="P894" s="2"/>
      <c r="Q894" s="2"/>
      <c r="R894" s="2"/>
      <c r="S894" s="2"/>
      <c r="T894" s="2"/>
    </row>
    <row r="895" spans="1:20" ht="15.75" customHeight="1">
      <c r="A895" s="1"/>
      <c r="B895" s="2"/>
      <c r="C895" s="2"/>
      <c r="D895" s="2"/>
      <c r="E895" s="2"/>
      <c r="F895" s="2"/>
      <c r="G895" s="2"/>
      <c r="H895" s="2"/>
      <c r="I895" s="2"/>
      <c r="J895" s="2"/>
      <c r="K895" s="2"/>
      <c r="L895" s="2"/>
      <c r="M895" s="2"/>
      <c r="N895" s="2"/>
      <c r="O895" s="2"/>
      <c r="P895" s="2"/>
      <c r="Q895" s="2"/>
      <c r="R895" s="2"/>
      <c r="S895" s="2"/>
      <c r="T895" s="2"/>
    </row>
    <row r="896" spans="1:20" ht="15.75" customHeight="1">
      <c r="A896" s="1"/>
      <c r="B896" s="2"/>
      <c r="C896" s="2"/>
      <c r="D896" s="2"/>
      <c r="E896" s="2"/>
      <c r="F896" s="2"/>
      <c r="G896" s="2"/>
      <c r="H896" s="2"/>
      <c r="I896" s="2"/>
      <c r="J896" s="2"/>
      <c r="K896" s="2"/>
      <c r="L896" s="2"/>
      <c r="M896" s="2"/>
      <c r="N896" s="2"/>
      <c r="O896" s="2"/>
      <c r="P896" s="2"/>
      <c r="Q896" s="2"/>
      <c r="R896" s="2"/>
      <c r="S896" s="2"/>
      <c r="T896" s="2"/>
    </row>
    <row r="897" spans="1:20" ht="15.75" customHeight="1">
      <c r="A897" s="1"/>
      <c r="B897" s="2"/>
      <c r="C897" s="2"/>
      <c r="D897" s="2"/>
      <c r="E897" s="2"/>
      <c r="F897" s="2"/>
      <c r="G897" s="2"/>
      <c r="H897" s="2"/>
      <c r="I897" s="2"/>
      <c r="J897" s="2"/>
      <c r="K897" s="2"/>
      <c r="L897" s="2"/>
      <c r="M897" s="2"/>
      <c r="N897" s="2"/>
      <c r="O897" s="2"/>
      <c r="P897" s="2"/>
      <c r="Q897" s="2"/>
      <c r="R897" s="2"/>
      <c r="S897" s="2"/>
      <c r="T897" s="2"/>
    </row>
    <row r="898" spans="1:20" ht="15.75" customHeight="1">
      <c r="A898" s="1"/>
      <c r="B898" s="2"/>
      <c r="C898" s="2"/>
      <c r="D898" s="2"/>
      <c r="E898" s="2"/>
      <c r="F898" s="2"/>
      <c r="G898" s="2"/>
      <c r="H898" s="2"/>
      <c r="I898" s="2"/>
      <c r="J898" s="2"/>
      <c r="K898" s="2"/>
      <c r="L898" s="2"/>
      <c r="M898" s="2"/>
      <c r="N898" s="2"/>
      <c r="O898" s="2"/>
      <c r="P898" s="2"/>
      <c r="Q898" s="2"/>
      <c r="R898" s="2"/>
      <c r="S898" s="2"/>
      <c r="T898" s="2"/>
    </row>
    <row r="899" spans="1:20" ht="15.75" customHeight="1">
      <c r="A899" s="1"/>
      <c r="B899" s="2"/>
      <c r="C899" s="2"/>
      <c r="D899" s="2"/>
      <c r="E899" s="2"/>
      <c r="F899" s="2"/>
      <c r="G899" s="2"/>
      <c r="H899" s="2"/>
      <c r="I899" s="2"/>
      <c r="J899" s="2"/>
      <c r="K899" s="2"/>
      <c r="L899" s="2"/>
      <c r="M899" s="2"/>
      <c r="N899" s="2"/>
      <c r="O899" s="2"/>
      <c r="P899" s="2"/>
      <c r="Q899" s="2"/>
      <c r="R899" s="2"/>
      <c r="S899" s="2"/>
      <c r="T899" s="2"/>
    </row>
    <row r="900" spans="1:20" ht="15.75" customHeight="1">
      <c r="A900" s="1"/>
      <c r="B900" s="2"/>
      <c r="C900" s="2"/>
      <c r="D900" s="2"/>
      <c r="E900" s="2"/>
      <c r="F900" s="2"/>
      <c r="G900" s="2"/>
      <c r="H900" s="2"/>
      <c r="I900" s="2"/>
      <c r="J900" s="2"/>
      <c r="K900" s="2"/>
      <c r="L900" s="2"/>
      <c r="M900" s="2"/>
      <c r="N900" s="2"/>
      <c r="O900" s="2"/>
      <c r="P900" s="2"/>
      <c r="Q900" s="2"/>
      <c r="R900" s="2"/>
      <c r="S900" s="2"/>
      <c r="T900" s="2"/>
    </row>
    <row r="901" spans="1:20" ht="15.75" customHeight="1">
      <c r="A901" s="1"/>
      <c r="B901" s="2"/>
      <c r="C901" s="2"/>
      <c r="D901" s="2"/>
      <c r="E901" s="2"/>
      <c r="F901" s="2"/>
      <c r="G901" s="2"/>
      <c r="H901" s="2"/>
      <c r="I901" s="2"/>
      <c r="J901" s="2"/>
      <c r="K901" s="2"/>
      <c r="L901" s="2"/>
      <c r="M901" s="2"/>
      <c r="N901" s="2"/>
      <c r="O901" s="2"/>
      <c r="P901" s="2"/>
      <c r="Q901" s="2"/>
      <c r="R901" s="2"/>
      <c r="S901" s="2"/>
      <c r="T901" s="2"/>
    </row>
    <row r="902" spans="1:20" ht="15.75" customHeight="1">
      <c r="A902" s="1"/>
      <c r="B902" s="2"/>
      <c r="C902" s="2"/>
      <c r="D902" s="2"/>
      <c r="E902" s="2"/>
      <c r="F902" s="2"/>
      <c r="G902" s="2"/>
      <c r="H902" s="2"/>
      <c r="I902" s="2"/>
      <c r="J902" s="2"/>
      <c r="K902" s="2"/>
      <c r="L902" s="2"/>
      <c r="M902" s="2"/>
      <c r="N902" s="2"/>
      <c r="O902" s="2"/>
      <c r="P902" s="2"/>
      <c r="Q902" s="2"/>
      <c r="R902" s="2"/>
      <c r="S902" s="2"/>
      <c r="T902" s="2"/>
    </row>
    <row r="903" spans="1:20" ht="15.75" customHeight="1">
      <c r="A903" s="1"/>
      <c r="B903" s="2"/>
      <c r="C903" s="2"/>
      <c r="D903" s="2"/>
      <c r="E903" s="2"/>
      <c r="F903" s="2"/>
      <c r="G903" s="2"/>
      <c r="H903" s="2"/>
      <c r="I903" s="2"/>
      <c r="J903" s="2"/>
      <c r="K903" s="2"/>
      <c r="L903" s="2"/>
      <c r="M903" s="2"/>
      <c r="N903" s="2"/>
      <c r="O903" s="2"/>
      <c r="P903" s="2"/>
      <c r="Q903" s="2"/>
      <c r="R903" s="2"/>
      <c r="S903" s="2"/>
      <c r="T903" s="2"/>
    </row>
    <row r="904" spans="1:20" ht="15.75" customHeight="1">
      <c r="A904" s="1"/>
      <c r="B904" s="2"/>
      <c r="C904" s="2"/>
      <c r="D904" s="2"/>
      <c r="E904" s="2"/>
      <c r="F904" s="2"/>
      <c r="G904" s="2"/>
      <c r="H904" s="2"/>
      <c r="I904" s="2"/>
      <c r="J904" s="2"/>
      <c r="K904" s="2"/>
      <c r="L904" s="2"/>
      <c r="M904" s="2"/>
      <c r="N904" s="2"/>
      <c r="O904" s="2"/>
      <c r="P904" s="2"/>
      <c r="Q904" s="2"/>
      <c r="R904" s="2"/>
      <c r="S904" s="2"/>
      <c r="T904" s="2"/>
    </row>
    <row r="905" spans="1:20" ht="15.75" customHeight="1">
      <c r="A905" s="1"/>
      <c r="B905" s="2"/>
      <c r="C905" s="2"/>
      <c r="D905" s="2"/>
      <c r="E905" s="2"/>
      <c r="F905" s="2"/>
      <c r="G905" s="2"/>
      <c r="H905" s="2"/>
      <c r="I905" s="2"/>
      <c r="J905" s="2"/>
      <c r="K905" s="2"/>
      <c r="L905" s="2"/>
      <c r="M905" s="2"/>
      <c r="N905" s="2"/>
      <c r="O905" s="2"/>
      <c r="P905" s="2"/>
      <c r="Q905" s="2"/>
      <c r="R905" s="2"/>
      <c r="S905" s="2"/>
      <c r="T905" s="2"/>
    </row>
    <row r="906" spans="1:20" ht="15.75" customHeight="1">
      <c r="A906" s="1"/>
      <c r="B906" s="2"/>
      <c r="C906" s="2"/>
      <c r="D906" s="2"/>
      <c r="E906" s="2"/>
      <c r="F906" s="2"/>
      <c r="G906" s="2"/>
      <c r="H906" s="2"/>
      <c r="I906" s="2"/>
      <c r="J906" s="2"/>
      <c r="K906" s="2"/>
      <c r="L906" s="2"/>
      <c r="M906" s="2"/>
      <c r="N906" s="2"/>
      <c r="O906" s="2"/>
      <c r="P906" s="2"/>
      <c r="Q906" s="2"/>
      <c r="R906" s="2"/>
      <c r="S906" s="2"/>
      <c r="T906" s="2"/>
    </row>
    <row r="907" spans="1:20" ht="15.75" customHeight="1">
      <c r="A907" s="1"/>
      <c r="B907" s="2"/>
      <c r="C907" s="2"/>
      <c r="D907" s="2"/>
      <c r="E907" s="2"/>
      <c r="F907" s="2"/>
      <c r="G907" s="2"/>
      <c r="H907" s="2"/>
      <c r="I907" s="2"/>
      <c r="J907" s="2"/>
      <c r="K907" s="2"/>
      <c r="L907" s="2"/>
      <c r="M907" s="2"/>
      <c r="N907" s="2"/>
      <c r="O907" s="2"/>
      <c r="P907" s="2"/>
      <c r="Q907" s="2"/>
      <c r="R907" s="2"/>
      <c r="S907" s="2"/>
      <c r="T907" s="2"/>
    </row>
    <row r="908" spans="1:20" ht="15.75" customHeight="1">
      <c r="A908" s="1"/>
      <c r="B908" s="2"/>
      <c r="C908" s="2"/>
      <c r="D908" s="2"/>
      <c r="E908" s="2"/>
      <c r="F908" s="2"/>
      <c r="G908" s="2"/>
      <c r="H908" s="2"/>
      <c r="I908" s="2"/>
      <c r="J908" s="2"/>
      <c r="K908" s="2"/>
      <c r="L908" s="2"/>
      <c r="M908" s="2"/>
      <c r="N908" s="2"/>
      <c r="O908" s="2"/>
      <c r="P908" s="2"/>
      <c r="Q908" s="2"/>
      <c r="R908" s="2"/>
      <c r="S908" s="2"/>
      <c r="T908" s="2"/>
    </row>
    <row r="909" spans="1:20" ht="15.75" customHeight="1">
      <c r="A909" s="1"/>
      <c r="B909" s="2"/>
      <c r="C909" s="2"/>
      <c r="D909" s="2"/>
      <c r="E909" s="2"/>
      <c r="F909" s="2"/>
      <c r="G909" s="2"/>
      <c r="H909" s="2"/>
      <c r="I909" s="2"/>
      <c r="J909" s="2"/>
      <c r="K909" s="2"/>
      <c r="L909" s="2"/>
      <c r="M909" s="2"/>
      <c r="N909" s="2"/>
      <c r="O909" s="2"/>
      <c r="P909" s="2"/>
      <c r="Q909" s="2"/>
      <c r="R909" s="2"/>
      <c r="S909" s="2"/>
      <c r="T909" s="2"/>
    </row>
    <row r="910" spans="1:20" ht="15.75" customHeight="1">
      <c r="A910" s="1"/>
      <c r="B910" s="2"/>
      <c r="C910" s="2"/>
      <c r="D910" s="2"/>
      <c r="E910" s="2"/>
      <c r="F910" s="2"/>
      <c r="G910" s="2"/>
      <c r="H910" s="2"/>
      <c r="I910" s="2"/>
      <c r="J910" s="2"/>
      <c r="K910" s="2"/>
      <c r="L910" s="2"/>
      <c r="M910" s="2"/>
      <c r="N910" s="2"/>
      <c r="O910" s="2"/>
      <c r="P910" s="2"/>
      <c r="Q910" s="2"/>
      <c r="R910" s="2"/>
      <c r="S910" s="2"/>
      <c r="T910" s="2"/>
    </row>
    <row r="911" spans="1:20" ht="15.75" customHeight="1">
      <c r="A911" s="1"/>
      <c r="B911" s="2"/>
      <c r="C911" s="2"/>
      <c r="D911" s="2"/>
      <c r="E911" s="2"/>
      <c r="F911" s="2"/>
      <c r="G911" s="2"/>
      <c r="H911" s="2"/>
      <c r="I911" s="2"/>
      <c r="J911" s="2"/>
      <c r="K911" s="2"/>
      <c r="L911" s="2"/>
      <c r="M911" s="2"/>
      <c r="N911" s="2"/>
      <c r="O911" s="2"/>
      <c r="P911" s="2"/>
      <c r="Q911" s="2"/>
      <c r="R911" s="2"/>
      <c r="S911" s="2"/>
      <c r="T911" s="2"/>
    </row>
    <row r="912" spans="1:20" ht="15.75" customHeight="1">
      <c r="A912" s="1"/>
      <c r="B912" s="2"/>
      <c r="C912" s="2"/>
      <c r="D912" s="2"/>
      <c r="E912" s="2"/>
      <c r="F912" s="2"/>
      <c r="G912" s="2"/>
      <c r="H912" s="2"/>
      <c r="I912" s="2"/>
      <c r="J912" s="2"/>
      <c r="K912" s="2"/>
      <c r="L912" s="2"/>
      <c r="M912" s="2"/>
      <c r="N912" s="2"/>
      <c r="O912" s="2"/>
      <c r="P912" s="2"/>
      <c r="Q912" s="2"/>
      <c r="R912" s="2"/>
      <c r="S912" s="2"/>
      <c r="T912" s="2"/>
    </row>
    <row r="913" spans="1:20" ht="15.75" customHeight="1">
      <c r="A913" s="1"/>
      <c r="B913" s="2"/>
      <c r="C913" s="2"/>
      <c r="D913" s="2"/>
      <c r="E913" s="2"/>
      <c r="F913" s="2"/>
      <c r="G913" s="2"/>
      <c r="H913" s="2"/>
      <c r="I913" s="2"/>
      <c r="J913" s="2"/>
      <c r="K913" s="2"/>
      <c r="L913" s="2"/>
      <c r="M913" s="2"/>
      <c r="N913" s="2"/>
      <c r="O913" s="2"/>
      <c r="P913" s="2"/>
      <c r="Q913" s="2"/>
      <c r="R913" s="2"/>
      <c r="S913" s="2"/>
      <c r="T913" s="2"/>
    </row>
    <row r="914" spans="1:20" ht="15.75" customHeight="1">
      <c r="A914" s="1"/>
      <c r="B914" s="2"/>
      <c r="C914" s="2"/>
      <c r="D914" s="2"/>
      <c r="E914" s="2"/>
      <c r="F914" s="2"/>
      <c r="G914" s="2"/>
      <c r="H914" s="2"/>
      <c r="I914" s="2"/>
      <c r="J914" s="2"/>
      <c r="K914" s="2"/>
      <c r="L914" s="2"/>
      <c r="M914" s="2"/>
      <c r="N914" s="2"/>
      <c r="O914" s="2"/>
      <c r="P914" s="2"/>
      <c r="Q914" s="2"/>
      <c r="R914" s="2"/>
      <c r="S914" s="2"/>
      <c r="T914" s="2"/>
    </row>
    <row r="915" spans="1:20" ht="15.75" customHeight="1">
      <c r="A915" s="1"/>
      <c r="B915" s="2"/>
      <c r="C915" s="2"/>
      <c r="D915" s="2"/>
      <c r="E915" s="2"/>
      <c r="F915" s="2"/>
      <c r="G915" s="2"/>
      <c r="H915" s="2"/>
      <c r="I915" s="2"/>
      <c r="J915" s="2"/>
      <c r="K915" s="2"/>
      <c r="L915" s="2"/>
      <c r="M915" s="2"/>
      <c r="N915" s="2"/>
      <c r="O915" s="2"/>
      <c r="P915" s="2"/>
      <c r="Q915" s="2"/>
      <c r="R915" s="2"/>
      <c r="S915" s="2"/>
      <c r="T915" s="2"/>
    </row>
    <row r="916" spans="1:20" ht="15.75" customHeight="1">
      <c r="A916" s="1"/>
      <c r="B916" s="2"/>
      <c r="C916" s="2"/>
      <c r="D916" s="2"/>
      <c r="E916" s="2"/>
      <c r="F916" s="2"/>
      <c r="G916" s="2"/>
      <c r="H916" s="2"/>
      <c r="I916" s="2"/>
      <c r="J916" s="2"/>
      <c r="K916" s="2"/>
      <c r="L916" s="2"/>
      <c r="M916" s="2"/>
      <c r="N916" s="2"/>
      <c r="O916" s="2"/>
      <c r="P916" s="2"/>
      <c r="Q916" s="2"/>
      <c r="R916" s="2"/>
      <c r="S916" s="2"/>
      <c r="T916" s="2"/>
    </row>
    <row r="917" spans="1:20" ht="15.75" customHeight="1">
      <c r="A917" s="1"/>
      <c r="B917" s="2"/>
      <c r="C917" s="2"/>
      <c r="D917" s="2"/>
      <c r="E917" s="2"/>
      <c r="F917" s="2"/>
      <c r="G917" s="2"/>
      <c r="H917" s="2"/>
      <c r="I917" s="2"/>
      <c r="J917" s="2"/>
      <c r="K917" s="2"/>
      <c r="L917" s="2"/>
      <c r="M917" s="2"/>
      <c r="N917" s="2"/>
      <c r="O917" s="2"/>
      <c r="P917" s="2"/>
      <c r="Q917" s="2"/>
      <c r="R917" s="2"/>
      <c r="S917" s="2"/>
      <c r="T917" s="2"/>
    </row>
    <row r="918" spans="1:20" ht="15.75" customHeight="1">
      <c r="A918" s="1"/>
      <c r="B918" s="2"/>
      <c r="C918" s="2"/>
      <c r="D918" s="2"/>
      <c r="E918" s="2"/>
      <c r="F918" s="2"/>
      <c r="G918" s="2"/>
      <c r="H918" s="2"/>
      <c r="I918" s="2"/>
      <c r="J918" s="2"/>
      <c r="K918" s="2"/>
      <c r="L918" s="2"/>
      <c r="M918" s="2"/>
      <c r="N918" s="2"/>
      <c r="O918" s="2"/>
      <c r="P918" s="2"/>
      <c r="Q918" s="2"/>
      <c r="R918" s="2"/>
      <c r="S918" s="2"/>
      <c r="T918" s="2"/>
    </row>
    <row r="919" spans="1:20" ht="15.75" customHeight="1">
      <c r="A919" s="1"/>
      <c r="B919" s="2"/>
      <c r="C919" s="2"/>
      <c r="D919" s="2"/>
      <c r="E919" s="2"/>
      <c r="F919" s="2"/>
      <c r="G919" s="2"/>
      <c r="H919" s="2"/>
      <c r="I919" s="2"/>
      <c r="J919" s="2"/>
      <c r="K919" s="2"/>
      <c r="L919" s="2"/>
      <c r="M919" s="2"/>
      <c r="N919" s="2"/>
      <c r="O919" s="2"/>
      <c r="P919" s="2"/>
      <c r="Q919" s="2"/>
      <c r="R919" s="2"/>
      <c r="S919" s="2"/>
      <c r="T919" s="2"/>
    </row>
    <row r="920" spans="1:20" ht="15.75" customHeight="1">
      <c r="A920" s="1"/>
      <c r="B920" s="2"/>
      <c r="C920" s="2"/>
      <c r="D920" s="2"/>
      <c r="E920" s="2"/>
      <c r="F920" s="2"/>
      <c r="G920" s="2"/>
      <c r="H920" s="2"/>
      <c r="I920" s="2"/>
      <c r="J920" s="2"/>
      <c r="K920" s="2"/>
      <c r="L920" s="2"/>
      <c r="M920" s="2"/>
      <c r="N920" s="2"/>
      <c r="O920" s="2"/>
      <c r="P920" s="2"/>
      <c r="Q920" s="2"/>
      <c r="R920" s="2"/>
      <c r="S920" s="2"/>
      <c r="T920" s="2"/>
    </row>
    <row r="921" spans="1:20" ht="15.75" customHeight="1">
      <c r="A921" s="1"/>
      <c r="B921" s="2"/>
      <c r="C921" s="2"/>
      <c r="D921" s="2"/>
      <c r="E921" s="2"/>
      <c r="F921" s="2"/>
      <c r="G921" s="2"/>
      <c r="H921" s="2"/>
      <c r="I921" s="2"/>
      <c r="J921" s="2"/>
      <c r="K921" s="2"/>
      <c r="L921" s="2"/>
      <c r="M921" s="2"/>
      <c r="N921" s="2"/>
      <c r="O921" s="2"/>
      <c r="P921" s="2"/>
      <c r="Q921" s="2"/>
      <c r="R921" s="2"/>
      <c r="S921" s="2"/>
      <c r="T921" s="2"/>
    </row>
    <row r="922" spans="1:20" ht="15.75" customHeight="1">
      <c r="A922" s="1"/>
      <c r="B922" s="2"/>
      <c r="C922" s="2"/>
      <c r="D922" s="2"/>
      <c r="E922" s="2"/>
      <c r="F922" s="2"/>
      <c r="G922" s="2"/>
      <c r="H922" s="2"/>
      <c r="I922" s="2"/>
      <c r="J922" s="2"/>
      <c r="K922" s="2"/>
      <c r="L922" s="2"/>
      <c r="M922" s="2"/>
      <c r="N922" s="2"/>
      <c r="O922" s="2"/>
      <c r="P922" s="2"/>
      <c r="Q922" s="2"/>
      <c r="R922" s="2"/>
      <c r="S922" s="2"/>
      <c r="T922" s="2"/>
    </row>
    <row r="923" spans="1:20" ht="15.75" customHeight="1">
      <c r="A923" s="1"/>
      <c r="B923" s="2"/>
      <c r="C923" s="2"/>
      <c r="D923" s="2"/>
      <c r="E923" s="2"/>
      <c r="F923" s="2"/>
      <c r="G923" s="2"/>
      <c r="H923" s="2"/>
      <c r="I923" s="2"/>
      <c r="J923" s="2"/>
      <c r="K923" s="2"/>
      <c r="L923" s="2"/>
      <c r="M923" s="2"/>
      <c r="N923" s="2"/>
      <c r="O923" s="2"/>
      <c r="P923" s="2"/>
      <c r="Q923" s="2"/>
      <c r="R923" s="2"/>
      <c r="S923" s="2"/>
      <c r="T923" s="2"/>
    </row>
    <row r="924" spans="1:20" ht="15.75" customHeight="1">
      <c r="A924" s="1"/>
      <c r="B924" s="2"/>
      <c r="C924" s="2"/>
      <c r="D924" s="2"/>
      <c r="E924" s="2"/>
      <c r="F924" s="2"/>
      <c r="G924" s="2"/>
      <c r="H924" s="2"/>
      <c r="I924" s="2"/>
      <c r="J924" s="2"/>
      <c r="K924" s="2"/>
      <c r="L924" s="2"/>
      <c r="M924" s="2"/>
      <c r="N924" s="2"/>
      <c r="O924" s="2"/>
      <c r="P924" s="2"/>
      <c r="Q924" s="2"/>
      <c r="R924" s="2"/>
      <c r="S924" s="2"/>
      <c r="T924" s="2"/>
    </row>
    <row r="925" spans="1:20" ht="15.75" customHeight="1">
      <c r="A925" s="1"/>
      <c r="B925" s="2"/>
      <c r="C925" s="2"/>
      <c r="D925" s="2"/>
      <c r="E925" s="2"/>
      <c r="F925" s="2"/>
      <c r="G925" s="2"/>
      <c r="H925" s="2"/>
      <c r="I925" s="2"/>
      <c r="J925" s="2"/>
      <c r="K925" s="2"/>
      <c r="L925" s="2"/>
      <c r="M925" s="2"/>
      <c r="N925" s="2"/>
      <c r="O925" s="2"/>
      <c r="P925" s="2"/>
      <c r="Q925" s="2"/>
      <c r="R925" s="2"/>
      <c r="S925" s="2"/>
      <c r="T925" s="2"/>
    </row>
    <row r="926" spans="1:20" ht="15.75" customHeight="1">
      <c r="A926" s="1"/>
      <c r="B926" s="2"/>
      <c r="C926" s="2"/>
      <c r="D926" s="2"/>
      <c r="E926" s="2"/>
      <c r="F926" s="2"/>
      <c r="G926" s="2"/>
      <c r="H926" s="2"/>
      <c r="I926" s="2"/>
      <c r="J926" s="2"/>
      <c r="K926" s="2"/>
      <c r="L926" s="2"/>
      <c r="M926" s="2"/>
      <c r="N926" s="2"/>
      <c r="O926" s="2"/>
      <c r="P926" s="2"/>
      <c r="Q926" s="2"/>
      <c r="R926" s="2"/>
      <c r="S926" s="2"/>
      <c r="T926" s="2"/>
    </row>
    <row r="927" spans="1:20" ht="15.75" customHeight="1">
      <c r="A927" s="1"/>
      <c r="B927" s="2"/>
      <c r="C927" s="2"/>
      <c r="D927" s="2"/>
      <c r="E927" s="2"/>
      <c r="F927" s="2"/>
      <c r="G927" s="2"/>
      <c r="H927" s="2"/>
      <c r="I927" s="2"/>
      <c r="J927" s="2"/>
      <c r="K927" s="2"/>
      <c r="L927" s="2"/>
      <c r="M927" s="2"/>
      <c r="N927" s="2"/>
      <c r="O927" s="2"/>
      <c r="P927" s="2"/>
      <c r="Q927" s="2"/>
      <c r="R927" s="2"/>
      <c r="S927" s="2"/>
      <c r="T927" s="2"/>
    </row>
    <row r="928" spans="1:20" ht="15.75" customHeight="1">
      <c r="A928" s="1"/>
      <c r="B928" s="2"/>
      <c r="C928" s="2"/>
      <c r="D928" s="2"/>
      <c r="E928" s="2"/>
      <c r="F928" s="2"/>
      <c r="G928" s="2"/>
      <c r="H928" s="2"/>
      <c r="I928" s="2"/>
      <c r="J928" s="2"/>
      <c r="K928" s="2"/>
      <c r="L928" s="2"/>
      <c r="M928" s="2"/>
      <c r="N928" s="2"/>
      <c r="O928" s="2"/>
      <c r="P928" s="2"/>
      <c r="Q928" s="2"/>
      <c r="R928" s="2"/>
      <c r="S928" s="2"/>
      <c r="T928" s="2"/>
    </row>
    <row r="929" spans="1:20" ht="15.75" customHeight="1">
      <c r="A929" s="1"/>
      <c r="B929" s="2"/>
      <c r="C929" s="2"/>
      <c r="D929" s="2"/>
      <c r="E929" s="2"/>
      <c r="F929" s="2"/>
      <c r="G929" s="2"/>
      <c r="H929" s="2"/>
      <c r="I929" s="2"/>
      <c r="J929" s="2"/>
      <c r="K929" s="2"/>
      <c r="L929" s="2"/>
      <c r="M929" s="2"/>
      <c r="N929" s="2"/>
      <c r="O929" s="2"/>
      <c r="P929" s="2"/>
      <c r="Q929" s="2"/>
      <c r="R929" s="2"/>
      <c r="S929" s="2"/>
      <c r="T929" s="2"/>
    </row>
    <row r="930" spans="1:20" ht="15.75" customHeight="1">
      <c r="A930" s="1"/>
      <c r="B930" s="2"/>
      <c r="C930" s="2"/>
      <c r="D930" s="2"/>
      <c r="E930" s="2"/>
      <c r="F930" s="2"/>
      <c r="G930" s="2"/>
      <c r="H930" s="2"/>
      <c r="I930" s="2"/>
      <c r="J930" s="2"/>
      <c r="K930" s="2"/>
      <c r="L930" s="2"/>
      <c r="M930" s="2"/>
      <c r="N930" s="2"/>
      <c r="O930" s="2"/>
      <c r="P930" s="2"/>
      <c r="Q930" s="2"/>
      <c r="R930" s="2"/>
      <c r="S930" s="2"/>
      <c r="T930" s="2"/>
    </row>
    <row r="931" spans="1:20" ht="15.75" customHeight="1">
      <c r="A931" s="1"/>
      <c r="B931" s="2"/>
      <c r="C931" s="2"/>
      <c r="D931" s="2"/>
      <c r="E931" s="2"/>
      <c r="F931" s="2"/>
      <c r="G931" s="2"/>
      <c r="H931" s="2"/>
      <c r="I931" s="2"/>
      <c r="J931" s="2"/>
      <c r="K931" s="2"/>
      <c r="L931" s="2"/>
      <c r="M931" s="2"/>
      <c r="N931" s="2"/>
      <c r="O931" s="2"/>
      <c r="P931" s="2"/>
      <c r="Q931" s="2"/>
      <c r="R931" s="2"/>
      <c r="S931" s="2"/>
      <c r="T931" s="2"/>
    </row>
    <row r="932" spans="1:20" ht="15.75" customHeight="1">
      <c r="A932" s="1"/>
      <c r="B932" s="2"/>
      <c r="C932" s="2"/>
      <c r="D932" s="2"/>
      <c r="E932" s="2"/>
      <c r="F932" s="2"/>
      <c r="G932" s="2"/>
      <c r="H932" s="2"/>
      <c r="I932" s="2"/>
      <c r="J932" s="2"/>
      <c r="K932" s="2"/>
      <c r="L932" s="2"/>
      <c r="M932" s="2"/>
      <c r="N932" s="2"/>
      <c r="O932" s="2"/>
      <c r="P932" s="2"/>
      <c r="Q932" s="2"/>
      <c r="R932" s="2"/>
      <c r="S932" s="2"/>
      <c r="T932" s="2"/>
    </row>
    <row r="933" spans="1:20" ht="15.75" customHeight="1">
      <c r="A933" s="1"/>
      <c r="B933" s="2"/>
      <c r="C933" s="2"/>
      <c r="D933" s="2"/>
      <c r="E933" s="2"/>
      <c r="F933" s="2"/>
      <c r="G933" s="2"/>
      <c r="H933" s="2"/>
      <c r="I933" s="2"/>
      <c r="J933" s="2"/>
      <c r="K933" s="2"/>
      <c r="L933" s="2"/>
      <c r="M933" s="2"/>
      <c r="N933" s="2"/>
      <c r="O933" s="2"/>
      <c r="P933" s="2"/>
      <c r="Q933" s="2"/>
      <c r="R933" s="2"/>
      <c r="S933" s="2"/>
      <c r="T933" s="2"/>
    </row>
    <row r="934" spans="1:20" ht="15.75" customHeight="1">
      <c r="A934" s="1"/>
      <c r="B934" s="2"/>
      <c r="C934" s="2"/>
      <c r="D934" s="2"/>
      <c r="E934" s="2"/>
      <c r="F934" s="2"/>
      <c r="G934" s="2"/>
      <c r="H934" s="2"/>
      <c r="I934" s="2"/>
      <c r="J934" s="2"/>
      <c r="K934" s="2"/>
      <c r="L934" s="2"/>
      <c r="M934" s="2"/>
      <c r="N934" s="2"/>
      <c r="O934" s="2"/>
      <c r="P934" s="2"/>
      <c r="Q934" s="2"/>
      <c r="R934" s="2"/>
      <c r="S934" s="2"/>
      <c r="T934" s="2"/>
    </row>
    <row r="935" spans="1:20" ht="15.75" customHeight="1">
      <c r="A935" s="1"/>
      <c r="B935" s="2"/>
      <c r="C935" s="2"/>
      <c r="D935" s="2"/>
      <c r="E935" s="2"/>
      <c r="F935" s="2"/>
      <c r="G935" s="2"/>
      <c r="H935" s="2"/>
      <c r="I935" s="2"/>
      <c r="J935" s="2"/>
      <c r="K935" s="2"/>
      <c r="L935" s="2"/>
      <c r="M935" s="2"/>
      <c r="N935" s="2"/>
      <c r="O935" s="2"/>
      <c r="P935" s="2"/>
      <c r="Q935" s="2"/>
      <c r="R935" s="2"/>
      <c r="S935" s="2"/>
      <c r="T935" s="2"/>
    </row>
    <row r="936" spans="1:20" ht="15.75" customHeight="1">
      <c r="A936" s="1"/>
      <c r="B936" s="2"/>
      <c r="C936" s="2"/>
      <c r="D936" s="2"/>
      <c r="E936" s="2"/>
      <c r="F936" s="2"/>
      <c r="G936" s="2"/>
      <c r="H936" s="2"/>
      <c r="I936" s="2"/>
      <c r="J936" s="2"/>
      <c r="K936" s="2"/>
      <c r="L936" s="2"/>
      <c r="M936" s="2"/>
      <c r="N936" s="2"/>
      <c r="O936" s="2"/>
      <c r="P936" s="2"/>
      <c r="Q936" s="2"/>
      <c r="R936" s="2"/>
      <c r="S936" s="2"/>
      <c r="T936" s="2"/>
    </row>
    <row r="937" spans="1:20" ht="15.75" customHeight="1">
      <c r="A937" s="1"/>
      <c r="B937" s="2"/>
      <c r="C937" s="2"/>
      <c r="D937" s="2"/>
      <c r="E937" s="2"/>
      <c r="F937" s="2"/>
      <c r="G937" s="2"/>
      <c r="H937" s="2"/>
      <c r="I937" s="2"/>
      <c r="J937" s="2"/>
      <c r="K937" s="2"/>
      <c r="L937" s="2"/>
      <c r="M937" s="2"/>
      <c r="N937" s="2"/>
      <c r="O937" s="2"/>
      <c r="P937" s="2"/>
      <c r="Q937" s="2"/>
      <c r="R937" s="2"/>
      <c r="S937" s="2"/>
      <c r="T937" s="2"/>
    </row>
    <row r="938" spans="1:20" ht="15.75" customHeight="1">
      <c r="A938" s="1"/>
      <c r="B938" s="2"/>
      <c r="C938" s="2"/>
      <c r="D938" s="2"/>
      <c r="E938" s="2"/>
      <c r="F938" s="2"/>
      <c r="G938" s="2"/>
      <c r="H938" s="2"/>
      <c r="I938" s="2"/>
      <c r="J938" s="2"/>
      <c r="K938" s="2"/>
      <c r="L938" s="2"/>
      <c r="M938" s="2"/>
      <c r="N938" s="2"/>
      <c r="O938" s="2"/>
      <c r="P938" s="2"/>
      <c r="Q938" s="2"/>
      <c r="R938" s="2"/>
      <c r="S938" s="2"/>
      <c r="T938" s="2"/>
    </row>
    <row r="939" spans="1:20" ht="15.75" customHeight="1">
      <c r="A939" s="1"/>
      <c r="B939" s="2"/>
      <c r="C939" s="2"/>
      <c r="D939" s="2"/>
      <c r="E939" s="2"/>
      <c r="F939" s="2"/>
      <c r="G939" s="2"/>
      <c r="H939" s="2"/>
      <c r="I939" s="2"/>
      <c r="J939" s="2"/>
      <c r="K939" s="2"/>
      <c r="L939" s="2"/>
      <c r="M939" s="2"/>
      <c r="N939" s="2"/>
      <c r="O939" s="2"/>
      <c r="P939" s="2"/>
      <c r="Q939" s="2"/>
      <c r="R939" s="2"/>
      <c r="S939" s="2"/>
      <c r="T939" s="2"/>
    </row>
    <row r="940" spans="1:20" ht="15.75" customHeight="1">
      <c r="A940" s="1"/>
      <c r="B940" s="2"/>
      <c r="C940" s="2"/>
      <c r="D940" s="2"/>
      <c r="E940" s="2"/>
      <c r="F940" s="2"/>
      <c r="G940" s="2"/>
      <c r="H940" s="2"/>
      <c r="I940" s="2"/>
      <c r="J940" s="2"/>
      <c r="K940" s="2"/>
      <c r="L940" s="2"/>
      <c r="M940" s="2"/>
      <c r="N940" s="2"/>
      <c r="O940" s="2"/>
      <c r="P940" s="2"/>
      <c r="Q940" s="2"/>
      <c r="R940" s="2"/>
      <c r="S940" s="2"/>
      <c r="T940" s="2"/>
    </row>
    <row r="941" spans="1:20" ht="15.75" customHeight="1">
      <c r="A941" s="1"/>
      <c r="B941" s="2"/>
      <c r="C941" s="2"/>
      <c r="D941" s="2"/>
      <c r="E941" s="2"/>
      <c r="F941" s="2"/>
      <c r="G941" s="2"/>
      <c r="H941" s="2"/>
      <c r="I941" s="2"/>
      <c r="J941" s="2"/>
      <c r="K941" s="2"/>
      <c r="L941" s="2"/>
      <c r="M941" s="2"/>
      <c r="N941" s="2"/>
      <c r="O941" s="2"/>
      <c r="P941" s="2"/>
      <c r="Q941" s="2"/>
      <c r="R941" s="2"/>
      <c r="S941" s="2"/>
      <c r="T941" s="2"/>
    </row>
    <row r="942" spans="1:20" ht="15.75" customHeight="1">
      <c r="A942" s="1"/>
      <c r="B942" s="2"/>
      <c r="C942" s="2"/>
      <c r="D942" s="2"/>
      <c r="E942" s="2"/>
      <c r="F942" s="2"/>
      <c r="G942" s="2"/>
      <c r="H942" s="2"/>
      <c r="I942" s="2"/>
      <c r="J942" s="2"/>
      <c r="K942" s="2"/>
      <c r="L942" s="2"/>
      <c r="M942" s="2"/>
      <c r="N942" s="2"/>
      <c r="O942" s="2"/>
      <c r="P942" s="2"/>
      <c r="Q942" s="2"/>
      <c r="R942" s="2"/>
      <c r="S942" s="2"/>
      <c r="T942" s="2"/>
    </row>
    <row r="943" spans="1:20" ht="15.75" customHeight="1">
      <c r="A943" s="1"/>
      <c r="B943" s="2"/>
      <c r="C943" s="2"/>
      <c r="D943" s="2"/>
      <c r="E943" s="2"/>
      <c r="F943" s="2"/>
      <c r="G943" s="2"/>
      <c r="H943" s="2"/>
      <c r="I943" s="2"/>
      <c r="J943" s="2"/>
      <c r="K943" s="2"/>
      <c r="L943" s="2"/>
      <c r="M943" s="2"/>
      <c r="N943" s="2"/>
      <c r="O943" s="2"/>
      <c r="P943" s="2"/>
      <c r="Q943" s="2"/>
      <c r="R943" s="2"/>
      <c r="S943" s="2"/>
      <c r="T943" s="2"/>
    </row>
    <row r="944" spans="1:20" ht="15.75" customHeight="1">
      <c r="A944" s="1"/>
      <c r="B944" s="2"/>
      <c r="C944" s="2"/>
      <c r="D944" s="2"/>
      <c r="E944" s="2"/>
      <c r="F944" s="2"/>
      <c r="G944" s="2"/>
      <c r="H944" s="2"/>
      <c r="I944" s="2"/>
      <c r="J944" s="2"/>
      <c r="K944" s="2"/>
      <c r="L944" s="2"/>
      <c r="M944" s="2"/>
      <c r="N944" s="2"/>
      <c r="O944" s="2"/>
      <c r="P944" s="2"/>
      <c r="Q944" s="2"/>
      <c r="R944" s="2"/>
      <c r="S944" s="2"/>
      <c r="T944" s="2"/>
    </row>
    <row r="945" spans="1:20" ht="15.75" customHeight="1">
      <c r="A945" s="1"/>
      <c r="B945" s="2"/>
      <c r="C945" s="2"/>
      <c r="D945" s="2"/>
      <c r="E945" s="2"/>
      <c r="F945" s="2"/>
      <c r="G945" s="2"/>
      <c r="H945" s="2"/>
      <c r="I945" s="2"/>
      <c r="J945" s="2"/>
      <c r="K945" s="2"/>
      <c r="L945" s="2"/>
      <c r="M945" s="2"/>
      <c r="N945" s="2"/>
      <c r="O945" s="2"/>
      <c r="P945" s="2"/>
      <c r="Q945" s="2"/>
      <c r="R945" s="2"/>
      <c r="S945" s="2"/>
      <c r="T945" s="2"/>
    </row>
    <row r="946" spans="1:20" ht="15.75" customHeight="1">
      <c r="A946" s="1"/>
      <c r="B946" s="2"/>
      <c r="C946" s="2"/>
      <c r="D946" s="2"/>
      <c r="E946" s="2"/>
      <c r="F946" s="2"/>
      <c r="G946" s="2"/>
      <c r="H946" s="2"/>
      <c r="I946" s="2"/>
      <c r="J946" s="2"/>
      <c r="K946" s="2"/>
      <c r="L946" s="2"/>
      <c r="M946" s="2"/>
      <c r="N946" s="2"/>
      <c r="O946" s="2"/>
      <c r="P946" s="2"/>
      <c r="Q946" s="2"/>
      <c r="R946" s="2"/>
      <c r="S946" s="2"/>
      <c r="T946" s="2"/>
    </row>
    <row r="947" spans="1:20" ht="15.75" customHeight="1">
      <c r="A947" s="1"/>
      <c r="B947" s="2"/>
      <c r="C947" s="2"/>
      <c r="D947" s="2"/>
      <c r="E947" s="2"/>
      <c r="F947" s="2"/>
      <c r="G947" s="2"/>
      <c r="H947" s="2"/>
      <c r="I947" s="2"/>
      <c r="J947" s="2"/>
      <c r="K947" s="2"/>
      <c r="L947" s="2"/>
      <c r="M947" s="2"/>
      <c r="N947" s="2"/>
      <c r="O947" s="2"/>
      <c r="P947" s="2"/>
      <c r="Q947" s="2"/>
      <c r="R947" s="2"/>
      <c r="S947" s="2"/>
      <c r="T947" s="2"/>
    </row>
    <row r="948" spans="1:20" ht="15.75" customHeight="1">
      <c r="A948" s="1"/>
      <c r="B948" s="2"/>
      <c r="C948" s="2"/>
      <c r="D948" s="2"/>
      <c r="E948" s="2"/>
      <c r="F948" s="2"/>
      <c r="G948" s="2"/>
      <c r="H948" s="2"/>
      <c r="I948" s="2"/>
      <c r="J948" s="2"/>
      <c r="K948" s="2"/>
      <c r="L948" s="2"/>
      <c r="M948" s="2"/>
      <c r="N948" s="2"/>
      <c r="O948" s="2"/>
      <c r="P948" s="2"/>
      <c r="Q948" s="2"/>
      <c r="R948" s="2"/>
      <c r="S948" s="2"/>
      <c r="T948" s="2"/>
    </row>
    <row r="949" spans="1:20" ht="15.75" customHeight="1">
      <c r="A949" s="1"/>
      <c r="B949" s="2"/>
      <c r="C949" s="2"/>
      <c r="D949" s="2"/>
      <c r="E949" s="2"/>
      <c r="F949" s="2"/>
      <c r="G949" s="2"/>
      <c r="H949" s="2"/>
      <c r="I949" s="2"/>
      <c r="J949" s="2"/>
      <c r="K949" s="2"/>
      <c r="L949" s="2"/>
      <c r="M949" s="2"/>
      <c r="N949" s="2"/>
      <c r="O949" s="2"/>
      <c r="P949" s="2"/>
      <c r="Q949" s="2"/>
      <c r="R949" s="2"/>
      <c r="S949" s="2"/>
      <c r="T949" s="2"/>
    </row>
    <row r="950" spans="1:20" ht="15.75" customHeight="1">
      <c r="A950" s="1"/>
      <c r="B950" s="2"/>
      <c r="C950" s="2"/>
      <c r="D950" s="2"/>
      <c r="E950" s="2"/>
      <c r="F950" s="2"/>
      <c r="G950" s="2"/>
      <c r="H950" s="2"/>
      <c r="I950" s="2"/>
      <c r="J950" s="2"/>
      <c r="K950" s="2"/>
      <c r="L950" s="2"/>
      <c r="M950" s="2"/>
      <c r="N950" s="2"/>
      <c r="O950" s="2"/>
      <c r="P950" s="2"/>
      <c r="Q950" s="2"/>
      <c r="R950" s="2"/>
      <c r="S950" s="2"/>
      <c r="T950" s="2"/>
    </row>
    <row r="951" spans="1:20" ht="15.75" customHeight="1">
      <c r="A951" s="1"/>
      <c r="B951" s="2"/>
      <c r="C951" s="2"/>
      <c r="D951" s="2"/>
      <c r="E951" s="2"/>
      <c r="F951" s="2"/>
      <c r="G951" s="2"/>
      <c r="H951" s="2"/>
      <c r="I951" s="2"/>
      <c r="J951" s="2"/>
      <c r="K951" s="2"/>
      <c r="L951" s="2"/>
      <c r="M951" s="2"/>
      <c r="N951" s="2"/>
      <c r="O951" s="2"/>
      <c r="P951" s="2"/>
      <c r="Q951" s="2"/>
      <c r="R951" s="2"/>
      <c r="S951" s="2"/>
      <c r="T951" s="2"/>
    </row>
    <row r="952" spans="1:20" ht="15.75" customHeight="1">
      <c r="A952" s="1"/>
      <c r="B952" s="2"/>
      <c r="C952" s="2"/>
      <c r="D952" s="2"/>
      <c r="E952" s="2"/>
      <c r="F952" s="2"/>
      <c r="G952" s="2"/>
      <c r="H952" s="2"/>
      <c r="I952" s="2"/>
      <c r="J952" s="2"/>
      <c r="K952" s="2"/>
      <c r="L952" s="2"/>
      <c r="M952" s="2"/>
      <c r="N952" s="2"/>
      <c r="O952" s="2"/>
      <c r="P952" s="2"/>
      <c r="Q952" s="2"/>
      <c r="R952" s="2"/>
      <c r="S952" s="2"/>
      <c r="T952" s="2"/>
    </row>
    <row r="953" spans="1:20" ht="15.75" customHeight="1">
      <c r="A953" s="1"/>
      <c r="B953" s="2"/>
      <c r="C953" s="2"/>
      <c r="D953" s="2"/>
      <c r="E953" s="2"/>
      <c r="F953" s="2"/>
      <c r="G953" s="2"/>
      <c r="H953" s="2"/>
      <c r="I953" s="2"/>
      <c r="J953" s="2"/>
      <c r="K953" s="2"/>
      <c r="L953" s="2"/>
      <c r="M953" s="2"/>
      <c r="N953" s="2"/>
      <c r="O953" s="2"/>
      <c r="P953" s="2"/>
      <c r="Q953" s="2"/>
      <c r="R953" s="2"/>
      <c r="S953" s="2"/>
      <c r="T953" s="2"/>
    </row>
    <row r="954" spans="1:20" ht="15.75" customHeight="1">
      <c r="A954" s="1"/>
      <c r="B954" s="2"/>
      <c r="C954" s="2"/>
      <c r="D954" s="2"/>
      <c r="E954" s="2"/>
      <c r="F954" s="2"/>
      <c r="G954" s="2"/>
      <c r="H954" s="2"/>
      <c r="I954" s="2"/>
      <c r="J954" s="2"/>
      <c r="K954" s="2"/>
      <c r="L954" s="2"/>
      <c r="M954" s="2"/>
      <c r="N954" s="2"/>
      <c r="O954" s="2"/>
      <c r="P954" s="2"/>
      <c r="Q954" s="2"/>
      <c r="R954" s="2"/>
      <c r="S954" s="2"/>
      <c r="T954" s="2"/>
    </row>
    <row r="955" spans="1:20" ht="15.75" customHeight="1">
      <c r="A955" s="1"/>
      <c r="B955" s="2"/>
      <c r="C955" s="2"/>
      <c r="D955" s="2"/>
      <c r="E955" s="2"/>
      <c r="F955" s="2"/>
      <c r="G955" s="2"/>
      <c r="H955" s="2"/>
      <c r="I955" s="2"/>
      <c r="J955" s="2"/>
      <c r="K955" s="2"/>
      <c r="L955" s="2"/>
      <c r="M955" s="2"/>
      <c r="N955" s="2"/>
      <c r="O955" s="2"/>
      <c r="P955" s="2"/>
      <c r="Q955" s="2"/>
      <c r="R955" s="2"/>
      <c r="S955" s="2"/>
      <c r="T955" s="2"/>
    </row>
    <row r="956" spans="1:20" ht="15.75" customHeight="1">
      <c r="A956" s="1"/>
      <c r="B956" s="2"/>
      <c r="C956" s="2"/>
      <c r="D956" s="2"/>
      <c r="E956" s="2"/>
      <c r="F956" s="2"/>
      <c r="G956" s="2"/>
      <c r="H956" s="2"/>
      <c r="I956" s="2"/>
      <c r="J956" s="2"/>
      <c r="K956" s="2"/>
      <c r="L956" s="2"/>
      <c r="M956" s="2"/>
      <c r="N956" s="2"/>
      <c r="O956" s="2"/>
      <c r="P956" s="2"/>
      <c r="Q956" s="2"/>
      <c r="R956" s="2"/>
      <c r="S956" s="2"/>
      <c r="T956" s="2"/>
    </row>
    <row r="957" spans="1:20" ht="15.75" customHeight="1">
      <c r="A957" s="1"/>
      <c r="B957" s="2"/>
      <c r="C957" s="2"/>
      <c r="D957" s="2"/>
      <c r="E957" s="2"/>
      <c r="F957" s="2"/>
      <c r="G957" s="2"/>
      <c r="H957" s="2"/>
      <c r="I957" s="2"/>
      <c r="J957" s="2"/>
      <c r="K957" s="2"/>
      <c r="L957" s="2"/>
      <c r="M957" s="2"/>
      <c r="N957" s="2"/>
      <c r="O957" s="2"/>
      <c r="P957" s="2"/>
      <c r="Q957" s="2"/>
      <c r="R957" s="2"/>
      <c r="S957" s="2"/>
      <c r="T957" s="2"/>
    </row>
    <row r="958" spans="1:20" ht="15.75" customHeight="1">
      <c r="A958" s="1"/>
      <c r="B958" s="2"/>
      <c r="C958" s="2"/>
      <c r="D958" s="2"/>
      <c r="E958" s="2"/>
      <c r="F958" s="2"/>
      <c r="G958" s="2"/>
      <c r="H958" s="2"/>
      <c r="I958" s="2"/>
      <c r="J958" s="2"/>
      <c r="K958" s="2"/>
      <c r="L958" s="2"/>
      <c r="M958" s="2"/>
      <c r="N958" s="2"/>
      <c r="O958" s="2"/>
      <c r="P958" s="2"/>
      <c r="Q958" s="2"/>
      <c r="R958" s="2"/>
      <c r="S958" s="2"/>
      <c r="T958" s="2"/>
    </row>
    <row r="959" spans="1:20" ht="15.75" customHeight="1">
      <c r="A959" s="1"/>
      <c r="B959" s="2"/>
      <c r="C959" s="2"/>
      <c r="D959" s="2"/>
      <c r="E959" s="2"/>
      <c r="F959" s="2"/>
      <c r="G959" s="2"/>
      <c r="H959" s="2"/>
      <c r="I959" s="2"/>
      <c r="J959" s="2"/>
      <c r="K959" s="2"/>
      <c r="L959" s="2"/>
      <c r="M959" s="2"/>
      <c r="N959" s="2"/>
      <c r="O959" s="2"/>
      <c r="P959" s="2"/>
      <c r="Q959" s="2"/>
      <c r="R959" s="2"/>
      <c r="S959" s="2"/>
      <c r="T959" s="2"/>
    </row>
    <row r="960" spans="1:20" ht="15.75" customHeight="1">
      <c r="A960" s="1"/>
      <c r="B960" s="2"/>
      <c r="C960" s="2"/>
      <c r="D960" s="2"/>
      <c r="E960" s="2"/>
      <c r="F960" s="2"/>
      <c r="G960" s="2"/>
      <c r="H960" s="2"/>
      <c r="I960" s="2"/>
      <c r="J960" s="2"/>
      <c r="K960" s="2"/>
      <c r="L960" s="2"/>
      <c r="M960" s="2"/>
      <c r="N960" s="2"/>
      <c r="O960" s="2"/>
      <c r="P960" s="2"/>
      <c r="Q960" s="2"/>
      <c r="R960" s="2"/>
      <c r="S960" s="2"/>
      <c r="T960" s="2"/>
    </row>
    <row r="961" spans="1:20" ht="15.75" customHeight="1">
      <c r="A961" s="1"/>
      <c r="B961" s="2"/>
      <c r="C961" s="2"/>
      <c r="D961" s="2"/>
      <c r="E961" s="2"/>
      <c r="F961" s="2"/>
      <c r="G961" s="2"/>
      <c r="H961" s="2"/>
      <c r="I961" s="2"/>
      <c r="J961" s="2"/>
      <c r="K961" s="2"/>
      <c r="L961" s="2"/>
      <c r="M961" s="2"/>
      <c r="N961" s="2"/>
      <c r="O961" s="2"/>
      <c r="P961" s="2"/>
      <c r="Q961" s="2"/>
      <c r="R961" s="2"/>
      <c r="S961" s="2"/>
      <c r="T961" s="2"/>
    </row>
    <row r="962" spans="1:20" ht="15.75" customHeight="1">
      <c r="A962" s="1"/>
      <c r="B962" s="2"/>
      <c r="C962" s="2"/>
      <c r="D962" s="2"/>
      <c r="E962" s="2"/>
      <c r="F962" s="2"/>
      <c r="G962" s="2"/>
      <c r="H962" s="2"/>
      <c r="I962" s="2"/>
      <c r="J962" s="2"/>
      <c r="K962" s="2"/>
      <c r="L962" s="2"/>
      <c r="M962" s="2"/>
      <c r="N962" s="2"/>
      <c r="O962" s="2"/>
      <c r="P962" s="2"/>
      <c r="Q962" s="2"/>
      <c r="R962" s="2"/>
      <c r="S962" s="2"/>
      <c r="T962" s="2"/>
    </row>
    <row r="963" spans="1:20" ht="15.75" customHeight="1">
      <c r="A963" s="1"/>
      <c r="B963" s="2"/>
      <c r="C963" s="2"/>
      <c r="D963" s="2"/>
      <c r="E963" s="2"/>
      <c r="F963" s="2"/>
      <c r="G963" s="2"/>
      <c r="H963" s="2"/>
      <c r="I963" s="2"/>
      <c r="J963" s="2"/>
      <c r="K963" s="2"/>
      <c r="L963" s="2"/>
      <c r="M963" s="2"/>
      <c r="N963" s="2"/>
      <c r="O963" s="2"/>
      <c r="P963" s="2"/>
      <c r="Q963" s="2"/>
      <c r="R963" s="2"/>
      <c r="S963" s="2"/>
      <c r="T963" s="2"/>
    </row>
    <row r="964" spans="1:20" ht="15.75" customHeight="1">
      <c r="A964" s="1"/>
      <c r="B964" s="2"/>
      <c r="C964" s="2"/>
      <c r="D964" s="2"/>
      <c r="E964" s="2"/>
      <c r="F964" s="2"/>
      <c r="G964" s="2"/>
      <c r="H964" s="2"/>
      <c r="I964" s="2"/>
      <c r="J964" s="2"/>
      <c r="K964" s="2"/>
      <c r="L964" s="2"/>
      <c r="M964" s="2"/>
      <c r="N964" s="2"/>
      <c r="O964" s="2"/>
      <c r="P964" s="2"/>
      <c r="Q964" s="2"/>
      <c r="R964" s="2"/>
      <c r="S964" s="2"/>
      <c r="T964" s="2"/>
    </row>
    <row r="965" spans="1:20" ht="15.75" customHeight="1">
      <c r="A965" s="1"/>
      <c r="B965" s="2"/>
      <c r="C965" s="2"/>
      <c r="D965" s="2"/>
      <c r="E965" s="2"/>
      <c r="F965" s="2"/>
      <c r="G965" s="2"/>
      <c r="H965" s="2"/>
      <c r="I965" s="2"/>
      <c r="J965" s="2"/>
      <c r="K965" s="2"/>
      <c r="L965" s="2"/>
      <c r="M965" s="2"/>
      <c r="N965" s="2"/>
      <c r="O965" s="2"/>
      <c r="P965" s="2"/>
      <c r="Q965" s="2"/>
      <c r="R965" s="2"/>
      <c r="S965" s="2"/>
      <c r="T965" s="2"/>
    </row>
    <row r="966" spans="1:20" ht="15.75" customHeight="1">
      <c r="A966" s="1"/>
      <c r="B966" s="2"/>
      <c r="C966" s="2"/>
      <c r="D966" s="2"/>
      <c r="E966" s="2"/>
      <c r="F966" s="2"/>
      <c r="G966" s="2"/>
      <c r="H966" s="2"/>
      <c r="I966" s="2"/>
      <c r="J966" s="2"/>
      <c r="K966" s="2"/>
      <c r="L966" s="2"/>
      <c r="M966" s="2"/>
      <c r="N966" s="2"/>
      <c r="O966" s="2"/>
      <c r="P966" s="2"/>
      <c r="Q966" s="2"/>
      <c r="R966" s="2"/>
      <c r="S966" s="2"/>
      <c r="T966" s="2"/>
    </row>
    <row r="967" spans="1:20" ht="15.75" customHeight="1">
      <c r="A967" s="1"/>
      <c r="B967" s="2"/>
      <c r="C967" s="2"/>
      <c r="D967" s="2"/>
      <c r="E967" s="2"/>
      <c r="F967" s="2"/>
      <c r="G967" s="2"/>
      <c r="H967" s="2"/>
      <c r="I967" s="2"/>
      <c r="J967" s="2"/>
      <c r="K967" s="2"/>
      <c r="L967" s="2"/>
      <c r="M967" s="2"/>
      <c r="N967" s="2"/>
      <c r="O967" s="2"/>
      <c r="P967" s="2"/>
      <c r="Q967" s="2"/>
      <c r="R967" s="2"/>
      <c r="S967" s="2"/>
      <c r="T967" s="2"/>
    </row>
    <row r="968" spans="1:20" ht="15.75" customHeight="1">
      <c r="A968" s="1"/>
      <c r="B968" s="2"/>
      <c r="C968" s="2"/>
      <c r="D968" s="2"/>
      <c r="E968" s="2"/>
      <c r="F968" s="2"/>
      <c r="G968" s="2"/>
      <c r="H968" s="2"/>
      <c r="I968" s="2"/>
      <c r="J968" s="2"/>
      <c r="K968" s="2"/>
      <c r="L968" s="2"/>
      <c r="M968" s="2"/>
      <c r="N968" s="2"/>
      <c r="O968" s="2"/>
      <c r="P968" s="2"/>
      <c r="Q968" s="2"/>
      <c r="R968" s="2"/>
      <c r="S968" s="2"/>
      <c r="T968" s="2"/>
    </row>
    <row r="969" spans="1:20" ht="15.75" customHeight="1">
      <c r="A969" s="1"/>
      <c r="B969" s="2"/>
      <c r="C969" s="2"/>
      <c r="D969" s="2"/>
      <c r="E969" s="2"/>
      <c r="F969" s="2"/>
      <c r="G969" s="2"/>
      <c r="H969" s="2"/>
      <c r="I969" s="2"/>
      <c r="J969" s="2"/>
      <c r="K969" s="2"/>
      <c r="L969" s="2"/>
      <c r="M969" s="2"/>
      <c r="N969" s="2"/>
      <c r="O969" s="2"/>
      <c r="P969" s="2"/>
      <c r="Q969" s="2"/>
      <c r="R969" s="2"/>
      <c r="S969" s="2"/>
      <c r="T969" s="2"/>
    </row>
    <row r="970" spans="1:20" ht="15.75" customHeight="1">
      <c r="A970" s="1"/>
      <c r="B970" s="2"/>
      <c r="C970" s="2"/>
      <c r="D970" s="2"/>
      <c r="E970" s="2"/>
      <c r="F970" s="2"/>
      <c r="G970" s="2"/>
      <c r="H970" s="2"/>
      <c r="I970" s="2"/>
      <c r="J970" s="2"/>
      <c r="K970" s="2"/>
      <c r="L970" s="2"/>
      <c r="M970" s="2"/>
      <c r="N970" s="2"/>
      <c r="O970" s="2"/>
      <c r="P970" s="2"/>
      <c r="Q970" s="2"/>
      <c r="R970" s="2"/>
      <c r="S970" s="2"/>
      <c r="T970" s="2"/>
    </row>
    <row r="971" spans="1:20" ht="15.75" customHeight="1">
      <c r="A971" s="1"/>
      <c r="B971" s="2"/>
      <c r="C971" s="2"/>
      <c r="D971" s="2"/>
      <c r="E971" s="2"/>
      <c r="F971" s="2"/>
      <c r="G971" s="2"/>
      <c r="H971" s="2"/>
      <c r="I971" s="2"/>
      <c r="J971" s="2"/>
      <c r="K971" s="2"/>
      <c r="L971" s="2"/>
      <c r="M971" s="2"/>
      <c r="N971" s="2"/>
      <c r="O971" s="2"/>
      <c r="P971" s="2"/>
      <c r="Q971" s="2"/>
      <c r="R971" s="2"/>
      <c r="S971" s="2"/>
      <c r="T971" s="2"/>
    </row>
    <row r="972" spans="1:20" ht="15.75" customHeight="1">
      <c r="A972" s="1"/>
      <c r="B972" s="2"/>
      <c r="C972" s="2"/>
      <c r="D972" s="2"/>
      <c r="E972" s="2"/>
      <c r="F972" s="2"/>
      <c r="G972" s="2"/>
      <c r="H972" s="2"/>
      <c r="I972" s="2"/>
      <c r="J972" s="2"/>
      <c r="K972" s="2"/>
      <c r="L972" s="2"/>
      <c r="M972" s="2"/>
      <c r="N972" s="2"/>
      <c r="O972" s="2"/>
      <c r="P972" s="2"/>
      <c r="Q972" s="2"/>
      <c r="R972" s="2"/>
      <c r="S972" s="2"/>
      <c r="T972" s="2"/>
    </row>
    <row r="973" spans="1:20" ht="15.75" customHeight="1">
      <c r="A973" s="1"/>
      <c r="B973" s="2"/>
      <c r="C973" s="2"/>
      <c r="D973" s="2"/>
      <c r="E973" s="2"/>
      <c r="F973" s="2"/>
      <c r="G973" s="2"/>
      <c r="H973" s="2"/>
      <c r="I973" s="2"/>
      <c r="J973" s="2"/>
      <c r="K973" s="2"/>
      <c r="L973" s="2"/>
      <c r="M973" s="2"/>
      <c r="N973" s="2"/>
      <c r="O973" s="2"/>
      <c r="P973" s="2"/>
      <c r="Q973" s="2"/>
      <c r="R973" s="2"/>
      <c r="S973" s="2"/>
      <c r="T973" s="2"/>
    </row>
    <row r="974" spans="1:20" ht="15.75" customHeight="1">
      <c r="A974" s="1"/>
      <c r="B974" s="2"/>
      <c r="C974" s="2"/>
      <c r="D974" s="2"/>
      <c r="E974" s="2"/>
      <c r="F974" s="2"/>
      <c r="G974" s="2"/>
      <c r="H974" s="2"/>
      <c r="I974" s="2"/>
      <c r="J974" s="2"/>
      <c r="K974" s="2"/>
      <c r="L974" s="2"/>
      <c r="M974" s="2"/>
      <c r="N974" s="2"/>
      <c r="O974" s="2"/>
      <c r="P974" s="2"/>
      <c r="Q974" s="2"/>
      <c r="R974" s="2"/>
      <c r="S974" s="2"/>
      <c r="T974" s="2"/>
    </row>
    <row r="975" spans="1:20" ht="15.75" customHeight="1">
      <c r="A975" s="1"/>
      <c r="B975" s="2"/>
      <c r="C975" s="2"/>
      <c r="D975" s="2"/>
      <c r="E975" s="2"/>
      <c r="F975" s="2"/>
      <c r="G975" s="2"/>
      <c r="H975" s="2"/>
      <c r="I975" s="2"/>
      <c r="J975" s="2"/>
      <c r="K975" s="2"/>
      <c r="L975" s="2"/>
      <c r="M975" s="2"/>
      <c r="N975" s="2"/>
      <c r="O975" s="2"/>
      <c r="P975" s="2"/>
      <c r="Q975" s="2"/>
      <c r="R975" s="2"/>
      <c r="S975" s="2"/>
      <c r="T975" s="2"/>
    </row>
    <row r="976" spans="1:20" ht="15.75" customHeight="1">
      <c r="A976" s="1"/>
      <c r="B976" s="2"/>
      <c r="C976" s="2"/>
      <c r="D976" s="2"/>
      <c r="E976" s="2"/>
      <c r="F976" s="2"/>
      <c r="G976" s="2"/>
      <c r="H976" s="2"/>
      <c r="I976" s="2"/>
      <c r="J976" s="2"/>
      <c r="K976" s="2"/>
      <c r="L976" s="2"/>
      <c r="M976" s="2"/>
      <c r="N976" s="2"/>
      <c r="O976" s="2"/>
      <c r="P976" s="2"/>
      <c r="Q976" s="2"/>
      <c r="R976" s="2"/>
      <c r="S976" s="2"/>
      <c r="T976" s="2"/>
    </row>
    <row r="977" spans="1:20" ht="15.75" customHeight="1">
      <c r="A977" s="1"/>
      <c r="B977" s="2"/>
      <c r="C977" s="2"/>
      <c r="D977" s="2"/>
      <c r="E977" s="2"/>
      <c r="F977" s="2"/>
      <c r="G977" s="2"/>
      <c r="H977" s="2"/>
      <c r="I977" s="2"/>
      <c r="J977" s="2"/>
      <c r="K977" s="2"/>
      <c r="L977" s="2"/>
      <c r="M977" s="2"/>
      <c r="N977" s="2"/>
      <c r="O977" s="2"/>
      <c r="P977" s="2"/>
      <c r="Q977" s="2"/>
      <c r="R977" s="2"/>
      <c r="S977" s="2"/>
      <c r="T977" s="2"/>
    </row>
    <row r="978" spans="1:20" ht="15.75" customHeight="1">
      <c r="A978" s="1"/>
      <c r="B978" s="2"/>
      <c r="C978" s="2"/>
      <c r="D978" s="2"/>
      <c r="E978" s="2"/>
      <c r="F978" s="2"/>
      <c r="G978" s="2"/>
      <c r="H978" s="2"/>
      <c r="I978" s="2"/>
      <c r="J978" s="2"/>
      <c r="K978" s="2"/>
      <c r="L978" s="2"/>
      <c r="M978" s="2"/>
      <c r="N978" s="2"/>
      <c r="O978" s="2"/>
      <c r="P978" s="2"/>
      <c r="Q978" s="2"/>
      <c r="R978" s="2"/>
      <c r="S978" s="2"/>
      <c r="T978" s="2"/>
    </row>
    <row r="979" spans="1:20" ht="15.75" customHeight="1">
      <c r="A979" s="1"/>
      <c r="B979" s="2"/>
      <c r="C979" s="2"/>
      <c r="D979" s="2"/>
      <c r="E979" s="2"/>
      <c r="F979" s="2"/>
      <c r="G979" s="2"/>
      <c r="H979" s="2"/>
      <c r="I979" s="2"/>
      <c r="J979" s="2"/>
      <c r="K979" s="2"/>
      <c r="L979" s="2"/>
      <c r="M979" s="2"/>
      <c r="N979" s="2"/>
      <c r="O979" s="2"/>
      <c r="P979" s="2"/>
      <c r="Q979" s="2"/>
      <c r="R979" s="2"/>
      <c r="S979" s="2"/>
      <c r="T979" s="2"/>
    </row>
    <row r="980" spans="1:20" ht="15.75" customHeight="1">
      <c r="A980" s="1"/>
      <c r="B980" s="2"/>
      <c r="C980" s="2"/>
      <c r="D980" s="2"/>
      <c r="E980" s="2"/>
      <c r="F980" s="2"/>
      <c r="G980" s="2"/>
      <c r="H980" s="2"/>
      <c r="I980" s="2"/>
      <c r="J980" s="2"/>
      <c r="K980" s="2"/>
      <c r="L980" s="2"/>
      <c r="M980" s="2"/>
      <c r="N980" s="2"/>
      <c r="O980" s="2"/>
      <c r="P980" s="2"/>
      <c r="Q980" s="2"/>
      <c r="R980" s="2"/>
      <c r="S980" s="2"/>
      <c r="T980" s="2"/>
    </row>
    <row r="981" spans="1:20" ht="15.75" customHeight="1">
      <c r="A981" s="1"/>
      <c r="B981" s="2"/>
      <c r="C981" s="2"/>
      <c r="D981" s="2"/>
      <c r="E981" s="2"/>
      <c r="F981" s="2"/>
      <c r="G981" s="2"/>
      <c r="H981" s="2"/>
      <c r="I981" s="2"/>
      <c r="J981" s="2"/>
      <c r="K981" s="2"/>
      <c r="L981" s="2"/>
      <c r="M981" s="2"/>
      <c r="N981" s="2"/>
      <c r="O981" s="2"/>
      <c r="P981" s="2"/>
      <c r="Q981" s="2"/>
      <c r="R981" s="2"/>
      <c r="S981" s="2"/>
      <c r="T981" s="2"/>
    </row>
    <row r="982" spans="1:20" ht="15.75" customHeight="1">
      <c r="A982" s="1"/>
      <c r="B982" s="2"/>
      <c r="C982" s="2"/>
      <c r="D982" s="2"/>
      <c r="E982" s="2"/>
      <c r="F982" s="2"/>
      <c r="G982" s="2"/>
      <c r="H982" s="2"/>
      <c r="I982" s="2"/>
      <c r="J982" s="2"/>
      <c r="K982" s="2"/>
      <c r="L982" s="2"/>
      <c r="M982" s="2"/>
      <c r="N982" s="2"/>
      <c r="O982" s="2"/>
      <c r="P982" s="2"/>
      <c r="Q982" s="2"/>
      <c r="R982" s="2"/>
      <c r="S982" s="2"/>
      <c r="T982" s="2"/>
    </row>
    <row r="983" spans="1:20" ht="15.75" customHeight="1">
      <c r="A983" s="1"/>
      <c r="B983" s="2"/>
      <c r="C983" s="2"/>
      <c r="D983" s="2"/>
      <c r="E983" s="2"/>
      <c r="F983" s="2"/>
      <c r="G983" s="2"/>
      <c r="H983" s="2"/>
      <c r="I983" s="2"/>
      <c r="J983" s="2"/>
      <c r="K983" s="2"/>
      <c r="L983" s="2"/>
      <c r="M983" s="2"/>
      <c r="N983" s="2"/>
      <c r="O983" s="2"/>
      <c r="P983" s="2"/>
      <c r="Q983" s="2"/>
      <c r="R983" s="2"/>
      <c r="S983" s="2"/>
      <c r="T983" s="2"/>
    </row>
    <row r="984" spans="1:20" ht="15.75" customHeight="1">
      <c r="A984" s="1"/>
      <c r="B984" s="2"/>
      <c r="C984" s="2"/>
      <c r="D984" s="2"/>
      <c r="E984" s="2"/>
      <c r="F984" s="2"/>
      <c r="G984" s="2"/>
      <c r="H984" s="2"/>
      <c r="I984" s="2"/>
      <c r="J984" s="2"/>
      <c r="K984" s="2"/>
      <c r="L984" s="2"/>
      <c r="M984" s="2"/>
      <c r="N984" s="2"/>
      <c r="O984" s="2"/>
      <c r="P984" s="2"/>
      <c r="Q984" s="2"/>
      <c r="R984" s="2"/>
      <c r="S984" s="2"/>
      <c r="T984" s="2"/>
    </row>
    <row r="985" spans="1:20" ht="15.75" customHeight="1">
      <c r="A985" s="1"/>
      <c r="B985" s="2"/>
      <c r="C985" s="2"/>
      <c r="D985" s="2"/>
      <c r="E985" s="2"/>
      <c r="F985" s="2"/>
      <c r="G985" s="2"/>
      <c r="H985" s="2"/>
      <c r="I985" s="2"/>
      <c r="J985" s="2"/>
      <c r="K985" s="2"/>
      <c r="L985" s="2"/>
      <c r="M985" s="2"/>
      <c r="N985" s="2"/>
      <c r="O985" s="2"/>
      <c r="P985" s="2"/>
      <c r="Q985" s="2"/>
      <c r="R985" s="2"/>
      <c r="S985" s="2"/>
      <c r="T985" s="2"/>
    </row>
    <row r="986" spans="1:20" ht="15.75" customHeight="1">
      <c r="A986" s="1"/>
      <c r="B986" s="2"/>
      <c r="C986" s="2"/>
      <c r="D986" s="2"/>
      <c r="E986" s="2"/>
      <c r="F986" s="2"/>
      <c r="G986" s="2"/>
      <c r="H986" s="2"/>
      <c r="I986" s="2"/>
      <c r="J986" s="2"/>
      <c r="K986" s="2"/>
      <c r="L986" s="2"/>
      <c r="M986" s="2"/>
      <c r="N986" s="2"/>
      <c r="O986" s="2"/>
      <c r="P986" s="2"/>
      <c r="Q986" s="2"/>
      <c r="R986" s="2"/>
      <c r="S986" s="2"/>
      <c r="T986" s="2"/>
    </row>
    <row r="987" spans="1:20" ht="15.75" customHeight="1">
      <c r="A987" s="1"/>
      <c r="B987" s="2"/>
      <c r="C987" s="2"/>
      <c r="D987" s="2"/>
      <c r="E987" s="2"/>
      <c r="F987" s="2"/>
      <c r="G987" s="2"/>
      <c r="H987" s="2"/>
      <c r="I987" s="2"/>
      <c r="J987" s="2"/>
      <c r="K987" s="2"/>
      <c r="L987" s="2"/>
      <c r="M987" s="2"/>
      <c r="N987" s="2"/>
      <c r="O987" s="2"/>
      <c r="P987" s="2"/>
      <c r="Q987" s="2"/>
      <c r="R987" s="2"/>
      <c r="S987" s="2"/>
      <c r="T987" s="2"/>
    </row>
    <row r="988" spans="1:20" ht="15.75" customHeight="1">
      <c r="A988" s="1"/>
      <c r="B988" s="2"/>
      <c r="C988" s="2"/>
      <c r="D988" s="2"/>
      <c r="E988" s="2"/>
      <c r="F988" s="2"/>
      <c r="G988" s="2"/>
      <c r="H988" s="2"/>
      <c r="I988" s="2"/>
      <c r="J988" s="2"/>
      <c r="K988" s="2"/>
      <c r="L988" s="2"/>
      <c r="M988" s="2"/>
      <c r="N988" s="2"/>
      <c r="O988" s="2"/>
      <c r="P988" s="2"/>
      <c r="Q988" s="2"/>
      <c r="R988" s="2"/>
      <c r="S988" s="2"/>
      <c r="T988" s="2"/>
    </row>
    <row r="989" spans="1:20" ht="15.75" customHeight="1">
      <c r="A989" s="1"/>
      <c r="B989" s="2"/>
      <c r="C989" s="2"/>
      <c r="D989" s="2"/>
      <c r="E989" s="2"/>
      <c r="F989" s="2"/>
      <c r="G989" s="2"/>
      <c r="H989" s="2"/>
      <c r="I989" s="2"/>
      <c r="J989" s="2"/>
      <c r="K989" s="2"/>
      <c r="L989" s="2"/>
      <c r="M989" s="2"/>
      <c r="N989" s="2"/>
      <c r="O989" s="2"/>
      <c r="P989" s="2"/>
      <c r="Q989" s="2"/>
      <c r="R989" s="2"/>
      <c r="S989" s="2"/>
      <c r="T989" s="2"/>
    </row>
    <row r="990" spans="1:20" ht="15.75" customHeight="1">
      <c r="A990" s="1"/>
      <c r="B990" s="2"/>
      <c r="C990" s="2"/>
      <c r="D990" s="2"/>
      <c r="E990" s="2"/>
      <c r="F990" s="2"/>
      <c r="G990" s="2"/>
      <c r="H990" s="2"/>
      <c r="I990" s="2"/>
      <c r="J990" s="2"/>
      <c r="K990" s="2"/>
      <c r="L990" s="2"/>
      <c r="M990" s="2"/>
      <c r="N990" s="2"/>
      <c r="O990" s="2"/>
      <c r="P990" s="2"/>
      <c r="Q990" s="2"/>
      <c r="R990" s="2"/>
      <c r="S990" s="2"/>
      <c r="T990" s="2"/>
    </row>
    <row r="991" spans="1:20" ht="15.75" customHeight="1">
      <c r="A991" s="1"/>
      <c r="B991" s="2"/>
      <c r="C991" s="2"/>
      <c r="D991" s="2"/>
      <c r="E991" s="2"/>
      <c r="F991" s="2"/>
      <c r="G991" s="2"/>
      <c r="H991" s="2"/>
      <c r="I991" s="2"/>
      <c r="J991" s="2"/>
      <c r="K991" s="2"/>
      <c r="L991" s="2"/>
      <c r="M991" s="2"/>
      <c r="N991" s="2"/>
      <c r="O991" s="2"/>
      <c r="P991" s="2"/>
      <c r="Q991" s="2"/>
      <c r="R991" s="2"/>
      <c r="S991" s="2"/>
      <c r="T991" s="2"/>
    </row>
    <row r="992" spans="1:20" ht="15.75" customHeight="1">
      <c r="A992" s="1"/>
      <c r="B992" s="2"/>
      <c r="C992" s="2"/>
      <c r="D992" s="2"/>
      <c r="E992" s="2"/>
      <c r="F992" s="2"/>
      <c r="G992" s="2"/>
      <c r="H992" s="2"/>
      <c r="I992" s="2"/>
      <c r="J992" s="2"/>
      <c r="K992" s="2"/>
      <c r="L992" s="2"/>
      <c r="M992" s="2"/>
      <c r="N992" s="2"/>
      <c r="O992" s="2"/>
      <c r="P992" s="2"/>
      <c r="Q992" s="2"/>
      <c r="R992" s="2"/>
      <c r="S992" s="2"/>
      <c r="T992" s="2"/>
    </row>
    <row r="993" spans="1:20" ht="15.75" customHeight="1">
      <c r="A993" s="1"/>
      <c r="B993" s="2"/>
      <c r="C993" s="2"/>
      <c r="D993" s="2"/>
      <c r="E993" s="2"/>
      <c r="F993" s="2"/>
      <c r="G993" s="2"/>
      <c r="H993" s="2"/>
      <c r="I993" s="2"/>
      <c r="J993" s="2"/>
      <c r="K993" s="2"/>
      <c r="L993" s="2"/>
      <c r="M993" s="2"/>
      <c r="N993" s="2"/>
      <c r="O993" s="2"/>
      <c r="P993" s="2"/>
      <c r="Q993" s="2"/>
      <c r="R993" s="2"/>
      <c r="S993" s="2"/>
      <c r="T993" s="2"/>
    </row>
    <row r="994" spans="1:20" ht="15.75" customHeight="1">
      <c r="A994" s="1"/>
      <c r="B994" s="2"/>
      <c r="C994" s="2"/>
      <c r="D994" s="2"/>
      <c r="E994" s="2"/>
      <c r="F994" s="2"/>
      <c r="G994" s="2"/>
      <c r="H994" s="2"/>
      <c r="I994" s="2"/>
      <c r="J994" s="2"/>
      <c r="K994" s="2"/>
      <c r="L994" s="2"/>
      <c r="M994" s="2"/>
      <c r="N994" s="2"/>
      <c r="O994" s="2"/>
      <c r="P994" s="2"/>
      <c r="Q994" s="2"/>
      <c r="R994" s="2"/>
      <c r="S994" s="2"/>
      <c r="T994" s="2"/>
    </row>
    <row r="995" spans="1:20" ht="15.75" customHeight="1">
      <c r="A995" s="1"/>
      <c r="B995" s="2"/>
      <c r="C995" s="2"/>
      <c r="D995" s="2"/>
      <c r="E995" s="2"/>
      <c r="F995" s="2"/>
      <c r="G995" s="2"/>
      <c r="H995" s="2"/>
      <c r="I995" s="2"/>
      <c r="J995" s="2"/>
      <c r="K995" s="2"/>
      <c r="L995" s="2"/>
      <c r="M995" s="2"/>
      <c r="N995" s="2"/>
      <c r="O995" s="2"/>
      <c r="P995" s="2"/>
      <c r="Q995" s="2"/>
      <c r="R995" s="2"/>
      <c r="S995" s="2"/>
      <c r="T995" s="2"/>
    </row>
    <row r="996" spans="1:20" ht="15.75" customHeight="1">
      <c r="A996" s="1"/>
      <c r="B996" s="2"/>
      <c r="C996" s="2"/>
      <c r="D996" s="2"/>
      <c r="E996" s="2"/>
      <c r="F996" s="2"/>
      <c r="G996" s="2"/>
      <c r="H996" s="2"/>
      <c r="I996" s="2"/>
      <c r="J996" s="2"/>
      <c r="K996" s="2"/>
      <c r="L996" s="2"/>
      <c r="M996" s="2"/>
      <c r="N996" s="2"/>
      <c r="O996" s="2"/>
      <c r="P996" s="2"/>
      <c r="Q996" s="2"/>
      <c r="R996" s="2"/>
      <c r="S996" s="2"/>
      <c r="T996" s="2"/>
    </row>
    <row r="997" spans="1:20" ht="15.75" customHeight="1">
      <c r="A997" s="1"/>
      <c r="B997" s="2"/>
      <c r="C997" s="2"/>
      <c r="D997" s="2"/>
      <c r="E997" s="2"/>
      <c r="F997" s="2"/>
      <c r="G997" s="2"/>
      <c r="H997" s="2"/>
      <c r="I997" s="2"/>
      <c r="J997" s="2"/>
      <c r="K997" s="2"/>
      <c r="L997" s="2"/>
      <c r="M997" s="2"/>
      <c r="N997" s="2"/>
      <c r="O997" s="2"/>
      <c r="P997" s="2"/>
      <c r="Q997" s="2"/>
      <c r="R997" s="2"/>
      <c r="S997" s="2"/>
      <c r="T997" s="2"/>
    </row>
    <row r="998" spans="1:20" ht="15.75" customHeight="1">
      <c r="A998" s="1"/>
      <c r="B998" s="2"/>
      <c r="C998" s="2"/>
      <c r="D998" s="2"/>
      <c r="E998" s="2"/>
      <c r="F998" s="2"/>
      <c r="G998" s="2"/>
      <c r="H998" s="2"/>
      <c r="I998" s="2"/>
      <c r="J998" s="2"/>
      <c r="K998" s="2"/>
      <c r="L998" s="2"/>
      <c r="M998" s="2"/>
      <c r="N998" s="2"/>
      <c r="O998" s="2"/>
      <c r="P998" s="2"/>
      <c r="Q998" s="2"/>
      <c r="R998" s="2"/>
      <c r="S998" s="2"/>
      <c r="T998" s="2"/>
    </row>
    <row r="999" spans="1:20" ht="15.75" customHeight="1">
      <c r="A999" s="1"/>
      <c r="B999" s="2"/>
      <c r="C999" s="2"/>
      <c r="D999" s="2"/>
      <c r="E999" s="2"/>
      <c r="F999" s="2"/>
      <c r="G999" s="2"/>
      <c r="H999" s="2"/>
      <c r="I999" s="2"/>
      <c r="J999" s="2"/>
      <c r="K999" s="2"/>
      <c r="L999" s="2"/>
      <c r="M999" s="2"/>
      <c r="N999" s="2"/>
      <c r="O999" s="2"/>
      <c r="P999" s="2"/>
      <c r="Q999" s="2"/>
      <c r="R999" s="2"/>
      <c r="S999" s="2"/>
      <c r="T999" s="2"/>
    </row>
    <row r="1000" spans="1:20" ht="15.75" customHeight="1">
      <c r="A1000" s="1"/>
      <c r="B1000" s="2"/>
      <c r="C1000" s="2"/>
      <c r="D1000" s="2"/>
      <c r="E1000" s="2"/>
      <c r="F1000" s="2"/>
      <c r="G1000" s="2"/>
      <c r="H1000" s="2"/>
      <c r="I1000" s="2"/>
      <c r="J1000" s="2"/>
      <c r="K1000" s="2"/>
      <c r="L1000" s="2"/>
      <c r="M1000" s="2"/>
      <c r="N1000" s="2"/>
      <c r="O1000" s="2"/>
      <c r="P1000" s="2"/>
      <c r="Q1000" s="2"/>
      <c r="R1000" s="2"/>
      <c r="S1000" s="2"/>
      <c r="T1000" s="2"/>
    </row>
  </sheetData>
  <conditionalFormatting sqref="E98:T98">
    <cfRule type="containsText" dxfId="8" priority="6" operator="containsText" text="TRUE">
      <formula>NOT(ISERROR(SEARCH(("TRUE"),(E98))))</formula>
    </cfRule>
  </conditionalFormatting>
  <conditionalFormatting sqref="E118:T118">
    <cfRule type="containsText" dxfId="7" priority="5" operator="containsText" text="TRUE">
      <formula>NOT(ISERROR(SEARCH(("TRUE"),(E118))))</formula>
    </cfRule>
  </conditionalFormatting>
  <conditionalFormatting sqref="E153:T153">
    <cfRule type="containsText" dxfId="6" priority="4" operator="containsText" text="TRUE">
      <formula>NOT(ISERROR(SEARCH(("TRUE"),(E153))))</formula>
    </cfRule>
  </conditionalFormatting>
  <pageMargins left="0.7" right="0.7" top="0.75" bottom="0.75"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U1000"/>
  <sheetViews>
    <sheetView zoomScale="60" zoomScaleNormal="60" workbookViewId="0">
      <pane xSplit="3" ySplit="3" topLeftCell="R25" activePane="bottomRight" state="frozen"/>
      <selection pane="topRight" activeCell="D1" sqref="D1"/>
      <selection pane="bottomLeft" activeCell="A4" sqref="A4"/>
      <selection pane="bottomRight" activeCell="V1" sqref="V1:AC1048576"/>
    </sheetView>
  </sheetViews>
  <sheetFormatPr defaultColWidth="14.42578125" defaultRowHeight="15" customHeight="1"/>
  <cols>
    <col min="1" max="1" width="5.5703125" customWidth="1"/>
    <col min="2" max="2" width="41.28515625" customWidth="1"/>
    <col min="3" max="3" width="15.7109375" customWidth="1"/>
    <col min="4" max="5" width="14.42578125" hidden="1" customWidth="1"/>
    <col min="6" max="11" width="16.42578125" hidden="1" customWidth="1"/>
    <col min="12" max="12" width="15.85546875" customWidth="1"/>
    <col min="13" max="13" width="17.28515625" customWidth="1"/>
    <col min="14" max="14" width="20.85546875" customWidth="1"/>
    <col min="15" max="19" width="24.85546875" customWidth="1"/>
    <col min="20" max="20" width="24.42578125" customWidth="1"/>
    <col min="21" max="21" width="9.140625" customWidth="1"/>
  </cols>
  <sheetData>
    <row r="1" spans="1:21" ht="15.75" customHeight="1">
      <c r="A1" s="1"/>
      <c r="B1" s="2"/>
      <c r="C1" s="2"/>
      <c r="D1" s="2"/>
      <c r="E1" s="2"/>
      <c r="F1" s="2"/>
      <c r="G1" s="2"/>
      <c r="H1" s="2"/>
      <c r="I1" s="2"/>
      <c r="J1" s="2"/>
      <c r="K1" s="2"/>
      <c r="L1" s="2"/>
      <c r="M1" s="2"/>
      <c r="N1" s="2"/>
      <c r="O1" s="2"/>
      <c r="P1" s="2"/>
      <c r="Q1" s="2"/>
      <c r="R1" s="2"/>
      <c r="S1" s="2"/>
      <c r="T1" s="2"/>
      <c r="U1" s="2"/>
    </row>
    <row r="2" spans="1:21" ht="15.75" customHeight="1" thickBot="1">
      <c r="A2" s="1"/>
      <c r="B2" s="2"/>
      <c r="C2" s="2"/>
      <c r="D2" s="2"/>
      <c r="E2" s="2"/>
      <c r="F2" s="2"/>
      <c r="G2" s="2"/>
      <c r="H2" s="2"/>
      <c r="I2" s="2"/>
      <c r="J2" s="2"/>
      <c r="K2" s="2"/>
      <c r="L2" s="2"/>
      <c r="M2" s="2"/>
      <c r="N2" s="2"/>
      <c r="O2" s="2"/>
      <c r="P2" s="2"/>
      <c r="Q2" s="2"/>
      <c r="R2" s="2"/>
      <c r="S2" s="2"/>
      <c r="T2" s="2"/>
      <c r="U2" s="2"/>
    </row>
    <row r="3" spans="1:21" ht="15.75" customHeight="1" thickBot="1">
      <c r="A3" s="107"/>
      <c r="B3" s="108" t="s">
        <v>122</v>
      </c>
      <c r="C3" s="109" t="s">
        <v>1</v>
      </c>
      <c r="D3" s="109">
        <v>2008</v>
      </c>
      <c r="E3" s="109">
        <f t="shared" ref="E3:T3" si="0">D3+1</f>
        <v>2009</v>
      </c>
      <c r="F3" s="109">
        <f t="shared" si="0"/>
        <v>2010</v>
      </c>
      <c r="G3" s="109">
        <f t="shared" si="0"/>
        <v>2011</v>
      </c>
      <c r="H3" s="109">
        <f t="shared" si="0"/>
        <v>2012</v>
      </c>
      <c r="I3" s="109">
        <f t="shared" si="0"/>
        <v>2013</v>
      </c>
      <c r="J3" s="109">
        <f t="shared" si="0"/>
        <v>2014</v>
      </c>
      <c r="K3" s="109">
        <f t="shared" si="0"/>
        <v>2015</v>
      </c>
      <c r="L3" s="109">
        <f t="shared" si="0"/>
        <v>2016</v>
      </c>
      <c r="M3" s="109">
        <f t="shared" si="0"/>
        <v>2017</v>
      </c>
      <c r="N3" s="109">
        <f t="shared" si="0"/>
        <v>2018</v>
      </c>
      <c r="O3" s="109">
        <f t="shared" si="0"/>
        <v>2019</v>
      </c>
      <c r="P3" s="109">
        <f t="shared" si="0"/>
        <v>2020</v>
      </c>
      <c r="Q3" s="109">
        <f t="shared" si="0"/>
        <v>2021</v>
      </c>
      <c r="R3" s="109">
        <f t="shared" si="0"/>
        <v>2022</v>
      </c>
      <c r="S3" s="109">
        <f t="shared" si="0"/>
        <v>2023</v>
      </c>
      <c r="T3" s="109">
        <f t="shared" si="0"/>
        <v>2024</v>
      </c>
      <c r="U3" s="2"/>
    </row>
    <row r="4" spans="1:21" ht="15.75" customHeight="1">
      <c r="A4" s="1"/>
      <c r="B4" s="2"/>
      <c r="C4" s="2"/>
      <c r="D4" s="2"/>
      <c r="E4" s="2"/>
      <c r="F4" s="2"/>
      <c r="G4" s="2"/>
      <c r="H4" s="2"/>
      <c r="I4" s="2"/>
      <c r="J4" s="2"/>
      <c r="K4" s="2"/>
      <c r="L4" s="2"/>
      <c r="M4" s="2"/>
      <c r="N4" s="2"/>
      <c r="O4" s="2"/>
      <c r="P4" s="2"/>
      <c r="Q4" s="2"/>
      <c r="R4" s="2"/>
      <c r="S4" s="2"/>
      <c r="T4" s="2"/>
      <c r="U4" s="2"/>
    </row>
    <row r="5" spans="1:21" ht="15.75" customHeight="1">
      <c r="A5" s="6" t="s">
        <v>89</v>
      </c>
      <c r="B5" s="2"/>
      <c r="C5" s="2"/>
      <c r="D5" s="2"/>
      <c r="E5" s="2"/>
      <c r="F5" s="2"/>
      <c r="G5" s="2"/>
      <c r="H5" s="2"/>
      <c r="I5" s="2"/>
      <c r="J5" s="2"/>
      <c r="K5" s="2"/>
      <c r="L5" s="2"/>
      <c r="M5" s="2"/>
      <c r="N5" s="2"/>
      <c r="O5" s="2"/>
      <c r="P5" s="2"/>
      <c r="Q5" s="2"/>
      <c r="R5" s="2"/>
      <c r="S5" s="2"/>
      <c r="T5" s="2"/>
      <c r="U5" s="2"/>
    </row>
    <row r="6" spans="1:21" ht="6.75" customHeight="1" thickBot="1">
      <c r="A6" s="7"/>
      <c r="B6" s="2"/>
      <c r="C6" s="2"/>
      <c r="D6" s="2"/>
      <c r="E6" s="2"/>
      <c r="F6" s="2"/>
      <c r="G6" s="2"/>
      <c r="H6" s="2"/>
      <c r="I6" s="2"/>
      <c r="J6" s="2"/>
      <c r="K6" s="2"/>
      <c r="L6" s="2"/>
      <c r="M6" s="2"/>
      <c r="N6" s="2"/>
      <c r="O6" s="2"/>
      <c r="P6" s="2"/>
      <c r="Q6" s="2"/>
      <c r="R6" s="2"/>
      <c r="S6" s="2"/>
      <c r="T6" s="2"/>
      <c r="U6" s="2"/>
    </row>
    <row r="7" spans="1:21" ht="15.75" customHeight="1" thickBot="1">
      <c r="A7" s="110" t="s">
        <v>3</v>
      </c>
      <c r="B7" s="108" t="s">
        <v>4</v>
      </c>
      <c r="C7" s="109" t="s">
        <v>5</v>
      </c>
      <c r="D7" s="109">
        <f t="shared" ref="D7:T7" si="1">D$3</f>
        <v>2008</v>
      </c>
      <c r="E7" s="109">
        <f t="shared" si="1"/>
        <v>2009</v>
      </c>
      <c r="F7" s="109">
        <f t="shared" si="1"/>
        <v>2010</v>
      </c>
      <c r="G7" s="109">
        <f t="shared" si="1"/>
        <v>2011</v>
      </c>
      <c r="H7" s="109">
        <f t="shared" si="1"/>
        <v>2012</v>
      </c>
      <c r="I7" s="109">
        <f t="shared" si="1"/>
        <v>2013</v>
      </c>
      <c r="J7" s="109">
        <f t="shared" si="1"/>
        <v>2014</v>
      </c>
      <c r="K7" s="109">
        <f t="shared" si="1"/>
        <v>2015</v>
      </c>
      <c r="L7" s="109">
        <f t="shared" si="1"/>
        <v>2016</v>
      </c>
      <c r="M7" s="109">
        <f t="shared" si="1"/>
        <v>2017</v>
      </c>
      <c r="N7" s="109">
        <f t="shared" si="1"/>
        <v>2018</v>
      </c>
      <c r="O7" s="109">
        <f t="shared" si="1"/>
        <v>2019</v>
      </c>
      <c r="P7" s="109">
        <f t="shared" si="1"/>
        <v>2020</v>
      </c>
      <c r="Q7" s="109">
        <f t="shared" si="1"/>
        <v>2021</v>
      </c>
      <c r="R7" s="109">
        <f t="shared" si="1"/>
        <v>2022</v>
      </c>
      <c r="S7" s="109">
        <f t="shared" si="1"/>
        <v>2023</v>
      </c>
      <c r="T7" s="109">
        <f t="shared" si="1"/>
        <v>2024</v>
      </c>
      <c r="U7" s="2"/>
    </row>
    <row r="8" spans="1:21"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f t="shared" si="2"/>
        <v>-15</v>
      </c>
      <c r="P8" s="9">
        <f t="shared" si="2"/>
        <v>-16</v>
      </c>
      <c r="Q8" s="9">
        <f t="shared" si="2"/>
        <v>-17</v>
      </c>
      <c r="R8" s="9">
        <f t="shared" si="2"/>
        <v>-18</v>
      </c>
      <c r="S8" s="9">
        <f t="shared" si="2"/>
        <v>-19</v>
      </c>
      <c r="T8" s="9">
        <f t="shared" si="2"/>
        <v>-20</v>
      </c>
      <c r="U8" s="2"/>
    </row>
    <row r="9" spans="1:21" ht="15.75" customHeight="1">
      <c r="A9" s="23">
        <v>1</v>
      </c>
      <c r="B9" s="24" t="s">
        <v>6</v>
      </c>
      <c r="C9" s="23" t="s">
        <v>84</v>
      </c>
      <c r="D9" s="34">
        <f t="shared" ref="D9:S9" si="3">SUM(D10:D11)</f>
        <v>0</v>
      </c>
      <c r="E9" s="34">
        <f t="shared" si="3"/>
        <v>0</v>
      </c>
      <c r="F9" s="34">
        <f t="shared" si="3"/>
        <v>577000000</v>
      </c>
      <c r="G9" s="34">
        <f t="shared" si="3"/>
        <v>1178710000</v>
      </c>
      <c r="H9" s="34">
        <f t="shared" si="3"/>
        <v>1171510000</v>
      </c>
      <c r="I9" s="34">
        <f t="shared" si="3"/>
        <v>1162934951.4000001</v>
      </c>
      <c r="J9" s="34">
        <f t="shared" si="3"/>
        <v>1155234951.4000001</v>
      </c>
      <c r="K9" s="34">
        <f t="shared" si="3"/>
        <v>3197178939.5300002</v>
      </c>
      <c r="L9" s="34">
        <f t="shared" si="3"/>
        <v>3155674130.5900002</v>
      </c>
      <c r="M9" s="34">
        <f t="shared" si="3"/>
        <v>3159504764.5300002</v>
      </c>
      <c r="N9" s="34">
        <f t="shared" si="3"/>
        <v>3571561596.25</v>
      </c>
      <c r="O9" s="34">
        <f t="shared" si="3"/>
        <v>4594591091.0300007</v>
      </c>
      <c r="P9" s="34">
        <f t="shared" si="3"/>
        <v>4561694674.8199997</v>
      </c>
      <c r="Q9" s="34">
        <f t="shared" si="3"/>
        <v>5243538419</v>
      </c>
      <c r="R9" s="34">
        <v>5028909381</v>
      </c>
      <c r="S9" s="34">
        <f t="shared" si="3"/>
        <v>5325790841.15767</v>
      </c>
      <c r="T9" s="34">
        <f t="shared" ref="T9" si="4">SUM(T10:T11)</f>
        <v>5913865814</v>
      </c>
      <c r="U9" s="184"/>
    </row>
    <row r="10" spans="1:21" ht="15.75" customHeight="1">
      <c r="A10" s="14">
        <v>1.1000000000000001</v>
      </c>
      <c r="B10" s="15" t="s">
        <v>8</v>
      </c>
      <c r="C10" s="14" t="s">
        <v>84</v>
      </c>
      <c r="D10" s="16">
        <v>0</v>
      </c>
      <c r="E10" s="16">
        <v>0</v>
      </c>
      <c r="F10" s="16">
        <v>577000000</v>
      </c>
      <c r="G10" s="16">
        <v>1178710000</v>
      </c>
      <c r="H10" s="16">
        <v>1171510000</v>
      </c>
      <c r="I10" s="16">
        <v>154652748</v>
      </c>
      <c r="J10" s="16">
        <v>147002748</v>
      </c>
      <c r="K10" s="16">
        <v>204109260</v>
      </c>
      <c r="L10" s="16">
        <v>238636501.61000001</v>
      </c>
      <c r="M10" s="16">
        <v>397467129</v>
      </c>
      <c r="N10" s="16">
        <v>698887276.10000002</v>
      </c>
      <c r="O10" s="16">
        <v>1085325022.4400001</v>
      </c>
      <c r="P10" s="16">
        <v>1413270831.4200001</v>
      </c>
      <c r="Q10" s="16">
        <v>1499908885</v>
      </c>
      <c r="R10" s="16">
        <v>1644304266</v>
      </c>
      <c r="S10" s="16">
        <v>1902501746.9219999</v>
      </c>
      <c r="T10" s="16">
        <v>2095119934</v>
      </c>
      <c r="U10" s="2"/>
    </row>
    <row r="11" spans="1:21" ht="15.75" customHeight="1">
      <c r="A11" s="14">
        <v>1.2</v>
      </c>
      <c r="B11" s="15" t="s">
        <v>9</v>
      </c>
      <c r="C11" s="14" t="s">
        <v>84</v>
      </c>
      <c r="D11" s="16">
        <v>0</v>
      </c>
      <c r="E11" s="16">
        <v>0</v>
      </c>
      <c r="F11" s="16">
        <v>0</v>
      </c>
      <c r="G11" s="16">
        <v>0</v>
      </c>
      <c r="H11" s="16">
        <v>0</v>
      </c>
      <c r="I11" s="16">
        <v>1008282203.4</v>
      </c>
      <c r="J11" s="16">
        <v>1008232203.4</v>
      </c>
      <c r="K11" s="16">
        <v>2993069679.5300002</v>
      </c>
      <c r="L11" s="16">
        <v>2917037628.98</v>
      </c>
      <c r="M11" s="16">
        <v>2762037635.5300002</v>
      </c>
      <c r="N11" s="16">
        <v>2872674320.1500001</v>
      </c>
      <c r="O11" s="16">
        <v>3509266068.5900002</v>
      </c>
      <c r="P11" s="16">
        <v>3148423843.4000001</v>
      </c>
      <c r="Q11" s="16">
        <v>3743629534</v>
      </c>
      <c r="R11" s="16">
        <v>3384605114</v>
      </c>
      <c r="S11" s="16">
        <v>3423289094.2356701</v>
      </c>
      <c r="T11" s="16">
        <v>3818745880</v>
      </c>
      <c r="U11" s="2"/>
    </row>
    <row r="12" spans="1:21" ht="15.75" customHeight="1">
      <c r="A12" s="23">
        <v>2</v>
      </c>
      <c r="B12" s="24" t="s">
        <v>10</v>
      </c>
      <c r="C12" s="23" t="s">
        <v>84</v>
      </c>
      <c r="D12" s="34">
        <f t="shared" ref="D12:S12" si="5">SUM(D13:D16)</f>
        <v>0</v>
      </c>
      <c r="E12" s="34">
        <f t="shared" si="5"/>
        <v>0</v>
      </c>
      <c r="F12" s="34">
        <f t="shared" si="5"/>
        <v>2634000000</v>
      </c>
      <c r="G12" s="34">
        <f t="shared" si="5"/>
        <v>2849130000</v>
      </c>
      <c r="H12" s="34">
        <f t="shared" si="5"/>
        <v>3347730000</v>
      </c>
      <c r="I12" s="34">
        <f t="shared" si="5"/>
        <v>3571828997</v>
      </c>
      <c r="J12" s="34">
        <f t="shared" si="5"/>
        <v>3711588997</v>
      </c>
      <c r="K12" s="34">
        <f t="shared" si="5"/>
        <v>5756362683</v>
      </c>
      <c r="L12" s="34">
        <f t="shared" si="5"/>
        <v>6075953141</v>
      </c>
      <c r="M12" s="34">
        <f t="shared" si="5"/>
        <v>6853850224</v>
      </c>
      <c r="N12" s="34">
        <f t="shared" si="5"/>
        <v>9311061311.6899986</v>
      </c>
      <c r="O12" s="34">
        <f t="shared" si="5"/>
        <v>11784280192.190001</v>
      </c>
      <c r="P12" s="34">
        <f t="shared" si="5"/>
        <v>13956860051.810001</v>
      </c>
      <c r="Q12" s="34">
        <f t="shared" si="5"/>
        <v>17905682971</v>
      </c>
      <c r="R12" s="34">
        <f t="shared" si="5"/>
        <v>17558287759</v>
      </c>
      <c r="S12" s="34">
        <f t="shared" si="5"/>
        <v>18772985845.252903</v>
      </c>
      <c r="T12" s="34">
        <f>SUM(T13:T16)</f>
        <v>19157504227</v>
      </c>
      <c r="U12" s="184"/>
    </row>
    <row r="13" spans="1:21" ht="15.75" customHeight="1">
      <c r="A13" s="14">
        <v>2.1</v>
      </c>
      <c r="B13" s="15" t="s">
        <v>11</v>
      </c>
      <c r="C13" s="14" t="s">
        <v>84</v>
      </c>
      <c r="D13" s="16">
        <v>0</v>
      </c>
      <c r="E13" s="16">
        <v>0</v>
      </c>
      <c r="F13" s="16">
        <v>2634000000</v>
      </c>
      <c r="G13" s="16">
        <v>2849130000</v>
      </c>
      <c r="H13" s="16">
        <v>3347730000</v>
      </c>
      <c r="I13" s="16">
        <v>196944617</v>
      </c>
      <c r="J13" s="16">
        <v>196944617</v>
      </c>
      <c r="K13" s="16">
        <v>189673464</v>
      </c>
      <c r="L13" s="16">
        <v>184673464</v>
      </c>
      <c r="M13" s="16">
        <v>299973464</v>
      </c>
      <c r="N13" s="16">
        <v>294973464</v>
      </c>
      <c r="O13" s="16">
        <v>219673464</v>
      </c>
      <c r="P13" s="16">
        <v>219673464</v>
      </c>
      <c r="Q13" s="16">
        <v>219933464</v>
      </c>
      <c r="R13" s="16">
        <v>222627717</v>
      </c>
      <c r="S13" s="16">
        <v>222627717</v>
      </c>
      <c r="T13" s="16"/>
      <c r="U13" s="2"/>
    </row>
    <row r="14" spans="1:21" ht="15.75" customHeight="1">
      <c r="A14" s="14">
        <v>2.2000000000000002</v>
      </c>
      <c r="B14" s="15" t="s">
        <v>12</v>
      </c>
      <c r="C14" s="14" t="s">
        <v>84</v>
      </c>
      <c r="D14" s="16">
        <v>0</v>
      </c>
      <c r="E14" s="16">
        <v>0</v>
      </c>
      <c r="F14" s="16">
        <v>0</v>
      </c>
      <c r="G14" s="16">
        <v>0</v>
      </c>
      <c r="H14" s="16">
        <v>0</v>
      </c>
      <c r="I14" s="16">
        <v>1155440278</v>
      </c>
      <c r="J14" s="16">
        <v>1260440278</v>
      </c>
      <c r="K14" s="16">
        <v>3223769425</v>
      </c>
      <c r="L14" s="16">
        <v>3043105387</v>
      </c>
      <c r="M14" s="16">
        <v>3637570022</v>
      </c>
      <c r="N14" s="16">
        <v>4297042821.9399996</v>
      </c>
      <c r="O14" s="16">
        <v>4978635884.8699999</v>
      </c>
      <c r="P14" s="16">
        <v>6249607998.7799997</v>
      </c>
      <c r="Q14" s="16">
        <v>8556250566</v>
      </c>
      <c r="R14" s="16">
        <v>8239481003</v>
      </c>
      <c r="S14" s="16">
        <v>8677763011.0516453</v>
      </c>
      <c r="T14" s="16">
        <v>8843032123</v>
      </c>
      <c r="U14" s="2"/>
    </row>
    <row r="15" spans="1:21" ht="15.75" customHeight="1">
      <c r="A15" s="14">
        <v>2.2999999999999998</v>
      </c>
      <c r="B15" s="15" t="s">
        <v>13</v>
      </c>
      <c r="C15" s="14" t="s">
        <v>84</v>
      </c>
      <c r="D15" s="16">
        <v>0</v>
      </c>
      <c r="E15" s="16">
        <v>0</v>
      </c>
      <c r="F15" s="16">
        <v>0</v>
      </c>
      <c r="G15" s="16">
        <v>0</v>
      </c>
      <c r="H15" s="16">
        <v>0</v>
      </c>
      <c r="I15" s="16">
        <v>998673695</v>
      </c>
      <c r="J15" s="16">
        <v>1023783695</v>
      </c>
      <c r="K15" s="16">
        <v>1138754347</v>
      </c>
      <c r="L15" s="16">
        <v>1522012892</v>
      </c>
      <c r="M15" s="16">
        <v>1587868058</v>
      </c>
      <c r="N15" s="16">
        <v>2686734158.75</v>
      </c>
      <c r="O15" s="16">
        <v>4000240031.73</v>
      </c>
      <c r="P15" s="16">
        <v>4535383325.8999996</v>
      </c>
      <c r="Q15" s="16">
        <v>5571608396</v>
      </c>
      <c r="R15" s="16">
        <v>5491461777</v>
      </c>
      <c r="S15" s="16">
        <v>6108117891.9198561</v>
      </c>
      <c r="T15" s="16">
        <v>6373498214</v>
      </c>
      <c r="U15" s="2"/>
    </row>
    <row r="16" spans="1:21" ht="15.75" customHeight="1">
      <c r="A16" s="14">
        <v>2.4</v>
      </c>
      <c r="B16" s="15" t="s">
        <v>14</v>
      </c>
      <c r="C16" s="14" t="s">
        <v>84</v>
      </c>
      <c r="D16" s="16">
        <v>0</v>
      </c>
      <c r="E16" s="16">
        <v>0</v>
      </c>
      <c r="F16" s="16">
        <v>0</v>
      </c>
      <c r="G16" s="16">
        <v>0</v>
      </c>
      <c r="H16" s="16">
        <v>0</v>
      </c>
      <c r="I16" s="16">
        <v>1220770407</v>
      </c>
      <c r="J16" s="16">
        <v>1230420407</v>
      </c>
      <c r="K16" s="16">
        <v>1204165447</v>
      </c>
      <c r="L16" s="16">
        <v>1326161398</v>
      </c>
      <c r="M16" s="16">
        <v>1328438680</v>
      </c>
      <c r="N16" s="16">
        <v>2032310867</v>
      </c>
      <c r="O16" s="16">
        <v>2585730811.5900002</v>
      </c>
      <c r="P16" s="16">
        <v>2952195263.1300001</v>
      </c>
      <c r="Q16" s="16">
        <v>3557890545</v>
      </c>
      <c r="R16" s="16">
        <v>3604717262</v>
      </c>
      <c r="S16" s="16">
        <v>3764477225.2814012</v>
      </c>
      <c r="T16" s="16">
        <v>3940973890</v>
      </c>
      <c r="U16" s="2"/>
    </row>
    <row r="17" spans="1:21" ht="15.75" customHeight="1">
      <c r="A17" s="17" t="s">
        <v>15</v>
      </c>
      <c r="B17" s="2"/>
      <c r="C17" s="2"/>
      <c r="D17" s="2"/>
      <c r="E17" s="2"/>
      <c r="F17" s="2"/>
      <c r="G17" s="2"/>
      <c r="H17" s="2"/>
      <c r="I17" s="2"/>
      <c r="J17" s="2"/>
      <c r="K17" s="2"/>
      <c r="L17" s="2"/>
      <c r="M17" s="2"/>
      <c r="N17" s="2"/>
      <c r="O17" s="2"/>
      <c r="P17" s="2"/>
      <c r="Q17" s="2"/>
      <c r="R17" s="2"/>
      <c r="S17" s="2"/>
      <c r="T17" s="2"/>
      <c r="U17" s="2"/>
    </row>
    <row r="18" spans="1:21" ht="15.75" customHeight="1">
      <c r="A18" s="1"/>
      <c r="B18" s="2"/>
      <c r="C18" s="2"/>
      <c r="D18" s="2"/>
      <c r="E18" s="2"/>
      <c r="F18" s="2"/>
      <c r="G18" s="2"/>
      <c r="H18" s="2"/>
      <c r="I18" s="2"/>
      <c r="J18" s="2"/>
      <c r="K18" s="2"/>
      <c r="L18" s="2"/>
      <c r="M18" s="2"/>
      <c r="N18" s="2"/>
      <c r="O18" s="2"/>
      <c r="P18" s="192"/>
      <c r="Q18" s="192"/>
      <c r="R18" s="192"/>
      <c r="S18" s="192"/>
      <c r="T18" s="192"/>
      <c r="U18" s="2"/>
    </row>
    <row r="19" spans="1:21" ht="15.75" customHeight="1">
      <c r="A19" s="1"/>
      <c r="B19" s="2"/>
      <c r="C19" s="2"/>
      <c r="D19" s="2"/>
      <c r="E19" s="2"/>
      <c r="F19" s="2"/>
      <c r="G19" s="2"/>
      <c r="H19" s="2"/>
      <c r="I19" s="2"/>
      <c r="J19" s="2"/>
      <c r="K19" s="2"/>
      <c r="L19" s="2"/>
      <c r="M19" s="2"/>
      <c r="N19" s="2"/>
      <c r="O19" s="2"/>
      <c r="P19" s="2"/>
      <c r="Q19" s="2"/>
      <c r="R19" s="2"/>
      <c r="S19" s="2"/>
      <c r="T19" s="2"/>
      <c r="U19" s="2"/>
    </row>
    <row r="20" spans="1:21" ht="15.75" customHeight="1">
      <c r="A20" s="6" t="s">
        <v>90</v>
      </c>
      <c r="B20" s="2"/>
      <c r="C20" s="2"/>
      <c r="D20" s="2"/>
      <c r="E20" s="2"/>
      <c r="F20" s="2"/>
      <c r="G20" s="2"/>
      <c r="H20" s="2"/>
      <c r="I20" s="2"/>
      <c r="J20" s="2"/>
      <c r="K20" s="2"/>
      <c r="L20" s="2"/>
      <c r="M20" s="2"/>
      <c r="N20" s="2"/>
      <c r="O20" s="2"/>
      <c r="P20" s="192"/>
      <c r="Q20" s="192"/>
      <c r="R20" s="192"/>
      <c r="S20" s="192"/>
      <c r="T20" s="192"/>
      <c r="U20" s="2"/>
    </row>
    <row r="21" spans="1:21" ht="15.75" customHeight="1" thickBot="1">
      <c r="A21" s="7"/>
      <c r="B21" s="2"/>
      <c r="C21" s="2"/>
      <c r="D21" s="2"/>
      <c r="E21" s="2"/>
      <c r="F21" s="2"/>
      <c r="G21" s="2"/>
      <c r="H21" s="2"/>
      <c r="I21" s="2"/>
      <c r="J21" s="2"/>
      <c r="K21" s="2"/>
      <c r="L21" s="2"/>
      <c r="M21" s="2"/>
      <c r="N21" s="2"/>
      <c r="O21" s="2"/>
      <c r="P21" s="2"/>
      <c r="Q21" s="2"/>
      <c r="R21" s="2"/>
      <c r="S21" s="2"/>
      <c r="T21" s="2"/>
      <c r="U21" s="2"/>
    </row>
    <row r="22" spans="1:21" ht="15.75" customHeight="1" thickBot="1">
      <c r="A22" s="110" t="s">
        <v>3</v>
      </c>
      <c r="B22" s="108" t="s">
        <v>4</v>
      </c>
      <c r="C22" s="109" t="s">
        <v>5</v>
      </c>
      <c r="D22" s="109">
        <f t="shared" ref="D22:T22" si="6">D$3</f>
        <v>2008</v>
      </c>
      <c r="E22" s="109">
        <f t="shared" si="6"/>
        <v>2009</v>
      </c>
      <c r="F22" s="109">
        <f t="shared" si="6"/>
        <v>2010</v>
      </c>
      <c r="G22" s="109">
        <f t="shared" si="6"/>
        <v>2011</v>
      </c>
      <c r="H22" s="109">
        <f t="shared" si="6"/>
        <v>2012</v>
      </c>
      <c r="I22" s="109">
        <f t="shared" si="6"/>
        <v>2013</v>
      </c>
      <c r="J22" s="109">
        <f t="shared" si="6"/>
        <v>2014</v>
      </c>
      <c r="K22" s="109">
        <f t="shared" si="6"/>
        <v>2015</v>
      </c>
      <c r="L22" s="109">
        <f t="shared" si="6"/>
        <v>2016</v>
      </c>
      <c r="M22" s="109">
        <f t="shared" si="6"/>
        <v>2017</v>
      </c>
      <c r="N22" s="109">
        <f t="shared" si="6"/>
        <v>2018</v>
      </c>
      <c r="O22" s="109">
        <f t="shared" si="6"/>
        <v>2019</v>
      </c>
      <c r="P22" s="109">
        <f t="shared" si="6"/>
        <v>2020</v>
      </c>
      <c r="Q22" s="109">
        <f t="shared" si="6"/>
        <v>2021</v>
      </c>
      <c r="R22" s="109">
        <f t="shared" si="6"/>
        <v>2022</v>
      </c>
      <c r="S22" s="109">
        <f t="shared" si="6"/>
        <v>2023</v>
      </c>
      <c r="T22" s="109">
        <f t="shared" si="6"/>
        <v>2024</v>
      </c>
      <c r="U22" s="2"/>
    </row>
    <row r="23" spans="1:21" ht="15.75" customHeight="1">
      <c r="A23" s="9">
        <v>-1</v>
      </c>
      <c r="B23" s="9">
        <f t="shared" ref="B23:T23" si="7">A23-1</f>
        <v>-2</v>
      </c>
      <c r="C23" s="9">
        <f t="shared" si="7"/>
        <v>-3</v>
      </c>
      <c r="D23" s="9">
        <f t="shared" si="7"/>
        <v>-4</v>
      </c>
      <c r="E23" s="9">
        <f t="shared" si="7"/>
        <v>-5</v>
      </c>
      <c r="F23" s="9">
        <f t="shared" si="7"/>
        <v>-6</v>
      </c>
      <c r="G23" s="9">
        <f t="shared" si="7"/>
        <v>-7</v>
      </c>
      <c r="H23" s="9">
        <f t="shared" si="7"/>
        <v>-8</v>
      </c>
      <c r="I23" s="9">
        <f t="shared" si="7"/>
        <v>-9</v>
      </c>
      <c r="J23" s="9">
        <f t="shared" si="7"/>
        <v>-10</v>
      </c>
      <c r="K23" s="9">
        <f t="shared" si="7"/>
        <v>-11</v>
      </c>
      <c r="L23" s="9">
        <f t="shared" si="7"/>
        <v>-12</v>
      </c>
      <c r="M23" s="9">
        <f t="shared" si="7"/>
        <v>-13</v>
      </c>
      <c r="N23" s="9">
        <f t="shared" si="7"/>
        <v>-14</v>
      </c>
      <c r="O23" s="9">
        <f t="shared" si="7"/>
        <v>-15</v>
      </c>
      <c r="P23" s="9">
        <f t="shared" si="7"/>
        <v>-16</v>
      </c>
      <c r="Q23" s="9">
        <f t="shared" si="7"/>
        <v>-17</v>
      </c>
      <c r="R23" s="9">
        <f t="shared" si="7"/>
        <v>-18</v>
      </c>
      <c r="S23" s="9">
        <f t="shared" si="7"/>
        <v>-19</v>
      </c>
      <c r="T23" s="9">
        <f t="shared" si="7"/>
        <v>-20</v>
      </c>
      <c r="U23" s="2"/>
    </row>
    <row r="24" spans="1:21" ht="15.75" customHeight="1">
      <c r="A24" s="23">
        <v>1</v>
      </c>
      <c r="B24" s="24" t="s">
        <v>6</v>
      </c>
      <c r="C24" s="23" t="s">
        <v>84</v>
      </c>
      <c r="D24" s="34">
        <f t="shared" ref="D24:Q24" si="8">SUM(D25:D26)</f>
        <v>0</v>
      </c>
      <c r="E24" s="34">
        <f t="shared" si="8"/>
        <v>0</v>
      </c>
      <c r="F24" s="34">
        <f t="shared" si="8"/>
        <v>0</v>
      </c>
      <c r="G24" s="34">
        <f t="shared" si="8"/>
        <v>0</v>
      </c>
      <c r="H24" s="34">
        <f t="shared" si="8"/>
        <v>21703720.095920004</v>
      </c>
      <c r="I24" s="34">
        <f t="shared" si="8"/>
        <v>21547512.612719998</v>
      </c>
      <c r="J24" s="34">
        <f t="shared" si="8"/>
        <v>21378312.600000001</v>
      </c>
      <c r="K24" s="34">
        <f t="shared" si="8"/>
        <v>50872304.364639997</v>
      </c>
      <c r="L24" s="34">
        <f t="shared" si="8"/>
        <v>48564691.398769997</v>
      </c>
      <c r="M24" s="34">
        <f t="shared" si="8"/>
        <v>62349883</v>
      </c>
      <c r="N24" s="34">
        <f t="shared" si="8"/>
        <v>76721757.00999999</v>
      </c>
      <c r="O24" s="34">
        <f t="shared" si="8"/>
        <v>71989624.909999996</v>
      </c>
      <c r="P24" s="34">
        <f t="shared" si="8"/>
        <v>49260841.469999999</v>
      </c>
      <c r="Q24" s="34">
        <f t="shared" si="8"/>
        <v>57111963</v>
      </c>
      <c r="R24" s="34">
        <f t="shared" ref="R24:S24" si="9">SUM(R25:R26)</f>
        <v>55063887</v>
      </c>
      <c r="S24" s="34">
        <f t="shared" si="9"/>
        <v>56117187.364013121</v>
      </c>
      <c r="T24" s="34">
        <f t="shared" ref="T24" si="10">SUM(T25:T26)</f>
        <v>62029856</v>
      </c>
      <c r="U24" s="197"/>
    </row>
    <row r="25" spans="1:21" ht="15.75" customHeight="1">
      <c r="A25" s="14">
        <v>1.1000000000000001</v>
      </c>
      <c r="B25" s="15" t="s">
        <v>8</v>
      </c>
      <c r="C25" s="14" t="s">
        <v>84</v>
      </c>
      <c r="D25" s="16"/>
      <c r="E25" s="16"/>
      <c r="F25" s="16">
        <v>0</v>
      </c>
      <c r="G25" s="16">
        <v>0</v>
      </c>
      <c r="H25" s="16">
        <v>2549010.2032000003</v>
      </c>
      <c r="I25" s="16">
        <v>2631145.7200000002</v>
      </c>
      <c r="J25" s="16">
        <v>2463050.7199999997</v>
      </c>
      <c r="K25" s="16">
        <v>3940845.1605999996</v>
      </c>
      <c r="L25" s="16">
        <v>4277095.3381099999</v>
      </c>
      <c r="M25" s="16">
        <v>22563738</v>
      </c>
      <c r="N25" s="16">
        <v>37021667.229999997</v>
      </c>
      <c r="O25" s="16">
        <v>17716023.43</v>
      </c>
      <c r="P25" s="16">
        <v>15105065.109999999</v>
      </c>
      <c r="Q25" s="16">
        <v>16116216</v>
      </c>
      <c r="R25" s="16">
        <v>17921150</v>
      </c>
      <c r="S25" s="16">
        <v>20206572.517511331</v>
      </c>
      <c r="T25" s="16">
        <v>22109904</v>
      </c>
      <c r="U25" s="2"/>
    </row>
    <row r="26" spans="1:21" ht="15.75" customHeight="1">
      <c r="A26" s="14">
        <v>1.2</v>
      </c>
      <c r="B26" s="15" t="s">
        <v>9</v>
      </c>
      <c r="C26" s="14" t="s">
        <v>84</v>
      </c>
      <c r="D26" s="16"/>
      <c r="E26" s="16"/>
      <c r="F26" s="16">
        <v>0</v>
      </c>
      <c r="G26" s="16">
        <v>0</v>
      </c>
      <c r="H26" s="16">
        <v>19154709.892720003</v>
      </c>
      <c r="I26" s="16">
        <v>18916366.892719999</v>
      </c>
      <c r="J26" s="16">
        <v>18915261.880000003</v>
      </c>
      <c r="K26" s="16">
        <v>46931459.204039998</v>
      </c>
      <c r="L26" s="16">
        <v>44287596.060659997</v>
      </c>
      <c r="M26" s="16">
        <v>39786145</v>
      </c>
      <c r="N26" s="16">
        <v>39700089.780000001</v>
      </c>
      <c r="O26" s="16">
        <v>54273601.479999997</v>
      </c>
      <c r="P26" s="16">
        <v>34155776.359999999</v>
      </c>
      <c r="Q26" s="16">
        <v>40995747</v>
      </c>
      <c r="R26" s="16">
        <v>37142737</v>
      </c>
      <c r="S26" s="16">
        <v>35910614.84650179</v>
      </c>
      <c r="T26" s="16">
        <v>39919952</v>
      </c>
      <c r="U26" s="2"/>
    </row>
    <row r="27" spans="1:21" ht="15.75" customHeight="1">
      <c r="A27" s="23">
        <v>2</v>
      </c>
      <c r="B27" s="24" t="s">
        <v>10</v>
      </c>
      <c r="C27" s="23" t="s">
        <v>84</v>
      </c>
      <c r="D27" s="34">
        <f t="shared" ref="D27:T27" si="11">SUM(D28:D31)</f>
        <v>0</v>
      </c>
      <c r="E27" s="34">
        <f t="shared" si="11"/>
        <v>0</v>
      </c>
      <c r="F27" s="34">
        <f t="shared" si="11"/>
        <v>0</v>
      </c>
      <c r="G27" s="34">
        <f t="shared" si="11"/>
        <v>0</v>
      </c>
      <c r="H27" s="34">
        <f t="shared" si="11"/>
        <v>49238282.352300003</v>
      </c>
      <c r="I27" s="34">
        <f t="shared" si="11"/>
        <v>52228746.352300003</v>
      </c>
      <c r="J27" s="34">
        <f t="shared" si="11"/>
        <v>54449501.348800004</v>
      </c>
      <c r="K27" s="34">
        <f t="shared" si="11"/>
        <v>79172701.905400008</v>
      </c>
      <c r="L27" s="34">
        <f t="shared" si="11"/>
        <v>81377479.385100007</v>
      </c>
      <c r="M27" s="34">
        <f t="shared" si="11"/>
        <v>92452062.672800004</v>
      </c>
      <c r="N27" s="34">
        <f t="shared" si="11"/>
        <v>124627119.01000001</v>
      </c>
      <c r="O27" s="34">
        <f t="shared" si="11"/>
        <v>170020172.07000002</v>
      </c>
      <c r="P27" s="34">
        <f t="shared" si="11"/>
        <v>145208831.99000001</v>
      </c>
      <c r="Q27" s="34">
        <f t="shared" si="11"/>
        <v>179897345</v>
      </c>
      <c r="R27" s="34">
        <f t="shared" si="11"/>
        <v>176322128</v>
      </c>
      <c r="S27" s="34">
        <f t="shared" si="11"/>
        <v>186718430.07129803</v>
      </c>
      <c r="T27" s="34">
        <f t="shared" si="11"/>
        <v>193543479</v>
      </c>
      <c r="U27" s="197"/>
    </row>
    <row r="28" spans="1:21" ht="15.75" customHeight="1">
      <c r="A28" s="14">
        <v>2.1</v>
      </c>
      <c r="B28" s="15" t="s">
        <v>11</v>
      </c>
      <c r="C28" s="14" t="s">
        <v>84</v>
      </c>
      <c r="D28" s="16"/>
      <c r="E28" s="16"/>
      <c r="F28" s="16">
        <v>0</v>
      </c>
      <c r="G28" s="16">
        <v>0</v>
      </c>
      <c r="H28" s="16">
        <v>2298231.5507999999</v>
      </c>
      <c r="I28" s="16">
        <v>2298207.5507999999</v>
      </c>
      <c r="J28" s="16">
        <v>2298207.5507999999</v>
      </c>
      <c r="K28" s="16">
        <v>2177170.6371999998</v>
      </c>
      <c r="L28" s="16">
        <v>2107170.6371999998</v>
      </c>
      <c r="M28" s="16">
        <v>4336102</v>
      </c>
      <c r="N28" s="16">
        <v>4266102.34</v>
      </c>
      <c r="O28" s="16">
        <v>3085931.34</v>
      </c>
      <c r="P28" s="16">
        <v>2082742.6</v>
      </c>
      <c r="Q28" s="16">
        <v>2082743</v>
      </c>
      <c r="R28" s="16">
        <v>2111694</v>
      </c>
      <c r="S28" s="16">
        <v>2111694.2768599996</v>
      </c>
      <c r="T28" s="16"/>
      <c r="U28" s="2"/>
    </row>
    <row r="29" spans="1:21" ht="15.75" customHeight="1">
      <c r="A29" s="14">
        <v>2.2000000000000002</v>
      </c>
      <c r="B29" s="15" t="s">
        <v>12</v>
      </c>
      <c r="C29" s="14" t="s">
        <v>84</v>
      </c>
      <c r="D29" s="16"/>
      <c r="E29" s="16"/>
      <c r="F29" s="16">
        <v>0</v>
      </c>
      <c r="G29" s="16">
        <v>0</v>
      </c>
      <c r="H29" s="16">
        <v>14092077.946</v>
      </c>
      <c r="I29" s="16">
        <v>17768377.946000002</v>
      </c>
      <c r="J29" s="16">
        <v>19312477.946000002</v>
      </c>
      <c r="K29" s="16">
        <v>43408807.270199999</v>
      </c>
      <c r="L29" s="16">
        <v>40005802.7522</v>
      </c>
      <c r="M29" s="16">
        <v>46729326.072400004</v>
      </c>
      <c r="N29" s="16">
        <v>56255611.130000003</v>
      </c>
      <c r="O29" s="16">
        <v>71891429.010000005</v>
      </c>
      <c r="P29" s="16">
        <v>62552348.539999999</v>
      </c>
      <c r="Q29" s="16">
        <v>91753245</v>
      </c>
      <c r="R29" s="16">
        <v>88530696</v>
      </c>
      <c r="S29" s="16">
        <v>92232207.309547946</v>
      </c>
      <c r="T29" s="16">
        <v>95951231</v>
      </c>
      <c r="U29" s="2"/>
    </row>
    <row r="30" spans="1:21" ht="15.75" customHeight="1">
      <c r="A30" s="14">
        <v>2.2999999999999998</v>
      </c>
      <c r="B30" s="15" t="s">
        <v>13</v>
      </c>
      <c r="C30" s="14" t="s">
        <v>84</v>
      </c>
      <c r="D30" s="16"/>
      <c r="E30" s="16"/>
      <c r="F30" s="16">
        <v>0</v>
      </c>
      <c r="G30" s="16">
        <v>0</v>
      </c>
      <c r="H30" s="16">
        <v>15473127.032</v>
      </c>
      <c r="I30" s="16">
        <v>14089206.032</v>
      </c>
      <c r="J30" s="16">
        <v>14590636.032</v>
      </c>
      <c r="K30" s="16">
        <v>15790462</v>
      </c>
      <c r="L30" s="16">
        <v>19889658.202400003</v>
      </c>
      <c r="M30" s="16">
        <v>21675004.600400001</v>
      </c>
      <c r="N30" s="16">
        <v>34803327.090000004</v>
      </c>
      <c r="O30" s="16">
        <v>56435233.039999999</v>
      </c>
      <c r="P30" s="16">
        <v>48312852.579999998</v>
      </c>
      <c r="Q30" s="16">
        <v>51103672</v>
      </c>
      <c r="R30" s="16">
        <v>49978499</v>
      </c>
      <c r="S30" s="16">
        <v>55585948.805175714</v>
      </c>
      <c r="T30" s="16">
        <v>58794622</v>
      </c>
      <c r="U30" s="2"/>
    </row>
    <row r="31" spans="1:21" ht="15.75" customHeight="1">
      <c r="A31" s="14">
        <v>2.4</v>
      </c>
      <c r="B31" s="15" t="s">
        <v>14</v>
      </c>
      <c r="C31" s="14" t="s">
        <v>84</v>
      </c>
      <c r="D31" s="16"/>
      <c r="E31" s="16"/>
      <c r="F31" s="16">
        <v>0</v>
      </c>
      <c r="G31" s="16">
        <v>0</v>
      </c>
      <c r="H31" s="16">
        <v>17374845.8235</v>
      </c>
      <c r="I31" s="16">
        <v>18072954.8235</v>
      </c>
      <c r="J31" s="16">
        <v>18248179.82</v>
      </c>
      <c r="K31" s="16">
        <v>17796261.998000003</v>
      </c>
      <c r="L31" s="16">
        <v>19374847.793300003</v>
      </c>
      <c r="M31" s="16">
        <v>19711630</v>
      </c>
      <c r="N31" s="16">
        <v>29302078.449999999</v>
      </c>
      <c r="O31" s="16">
        <v>38607578.68</v>
      </c>
      <c r="P31" s="16">
        <v>32260888.27</v>
      </c>
      <c r="Q31" s="16">
        <v>34957685</v>
      </c>
      <c r="R31" s="16">
        <v>35701239</v>
      </c>
      <c r="S31" s="16">
        <v>36788579.679714389</v>
      </c>
      <c r="T31" s="16">
        <v>38797626</v>
      </c>
      <c r="U31" s="2"/>
    </row>
    <row r="32" spans="1:21" ht="15.75" customHeight="1">
      <c r="A32" s="17" t="s">
        <v>15</v>
      </c>
      <c r="B32" s="2"/>
      <c r="C32" s="2"/>
      <c r="D32" s="2"/>
      <c r="E32" s="2"/>
      <c r="F32" s="2"/>
      <c r="G32" s="2"/>
      <c r="H32" s="2"/>
      <c r="I32" s="2"/>
      <c r="J32" s="2"/>
      <c r="K32" s="2"/>
      <c r="L32" s="2"/>
      <c r="M32" s="2"/>
      <c r="N32" s="2"/>
      <c r="O32" s="2"/>
      <c r="P32" s="2"/>
      <c r="Q32" s="2"/>
      <c r="R32" s="2"/>
      <c r="S32" s="2"/>
      <c r="T32" s="2"/>
      <c r="U32" s="2"/>
    </row>
    <row r="33" spans="1:21" ht="15.75" customHeight="1">
      <c r="A33" s="1"/>
      <c r="B33" s="2"/>
      <c r="C33" s="2"/>
      <c r="D33" s="2"/>
      <c r="E33" s="2"/>
      <c r="F33" s="2"/>
      <c r="G33" s="2"/>
      <c r="H33" s="2"/>
      <c r="I33" s="2"/>
      <c r="J33" s="2"/>
      <c r="K33" s="2"/>
      <c r="L33" s="2"/>
      <c r="M33" s="2"/>
      <c r="N33" s="2"/>
      <c r="O33" s="2"/>
      <c r="P33" s="2"/>
      <c r="Q33" s="2"/>
      <c r="R33" s="2"/>
      <c r="S33" s="2"/>
      <c r="T33" s="2"/>
      <c r="U33" s="2"/>
    </row>
    <row r="34" spans="1:21" ht="15.75" customHeight="1">
      <c r="A34" s="1"/>
      <c r="B34" s="2"/>
      <c r="C34" s="2"/>
      <c r="D34" s="2"/>
      <c r="E34" s="2"/>
      <c r="F34" s="2"/>
      <c r="G34" s="2"/>
      <c r="H34" s="2"/>
      <c r="I34" s="2"/>
      <c r="J34" s="2"/>
      <c r="K34" s="2"/>
      <c r="L34" s="2"/>
      <c r="M34" s="2"/>
      <c r="N34" s="2"/>
      <c r="O34" s="2"/>
      <c r="P34" s="192"/>
      <c r="Q34" s="192"/>
      <c r="R34" s="192"/>
      <c r="S34" s="192"/>
      <c r="T34" s="192"/>
      <c r="U34" s="2"/>
    </row>
    <row r="35" spans="1:21" ht="15.75" customHeight="1">
      <c r="A35" s="6" t="s">
        <v>91</v>
      </c>
      <c r="B35" s="2"/>
      <c r="C35" s="2"/>
      <c r="D35" s="2"/>
      <c r="E35" s="2"/>
      <c r="F35" s="2"/>
      <c r="G35" s="2"/>
      <c r="H35" s="2"/>
      <c r="I35" s="2"/>
      <c r="J35" s="2"/>
      <c r="K35" s="2"/>
      <c r="L35" s="2"/>
      <c r="M35" s="2"/>
      <c r="N35" s="2"/>
      <c r="O35" s="2"/>
      <c r="P35" s="192"/>
      <c r="Q35" s="192"/>
      <c r="R35" s="192"/>
      <c r="S35" s="192"/>
      <c r="T35" s="192"/>
      <c r="U35" s="2"/>
    </row>
    <row r="36" spans="1:21" ht="7.5" customHeight="1" thickBot="1">
      <c r="A36" s="7"/>
      <c r="B36" s="2"/>
      <c r="C36" s="2"/>
      <c r="D36" s="2"/>
      <c r="E36" s="2"/>
      <c r="F36" s="2"/>
      <c r="G36" s="2"/>
      <c r="H36" s="2"/>
      <c r="I36" s="2"/>
      <c r="J36" s="2"/>
      <c r="K36" s="2"/>
      <c r="L36" s="2"/>
      <c r="M36" s="2"/>
      <c r="N36" s="2"/>
      <c r="O36" s="2"/>
      <c r="P36" s="2"/>
      <c r="Q36" s="2"/>
      <c r="R36" s="2"/>
      <c r="S36" s="2"/>
      <c r="T36" s="2"/>
      <c r="U36" s="2"/>
    </row>
    <row r="37" spans="1:21" ht="15.75" customHeight="1" thickBot="1">
      <c r="A37" s="110" t="s">
        <v>3</v>
      </c>
      <c r="B37" s="108" t="s">
        <v>4</v>
      </c>
      <c r="C37" s="109" t="s">
        <v>5</v>
      </c>
      <c r="D37" s="109">
        <f t="shared" ref="D37:T37" si="12">D$3</f>
        <v>2008</v>
      </c>
      <c r="E37" s="109">
        <f t="shared" si="12"/>
        <v>2009</v>
      </c>
      <c r="F37" s="109">
        <f t="shared" si="12"/>
        <v>2010</v>
      </c>
      <c r="G37" s="109">
        <f t="shared" si="12"/>
        <v>2011</v>
      </c>
      <c r="H37" s="109">
        <f t="shared" si="12"/>
        <v>2012</v>
      </c>
      <c r="I37" s="109">
        <f t="shared" si="12"/>
        <v>2013</v>
      </c>
      <c r="J37" s="109">
        <f t="shared" si="12"/>
        <v>2014</v>
      </c>
      <c r="K37" s="109">
        <f t="shared" si="12"/>
        <v>2015</v>
      </c>
      <c r="L37" s="109">
        <f t="shared" si="12"/>
        <v>2016</v>
      </c>
      <c r="M37" s="109">
        <f t="shared" si="12"/>
        <v>2017</v>
      </c>
      <c r="N37" s="109">
        <f t="shared" si="12"/>
        <v>2018</v>
      </c>
      <c r="O37" s="109">
        <f t="shared" si="12"/>
        <v>2019</v>
      </c>
      <c r="P37" s="109">
        <f t="shared" si="12"/>
        <v>2020</v>
      </c>
      <c r="Q37" s="109">
        <f t="shared" si="12"/>
        <v>2021</v>
      </c>
      <c r="R37" s="109">
        <f t="shared" si="12"/>
        <v>2022</v>
      </c>
      <c r="S37" s="109">
        <f t="shared" si="12"/>
        <v>2023</v>
      </c>
      <c r="T37" s="109">
        <f t="shared" si="12"/>
        <v>2024</v>
      </c>
      <c r="U37" s="2"/>
    </row>
    <row r="38" spans="1:21" ht="15.75" customHeight="1">
      <c r="A38" s="9">
        <v>-1</v>
      </c>
      <c r="B38" s="9">
        <f t="shared" ref="B38:T38" si="13">A38-1</f>
        <v>-2</v>
      </c>
      <c r="C38" s="9">
        <f t="shared" si="13"/>
        <v>-3</v>
      </c>
      <c r="D38" s="9">
        <f t="shared" si="13"/>
        <v>-4</v>
      </c>
      <c r="E38" s="9">
        <f t="shared" si="13"/>
        <v>-5</v>
      </c>
      <c r="F38" s="9">
        <f t="shared" si="13"/>
        <v>-6</v>
      </c>
      <c r="G38" s="9">
        <f t="shared" si="13"/>
        <v>-7</v>
      </c>
      <c r="H38" s="9">
        <f t="shared" si="13"/>
        <v>-8</v>
      </c>
      <c r="I38" s="9">
        <f t="shared" si="13"/>
        <v>-9</v>
      </c>
      <c r="J38" s="9">
        <f t="shared" si="13"/>
        <v>-10</v>
      </c>
      <c r="K38" s="9">
        <f t="shared" si="13"/>
        <v>-11</v>
      </c>
      <c r="L38" s="9">
        <f t="shared" si="13"/>
        <v>-12</v>
      </c>
      <c r="M38" s="9">
        <f t="shared" si="13"/>
        <v>-13</v>
      </c>
      <c r="N38" s="9">
        <f t="shared" si="13"/>
        <v>-14</v>
      </c>
      <c r="O38" s="9">
        <f t="shared" si="13"/>
        <v>-15</v>
      </c>
      <c r="P38" s="9">
        <f t="shared" si="13"/>
        <v>-16</v>
      </c>
      <c r="Q38" s="9">
        <f t="shared" si="13"/>
        <v>-17</v>
      </c>
      <c r="R38" s="9">
        <f t="shared" si="13"/>
        <v>-18</v>
      </c>
      <c r="S38" s="9">
        <f t="shared" si="13"/>
        <v>-19</v>
      </c>
      <c r="T38" s="9">
        <f t="shared" si="13"/>
        <v>-20</v>
      </c>
      <c r="U38" s="2"/>
    </row>
    <row r="39" spans="1:21" ht="15.75" customHeight="1">
      <c r="A39" s="14">
        <v>1</v>
      </c>
      <c r="B39" s="15" t="s">
        <v>92</v>
      </c>
      <c r="C39" s="14"/>
      <c r="D39" s="18"/>
      <c r="E39" s="18"/>
      <c r="F39" s="18"/>
      <c r="G39" s="18"/>
      <c r="H39" s="18"/>
      <c r="I39" s="18"/>
      <c r="J39" s="18"/>
      <c r="K39" s="18"/>
      <c r="L39" s="18"/>
      <c r="M39" s="18"/>
      <c r="N39" s="18"/>
      <c r="O39" s="18"/>
      <c r="P39" s="18"/>
      <c r="Q39" s="18"/>
      <c r="R39" s="18"/>
      <c r="S39" s="18"/>
      <c r="T39" s="18"/>
      <c r="U39" s="2"/>
    </row>
    <row r="40" spans="1:21" ht="15.75" customHeight="1">
      <c r="A40" s="14"/>
      <c r="B40" s="15" t="s">
        <v>123</v>
      </c>
      <c r="C40" s="14" t="s">
        <v>84</v>
      </c>
      <c r="D40" s="18">
        <v>4112997.0909000002</v>
      </c>
      <c r="E40" s="18">
        <v>10990449.43</v>
      </c>
      <c r="F40" s="18">
        <v>16979694.780000001</v>
      </c>
      <c r="G40" s="18">
        <v>32626708.570000004</v>
      </c>
      <c r="H40" s="18">
        <v>41088546.797000006</v>
      </c>
      <c r="I40" s="18">
        <v>62369044.644999996</v>
      </c>
      <c r="J40" s="18">
        <v>4792986</v>
      </c>
      <c r="K40" s="18">
        <v>0</v>
      </c>
      <c r="L40" s="18">
        <v>0</v>
      </c>
      <c r="M40" s="18">
        <v>3044392</v>
      </c>
      <c r="N40" s="18">
        <v>22141505</v>
      </c>
      <c r="O40" s="18">
        <v>60953022.916999996</v>
      </c>
      <c r="P40" s="18">
        <v>52720166.999999993</v>
      </c>
      <c r="Q40" s="18">
        <v>65496972</v>
      </c>
      <c r="R40" s="18">
        <v>106261159.99999997</v>
      </c>
      <c r="S40" s="18">
        <v>193684757.51999998</v>
      </c>
      <c r="T40" s="18">
        <v>198500865.43000004</v>
      </c>
      <c r="U40" s="197"/>
    </row>
    <row r="41" spans="1:21" ht="15.75" customHeight="1">
      <c r="A41" s="14"/>
      <c r="B41" s="15" t="s">
        <v>124</v>
      </c>
      <c r="C41" s="14" t="s">
        <v>84</v>
      </c>
      <c r="D41" s="18">
        <v>73356.173999999999</v>
      </c>
      <c r="E41" s="18">
        <v>68228.331999999995</v>
      </c>
      <c r="F41" s="18">
        <v>77185.880000000019</v>
      </c>
      <c r="G41" s="18">
        <v>68000.036999999997</v>
      </c>
      <c r="H41" s="18">
        <v>72899</v>
      </c>
      <c r="I41" s="18">
        <v>78073.801999999996</v>
      </c>
      <c r="J41" s="18">
        <v>80341.400999999998</v>
      </c>
      <c r="K41" s="18">
        <v>82440.322</v>
      </c>
      <c r="L41" s="18">
        <v>78748.130999999994</v>
      </c>
      <c r="M41" s="18">
        <v>78007.05</v>
      </c>
      <c r="N41" s="18">
        <v>75708.235000000001</v>
      </c>
      <c r="O41" s="18">
        <v>72014.584999999992</v>
      </c>
      <c r="P41" s="18">
        <v>91735.114000000001</v>
      </c>
      <c r="Q41" s="18">
        <v>82622</v>
      </c>
      <c r="R41" s="18">
        <v>75996</v>
      </c>
      <c r="S41" s="18">
        <v>88822.334589999999</v>
      </c>
      <c r="T41" s="18">
        <v>74042</v>
      </c>
      <c r="U41" s="2"/>
    </row>
    <row r="42" spans="1:21" ht="15.75" customHeight="1">
      <c r="A42" s="14"/>
      <c r="B42" s="15" t="s">
        <v>125</v>
      </c>
      <c r="C42" s="14" t="s">
        <v>84</v>
      </c>
      <c r="D42" s="18">
        <v>0</v>
      </c>
      <c r="E42" s="18">
        <v>0</v>
      </c>
      <c r="F42" s="18">
        <v>18688</v>
      </c>
      <c r="G42" s="18">
        <v>19690</v>
      </c>
      <c r="H42" s="18">
        <v>97890</v>
      </c>
      <c r="I42" s="18">
        <v>91245</v>
      </c>
      <c r="J42" s="18">
        <v>88857.957000000009</v>
      </c>
      <c r="K42" s="18">
        <v>97056</v>
      </c>
      <c r="L42" s="18">
        <v>89429.13</v>
      </c>
      <c r="M42" s="18">
        <v>314630.26</v>
      </c>
      <c r="N42" s="18">
        <v>573158.86800000002</v>
      </c>
      <c r="O42" s="18">
        <v>1151740.6918286239</v>
      </c>
      <c r="P42" s="18">
        <v>1479961.9378596202</v>
      </c>
      <c r="Q42" s="18">
        <v>1589894</v>
      </c>
      <c r="R42" s="18">
        <v>516688.99999999994</v>
      </c>
      <c r="S42" s="18">
        <v>548771.00899999985</v>
      </c>
      <c r="T42" s="18">
        <v>401546</v>
      </c>
      <c r="U42" s="2"/>
    </row>
    <row r="43" spans="1:21" ht="15.75" customHeight="1">
      <c r="A43" s="14"/>
      <c r="B43" s="15" t="s">
        <v>126</v>
      </c>
      <c r="C43" s="14" t="s">
        <v>84</v>
      </c>
      <c r="D43" s="18">
        <v>0</v>
      </c>
      <c r="E43" s="18">
        <v>0</v>
      </c>
      <c r="F43" s="18">
        <v>0</v>
      </c>
      <c r="G43" s="18">
        <v>0</v>
      </c>
      <c r="H43" s="18">
        <v>0</v>
      </c>
      <c r="I43" s="18">
        <v>0</v>
      </c>
      <c r="J43" s="18">
        <v>49610.5</v>
      </c>
      <c r="K43" s="18">
        <v>271111.40599999996</v>
      </c>
      <c r="L43" s="18">
        <v>770684.96000000008</v>
      </c>
      <c r="M43" s="18">
        <v>542131.09</v>
      </c>
      <c r="N43" s="18">
        <v>323988.78999999998</v>
      </c>
      <c r="O43" s="18">
        <v>781016.78999999992</v>
      </c>
      <c r="P43" s="18">
        <v>860477.33199999994</v>
      </c>
      <c r="Q43" s="18">
        <v>703597.37</v>
      </c>
      <c r="R43" s="18"/>
      <c r="S43" s="18"/>
      <c r="T43" s="18"/>
      <c r="U43" s="2"/>
    </row>
    <row r="44" spans="1:21" ht="15.75" customHeight="1">
      <c r="A44" s="14"/>
      <c r="B44" s="15"/>
      <c r="C44" s="14"/>
      <c r="D44" s="18"/>
      <c r="E44" s="18"/>
      <c r="F44" s="18"/>
      <c r="G44" s="18"/>
      <c r="H44" s="18"/>
      <c r="I44" s="18"/>
      <c r="J44" s="18"/>
      <c r="K44" s="18"/>
      <c r="L44" s="18"/>
      <c r="M44" s="18"/>
      <c r="N44" s="18"/>
      <c r="O44" s="18"/>
      <c r="P44" s="18"/>
      <c r="Q44" s="18"/>
      <c r="R44" s="18"/>
      <c r="S44" s="18"/>
      <c r="T44" s="18"/>
      <c r="U44" s="2"/>
    </row>
    <row r="45" spans="1:21" ht="15.75" customHeight="1">
      <c r="A45" s="31">
        <v>2</v>
      </c>
      <c r="B45" s="32" t="s">
        <v>94</v>
      </c>
      <c r="C45" s="31" t="s">
        <v>84</v>
      </c>
      <c r="D45" s="35">
        <f>D40*'Conversion Factor'!$B$7/100+D41*0.74+D42*0.2+D43*0.1</f>
        <v>129551.41552347</v>
      </c>
      <c r="E45" s="35">
        <f>E40*'Conversion Factor'!$B$7/100+E41*0.74+E42*0.2+E43*0.1</f>
        <v>251614.19024900001</v>
      </c>
      <c r="F45" s="35">
        <f>F40*'Conversion Factor'!$B$7/100+F41*0.74+F42*0.2+F43*0.1</f>
        <v>371583.56567400007</v>
      </c>
      <c r="G45" s="35">
        <f>G40*'Conversion Factor'!$B$7/100+G41*0.74+G42*0.2+G43*0.1</f>
        <v>651326.79421100009</v>
      </c>
      <c r="H45" s="35">
        <f>H40*'Conversion Factor'!$B$7/100+H41*0.74+H42*0.2+H43*0.1</f>
        <v>825443.66638510022</v>
      </c>
      <c r="I45" s="35">
        <f>I40*'Conversion Factor'!$B$7/100+I41*0.74+I42*0.2+I43*0.1</f>
        <v>1217377.1304835</v>
      </c>
      <c r="J45" s="35">
        <f>J40*'Conversion Factor'!$B$7/100+J41*0.74+J42*0.2+J43*0.1</f>
        <v>169896.92194</v>
      </c>
      <c r="K45" s="35">
        <f>K40*'Conversion Factor'!$B$7/100+K41*0.74+K42*0.2+K43*0.1</f>
        <v>107528.17887999999</v>
      </c>
      <c r="L45" s="35">
        <f>L40*'Conversion Factor'!$B$7/100+L41*0.74+L42*0.2+L43*0.1</f>
        <v>153227.93894000002</v>
      </c>
      <c r="M45" s="35">
        <f>M40*'Conversion Factor'!$B$7/100+M41*0.74+M42*0.2+M43*0.1</f>
        <v>230576.75160000002</v>
      </c>
      <c r="N45" s="35">
        <f>N40*'Conversion Factor'!$B$7/100+N41*0.74+N42*0.2+N43*0.1</f>
        <v>608244.28799999994</v>
      </c>
      <c r="O45" s="35">
        <f>O40*'Conversion Factor'!$B$7/100+O41*0.74+O42*0.2+O43*0.1</f>
        <v>1477180.9296468247</v>
      </c>
      <c r="P45" s="35">
        <f>P40*'Conversion Factor'!$B$7/100+P41*0.74+P42*0.2+P43*0.1</f>
        <v>1414703.1612319238</v>
      </c>
      <c r="Q45" s="35">
        <f>Q40*'Conversion Factor'!$B$7/100+Q41*0.74+Q42*0.2+Q43*0.1</f>
        <v>1648073.4046</v>
      </c>
      <c r="R45" s="35">
        <f>R40*'Conversion Factor'!$B$7/100+R41*0.74+R42*0.2+R43*0.1</f>
        <v>2104154.0679999995</v>
      </c>
      <c r="S45" s="35">
        <f>S40*'Conversion Factor'!$B$7/100+S41*0.74+S42*0.2+S43*0.1</f>
        <v>3719913.7920125993</v>
      </c>
      <c r="T45" s="35">
        <f>T40*'Conversion Factor'!$B$7/100+T41*0.74+T42*0.2+T43*0.1</f>
        <v>3767666.1173690013</v>
      </c>
      <c r="U45" s="13"/>
    </row>
    <row r="46" spans="1:21" ht="15.75" customHeight="1">
      <c r="A46" s="31">
        <v>3</v>
      </c>
      <c r="B46" s="32" t="s">
        <v>95</v>
      </c>
      <c r="C46" s="31" t="s">
        <v>84</v>
      </c>
      <c r="D46" s="35">
        <f>D40+(D41*0.74+D42*0.2+D43*0.1)/'Conversion Factor'!$B$7*100</f>
        <v>7079312.3236868847</v>
      </c>
      <c r="E46" s="35">
        <f>E40+(E41*0.74+E42*0.2+E43*0.1)/'Conversion Factor'!$B$7*100</f>
        <v>13749409.303224042</v>
      </c>
      <c r="F46" s="35">
        <f>F40+(F41*0.74+F42*0.2+F43*0.1)/'Conversion Factor'!$B$7*100</f>
        <v>20305112.878360659</v>
      </c>
      <c r="G46" s="35">
        <f>G40+(G41*0.74+G42*0.2+G43*0.1)/'Conversion Factor'!$B$7*100</f>
        <v>35591628.098961756</v>
      </c>
      <c r="H46" s="35">
        <f>H40+(H41*0.74+H42*0.2+H43*0.1)/'Conversion Factor'!$B$7*100</f>
        <v>45106211.277874321</v>
      </c>
      <c r="I46" s="35">
        <f>I40+(I41*0.74+I42*0.2+I43*0.1)/'Conversion Factor'!$B$7*100</f>
        <v>66523340.46357923</v>
      </c>
      <c r="J46" s="35">
        <f>J40+(J41*0.74+J42*0.2+J43*0.1)/'Conversion Factor'!$B$7*100</f>
        <v>9283984.8054644801</v>
      </c>
      <c r="K46" s="35">
        <f>K40+(K41*0.74+K42*0.2+K43*0.1)/'Conversion Factor'!$B$7*100</f>
        <v>5875856.7693989063</v>
      </c>
      <c r="L46" s="35">
        <f>L40+(L41*0.74+L42*0.2+L43*0.1)/'Conversion Factor'!$B$7*100</f>
        <v>8373111.4174863398</v>
      </c>
      <c r="M46" s="35">
        <f>M40+(M41*0.74+M42*0.2+M43*0.1)/'Conversion Factor'!$B$7*100</f>
        <v>12599822.491803277</v>
      </c>
      <c r="N46" s="35">
        <f>N40+(N41*0.74+N42*0.2+N43*0.1)/'Conversion Factor'!$B$7*100</f>
        <v>33237392.786885247</v>
      </c>
      <c r="O46" s="35">
        <f>O40+(O41*0.74+O42*0.2+O43*0.1)/'Conversion Factor'!$B$7*100</f>
        <v>80720269.379607901</v>
      </c>
      <c r="P46" s="35">
        <f>P40+(P41*0.74+P42*0.2+P43*0.1)/'Conversion Factor'!$B$7*100</f>
        <v>77306183.67387563</v>
      </c>
      <c r="Q46" s="35">
        <f>Q40+(Q41*0.74+Q42*0.2+Q43*0.1)/'Conversion Factor'!$B$7*100</f>
        <v>90058655.989071041</v>
      </c>
      <c r="R46" s="35">
        <f>R40+(R41*0.74+R42*0.2+R43*0.1)/'Conversion Factor'!$B$7*100</f>
        <v>114981096.61202183</v>
      </c>
      <c r="S46" s="35">
        <f>S40+(S41*0.74+S42*0.2+S43*0.1)/'Conversion Factor'!$B$7*100</f>
        <v>203273977.70560655</v>
      </c>
      <c r="T46" s="35">
        <f>T40+(T41*0.74+T42*0.2+T43*0.1)/'Conversion Factor'!$B$7*100</f>
        <v>205883394.39174867</v>
      </c>
      <c r="U46" s="13"/>
    </row>
    <row r="47" spans="1:21" ht="15.75" customHeight="1">
      <c r="A47" s="14">
        <v>4</v>
      </c>
      <c r="B47" s="15" t="s">
        <v>19</v>
      </c>
      <c r="C47" s="14" t="s">
        <v>85</v>
      </c>
      <c r="D47" s="18">
        <f t="shared" ref="D47:I47" si="14">D48/D45*1000000</f>
        <v>11390112.243890267</v>
      </c>
      <c r="E47" s="18">
        <f t="shared" si="14"/>
        <v>6250730.7878760723</v>
      </c>
      <c r="F47" s="18">
        <f t="shared" si="14"/>
        <v>5333240.6227327054</v>
      </c>
      <c r="G47" s="18">
        <f t="shared" si="14"/>
        <v>9329900.6681087352</v>
      </c>
      <c r="H47" s="18">
        <f t="shared" si="14"/>
        <v>7361876.4549721191</v>
      </c>
      <c r="I47" s="18">
        <f t="shared" si="14"/>
        <v>10210201.894569471</v>
      </c>
      <c r="J47" s="18">
        <v>82533479.330895752</v>
      </c>
      <c r="K47" s="18">
        <v>197254890.14043525</v>
      </c>
      <c r="L47" s="18">
        <v>262632814.2215575</v>
      </c>
      <c r="M47" s="18">
        <v>154211245.79852816</v>
      </c>
      <c r="N47" s="18">
        <f t="shared" ref="N47:Q47" si="15">N48/N45*1000000</f>
        <v>12432764.025285907</v>
      </c>
      <c r="O47" s="18">
        <f>O48/O45*1000000</f>
        <v>4758561.9526421698</v>
      </c>
      <c r="P47" s="18">
        <f t="shared" si="15"/>
        <v>11115923.684752889</v>
      </c>
      <c r="Q47" s="18">
        <f t="shared" si="15"/>
        <v>15607912.185700491</v>
      </c>
      <c r="R47" s="18">
        <f t="shared" ref="R47:S47" si="16">R48/R45*1000000</f>
        <v>12755681.946577156</v>
      </c>
      <c r="S47" s="18">
        <f t="shared" si="16"/>
        <v>8086337.7782112733</v>
      </c>
      <c r="T47" s="18">
        <f t="shared" ref="T47" si="17">T48/T45*1000000</f>
        <v>10081788.860608898</v>
      </c>
      <c r="U47" s="2"/>
    </row>
    <row r="48" spans="1:21" ht="15.75" customHeight="1">
      <c r="A48" s="14">
        <v>5</v>
      </c>
      <c r="B48" s="15" t="s">
        <v>21</v>
      </c>
      <c r="C48" s="14" t="s">
        <v>22</v>
      </c>
      <c r="D48" s="18">
        <v>1475605.1641671911</v>
      </c>
      <c r="E48" s="18">
        <v>1572772.5656559318</v>
      </c>
      <c r="F48" s="18">
        <v>1981744.5671924432</v>
      </c>
      <c r="G48" s="18">
        <v>6076814.2924663303</v>
      </c>
      <c r="H48" s="18">
        <v>6076814.2924663303</v>
      </c>
      <c r="I48" s="18">
        <v>12429666.284068177</v>
      </c>
      <c r="J48" s="18">
        <f t="shared" ref="J48:M48" si="18">J45*J47/1000000</f>
        <v>14022184.0953178</v>
      </c>
      <c r="K48" s="18">
        <f t="shared" si="18"/>
        <v>21210459.111975469</v>
      </c>
      <c r="L48" s="18">
        <f t="shared" si="18"/>
        <v>40242684.821181178</v>
      </c>
      <c r="M48" s="18">
        <f t="shared" si="18"/>
        <v>35557528.116413772</v>
      </c>
      <c r="N48" s="18">
        <v>7562157.7024320401</v>
      </c>
      <c r="O48" s="18">
        <v>7029256.9689859701</v>
      </c>
      <c r="P48" s="18">
        <v>15725732.376832729</v>
      </c>
      <c r="Q48" s="18">
        <v>25722984.974585235</v>
      </c>
      <c r="R48" s="18">
        <v>26839920.058004472</v>
      </c>
      <c r="S48" s="18">
        <v>30080479.428040639</v>
      </c>
      <c r="T48" s="18">
        <v>37984814.292584375</v>
      </c>
      <c r="U48" s="2"/>
    </row>
    <row r="49" spans="1:21" ht="15.75" customHeight="1">
      <c r="A49" s="17" t="s">
        <v>23</v>
      </c>
      <c r="B49" s="2"/>
      <c r="C49" s="2"/>
      <c r="D49" s="2"/>
      <c r="E49" s="2"/>
      <c r="F49" s="2"/>
      <c r="G49" s="2"/>
      <c r="H49" s="2"/>
      <c r="I49" s="2"/>
      <c r="J49" s="2"/>
      <c r="K49" s="2"/>
      <c r="L49" s="2"/>
      <c r="M49" s="2"/>
      <c r="N49" s="2"/>
      <c r="O49" s="2"/>
      <c r="P49" s="2"/>
      <c r="Q49" s="2"/>
      <c r="R49" s="2"/>
      <c r="S49" s="2"/>
      <c r="T49" s="2"/>
      <c r="U49" s="2"/>
    </row>
    <row r="50" spans="1:21" ht="15.75" customHeight="1">
      <c r="A50" s="19"/>
      <c r="B50" s="2"/>
      <c r="C50" s="2"/>
      <c r="D50" s="2"/>
      <c r="E50" s="2"/>
      <c r="F50" s="2"/>
      <c r="G50" s="2"/>
      <c r="H50" s="2"/>
      <c r="I50" s="2"/>
      <c r="J50" s="2"/>
      <c r="K50" s="2"/>
      <c r="L50" s="2"/>
      <c r="M50" s="2"/>
      <c r="N50" s="60"/>
      <c r="O50" s="2"/>
      <c r="P50" s="2"/>
      <c r="Q50" s="2"/>
      <c r="R50" s="2"/>
      <c r="S50" s="2"/>
      <c r="T50" s="2"/>
      <c r="U50" s="2"/>
    </row>
    <row r="51" spans="1:21" ht="15.75" customHeight="1">
      <c r="A51" s="19"/>
      <c r="B51" s="2"/>
      <c r="C51" s="2"/>
      <c r="D51" s="2"/>
      <c r="E51" s="2"/>
      <c r="F51" s="2"/>
      <c r="G51" s="2"/>
      <c r="H51" s="2"/>
      <c r="I51" s="2"/>
      <c r="J51" s="2"/>
      <c r="K51" s="2"/>
      <c r="L51" s="2"/>
      <c r="M51" s="2"/>
      <c r="N51" s="2"/>
      <c r="O51" s="2"/>
      <c r="P51" s="2"/>
      <c r="Q51" s="2"/>
      <c r="R51" s="2"/>
      <c r="S51" s="2"/>
      <c r="T51" s="2"/>
      <c r="U51" s="2"/>
    </row>
    <row r="52" spans="1:21" ht="15.75" customHeight="1">
      <c r="A52" s="6" t="s">
        <v>97</v>
      </c>
      <c r="B52" s="2"/>
      <c r="C52" s="2"/>
      <c r="D52" s="2"/>
      <c r="E52" s="2"/>
      <c r="F52" s="2"/>
      <c r="G52" s="2"/>
      <c r="H52" s="2"/>
      <c r="I52" s="2"/>
      <c r="J52" s="2"/>
      <c r="K52" s="2"/>
      <c r="L52" s="2"/>
      <c r="M52" s="2"/>
      <c r="N52" s="2"/>
      <c r="O52" s="2"/>
      <c r="P52" s="2"/>
      <c r="Q52" s="2"/>
      <c r="R52" s="2"/>
      <c r="S52" s="2"/>
      <c r="T52" s="2"/>
      <c r="U52" s="2"/>
    </row>
    <row r="53" spans="1:21" ht="7.5" customHeight="1" thickBot="1">
      <c r="A53" s="19"/>
      <c r="B53" s="2"/>
      <c r="C53" s="2"/>
      <c r="D53" s="2"/>
      <c r="E53" s="2"/>
      <c r="F53" s="2"/>
      <c r="G53" s="2"/>
      <c r="H53" s="2"/>
      <c r="I53" s="2"/>
      <c r="J53" s="2"/>
      <c r="K53" s="2"/>
      <c r="L53" s="2"/>
      <c r="M53" s="2"/>
      <c r="N53" s="2"/>
      <c r="O53" s="2"/>
      <c r="P53" s="2"/>
      <c r="Q53" s="2"/>
      <c r="R53" s="2"/>
      <c r="S53" s="2"/>
      <c r="T53" s="2"/>
      <c r="U53" s="2"/>
    </row>
    <row r="54" spans="1:21" ht="15.75" customHeight="1" thickBot="1">
      <c r="A54" s="110" t="s">
        <v>3</v>
      </c>
      <c r="B54" s="108" t="s">
        <v>4</v>
      </c>
      <c r="C54" s="109" t="s">
        <v>5</v>
      </c>
      <c r="D54" s="109">
        <f t="shared" ref="D54:T54" si="19">D$3</f>
        <v>2008</v>
      </c>
      <c r="E54" s="109">
        <f t="shared" si="19"/>
        <v>2009</v>
      </c>
      <c r="F54" s="109">
        <f t="shared" si="19"/>
        <v>2010</v>
      </c>
      <c r="G54" s="109">
        <f t="shared" si="19"/>
        <v>2011</v>
      </c>
      <c r="H54" s="109">
        <f t="shared" si="19"/>
        <v>2012</v>
      </c>
      <c r="I54" s="109">
        <f t="shared" si="19"/>
        <v>2013</v>
      </c>
      <c r="J54" s="109">
        <f t="shared" si="19"/>
        <v>2014</v>
      </c>
      <c r="K54" s="109">
        <f t="shared" si="19"/>
        <v>2015</v>
      </c>
      <c r="L54" s="109">
        <f t="shared" si="19"/>
        <v>2016</v>
      </c>
      <c r="M54" s="109">
        <f t="shared" si="19"/>
        <v>2017</v>
      </c>
      <c r="N54" s="109">
        <f t="shared" si="19"/>
        <v>2018</v>
      </c>
      <c r="O54" s="109">
        <f t="shared" si="19"/>
        <v>2019</v>
      </c>
      <c r="P54" s="109">
        <f t="shared" si="19"/>
        <v>2020</v>
      </c>
      <c r="Q54" s="109">
        <f t="shared" si="19"/>
        <v>2021</v>
      </c>
      <c r="R54" s="109">
        <f t="shared" si="19"/>
        <v>2022</v>
      </c>
      <c r="S54" s="109">
        <f t="shared" si="19"/>
        <v>2023</v>
      </c>
      <c r="T54" s="109">
        <f t="shared" si="19"/>
        <v>2024</v>
      </c>
      <c r="U54" s="2"/>
    </row>
    <row r="55" spans="1:21" ht="15.75" customHeight="1">
      <c r="A55" s="9">
        <v>-1</v>
      </c>
      <c r="B55" s="9">
        <f t="shared" ref="B55:T55" si="20">A55-1</f>
        <v>-2</v>
      </c>
      <c r="C55" s="9">
        <f t="shared" si="20"/>
        <v>-3</v>
      </c>
      <c r="D55" s="9">
        <f t="shared" si="20"/>
        <v>-4</v>
      </c>
      <c r="E55" s="9">
        <f t="shared" si="20"/>
        <v>-5</v>
      </c>
      <c r="F55" s="9">
        <f t="shared" si="20"/>
        <v>-6</v>
      </c>
      <c r="G55" s="9">
        <f t="shared" si="20"/>
        <v>-7</v>
      </c>
      <c r="H55" s="9">
        <f t="shared" si="20"/>
        <v>-8</v>
      </c>
      <c r="I55" s="9">
        <f t="shared" si="20"/>
        <v>-9</v>
      </c>
      <c r="J55" s="9">
        <f t="shared" si="20"/>
        <v>-10</v>
      </c>
      <c r="K55" s="9">
        <f t="shared" si="20"/>
        <v>-11</v>
      </c>
      <c r="L55" s="9">
        <f t="shared" si="20"/>
        <v>-12</v>
      </c>
      <c r="M55" s="9">
        <f t="shared" si="20"/>
        <v>-13</v>
      </c>
      <c r="N55" s="9">
        <f t="shared" si="20"/>
        <v>-14</v>
      </c>
      <c r="O55" s="9">
        <f t="shared" si="20"/>
        <v>-15</v>
      </c>
      <c r="P55" s="9">
        <f t="shared" si="20"/>
        <v>-16</v>
      </c>
      <c r="Q55" s="9">
        <f t="shared" si="20"/>
        <v>-17</v>
      </c>
      <c r="R55" s="9">
        <f t="shared" si="20"/>
        <v>-18</v>
      </c>
      <c r="S55" s="9">
        <f t="shared" si="20"/>
        <v>-19</v>
      </c>
      <c r="T55" s="9">
        <f t="shared" si="20"/>
        <v>-20</v>
      </c>
      <c r="U55" s="2"/>
    </row>
    <row r="56" spans="1:21" ht="15.75" customHeight="1">
      <c r="A56" s="14">
        <v>1</v>
      </c>
      <c r="B56" s="21" t="s">
        <v>25</v>
      </c>
      <c r="C56" s="14" t="s">
        <v>22</v>
      </c>
      <c r="D56" s="18"/>
      <c r="E56" s="18"/>
      <c r="F56" s="22">
        <v>79145788</v>
      </c>
      <c r="G56" s="18"/>
      <c r="H56" s="18"/>
      <c r="I56" s="18"/>
      <c r="J56" s="18"/>
      <c r="K56" s="18"/>
      <c r="L56" s="111">
        <v>4453231</v>
      </c>
      <c r="M56" s="18"/>
      <c r="N56" s="18"/>
      <c r="O56" s="18"/>
      <c r="P56" s="18"/>
      <c r="Q56" s="18"/>
      <c r="R56" s="18"/>
      <c r="S56" s="18"/>
      <c r="T56" s="18"/>
      <c r="U56" s="2"/>
    </row>
    <row r="57" spans="1:21" ht="15.75" customHeight="1">
      <c r="A57" s="14">
        <v>2</v>
      </c>
      <c r="B57" s="15" t="s">
        <v>26</v>
      </c>
      <c r="C57" s="14" t="s">
        <v>22</v>
      </c>
      <c r="D57" s="18"/>
      <c r="E57" s="18"/>
      <c r="F57" s="22">
        <v>18280023</v>
      </c>
      <c r="G57" s="18"/>
      <c r="H57" s="18"/>
      <c r="I57" s="18"/>
      <c r="J57" s="18"/>
      <c r="K57" s="18"/>
      <c r="L57" s="112">
        <v>1273138</v>
      </c>
      <c r="M57" s="18"/>
      <c r="N57" s="18"/>
      <c r="O57" s="18"/>
      <c r="P57" s="18"/>
      <c r="Q57" s="18"/>
      <c r="R57" s="18"/>
      <c r="S57" s="18"/>
      <c r="T57" s="18"/>
      <c r="U57" s="2"/>
    </row>
    <row r="58" spans="1:21" ht="15.75" customHeight="1">
      <c r="A58" s="14">
        <v>3</v>
      </c>
      <c r="B58" s="21" t="s">
        <v>27</v>
      </c>
      <c r="C58" s="14" t="s">
        <v>22</v>
      </c>
      <c r="D58" s="18"/>
      <c r="E58" s="18"/>
      <c r="F58" s="22">
        <v>1506374</v>
      </c>
      <c r="G58" s="18"/>
      <c r="H58" s="18"/>
      <c r="I58" s="18"/>
      <c r="J58" s="18"/>
      <c r="K58" s="18"/>
      <c r="L58" s="112">
        <v>36157</v>
      </c>
      <c r="M58" s="18"/>
      <c r="N58" s="18"/>
      <c r="O58" s="18"/>
      <c r="P58" s="18"/>
      <c r="Q58" s="18"/>
      <c r="R58" s="18"/>
      <c r="S58" s="18"/>
      <c r="T58" s="18"/>
      <c r="U58" s="2"/>
    </row>
    <row r="59" spans="1:21" ht="15.75" customHeight="1">
      <c r="A59" s="14">
        <v>4</v>
      </c>
      <c r="B59" s="21" t="s">
        <v>28</v>
      </c>
      <c r="C59" s="14" t="s">
        <v>22</v>
      </c>
      <c r="D59" s="18"/>
      <c r="E59" s="18"/>
      <c r="F59" s="22">
        <v>151748081</v>
      </c>
      <c r="G59" s="18"/>
      <c r="H59" s="18"/>
      <c r="I59" s="18"/>
      <c r="J59" s="18"/>
      <c r="K59" s="18"/>
      <c r="L59" s="112">
        <v>5026374</v>
      </c>
      <c r="M59" s="18"/>
      <c r="N59" s="18"/>
      <c r="O59" s="18"/>
      <c r="P59" s="18"/>
      <c r="Q59" s="18"/>
      <c r="R59" s="18"/>
      <c r="S59" s="18"/>
      <c r="T59" s="18"/>
      <c r="U59" s="2"/>
    </row>
    <row r="60" spans="1:21" ht="15.75" customHeight="1">
      <c r="A60" s="14">
        <v>5</v>
      </c>
      <c r="B60" s="21" t="s">
        <v>29</v>
      </c>
      <c r="C60" s="14" t="s">
        <v>22</v>
      </c>
      <c r="D60" s="18"/>
      <c r="E60" s="18"/>
      <c r="F60" s="22">
        <v>250680266</v>
      </c>
      <c r="G60" s="18"/>
      <c r="H60" s="18"/>
      <c r="I60" s="18"/>
      <c r="J60" s="18"/>
      <c r="K60" s="18"/>
      <c r="L60" s="112">
        <f>SUM(L56:L59)</f>
        <v>10788900</v>
      </c>
      <c r="M60" s="18"/>
      <c r="N60" s="18"/>
      <c r="O60" s="18"/>
      <c r="P60" s="18"/>
      <c r="Q60" s="18"/>
      <c r="R60" s="18"/>
      <c r="S60" s="18"/>
      <c r="T60" s="18"/>
      <c r="U60" s="2"/>
    </row>
    <row r="61" spans="1:21" ht="15.75" customHeight="1">
      <c r="A61" s="17" t="s">
        <v>30</v>
      </c>
      <c r="B61" s="2"/>
      <c r="C61" s="2"/>
      <c r="D61" s="2"/>
      <c r="E61" s="2"/>
      <c r="F61" s="2"/>
      <c r="G61" s="2"/>
      <c r="H61" s="2"/>
      <c r="I61" s="2"/>
      <c r="J61" s="2"/>
      <c r="K61" s="2"/>
      <c r="L61" s="2"/>
      <c r="M61" s="2"/>
      <c r="N61" s="2"/>
      <c r="O61" s="2"/>
      <c r="P61" s="2"/>
      <c r="Q61" s="2"/>
      <c r="R61" s="2"/>
      <c r="S61" s="2"/>
      <c r="T61" s="2"/>
      <c r="U61" s="2"/>
    </row>
    <row r="62" spans="1:21" ht="15.75" customHeight="1">
      <c r="A62" s="19"/>
      <c r="B62" s="2"/>
      <c r="C62" s="2"/>
      <c r="D62" s="2"/>
      <c r="E62" s="2"/>
      <c r="F62" s="2"/>
      <c r="G62" s="2"/>
      <c r="H62" s="2"/>
      <c r="I62" s="2"/>
      <c r="J62" s="2"/>
      <c r="K62" s="2"/>
      <c r="L62" s="2"/>
      <c r="M62" s="2"/>
      <c r="N62" s="2"/>
      <c r="O62" s="2"/>
      <c r="P62" s="2"/>
      <c r="Q62" s="2"/>
      <c r="R62" s="2"/>
      <c r="S62" s="2"/>
      <c r="T62" s="2"/>
      <c r="U62" s="2"/>
    </row>
    <row r="63" spans="1:21" ht="15.75" customHeight="1">
      <c r="A63" s="19"/>
      <c r="B63" s="2"/>
      <c r="C63" s="2"/>
      <c r="D63" s="2"/>
      <c r="E63" s="2"/>
      <c r="F63" s="2"/>
      <c r="G63" s="2"/>
      <c r="H63" s="2"/>
      <c r="I63" s="2"/>
      <c r="J63" s="2"/>
      <c r="K63" s="2"/>
      <c r="L63" s="2"/>
      <c r="M63" s="2"/>
      <c r="N63" s="2"/>
      <c r="O63" s="2"/>
      <c r="P63" s="2"/>
      <c r="Q63" s="2"/>
      <c r="R63" s="2"/>
      <c r="S63" s="2"/>
      <c r="T63" s="2"/>
      <c r="U63" s="2"/>
    </row>
    <row r="64" spans="1:21" ht="15.75" customHeight="1">
      <c r="A64" s="6" t="s">
        <v>98</v>
      </c>
      <c r="B64" s="2"/>
      <c r="C64" s="2"/>
      <c r="D64" s="2"/>
      <c r="E64" s="2"/>
      <c r="F64" s="2"/>
      <c r="G64" s="2"/>
      <c r="H64" s="2"/>
      <c r="I64" s="2"/>
      <c r="J64" s="2"/>
      <c r="K64" s="2"/>
      <c r="L64" s="2"/>
      <c r="M64" s="2"/>
      <c r="N64" s="2"/>
      <c r="O64" s="2"/>
      <c r="P64" s="2"/>
      <c r="Q64" s="2"/>
      <c r="R64" s="2"/>
      <c r="S64" s="2"/>
      <c r="T64" s="2"/>
      <c r="U64" s="2"/>
    </row>
    <row r="65" spans="1:21" ht="7.5" customHeight="1" thickBot="1">
      <c r="A65" s="7"/>
      <c r="B65" s="2"/>
      <c r="C65" s="2"/>
      <c r="D65" s="2"/>
      <c r="E65" s="2"/>
      <c r="F65" s="2"/>
      <c r="G65" s="2"/>
      <c r="H65" s="2"/>
      <c r="I65" s="2"/>
      <c r="J65" s="2"/>
      <c r="K65" s="2"/>
      <c r="L65" s="2"/>
      <c r="M65" s="2"/>
      <c r="N65" s="2"/>
      <c r="O65" s="2"/>
      <c r="P65" s="2"/>
      <c r="Q65" s="2"/>
      <c r="R65" s="2"/>
      <c r="S65" s="2"/>
      <c r="T65" s="2"/>
      <c r="U65" s="2"/>
    </row>
    <row r="66" spans="1:21" ht="15.75" customHeight="1" thickBot="1">
      <c r="A66" s="110" t="s">
        <v>3</v>
      </c>
      <c r="B66" s="108" t="s">
        <v>4</v>
      </c>
      <c r="C66" s="109" t="s">
        <v>5</v>
      </c>
      <c r="D66" s="109">
        <f t="shared" ref="D66:T66" si="21">D$3</f>
        <v>2008</v>
      </c>
      <c r="E66" s="109">
        <f t="shared" si="21"/>
        <v>2009</v>
      </c>
      <c r="F66" s="109">
        <f t="shared" si="21"/>
        <v>2010</v>
      </c>
      <c r="G66" s="109">
        <f t="shared" si="21"/>
        <v>2011</v>
      </c>
      <c r="H66" s="109">
        <f t="shared" si="21"/>
        <v>2012</v>
      </c>
      <c r="I66" s="109">
        <f t="shared" si="21"/>
        <v>2013</v>
      </c>
      <c r="J66" s="109">
        <f t="shared" si="21"/>
        <v>2014</v>
      </c>
      <c r="K66" s="109">
        <f t="shared" si="21"/>
        <v>2015</v>
      </c>
      <c r="L66" s="109">
        <f t="shared" si="21"/>
        <v>2016</v>
      </c>
      <c r="M66" s="109">
        <f t="shared" si="21"/>
        <v>2017</v>
      </c>
      <c r="N66" s="109">
        <f t="shared" si="21"/>
        <v>2018</v>
      </c>
      <c r="O66" s="109">
        <f t="shared" si="21"/>
        <v>2019</v>
      </c>
      <c r="P66" s="109">
        <f t="shared" si="21"/>
        <v>2020</v>
      </c>
      <c r="Q66" s="109">
        <f t="shared" si="21"/>
        <v>2021</v>
      </c>
      <c r="R66" s="109">
        <f t="shared" si="21"/>
        <v>2022</v>
      </c>
      <c r="S66" s="109">
        <f t="shared" si="21"/>
        <v>2023</v>
      </c>
      <c r="T66" s="109">
        <f t="shared" si="21"/>
        <v>2024</v>
      </c>
      <c r="U66" s="2"/>
    </row>
    <row r="67" spans="1:21" ht="15.75" customHeight="1">
      <c r="A67" s="9">
        <v>-1</v>
      </c>
      <c r="B67" s="9">
        <f t="shared" ref="B67:T67" si="22">A67-1</f>
        <v>-2</v>
      </c>
      <c r="C67" s="9">
        <f t="shared" si="22"/>
        <v>-3</v>
      </c>
      <c r="D67" s="9">
        <f t="shared" si="22"/>
        <v>-4</v>
      </c>
      <c r="E67" s="9">
        <f t="shared" si="22"/>
        <v>-5</v>
      </c>
      <c r="F67" s="9">
        <f t="shared" si="22"/>
        <v>-6</v>
      </c>
      <c r="G67" s="9">
        <f t="shared" si="22"/>
        <v>-7</v>
      </c>
      <c r="H67" s="9">
        <f t="shared" si="22"/>
        <v>-8</v>
      </c>
      <c r="I67" s="9">
        <f t="shared" si="22"/>
        <v>-9</v>
      </c>
      <c r="J67" s="9">
        <f t="shared" si="22"/>
        <v>-10</v>
      </c>
      <c r="K67" s="9">
        <f t="shared" si="22"/>
        <v>-11</v>
      </c>
      <c r="L67" s="9">
        <f t="shared" si="22"/>
        <v>-12</v>
      </c>
      <c r="M67" s="9">
        <f t="shared" si="22"/>
        <v>-13</v>
      </c>
      <c r="N67" s="9">
        <f t="shared" si="22"/>
        <v>-14</v>
      </c>
      <c r="O67" s="9">
        <f t="shared" si="22"/>
        <v>-15</v>
      </c>
      <c r="P67" s="9">
        <f t="shared" si="22"/>
        <v>-16</v>
      </c>
      <c r="Q67" s="9">
        <f t="shared" si="22"/>
        <v>-17</v>
      </c>
      <c r="R67" s="9">
        <f t="shared" si="22"/>
        <v>-18</v>
      </c>
      <c r="S67" s="9">
        <f t="shared" si="22"/>
        <v>-19</v>
      </c>
      <c r="T67" s="9">
        <f t="shared" si="22"/>
        <v>-20</v>
      </c>
      <c r="U67" s="2"/>
    </row>
    <row r="68" spans="1:21" ht="15.75" customHeight="1">
      <c r="A68" s="14">
        <v>1</v>
      </c>
      <c r="B68" s="15" t="s">
        <v>21</v>
      </c>
      <c r="C68" s="14" t="s">
        <v>22</v>
      </c>
      <c r="D68" s="18">
        <f t="shared" ref="D68:Q68" si="23">D48</f>
        <v>1475605.1641671911</v>
      </c>
      <c r="E68" s="18">
        <f t="shared" si="23"/>
        <v>1572772.5656559318</v>
      </c>
      <c r="F68" s="18">
        <f t="shared" si="23"/>
        <v>1981744.5671924432</v>
      </c>
      <c r="G68" s="18">
        <f t="shared" si="23"/>
        <v>6076814.2924663303</v>
      </c>
      <c r="H68" s="18">
        <f t="shared" si="23"/>
        <v>6076814.2924663303</v>
      </c>
      <c r="I68" s="18">
        <f t="shared" si="23"/>
        <v>12429666.284068177</v>
      </c>
      <c r="J68" s="18">
        <f t="shared" si="23"/>
        <v>14022184.0953178</v>
      </c>
      <c r="K68" s="18">
        <f t="shared" si="23"/>
        <v>21210459.111975469</v>
      </c>
      <c r="L68" s="18">
        <f t="shared" si="23"/>
        <v>40242684.821181178</v>
      </c>
      <c r="M68" s="18">
        <f t="shared" si="23"/>
        <v>35557528.116413772</v>
      </c>
      <c r="N68" s="18">
        <f t="shared" si="23"/>
        <v>7562157.7024320401</v>
      </c>
      <c r="O68" s="18">
        <f t="shared" si="23"/>
        <v>7029256.9689859701</v>
      </c>
      <c r="P68" s="18">
        <f t="shared" si="23"/>
        <v>15725732.376832729</v>
      </c>
      <c r="Q68" s="18">
        <f t="shared" si="23"/>
        <v>25722984.974585235</v>
      </c>
      <c r="R68" s="18">
        <f t="shared" ref="R68:S68" si="24">R48</f>
        <v>26839920.058004472</v>
      </c>
      <c r="S68" s="18">
        <f t="shared" si="24"/>
        <v>30080479.428040639</v>
      </c>
      <c r="T68" s="18">
        <f t="shared" ref="T68" si="25">T48</f>
        <v>37984814.292584375</v>
      </c>
      <c r="U68" s="2"/>
    </row>
    <row r="69" spans="1:21" ht="15.75" customHeight="1">
      <c r="A69" s="14">
        <f t="shared" ref="A69:A78" si="26">A68+1</f>
        <v>2</v>
      </c>
      <c r="B69" s="15" t="s">
        <v>32</v>
      </c>
      <c r="C69" s="14" t="s">
        <v>22</v>
      </c>
      <c r="D69" s="18">
        <f t="shared" ref="D69:M69" si="27">$F56/$F$60*D$68</f>
        <v>465884.03370723128</v>
      </c>
      <c r="E69" s="18">
        <f t="shared" si="27"/>
        <v>496562.11890895496</v>
      </c>
      <c r="F69" s="18">
        <f t="shared" si="27"/>
        <v>625684.41420580295</v>
      </c>
      <c r="G69" s="18">
        <f t="shared" si="27"/>
        <v>1918596.3992351524</v>
      </c>
      <c r="H69" s="18">
        <f t="shared" si="27"/>
        <v>1918596.3992351524</v>
      </c>
      <c r="I69" s="18">
        <f t="shared" si="27"/>
        <v>3924344.5378728281</v>
      </c>
      <c r="J69" s="18">
        <f t="shared" si="27"/>
        <v>4427140.705622972</v>
      </c>
      <c r="K69" s="18">
        <f t="shared" si="27"/>
        <v>6696651.9824064597</v>
      </c>
      <c r="L69" s="18">
        <f t="shared" si="27"/>
        <v>12705583.300314607</v>
      </c>
      <c r="M69" s="18">
        <f t="shared" si="27"/>
        <v>11226366.666236598</v>
      </c>
      <c r="N69" s="18">
        <f t="shared" ref="N69:Q69" si="28">$L56/$L$60*N$68</f>
        <v>3121359.4627217911</v>
      </c>
      <c r="O69" s="18">
        <f t="shared" si="28"/>
        <v>2901399.1269966685</v>
      </c>
      <c r="P69" s="18">
        <f t="shared" si="28"/>
        <v>6490960.0532227745</v>
      </c>
      <c r="Q69" s="18">
        <f t="shared" si="28"/>
        <v>10617430.331299501</v>
      </c>
      <c r="R69" s="18">
        <f t="shared" ref="R69:S69" si="29">$L56/$L$60*R$68</f>
        <v>11078456.93627963</v>
      </c>
      <c r="S69" s="18">
        <f t="shared" si="29"/>
        <v>12416031.614327025</v>
      </c>
      <c r="T69" s="18">
        <f t="shared" ref="T69" si="30">$L56/$L$60*T$68</f>
        <v>15678628.269515872</v>
      </c>
      <c r="U69" s="2"/>
    </row>
    <row r="70" spans="1:21" ht="15.75" customHeight="1">
      <c r="A70" s="14">
        <f t="shared" si="26"/>
        <v>3</v>
      </c>
      <c r="B70" s="15" t="s">
        <v>26</v>
      </c>
      <c r="C70" s="14" t="s">
        <v>22</v>
      </c>
      <c r="D70" s="18">
        <f t="shared" ref="D70:M70" si="31">$F57/$F$60*D$68</f>
        <v>107603.58910699029</v>
      </c>
      <c r="E70" s="18">
        <f t="shared" si="31"/>
        <v>114689.19804784092</v>
      </c>
      <c r="F70" s="18">
        <f t="shared" si="31"/>
        <v>144512.1183508035</v>
      </c>
      <c r="G70" s="18">
        <f t="shared" si="31"/>
        <v>443131.43114748906</v>
      </c>
      <c r="H70" s="18">
        <f t="shared" si="31"/>
        <v>443131.43114748906</v>
      </c>
      <c r="I70" s="18">
        <f t="shared" si="31"/>
        <v>906391.99160212628</v>
      </c>
      <c r="J70" s="18">
        <f t="shared" si="31"/>
        <v>1022521.0458833786</v>
      </c>
      <c r="K70" s="18">
        <f t="shared" si="31"/>
        <v>1546702.0463727731</v>
      </c>
      <c r="L70" s="18">
        <f t="shared" si="31"/>
        <v>2934563.6808640645</v>
      </c>
      <c r="M70" s="18">
        <f t="shared" si="31"/>
        <v>2592914.2415669463</v>
      </c>
      <c r="N70" s="18">
        <f t="shared" ref="N70:Q70" si="32">$L57/$L$60*N$68</f>
        <v>892368.1128714626</v>
      </c>
      <c r="O70" s="18">
        <f t="shared" si="32"/>
        <v>829483.46531906491</v>
      </c>
      <c r="P70" s="18">
        <f t="shared" si="32"/>
        <v>1855706.0930007754</v>
      </c>
      <c r="Q70" s="18">
        <f t="shared" si="32"/>
        <v>3035426.1921580047</v>
      </c>
      <c r="R70" s="18">
        <f t="shared" ref="R70:S70" si="33">$L57/$L$60*R$68</f>
        <v>3167229.4805594357</v>
      </c>
      <c r="S70" s="18">
        <f t="shared" si="33"/>
        <v>3549629.8434554776</v>
      </c>
      <c r="T70" s="18">
        <f t="shared" ref="T70" si="34">$L57/$L$60*T$68</f>
        <v>4482376.3774650134</v>
      </c>
      <c r="U70" s="2"/>
    </row>
    <row r="71" spans="1:21" ht="15.75" customHeight="1">
      <c r="A71" s="14">
        <f t="shared" si="26"/>
        <v>4</v>
      </c>
      <c r="B71" s="21" t="s">
        <v>27</v>
      </c>
      <c r="C71" s="14" t="s">
        <v>22</v>
      </c>
      <c r="D71" s="18">
        <f t="shared" ref="D71:M71" si="35">$F58/$F$60*D$68</f>
        <v>8867.1249996487095</v>
      </c>
      <c r="E71" s="18">
        <f t="shared" si="35"/>
        <v>9451.0179784849461</v>
      </c>
      <c r="F71" s="18">
        <f t="shared" si="35"/>
        <v>11908.589927297864</v>
      </c>
      <c r="G71" s="18">
        <f t="shared" si="35"/>
        <v>36516.456596546275</v>
      </c>
      <c r="H71" s="18">
        <f t="shared" si="35"/>
        <v>36516.456596546275</v>
      </c>
      <c r="I71" s="18">
        <f t="shared" si="35"/>
        <v>74691.663678851037</v>
      </c>
      <c r="J71" s="18">
        <f t="shared" si="35"/>
        <v>84261.333695889145</v>
      </c>
      <c r="K71" s="18">
        <f t="shared" si="35"/>
        <v>127456.71864869863</v>
      </c>
      <c r="L71" s="18">
        <f t="shared" si="35"/>
        <v>241824.11751877581</v>
      </c>
      <c r="M71" s="18">
        <f t="shared" si="35"/>
        <v>213670.33278492963</v>
      </c>
      <c r="N71" s="18">
        <f t="shared" ref="N71:Q71" si="36">$L58/$L$60*N$68</f>
        <v>25343.170855864384</v>
      </c>
      <c r="O71" s="18">
        <f t="shared" si="36"/>
        <v>23557.252753072669</v>
      </c>
      <c r="P71" s="18">
        <f t="shared" si="36"/>
        <v>52701.87929716106</v>
      </c>
      <c r="Q71" s="18">
        <f t="shared" si="36"/>
        <v>86205.819659657456</v>
      </c>
      <c r="R71" s="18">
        <f t="shared" ref="R71:S71" si="37">$L58/$L$60*R$68</f>
        <v>89949.020709921097</v>
      </c>
      <c r="S71" s="18">
        <f t="shared" si="37"/>
        <v>100809.15521319739</v>
      </c>
      <c r="T71" s="18">
        <f t="shared" ref="T71" si="38">$L58/$L$60*T$68</f>
        <v>127299.06944887553</v>
      </c>
      <c r="U71" s="2"/>
    </row>
    <row r="72" spans="1:21" ht="15.75" customHeight="1">
      <c r="A72" s="23">
        <f t="shared" si="26"/>
        <v>5</v>
      </c>
      <c r="B72" s="24" t="s">
        <v>33</v>
      </c>
      <c r="C72" s="23" t="s">
        <v>22</v>
      </c>
      <c r="D72" s="25">
        <f t="shared" ref="D72:M72" si="39">$F59/$F$60*D$68</f>
        <v>893250.41635332082</v>
      </c>
      <c r="E72" s="25">
        <f t="shared" si="39"/>
        <v>952070.23072065099</v>
      </c>
      <c r="F72" s="25">
        <f t="shared" si="39"/>
        <v>1199639.4447085389</v>
      </c>
      <c r="G72" s="25">
        <f t="shared" si="39"/>
        <v>3678570.0054871426</v>
      </c>
      <c r="H72" s="25">
        <f t="shared" si="39"/>
        <v>3678570.0054871426</v>
      </c>
      <c r="I72" s="25">
        <f t="shared" si="39"/>
        <v>7524238.0909143714</v>
      </c>
      <c r="J72" s="25">
        <f t="shared" si="39"/>
        <v>8488261.0101155601</v>
      </c>
      <c r="K72" s="25">
        <f t="shared" si="39"/>
        <v>12839648.364547538</v>
      </c>
      <c r="L72" s="25">
        <f t="shared" si="39"/>
        <v>24360713.722483732</v>
      </c>
      <c r="M72" s="25">
        <f t="shared" si="39"/>
        <v>21524576.875825297</v>
      </c>
      <c r="N72" s="25">
        <f t="shared" ref="N72:Q72" si="40">$L59/$L$60*N$68</f>
        <v>3523086.9559829216</v>
      </c>
      <c r="O72" s="25">
        <f t="shared" si="40"/>
        <v>3274817.1239171638</v>
      </c>
      <c r="P72" s="25">
        <f t="shared" si="40"/>
        <v>7326364.3513120189</v>
      </c>
      <c r="Q72" s="25">
        <f t="shared" si="40"/>
        <v>11983922.631468073</v>
      </c>
      <c r="R72" s="25">
        <f t="shared" ref="R72:S72" si="41">$L59/$L$60*R$68</f>
        <v>12504284.620455485</v>
      </c>
      <c r="S72" s="25">
        <f t="shared" si="41"/>
        <v>14014008.81504494</v>
      </c>
      <c r="T72" s="25">
        <f t="shared" ref="T72" si="42">$L59/$L$60*T$68</f>
        <v>17696510.576154612</v>
      </c>
      <c r="U72" s="13"/>
    </row>
    <row r="73" spans="1:21" ht="15.75" customHeight="1">
      <c r="A73" s="14">
        <f t="shared" si="26"/>
        <v>6</v>
      </c>
      <c r="B73" s="21" t="s">
        <v>34</v>
      </c>
      <c r="C73" s="14" t="s">
        <v>22</v>
      </c>
      <c r="D73" s="18"/>
      <c r="E73" s="18"/>
      <c r="F73" s="18"/>
      <c r="G73" s="18"/>
      <c r="H73" s="18"/>
      <c r="I73" s="18"/>
      <c r="J73" s="18"/>
      <c r="K73" s="18"/>
      <c r="L73" s="18"/>
      <c r="M73" s="18"/>
      <c r="N73" s="18"/>
      <c r="O73" s="18"/>
      <c r="P73" s="18"/>
      <c r="Q73" s="18"/>
      <c r="R73" s="18"/>
      <c r="S73" s="18"/>
      <c r="T73" s="18"/>
      <c r="U73" s="2"/>
    </row>
    <row r="74" spans="1:21" ht="15.75" customHeight="1">
      <c r="A74" s="14">
        <f t="shared" si="26"/>
        <v>7</v>
      </c>
      <c r="B74" s="15" t="s">
        <v>35</v>
      </c>
      <c r="C74" s="14" t="s">
        <v>22</v>
      </c>
      <c r="D74" s="18"/>
      <c r="E74" s="18"/>
      <c r="F74" s="18"/>
      <c r="G74" s="18"/>
      <c r="H74" s="18"/>
      <c r="I74" s="18"/>
      <c r="J74" s="18"/>
      <c r="K74" s="18"/>
      <c r="L74" s="18"/>
      <c r="M74" s="18"/>
      <c r="N74" s="18"/>
      <c r="O74" s="18"/>
      <c r="P74" s="18"/>
      <c r="Q74" s="18"/>
      <c r="R74" s="18"/>
      <c r="S74" s="18"/>
      <c r="T74" s="18"/>
      <c r="U74" s="2"/>
    </row>
    <row r="75" spans="1:21" ht="15.75" customHeight="1">
      <c r="A75" s="14">
        <f t="shared" si="26"/>
        <v>8</v>
      </c>
      <c r="B75" s="21" t="s">
        <v>36</v>
      </c>
      <c r="C75" s="14" t="s">
        <v>22</v>
      </c>
      <c r="D75" s="18"/>
      <c r="E75" s="18"/>
      <c r="F75" s="18"/>
      <c r="G75" s="18"/>
      <c r="H75" s="18"/>
      <c r="I75" s="18"/>
      <c r="J75" s="18"/>
      <c r="K75" s="18"/>
      <c r="L75" s="18"/>
      <c r="M75" s="18"/>
      <c r="N75" s="18"/>
      <c r="O75" s="18"/>
      <c r="P75" s="18"/>
      <c r="Q75" s="18"/>
      <c r="R75" s="18"/>
      <c r="S75" s="18"/>
      <c r="T75" s="18"/>
      <c r="U75" s="2"/>
    </row>
    <row r="76" spans="1:21" ht="15.75" customHeight="1">
      <c r="A76" s="23">
        <f t="shared" si="26"/>
        <v>9</v>
      </c>
      <c r="B76" s="24" t="s">
        <v>37</v>
      </c>
      <c r="C76" s="23" t="s">
        <v>22</v>
      </c>
      <c r="D76" s="25">
        <f t="shared" ref="D76:Q76" si="43">D72+D73-D74-D75</f>
        <v>893250.41635332082</v>
      </c>
      <c r="E76" s="25">
        <f t="shared" si="43"/>
        <v>952070.23072065099</v>
      </c>
      <c r="F76" s="25">
        <f t="shared" si="43"/>
        <v>1199639.4447085389</v>
      </c>
      <c r="G76" s="25">
        <f t="shared" si="43"/>
        <v>3678570.0054871426</v>
      </c>
      <c r="H76" s="25">
        <f t="shared" si="43"/>
        <v>3678570.0054871426</v>
      </c>
      <c r="I76" s="25">
        <f t="shared" si="43"/>
        <v>7524238.0909143714</v>
      </c>
      <c r="J76" s="25">
        <f t="shared" si="43"/>
        <v>8488261.0101155601</v>
      </c>
      <c r="K76" s="25">
        <f t="shared" si="43"/>
        <v>12839648.364547538</v>
      </c>
      <c r="L76" s="25">
        <f t="shared" si="43"/>
        <v>24360713.722483732</v>
      </c>
      <c r="M76" s="25">
        <f t="shared" si="43"/>
        <v>21524576.875825297</v>
      </c>
      <c r="N76" s="25">
        <f t="shared" si="43"/>
        <v>3523086.9559829216</v>
      </c>
      <c r="O76" s="25">
        <f t="shared" si="43"/>
        <v>3274817.1239171638</v>
      </c>
      <c r="P76" s="25">
        <f t="shared" si="43"/>
        <v>7326364.3513120189</v>
      </c>
      <c r="Q76" s="25">
        <f t="shared" si="43"/>
        <v>11983922.631468073</v>
      </c>
      <c r="R76" s="25">
        <f t="shared" ref="R76:S76" si="44">R72+R73-R74-R75</f>
        <v>12504284.620455485</v>
      </c>
      <c r="S76" s="25">
        <f t="shared" si="44"/>
        <v>14014008.81504494</v>
      </c>
      <c r="T76" s="25">
        <f t="shared" ref="T76" si="45">T72+T73-T74-T75</f>
        <v>17696510.576154612</v>
      </c>
      <c r="U76" s="13"/>
    </row>
    <row r="77" spans="1:21" ht="15.75" customHeight="1">
      <c r="A77" s="14">
        <f t="shared" si="26"/>
        <v>10</v>
      </c>
      <c r="B77" s="21" t="s">
        <v>38</v>
      </c>
      <c r="C77" s="26" t="s">
        <v>84</v>
      </c>
      <c r="D77" s="18">
        <f t="shared" ref="D77:Q77" si="46">D45</f>
        <v>129551.41552347</v>
      </c>
      <c r="E77" s="18">
        <f t="shared" si="46"/>
        <v>251614.19024900001</v>
      </c>
      <c r="F77" s="18">
        <f t="shared" si="46"/>
        <v>371583.56567400007</v>
      </c>
      <c r="G77" s="18">
        <f t="shared" si="46"/>
        <v>651326.79421100009</v>
      </c>
      <c r="H77" s="18">
        <f t="shared" si="46"/>
        <v>825443.66638510022</v>
      </c>
      <c r="I77" s="18">
        <f t="shared" si="46"/>
        <v>1217377.1304835</v>
      </c>
      <c r="J77" s="18">
        <f t="shared" si="46"/>
        <v>169896.92194</v>
      </c>
      <c r="K77" s="18">
        <f t="shared" si="46"/>
        <v>107528.17887999999</v>
      </c>
      <c r="L77" s="18">
        <f t="shared" si="46"/>
        <v>153227.93894000002</v>
      </c>
      <c r="M77" s="18">
        <f t="shared" si="46"/>
        <v>230576.75160000002</v>
      </c>
      <c r="N77" s="18">
        <f t="shared" si="46"/>
        <v>608244.28799999994</v>
      </c>
      <c r="O77" s="18">
        <f t="shared" si="46"/>
        <v>1477180.9296468247</v>
      </c>
      <c r="P77" s="18">
        <f t="shared" si="46"/>
        <v>1414703.1612319238</v>
      </c>
      <c r="Q77" s="18">
        <f t="shared" si="46"/>
        <v>1648073.4046</v>
      </c>
      <c r="R77" s="18">
        <f t="shared" ref="R77:S77" si="47">R45</f>
        <v>2104154.0679999995</v>
      </c>
      <c r="S77" s="18">
        <f t="shared" si="47"/>
        <v>3719913.7920125993</v>
      </c>
      <c r="T77" s="18">
        <f t="shared" ref="T77" si="48">T45</f>
        <v>3767666.1173690013</v>
      </c>
      <c r="U77" s="2"/>
    </row>
    <row r="78" spans="1:21" ht="15.75" customHeight="1">
      <c r="A78" s="23">
        <f t="shared" si="26"/>
        <v>11</v>
      </c>
      <c r="B78" s="24" t="s">
        <v>39</v>
      </c>
      <c r="C78" s="23" t="s">
        <v>85</v>
      </c>
      <c r="D78" s="25">
        <f t="shared" ref="D78:Q78" si="49">D76/D77*1000000</f>
        <v>6894949.1037517563</v>
      </c>
      <c r="E78" s="25">
        <f t="shared" si="49"/>
        <v>3783849.5109455967</v>
      </c>
      <c r="F78" s="25">
        <f t="shared" si="49"/>
        <v>3228451.2974425079</v>
      </c>
      <c r="G78" s="25">
        <f t="shared" si="49"/>
        <v>5647810.0366548933</v>
      </c>
      <c r="H78" s="25">
        <f t="shared" si="49"/>
        <v>4456476.1416086173</v>
      </c>
      <c r="I78" s="25">
        <f t="shared" si="49"/>
        <v>6180696.1068227105</v>
      </c>
      <c r="J78" s="25">
        <f t="shared" si="49"/>
        <v>49961240.693420179</v>
      </c>
      <c r="K78" s="25">
        <f t="shared" si="49"/>
        <v>119407289.31042731</v>
      </c>
      <c r="L78" s="25">
        <f t="shared" si="49"/>
        <v>158983497.99002871</v>
      </c>
      <c r="M78" s="25">
        <f t="shared" si="49"/>
        <v>93351028.351573393</v>
      </c>
      <c r="N78" s="25">
        <f t="shared" si="49"/>
        <v>5792223.6599498028</v>
      </c>
      <c r="O78" s="25">
        <f t="shared" si="49"/>
        <v>2216937.0441981885</v>
      </c>
      <c r="P78" s="25">
        <f t="shared" si="49"/>
        <v>5178729.0451321388</v>
      </c>
      <c r="Q78" s="25">
        <f t="shared" si="49"/>
        <v>7271473.8300001035</v>
      </c>
      <c r="R78" s="25">
        <f t="shared" ref="R78:S78" si="50">R76/R77*1000000</f>
        <v>5942665.8962957114</v>
      </c>
      <c r="S78" s="25">
        <f t="shared" si="50"/>
        <v>3767293.9746979689</v>
      </c>
      <c r="T78" s="25">
        <f t="shared" ref="T78" si="51">T76/T77*1000000</f>
        <v>4696942.3576503806</v>
      </c>
      <c r="U78" s="13"/>
    </row>
    <row r="79" spans="1:21" ht="15.75" customHeight="1">
      <c r="A79" s="19"/>
      <c r="B79" s="2"/>
      <c r="C79" s="2"/>
      <c r="D79" s="2"/>
      <c r="E79" s="2"/>
      <c r="F79" s="2"/>
      <c r="G79" s="2"/>
      <c r="H79" s="2"/>
      <c r="I79" s="2"/>
      <c r="J79" s="2"/>
      <c r="K79" s="2"/>
      <c r="L79" s="2"/>
      <c r="M79" s="2"/>
      <c r="N79" s="2"/>
      <c r="O79" s="2"/>
      <c r="P79" s="2"/>
      <c r="Q79" s="2"/>
      <c r="R79" s="2"/>
      <c r="S79" s="2"/>
      <c r="T79" s="2"/>
      <c r="U79" s="2"/>
    </row>
    <row r="80" spans="1:21" ht="15.75" customHeight="1">
      <c r="A80" s="19"/>
      <c r="B80" s="2"/>
      <c r="C80" s="2"/>
      <c r="D80" s="2"/>
      <c r="E80" s="2"/>
      <c r="F80" s="2"/>
      <c r="G80" s="2"/>
      <c r="H80" s="2"/>
      <c r="I80" s="2"/>
      <c r="J80" s="2"/>
      <c r="K80" s="2"/>
      <c r="L80" s="2"/>
      <c r="M80" s="2"/>
      <c r="N80" s="2"/>
      <c r="O80" s="2"/>
      <c r="P80" s="2"/>
      <c r="Q80" s="2"/>
      <c r="R80" s="2"/>
      <c r="S80" s="2"/>
      <c r="T80" s="2"/>
      <c r="U80" s="2"/>
    </row>
    <row r="81" spans="1:21" ht="15.75" customHeight="1">
      <c r="A81" s="6" t="s">
        <v>100</v>
      </c>
      <c r="B81" s="2"/>
      <c r="C81" s="2"/>
      <c r="D81" s="2"/>
      <c r="E81" s="2"/>
      <c r="F81" s="2"/>
      <c r="G81" s="2"/>
      <c r="H81" s="2"/>
      <c r="I81" s="2"/>
      <c r="J81" s="2"/>
      <c r="K81" s="2"/>
      <c r="L81" s="2"/>
      <c r="M81" s="2"/>
      <c r="N81" s="2"/>
      <c r="O81" s="2"/>
      <c r="P81" s="2"/>
      <c r="Q81" s="2"/>
      <c r="R81" s="2"/>
      <c r="S81" s="2"/>
      <c r="T81" s="2"/>
      <c r="U81" s="2"/>
    </row>
    <row r="82" spans="1:21" ht="15.75" customHeight="1" thickBot="1">
      <c r="A82" s="19"/>
      <c r="B82" s="2"/>
      <c r="C82" s="2"/>
      <c r="D82" s="2"/>
      <c r="E82" s="2"/>
      <c r="F82" s="2"/>
      <c r="G82" s="2"/>
      <c r="H82" s="2"/>
      <c r="I82" s="2"/>
      <c r="J82" s="2"/>
      <c r="K82" s="2"/>
      <c r="L82" s="2"/>
      <c r="M82" s="2"/>
      <c r="N82" s="2"/>
      <c r="O82" s="2"/>
      <c r="P82" s="2"/>
      <c r="Q82" s="2"/>
      <c r="R82" s="2"/>
      <c r="S82" s="2"/>
      <c r="T82" s="2"/>
      <c r="U82" s="2"/>
    </row>
    <row r="83" spans="1:21" ht="15.75" customHeight="1" thickBot="1">
      <c r="A83" s="110" t="s">
        <v>3</v>
      </c>
      <c r="B83" s="108" t="s">
        <v>4</v>
      </c>
      <c r="C83" s="109" t="s">
        <v>5</v>
      </c>
      <c r="D83" s="109">
        <f t="shared" ref="D83:T83" si="52">D$3</f>
        <v>2008</v>
      </c>
      <c r="E83" s="109">
        <f t="shared" si="52"/>
        <v>2009</v>
      </c>
      <c r="F83" s="109">
        <f t="shared" si="52"/>
        <v>2010</v>
      </c>
      <c r="G83" s="109">
        <f t="shared" si="52"/>
        <v>2011</v>
      </c>
      <c r="H83" s="109">
        <f t="shared" si="52"/>
        <v>2012</v>
      </c>
      <c r="I83" s="109">
        <f t="shared" si="52"/>
        <v>2013</v>
      </c>
      <c r="J83" s="109">
        <f t="shared" si="52"/>
        <v>2014</v>
      </c>
      <c r="K83" s="109">
        <f t="shared" si="52"/>
        <v>2015</v>
      </c>
      <c r="L83" s="109">
        <f t="shared" si="52"/>
        <v>2016</v>
      </c>
      <c r="M83" s="109">
        <f t="shared" si="52"/>
        <v>2017</v>
      </c>
      <c r="N83" s="109">
        <f t="shared" si="52"/>
        <v>2018</v>
      </c>
      <c r="O83" s="109">
        <f t="shared" si="52"/>
        <v>2019</v>
      </c>
      <c r="P83" s="109">
        <f t="shared" si="52"/>
        <v>2020</v>
      </c>
      <c r="Q83" s="109">
        <f t="shared" si="52"/>
        <v>2021</v>
      </c>
      <c r="R83" s="109">
        <f t="shared" si="52"/>
        <v>2022</v>
      </c>
      <c r="S83" s="109">
        <f t="shared" si="52"/>
        <v>2023</v>
      </c>
      <c r="T83" s="109">
        <f t="shared" si="52"/>
        <v>2024</v>
      </c>
      <c r="U83" s="2"/>
    </row>
    <row r="84" spans="1:21" ht="15.75" customHeight="1">
      <c r="A84" s="9">
        <v>-1</v>
      </c>
      <c r="B84" s="9">
        <f t="shared" ref="B84:T84" si="53">A84-1</f>
        <v>-2</v>
      </c>
      <c r="C84" s="9">
        <f t="shared" si="53"/>
        <v>-3</v>
      </c>
      <c r="D84" s="9">
        <f t="shared" si="53"/>
        <v>-4</v>
      </c>
      <c r="E84" s="9">
        <f t="shared" si="53"/>
        <v>-5</v>
      </c>
      <c r="F84" s="9">
        <f t="shared" si="53"/>
        <v>-6</v>
      </c>
      <c r="G84" s="9">
        <f t="shared" si="53"/>
        <v>-7</v>
      </c>
      <c r="H84" s="9">
        <f t="shared" si="53"/>
        <v>-8</v>
      </c>
      <c r="I84" s="9">
        <f t="shared" si="53"/>
        <v>-9</v>
      </c>
      <c r="J84" s="9">
        <f t="shared" si="53"/>
        <v>-10</v>
      </c>
      <c r="K84" s="9">
        <f t="shared" si="53"/>
        <v>-11</v>
      </c>
      <c r="L84" s="9">
        <f t="shared" si="53"/>
        <v>-12</v>
      </c>
      <c r="M84" s="9">
        <f t="shared" si="53"/>
        <v>-13</v>
      </c>
      <c r="N84" s="9">
        <f t="shared" si="53"/>
        <v>-14</v>
      </c>
      <c r="O84" s="9">
        <f t="shared" si="53"/>
        <v>-15</v>
      </c>
      <c r="P84" s="9">
        <f t="shared" si="53"/>
        <v>-16</v>
      </c>
      <c r="Q84" s="9">
        <f t="shared" si="53"/>
        <v>-17</v>
      </c>
      <c r="R84" s="9">
        <f t="shared" si="53"/>
        <v>-18</v>
      </c>
      <c r="S84" s="9">
        <f t="shared" si="53"/>
        <v>-19</v>
      </c>
      <c r="T84" s="9">
        <f t="shared" si="53"/>
        <v>-20</v>
      </c>
      <c r="U84" s="2"/>
    </row>
    <row r="85" spans="1:21" ht="15.75" customHeight="1">
      <c r="A85" s="23">
        <v>1</v>
      </c>
      <c r="B85" s="24" t="s">
        <v>41</v>
      </c>
      <c r="C85" s="23" t="s">
        <v>107</v>
      </c>
      <c r="D85" s="25"/>
      <c r="E85" s="25">
        <f t="shared" ref="E85:T85" si="54">D9/1000</f>
        <v>0</v>
      </c>
      <c r="F85" s="25">
        <f t="shared" si="54"/>
        <v>0</v>
      </c>
      <c r="G85" s="25">
        <f t="shared" si="54"/>
        <v>577000</v>
      </c>
      <c r="H85" s="25">
        <f t="shared" si="54"/>
        <v>1178710</v>
      </c>
      <c r="I85" s="25">
        <f t="shared" si="54"/>
        <v>1171510</v>
      </c>
      <c r="J85" s="25">
        <f t="shared" si="54"/>
        <v>1162934.9514000001</v>
      </c>
      <c r="K85" s="25">
        <f t="shared" si="54"/>
        <v>1155234.9514000001</v>
      </c>
      <c r="L85" s="25">
        <f t="shared" si="54"/>
        <v>3197178.9395300001</v>
      </c>
      <c r="M85" s="25">
        <f t="shared" si="54"/>
        <v>3155674.1305900002</v>
      </c>
      <c r="N85" s="25">
        <f t="shared" si="54"/>
        <v>3159504.7645300003</v>
      </c>
      <c r="O85" s="25">
        <f t="shared" si="54"/>
        <v>3571561.5962499999</v>
      </c>
      <c r="P85" s="25">
        <f t="shared" si="54"/>
        <v>4594591.0910300007</v>
      </c>
      <c r="Q85" s="25">
        <f t="shared" si="54"/>
        <v>4561694.6748199994</v>
      </c>
      <c r="R85" s="25">
        <f t="shared" si="54"/>
        <v>5243538.4189999998</v>
      </c>
      <c r="S85" s="25">
        <f t="shared" si="54"/>
        <v>5028909.3810000001</v>
      </c>
      <c r="T85" s="25">
        <f t="shared" si="54"/>
        <v>5325790.8411576701</v>
      </c>
      <c r="U85" s="2"/>
    </row>
    <row r="86" spans="1:21" ht="15.75" customHeight="1">
      <c r="A86" s="23">
        <v>2</v>
      </c>
      <c r="B86" s="24" t="s">
        <v>43</v>
      </c>
      <c r="C86" s="23" t="s">
        <v>107</v>
      </c>
      <c r="D86" s="25">
        <f t="shared" ref="D86:Q86" si="55">SUM(D87:D89)</f>
        <v>0</v>
      </c>
      <c r="E86" s="25">
        <f t="shared" si="55"/>
        <v>0</v>
      </c>
      <c r="F86" s="25">
        <f t="shared" si="55"/>
        <v>0</v>
      </c>
      <c r="G86" s="25">
        <f t="shared" si="55"/>
        <v>0</v>
      </c>
      <c r="H86" s="25">
        <f t="shared" si="55"/>
        <v>0</v>
      </c>
      <c r="I86" s="25">
        <f t="shared" si="55"/>
        <v>0</v>
      </c>
      <c r="J86" s="25">
        <f t="shared" si="55"/>
        <v>0</v>
      </c>
      <c r="K86" s="25">
        <f t="shared" si="55"/>
        <v>0</v>
      </c>
      <c r="L86" s="25">
        <f t="shared" si="55"/>
        <v>0</v>
      </c>
      <c r="M86" s="25">
        <f t="shared" si="55"/>
        <v>0</v>
      </c>
      <c r="N86" s="25">
        <f t="shared" si="55"/>
        <v>0</v>
      </c>
      <c r="O86" s="25">
        <f t="shared" si="55"/>
        <v>0</v>
      </c>
      <c r="P86" s="25">
        <f t="shared" si="55"/>
        <v>0</v>
      </c>
      <c r="Q86" s="25">
        <f t="shared" si="55"/>
        <v>0</v>
      </c>
      <c r="R86" s="25">
        <f t="shared" ref="R86:S86" si="56">SUM(R87:R89)</f>
        <v>0</v>
      </c>
      <c r="S86" s="25">
        <f t="shared" si="56"/>
        <v>0</v>
      </c>
      <c r="T86" s="25">
        <f t="shared" ref="T86" si="57">SUM(T87:T89)</f>
        <v>0</v>
      </c>
      <c r="U86" s="2"/>
    </row>
    <row r="87" spans="1:21" ht="15.75" customHeight="1">
      <c r="A87" s="14">
        <v>2.1</v>
      </c>
      <c r="B87" s="15" t="s">
        <v>44</v>
      </c>
      <c r="C87" s="14" t="s">
        <v>107</v>
      </c>
      <c r="D87" s="18"/>
      <c r="E87" s="18"/>
      <c r="F87" s="18"/>
      <c r="G87" s="18"/>
      <c r="H87" s="18"/>
      <c r="I87" s="18"/>
      <c r="J87" s="18"/>
      <c r="K87" s="18"/>
      <c r="L87" s="18"/>
      <c r="M87" s="18"/>
      <c r="N87" s="18"/>
      <c r="O87" s="18"/>
      <c r="P87" s="18"/>
      <c r="Q87" s="18"/>
      <c r="R87" s="18"/>
      <c r="S87" s="18"/>
      <c r="T87" s="18"/>
      <c r="U87" s="2"/>
    </row>
    <row r="88" spans="1:21" ht="15.75" customHeight="1">
      <c r="A88" s="14">
        <v>2.2000000000000002</v>
      </c>
      <c r="B88" s="15" t="s">
        <v>45</v>
      </c>
      <c r="C88" s="14" t="s">
        <v>107</v>
      </c>
      <c r="D88" s="18"/>
      <c r="E88" s="18"/>
      <c r="F88" s="18"/>
      <c r="G88" s="18"/>
      <c r="H88" s="18"/>
      <c r="I88" s="18"/>
      <c r="J88" s="18"/>
      <c r="K88" s="18"/>
      <c r="L88" s="18"/>
      <c r="M88" s="18"/>
      <c r="N88" s="18"/>
      <c r="O88" s="18"/>
      <c r="P88" s="18"/>
      <c r="Q88" s="18"/>
      <c r="R88" s="18"/>
      <c r="S88" s="18"/>
      <c r="T88" s="18"/>
      <c r="U88" s="2"/>
    </row>
    <row r="89" spans="1:21" ht="15.75" customHeight="1">
      <c r="A89" s="14">
        <v>2.2999999999999998</v>
      </c>
      <c r="B89" s="15" t="s">
        <v>46</v>
      </c>
      <c r="C89" s="14" t="s">
        <v>107</v>
      </c>
      <c r="D89" s="18"/>
      <c r="E89" s="18"/>
      <c r="F89" s="18"/>
      <c r="G89" s="18"/>
      <c r="H89" s="18"/>
      <c r="I89" s="18"/>
      <c r="J89" s="18"/>
      <c r="K89" s="18"/>
      <c r="L89" s="18"/>
      <c r="M89" s="18"/>
      <c r="N89" s="18"/>
      <c r="O89" s="18"/>
      <c r="P89" s="18"/>
      <c r="Q89" s="18"/>
      <c r="R89" s="18"/>
      <c r="S89" s="18"/>
      <c r="T89" s="18"/>
      <c r="U89" s="2"/>
    </row>
    <row r="90" spans="1:21" ht="15.75" customHeight="1">
      <c r="A90" s="23">
        <v>3</v>
      </c>
      <c r="B90" s="24" t="s">
        <v>47</v>
      </c>
      <c r="C90" s="23" t="s">
        <v>107</v>
      </c>
      <c r="D90" s="25">
        <f t="shared" ref="D90:Q90" si="58">SUM(D91:D94)</f>
        <v>7079.3123236868851</v>
      </c>
      <c r="E90" s="25">
        <f t="shared" si="58"/>
        <v>13749.409303224042</v>
      </c>
      <c r="F90" s="25">
        <f t="shared" si="58"/>
        <v>20305.112878360658</v>
      </c>
      <c r="G90" s="25">
        <f t="shared" si="58"/>
        <v>35591.628098961759</v>
      </c>
      <c r="H90" s="25">
        <f t="shared" si="58"/>
        <v>45106.211277874318</v>
      </c>
      <c r="I90" s="25">
        <f t="shared" si="58"/>
        <v>66523.340463579225</v>
      </c>
      <c r="J90" s="25">
        <f t="shared" si="58"/>
        <v>9283.9848054644808</v>
      </c>
      <c r="K90" s="25">
        <f t="shared" si="58"/>
        <v>5875.8567693989062</v>
      </c>
      <c r="L90" s="25">
        <f t="shared" si="58"/>
        <v>8373.1114174863396</v>
      </c>
      <c r="M90" s="25">
        <f t="shared" si="58"/>
        <v>12599.822491803277</v>
      </c>
      <c r="N90" s="25">
        <f t="shared" si="58"/>
        <v>33237.392786885248</v>
      </c>
      <c r="O90" s="25">
        <f t="shared" si="58"/>
        <v>80720.269379607897</v>
      </c>
      <c r="P90" s="25">
        <f t="shared" si="58"/>
        <v>77306.183673875625</v>
      </c>
      <c r="Q90" s="25">
        <f t="shared" si="58"/>
        <v>90058.655989071034</v>
      </c>
      <c r="R90" s="25">
        <f t="shared" ref="R90:S90" si="59">SUM(R91:R94)</f>
        <v>114981.09661202184</v>
      </c>
      <c r="S90" s="25">
        <f t="shared" si="59"/>
        <v>203273.97770560655</v>
      </c>
      <c r="T90" s="25">
        <f t="shared" ref="T90" si="60">SUM(T91:T94)</f>
        <v>205883.39439174868</v>
      </c>
      <c r="U90" s="2"/>
    </row>
    <row r="91" spans="1:21" ht="15.75" customHeight="1">
      <c r="A91" s="14">
        <v>3.1</v>
      </c>
      <c r="B91" s="15" t="s">
        <v>48</v>
      </c>
      <c r="C91" s="14" t="s">
        <v>107</v>
      </c>
      <c r="D91" s="18">
        <f t="shared" ref="D91:Q91" si="61">D46/1000</f>
        <v>7079.3123236868851</v>
      </c>
      <c r="E91" s="18">
        <f t="shared" si="61"/>
        <v>13749.409303224042</v>
      </c>
      <c r="F91" s="18">
        <f t="shared" si="61"/>
        <v>20305.112878360658</v>
      </c>
      <c r="G91" s="18">
        <f t="shared" si="61"/>
        <v>35591.628098961759</v>
      </c>
      <c r="H91" s="18">
        <f t="shared" si="61"/>
        <v>45106.211277874318</v>
      </c>
      <c r="I91" s="18">
        <f t="shared" si="61"/>
        <v>66523.340463579225</v>
      </c>
      <c r="J91" s="18">
        <f t="shared" si="61"/>
        <v>9283.9848054644808</v>
      </c>
      <c r="K91" s="18">
        <f t="shared" si="61"/>
        <v>5875.8567693989062</v>
      </c>
      <c r="L91" s="18">
        <f t="shared" si="61"/>
        <v>8373.1114174863396</v>
      </c>
      <c r="M91" s="18">
        <f t="shared" si="61"/>
        <v>12599.822491803277</v>
      </c>
      <c r="N91" s="18">
        <f t="shared" si="61"/>
        <v>33237.392786885248</v>
      </c>
      <c r="O91" s="18">
        <f t="shared" si="61"/>
        <v>80720.269379607897</v>
      </c>
      <c r="P91" s="18">
        <f t="shared" si="61"/>
        <v>77306.183673875625</v>
      </c>
      <c r="Q91" s="18">
        <f t="shared" si="61"/>
        <v>90058.655989071034</v>
      </c>
      <c r="R91" s="18">
        <f t="shared" ref="R91:S91" si="62">R46/1000</f>
        <v>114981.09661202184</v>
      </c>
      <c r="S91" s="18">
        <f t="shared" si="62"/>
        <v>203273.97770560655</v>
      </c>
      <c r="T91" s="18">
        <f t="shared" ref="T91" si="63">T46/1000</f>
        <v>205883.39439174868</v>
      </c>
      <c r="U91" s="2"/>
    </row>
    <row r="92" spans="1:21" ht="15.75" customHeight="1">
      <c r="A92" s="14">
        <v>3.2</v>
      </c>
      <c r="B92" s="15" t="s">
        <v>49</v>
      </c>
      <c r="C92" s="14" t="s">
        <v>107</v>
      </c>
      <c r="D92" s="18"/>
      <c r="E92" s="18"/>
      <c r="F92" s="18"/>
      <c r="G92" s="18"/>
      <c r="H92" s="18"/>
      <c r="I92" s="18"/>
      <c r="J92" s="18"/>
      <c r="K92" s="18"/>
      <c r="L92" s="18"/>
      <c r="M92" s="18"/>
      <c r="N92" s="18"/>
      <c r="O92" s="18"/>
      <c r="P92" s="18"/>
      <c r="Q92" s="18"/>
      <c r="R92" s="18"/>
      <c r="S92" s="18"/>
      <c r="T92" s="18"/>
      <c r="U92" s="2"/>
    </row>
    <row r="93" spans="1:21" ht="15.75" customHeight="1">
      <c r="A93" s="14">
        <v>3.3</v>
      </c>
      <c r="B93" s="15" t="s">
        <v>50</v>
      </c>
      <c r="C93" s="14" t="s">
        <v>107</v>
      </c>
      <c r="D93" s="18"/>
      <c r="E93" s="18"/>
      <c r="F93" s="18"/>
      <c r="G93" s="18"/>
      <c r="H93" s="18"/>
      <c r="I93" s="18"/>
      <c r="J93" s="18"/>
      <c r="K93" s="18"/>
      <c r="L93" s="18"/>
      <c r="M93" s="18"/>
      <c r="N93" s="18"/>
      <c r="O93" s="18"/>
      <c r="P93" s="18"/>
      <c r="Q93" s="18"/>
      <c r="R93" s="18"/>
      <c r="S93" s="18"/>
      <c r="T93" s="18"/>
      <c r="U93" s="2"/>
    </row>
    <row r="94" spans="1:21" ht="15.75" customHeight="1">
      <c r="A94" s="14">
        <v>3.4</v>
      </c>
      <c r="B94" s="15" t="s">
        <v>46</v>
      </c>
      <c r="C94" s="14" t="s">
        <v>107</v>
      </c>
      <c r="D94" s="18"/>
      <c r="E94" s="18"/>
      <c r="F94" s="18"/>
      <c r="G94" s="18"/>
      <c r="H94" s="18"/>
      <c r="I94" s="18"/>
      <c r="J94" s="18"/>
      <c r="K94" s="18"/>
      <c r="L94" s="18"/>
      <c r="M94" s="18"/>
      <c r="N94" s="18"/>
      <c r="O94" s="18"/>
      <c r="P94" s="18"/>
      <c r="Q94" s="18"/>
      <c r="R94" s="18"/>
      <c r="S94" s="18"/>
      <c r="T94" s="18"/>
      <c r="U94" s="2"/>
    </row>
    <row r="95" spans="1:21" ht="15.75" customHeight="1">
      <c r="A95" s="23">
        <v>4</v>
      </c>
      <c r="B95" s="24" t="s">
        <v>51</v>
      </c>
      <c r="C95" s="23" t="s">
        <v>107</v>
      </c>
      <c r="D95" s="25">
        <f t="shared" ref="D95:Q95" si="64">D96-D85-D86+D90</f>
        <v>7079.3123236868851</v>
      </c>
      <c r="E95" s="25">
        <f t="shared" si="64"/>
        <v>13749.409303224042</v>
      </c>
      <c r="F95" s="25">
        <f t="shared" si="64"/>
        <v>597305.11287836067</v>
      </c>
      <c r="G95" s="25">
        <f t="shared" si="64"/>
        <v>637301.62809896178</v>
      </c>
      <c r="H95" s="25">
        <f t="shared" si="64"/>
        <v>37906.211277874318</v>
      </c>
      <c r="I95" s="25">
        <f t="shared" si="64"/>
        <v>57948.291863579361</v>
      </c>
      <c r="J95" s="25">
        <f t="shared" si="64"/>
        <v>1583.9848054644808</v>
      </c>
      <c r="K95" s="25">
        <f t="shared" si="64"/>
        <v>2047819.844899399</v>
      </c>
      <c r="L95" s="25">
        <f t="shared" si="64"/>
        <v>-33131.697522513561</v>
      </c>
      <c r="M95" s="25">
        <f t="shared" si="64"/>
        <v>16430.456431803366</v>
      </c>
      <c r="N95" s="25">
        <f t="shared" si="64"/>
        <v>445294.22450688493</v>
      </c>
      <c r="O95" s="25">
        <f t="shared" si="64"/>
        <v>1103749.7641596086</v>
      </c>
      <c r="P95" s="25">
        <f t="shared" si="64"/>
        <v>44409.76746387429</v>
      </c>
      <c r="Q95" s="25">
        <f t="shared" si="64"/>
        <v>771902.40016907139</v>
      </c>
      <c r="R95" s="25">
        <f t="shared" ref="R95:S95" si="65">R96-R85-R86+R90</f>
        <v>-99647.941387977873</v>
      </c>
      <c r="S95" s="25">
        <f t="shared" si="65"/>
        <v>500155.43786327663</v>
      </c>
      <c r="T95" s="25">
        <f t="shared" ref="T95" si="66">T96-T85-T86+T90</f>
        <v>793958.36723407882</v>
      </c>
      <c r="U95" s="2"/>
    </row>
    <row r="96" spans="1:21" ht="15.75" customHeight="1">
      <c r="A96" s="23">
        <v>5</v>
      </c>
      <c r="B96" s="24" t="s">
        <v>52</v>
      </c>
      <c r="C96" s="23" t="s">
        <v>107</v>
      </c>
      <c r="D96" s="25">
        <f t="shared" ref="D96:Q96" si="67">D9/1000</f>
        <v>0</v>
      </c>
      <c r="E96" s="25">
        <f t="shared" si="67"/>
        <v>0</v>
      </c>
      <c r="F96" s="25">
        <f t="shared" si="67"/>
        <v>577000</v>
      </c>
      <c r="G96" s="25">
        <f t="shared" si="67"/>
        <v>1178710</v>
      </c>
      <c r="H96" s="25">
        <f t="shared" si="67"/>
        <v>1171510</v>
      </c>
      <c r="I96" s="25">
        <f t="shared" si="67"/>
        <v>1162934.9514000001</v>
      </c>
      <c r="J96" s="25">
        <f t="shared" si="67"/>
        <v>1155234.9514000001</v>
      </c>
      <c r="K96" s="25">
        <f t="shared" si="67"/>
        <v>3197178.9395300001</v>
      </c>
      <c r="L96" s="25">
        <f t="shared" si="67"/>
        <v>3155674.1305900002</v>
      </c>
      <c r="M96" s="25">
        <f t="shared" si="67"/>
        <v>3159504.7645300003</v>
      </c>
      <c r="N96" s="25">
        <f t="shared" si="67"/>
        <v>3571561.5962499999</v>
      </c>
      <c r="O96" s="25">
        <f t="shared" si="67"/>
        <v>4594591.0910300007</v>
      </c>
      <c r="P96" s="25">
        <f t="shared" si="67"/>
        <v>4561694.6748199994</v>
      </c>
      <c r="Q96" s="25">
        <f t="shared" si="67"/>
        <v>5243538.4189999998</v>
      </c>
      <c r="R96" s="25">
        <f t="shared" ref="R96:S96" si="68">R9/1000</f>
        <v>5028909.3810000001</v>
      </c>
      <c r="S96" s="25">
        <f t="shared" si="68"/>
        <v>5325790.8411576701</v>
      </c>
      <c r="T96" s="25">
        <f t="shared" ref="T96" si="69">T9/1000</f>
        <v>5913865.8140000002</v>
      </c>
      <c r="U96" s="2"/>
    </row>
    <row r="97" spans="1:21" ht="15.75" customHeight="1">
      <c r="A97" s="1"/>
      <c r="B97" s="2"/>
      <c r="C97" s="2"/>
      <c r="D97" s="20"/>
      <c r="E97" s="2"/>
      <c r="F97" s="2"/>
      <c r="G97" s="2"/>
      <c r="H97" s="2"/>
      <c r="I97" s="2"/>
      <c r="J97" s="2"/>
      <c r="K97" s="2"/>
      <c r="L97" s="2"/>
      <c r="M97" s="2"/>
      <c r="N97" s="2"/>
      <c r="O97" s="2"/>
      <c r="P97" s="2"/>
      <c r="Q97" s="2"/>
      <c r="R97" s="2"/>
      <c r="S97" s="2"/>
      <c r="T97" s="2"/>
      <c r="U97" s="2"/>
    </row>
    <row r="98" spans="1:21" ht="15.75" customHeight="1">
      <c r="A98" s="28"/>
      <c r="B98" s="29" t="s">
        <v>53</v>
      </c>
      <c r="C98" s="30"/>
      <c r="D98" s="2"/>
      <c r="E98" s="2" t="b">
        <f t="shared" ref="E98:Q98" si="70">E85+E86-E90+E95=E96</f>
        <v>1</v>
      </c>
      <c r="F98" s="2" t="b">
        <f t="shared" si="70"/>
        <v>1</v>
      </c>
      <c r="G98" s="2" t="b">
        <f t="shared" si="70"/>
        <v>1</v>
      </c>
      <c r="H98" s="2" t="b">
        <f t="shared" si="70"/>
        <v>1</v>
      </c>
      <c r="I98" s="2" t="b">
        <f t="shared" si="70"/>
        <v>1</v>
      </c>
      <c r="J98" s="2" t="b">
        <f t="shared" si="70"/>
        <v>1</v>
      </c>
      <c r="K98" s="2" t="b">
        <f t="shared" si="70"/>
        <v>1</v>
      </c>
      <c r="L98" s="2" t="b">
        <f t="shared" si="70"/>
        <v>1</v>
      </c>
      <c r="M98" s="2" t="b">
        <f t="shared" si="70"/>
        <v>1</v>
      </c>
      <c r="N98" s="2" t="b">
        <f t="shared" si="70"/>
        <v>1</v>
      </c>
      <c r="O98" s="2" t="b">
        <f t="shared" si="70"/>
        <v>1</v>
      </c>
      <c r="P98" s="2" t="b">
        <f t="shared" si="70"/>
        <v>1</v>
      </c>
      <c r="Q98" s="2" t="b">
        <f t="shared" si="70"/>
        <v>1</v>
      </c>
      <c r="R98" s="2" t="b">
        <f t="shared" ref="R98:S98" si="71">R85+R86-R90+R95=R96</f>
        <v>1</v>
      </c>
      <c r="S98" s="2" t="b">
        <f t="shared" si="71"/>
        <v>1</v>
      </c>
      <c r="T98" s="2" t="b">
        <f t="shared" ref="T98" si="72">T85+T86-T90+T95=T96</f>
        <v>1</v>
      </c>
      <c r="U98" s="2"/>
    </row>
    <row r="99" spans="1:21" ht="15.75" customHeight="1">
      <c r="A99" s="19"/>
      <c r="B99" s="2"/>
      <c r="C99" s="2"/>
      <c r="D99" s="2"/>
      <c r="E99" s="2"/>
      <c r="F99" s="2"/>
      <c r="G99" s="2"/>
      <c r="H99" s="2"/>
      <c r="I99" s="2"/>
      <c r="J99" s="2"/>
      <c r="K99" s="2"/>
      <c r="L99" s="2"/>
      <c r="M99" s="2"/>
      <c r="N99" s="2"/>
      <c r="O99" s="2"/>
      <c r="P99" s="2"/>
      <c r="Q99" s="2"/>
      <c r="R99" s="2"/>
      <c r="S99" s="2"/>
      <c r="T99" s="2"/>
      <c r="U99" s="2"/>
    </row>
    <row r="100" spans="1:21" ht="15.75" customHeight="1">
      <c r="A100" s="19"/>
      <c r="B100" s="2"/>
      <c r="C100" s="2"/>
      <c r="D100" s="2"/>
      <c r="E100" s="2"/>
      <c r="F100" s="2"/>
      <c r="G100" s="2"/>
      <c r="H100" s="2"/>
      <c r="I100" s="2"/>
      <c r="J100" s="2"/>
      <c r="K100" s="2"/>
      <c r="L100" s="2"/>
      <c r="M100" s="2"/>
      <c r="N100" s="2"/>
      <c r="O100" s="2"/>
      <c r="P100" s="2"/>
      <c r="Q100" s="2"/>
      <c r="R100" s="2"/>
      <c r="S100" s="2"/>
      <c r="T100" s="2"/>
      <c r="U100" s="2"/>
    </row>
    <row r="101" spans="1:21" ht="15.75" customHeight="1">
      <c r="A101" s="6" t="s">
        <v>101</v>
      </c>
      <c r="B101" s="2"/>
      <c r="C101" s="2"/>
      <c r="D101" s="2"/>
      <c r="E101" s="2"/>
      <c r="F101" s="2"/>
      <c r="G101" s="2"/>
      <c r="H101" s="2"/>
      <c r="I101" s="2"/>
      <c r="J101" s="2"/>
      <c r="K101" s="2"/>
      <c r="L101" s="2"/>
      <c r="M101" s="2"/>
      <c r="N101" s="2"/>
      <c r="O101" s="2"/>
      <c r="P101" s="2"/>
      <c r="Q101" s="2"/>
      <c r="R101" s="2"/>
      <c r="S101" s="2"/>
      <c r="T101" s="2"/>
      <c r="U101" s="2"/>
    </row>
    <row r="102" spans="1:21" ht="15.75" customHeight="1" thickBot="1">
      <c r="A102" s="19"/>
      <c r="B102" s="2"/>
      <c r="C102" s="2"/>
      <c r="D102" s="2"/>
      <c r="E102" s="2"/>
      <c r="F102" s="2"/>
      <c r="G102" s="2"/>
      <c r="H102" s="2"/>
      <c r="I102" s="2"/>
      <c r="J102" s="2"/>
      <c r="K102" s="2"/>
      <c r="L102" s="2"/>
      <c r="M102" s="2"/>
      <c r="N102" s="2"/>
      <c r="O102" s="2"/>
      <c r="P102" s="2"/>
      <c r="Q102" s="2"/>
      <c r="R102" s="2"/>
      <c r="S102" s="2"/>
      <c r="T102" s="2"/>
      <c r="U102" s="2"/>
    </row>
    <row r="103" spans="1:21" ht="15.75" customHeight="1" thickBot="1">
      <c r="A103" s="110" t="s">
        <v>3</v>
      </c>
      <c r="B103" s="108" t="s">
        <v>4</v>
      </c>
      <c r="C103" s="109" t="s">
        <v>5</v>
      </c>
      <c r="D103" s="109">
        <f t="shared" ref="D103:T103" si="73">D$3</f>
        <v>2008</v>
      </c>
      <c r="E103" s="109">
        <f t="shared" si="73"/>
        <v>2009</v>
      </c>
      <c r="F103" s="109">
        <f t="shared" si="73"/>
        <v>2010</v>
      </c>
      <c r="G103" s="109">
        <f t="shared" si="73"/>
        <v>2011</v>
      </c>
      <c r="H103" s="109">
        <f t="shared" si="73"/>
        <v>2012</v>
      </c>
      <c r="I103" s="109">
        <f t="shared" si="73"/>
        <v>2013</v>
      </c>
      <c r="J103" s="109">
        <f t="shared" si="73"/>
        <v>2014</v>
      </c>
      <c r="K103" s="109">
        <f t="shared" si="73"/>
        <v>2015</v>
      </c>
      <c r="L103" s="109">
        <f t="shared" si="73"/>
        <v>2016</v>
      </c>
      <c r="M103" s="109">
        <f t="shared" si="73"/>
        <v>2017</v>
      </c>
      <c r="N103" s="109">
        <f t="shared" si="73"/>
        <v>2018</v>
      </c>
      <c r="O103" s="109">
        <f t="shared" si="73"/>
        <v>2019</v>
      </c>
      <c r="P103" s="109">
        <f t="shared" si="73"/>
        <v>2020</v>
      </c>
      <c r="Q103" s="109">
        <f t="shared" si="73"/>
        <v>2021</v>
      </c>
      <c r="R103" s="109">
        <f t="shared" si="73"/>
        <v>2022</v>
      </c>
      <c r="S103" s="109">
        <f t="shared" si="73"/>
        <v>2023</v>
      </c>
      <c r="T103" s="109">
        <f t="shared" si="73"/>
        <v>2024</v>
      </c>
      <c r="U103" s="2"/>
    </row>
    <row r="104" spans="1:21" ht="15.75" customHeight="1">
      <c r="A104" s="9">
        <v>-1</v>
      </c>
      <c r="B104" s="9">
        <f t="shared" ref="B104:T104" si="74">A104-1</f>
        <v>-2</v>
      </c>
      <c r="C104" s="9">
        <f t="shared" si="74"/>
        <v>-3</v>
      </c>
      <c r="D104" s="9">
        <f t="shared" si="74"/>
        <v>-4</v>
      </c>
      <c r="E104" s="9">
        <f t="shared" si="74"/>
        <v>-5</v>
      </c>
      <c r="F104" s="9">
        <f t="shared" si="74"/>
        <v>-6</v>
      </c>
      <c r="G104" s="9">
        <f t="shared" si="74"/>
        <v>-7</v>
      </c>
      <c r="H104" s="9">
        <f t="shared" si="74"/>
        <v>-8</v>
      </c>
      <c r="I104" s="9">
        <f t="shared" si="74"/>
        <v>-9</v>
      </c>
      <c r="J104" s="9">
        <f t="shared" si="74"/>
        <v>-10</v>
      </c>
      <c r="K104" s="9">
        <f t="shared" si="74"/>
        <v>-11</v>
      </c>
      <c r="L104" s="9">
        <f t="shared" si="74"/>
        <v>-12</v>
      </c>
      <c r="M104" s="9">
        <f t="shared" si="74"/>
        <v>-13</v>
      </c>
      <c r="N104" s="9">
        <f t="shared" si="74"/>
        <v>-14</v>
      </c>
      <c r="O104" s="9">
        <f t="shared" si="74"/>
        <v>-15</v>
      </c>
      <c r="P104" s="9">
        <f t="shared" si="74"/>
        <v>-16</v>
      </c>
      <c r="Q104" s="9">
        <f t="shared" si="74"/>
        <v>-17</v>
      </c>
      <c r="R104" s="9">
        <f t="shared" si="74"/>
        <v>-18</v>
      </c>
      <c r="S104" s="9">
        <f t="shared" si="74"/>
        <v>-19</v>
      </c>
      <c r="T104" s="9">
        <f t="shared" si="74"/>
        <v>-20</v>
      </c>
      <c r="U104" s="2"/>
    </row>
    <row r="105" spans="1:21" ht="15.75" customHeight="1">
      <c r="A105" s="23">
        <v>1</v>
      </c>
      <c r="B105" s="24" t="s">
        <v>41</v>
      </c>
      <c r="C105" s="23" t="s">
        <v>107</v>
      </c>
      <c r="D105" s="25"/>
      <c r="E105" s="25">
        <f t="shared" ref="E105:T105" si="75">D24/1000</f>
        <v>0</v>
      </c>
      <c r="F105" s="25">
        <f t="shared" si="75"/>
        <v>0</v>
      </c>
      <c r="G105" s="25">
        <f t="shared" si="75"/>
        <v>0</v>
      </c>
      <c r="H105" s="25">
        <f t="shared" si="75"/>
        <v>0</v>
      </c>
      <c r="I105" s="25">
        <f t="shared" si="75"/>
        <v>21703.720095920005</v>
      </c>
      <c r="J105" s="25">
        <f t="shared" si="75"/>
        <v>21547.512612719998</v>
      </c>
      <c r="K105" s="25">
        <f t="shared" si="75"/>
        <v>21378.312600000001</v>
      </c>
      <c r="L105" s="25">
        <f t="shared" si="75"/>
        <v>50872.304364639996</v>
      </c>
      <c r="M105" s="25">
        <f t="shared" si="75"/>
        <v>48564.691398769995</v>
      </c>
      <c r="N105" s="25">
        <f t="shared" si="75"/>
        <v>62349.883000000002</v>
      </c>
      <c r="O105" s="25">
        <f t="shared" si="75"/>
        <v>76721.757009999987</v>
      </c>
      <c r="P105" s="25">
        <f t="shared" si="75"/>
        <v>71989.624909999999</v>
      </c>
      <c r="Q105" s="25">
        <f t="shared" si="75"/>
        <v>49260.841469999999</v>
      </c>
      <c r="R105" s="25">
        <f t="shared" si="75"/>
        <v>57111.963000000003</v>
      </c>
      <c r="S105" s="25">
        <f t="shared" si="75"/>
        <v>55063.887000000002</v>
      </c>
      <c r="T105" s="25">
        <f t="shared" si="75"/>
        <v>56117.187364013123</v>
      </c>
      <c r="U105" s="13"/>
    </row>
    <row r="106" spans="1:21" ht="15.75" customHeight="1">
      <c r="A106" s="23">
        <v>2</v>
      </c>
      <c r="B106" s="24" t="s">
        <v>43</v>
      </c>
      <c r="C106" s="23" t="s">
        <v>107</v>
      </c>
      <c r="D106" s="25">
        <f t="shared" ref="D106:Q106" si="76">SUM(D107:D109)</f>
        <v>0</v>
      </c>
      <c r="E106" s="25">
        <f t="shared" si="76"/>
        <v>0</v>
      </c>
      <c r="F106" s="25">
        <f t="shared" si="76"/>
        <v>0</v>
      </c>
      <c r="G106" s="25">
        <f t="shared" si="76"/>
        <v>0</v>
      </c>
      <c r="H106" s="25">
        <f t="shared" si="76"/>
        <v>0</v>
      </c>
      <c r="I106" s="25">
        <f t="shared" si="76"/>
        <v>0</v>
      </c>
      <c r="J106" s="25">
        <f t="shared" si="76"/>
        <v>0</v>
      </c>
      <c r="K106" s="25">
        <f t="shared" si="76"/>
        <v>0</v>
      </c>
      <c r="L106" s="25">
        <f t="shared" si="76"/>
        <v>0</v>
      </c>
      <c r="M106" s="25">
        <f t="shared" si="76"/>
        <v>0</v>
      </c>
      <c r="N106" s="25">
        <f t="shared" si="76"/>
        <v>0</v>
      </c>
      <c r="O106" s="25">
        <f t="shared" si="76"/>
        <v>0</v>
      </c>
      <c r="P106" s="25">
        <f t="shared" si="76"/>
        <v>0</v>
      </c>
      <c r="Q106" s="25">
        <f t="shared" si="76"/>
        <v>0</v>
      </c>
      <c r="R106" s="25">
        <f t="shared" ref="R106:S106" si="77">SUM(R107:R109)</f>
        <v>0</v>
      </c>
      <c r="S106" s="25">
        <f t="shared" si="77"/>
        <v>0</v>
      </c>
      <c r="T106" s="25">
        <f t="shared" ref="T106" si="78">SUM(T107:T109)</f>
        <v>0</v>
      </c>
      <c r="U106" s="13"/>
    </row>
    <row r="107" spans="1:21" ht="15.75" customHeight="1">
      <c r="A107" s="14">
        <v>2.1</v>
      </c>
      <c r="B107" s="15" t="s">
        <v>44</v>
      </c>
      <c r="C107" s="14" t="s">
        <v>107</v>
      </c>
      <c r="D107" s="18"/>
      <c r="E107" s="18"/>
      <c r="F107" s="18"/>
      <c r="G107" s="18"/>
      <c r="H107" s="18"/>
      <c r="I107" s="18"/>
      <c r="J107" s="18"/>
      <c r="K107" s="18"/>
      <c r="L107" s="18"/>
      <c r="M107" s="18"/>
      <c r="N107" s="18"/>
      <c r="O107" s="18"/>
      <c r="P107" s="18"/>
      <c r="Q107" s="18"/>
      <c r="R107" s="18"/>
      <c r="S107" s="18"/>
      <c r="T107" s="18"/>
      <c r="U107" s="2"/>
    </row>
    <row r="108" spans="1:21" ht="15.75" customHeight="1">
      <c r="A108" s="14">
        <v>2.2000000000000002</v>
      </c>
      <c r="B108" s="15" t="s">
        <v>45</v>
      </c>
      <c r="C108" s="14" t="s">
        <v>107</v>
      </c>
      <c r="D108" s="18"/>
      <c r="E108" s="18"/>
      <c r="F108" s="18"/>
      <c r="G108" s="18"/>
      <c r="H108" s="18"/>
      <c r="I108" s="18"/>
      <c r="J108" s="18"/>
      <c r="K108" s="18"/>
      <c r="L108" s="18"/>
      <c r="M108" s="18"/>
      <c r="N108" s="18"/>
      <c r="O108" s="18"/>
      <c r="P108" s="18"/>
      <c r="Q108" s="18"/>
      <c r="R108" s="18"/>
      <c r="S108" s="18"/>
      <c r="T108" s="18"/>
      <c r="U108" s="2"/>
    </row>
    <row r="109" spans="1:21" ht="15.75" customHeight="1">
      <c r="A109" s="14">
        <v>2.2999999999999998</v>
      </c>
      <c r="B109" s="15" t="s">
        <v>46</v>
      </c>
      <c r="C109" s="14" t="s">
        <v>107</v>
      </c>
      <c r="D109" s="18"/>
      <c r="E109" s="18"/>
      <c r="F109" s="18"/>
      <c r="G109" s="18"/>
      <c r="H109" s="18"/>
      <c r="I109" s="18"/>
      <c r="J109" s="18"/>
      <c r="K109" s="18"/>
      <c r="L109" s="18"/>
      <c r="M109" s="18"/>
      <c r="N109" s="18"/>
      <c r="O109" s="18"/>
      <c r="P109" s="18"/>
      <c r="Q109" s="18"/>
      <c r="R109" s="18"/>
      <c r="S109" s="18"/>
      <c r="T109" s="18"/>
      <c r="U109" s="2"/>
    </row>
    <row r="110" spans="1:21" ht="15.75" customHeight="1">
      <c r="A110" s="23">
        <v>3</v>
      </c>
      <c r="B110" s="24" t="s">
        <v>47</v>
      </c>
      <c r="C110" s="23" t="s">
        <v>107</v>
      </c>
      <c r="D110" s="25">
        <f t="shared" ref="D110:Q110" si="79">SUM(D111:D114)</f>
        <v>129.55141552347001</v>
      </c>
      <c r="E110" s="25">
        <f t="shared" si="79"/>
        <v>251.61419024900002</v>
      </c>
      <c r="F110" s="25">
        <f t="shared" si="79"/>
        <v>371.58356567400006</v>
      </c>
      <c r="G110" s="25">
        <f t="shared" si="79"/>
        <v>651.32679421100011</v>
      </c>
      <c r="H110" s="25">
        <f t="shared" si="79"/>
        <v>825.44366638510019</v>
      </c>
      <c r="I110" s="25">
        <f t="shared" si="79"/>
        <v>1217.3771304835</v>
      </c>
      <c r="J110" s="25">
        <f t="shared" si="79"/>
        <v>169.89692194</v>
      </c>
      <c r="K110" s="25">
        <f t="shared" si="79"/>
        <v>107.52817888</v>
      </c>
      <c r="L110" s="25">
        <f t="shared" si="79"/>
        <v>153.22793894000003</v>
      </c>
      <c r="M110" s="25">
        <f t="shared" si="79"/>
        <v>230.57675160000002</v>
      </c>
      <c r="N110" s="25">
        <f t="shared" si="79"/>
        <v>608.24428799999998</v>
      </c>
      <c r="O110" s="25">
        <f t="shared" si="79"/>
        <v>1477.1809296468248</v>
      </c>
      <c r="P110" s="25">
        <f t="shared" si="79"/>
        <v>1414.7031612319238</v>
      </c>
      <c r="Q110" s="25">
        <f t="shared" si="79"/>
        <v>1648.0734046</v>
      </c>
      <c r="R110" s="25">
        <f t="shared" ref="R110:S110" si="80">SUM(R111:R114)</f>
        <v>2104.1540679999994</v>
      </c>
      <c r="S110" s="25">
        <f t="shared" si="80"/>
        <v>3719.9137920125995</v>
      </c>
      <c r="T110" s="25">
        <f t="shared" ref="T110" si="81">SUM(T111:T114)</f>
        <v>3767.6661173690013</v>
      </c>
      <c r="U110" s="13"/>
    </row>
    <row r="111" spans="1:21" ht="15.75" customHeight="1">
      <c r="A111" s="14">
        <v>3.1</v>
      </c>
      <c r="B111" s="15" t="s">
        <v>48</v>
      </c>
      <c r="C111" s="14" t="s">
        <v>107</v>
      </c>
      <c r="D111" s="18">
        <f t="shared" ref="D111:Q111" si="82">D45/1000</f>
        <v>129.55141552347001</v>
      </c>
      <c r="E111" s="18">
        <f t="shared" si="82"/>
        <v>251.61419024900002</v>
      </c>
      <c r="F111" s="18">
        <f t="shared" si="82"/>
        <v>371.58356567400006</v>
      </c>
      <c r="G111" s="18">
        <f t="shared" si="82"/>
        <v>651.32679421100011</v>
      </c>
      <c r="H111" s="18">
        <f t="shared" si="82"/>
        <v>825.44366638510019</v>
      </c>
      <c r="I111" s="18">
        <f t="shared" si="82"/>
        <v>1217.3771304835</v>
      </c>
      <c r="J111" s="18">
        <f t="shared" si="82"/>
        <v>169.89692194</v>
      </c>
      <c r="K111" s="18">
        <f t="shared" si="82"/>
        <v>107.52817888</v>
      </c>
      <c r="L111" s="18">
        <f t="shared" si="82"/>
        <v>153.22793894000003</v>
      </c>
      <c r="M111" s="18">
        <f t="shared" si="82"/>
        <v>230.57675160000002</v>
      </c>
      <c r="N111" s="18">
        <f t="shared" si="82"/>
        <v>608.24428799999998</v>
      </c>
      <c r="O111" s="18">
        <f t="shared" si="82"/>
        <v>1477.1809296468248</v>
      </c>
      <c r="P111" s="18">
        <f t="shared" si="82"/>
        <v>1414.7031612319238</v>
      </c>
      <c r="Q111" s="18">
        <f t="shared" si="82"/>
        <v>1648.0734046</v>
      </c>
      <c r="R111" s="18">
        <f t="shared" ref="R111:S111" si="83">R45/1000</f>
        <v>2104.1540679999994</v>
      </c>
      <c r="S111" s="18">
        <f t="shared" si="83"/>
        <v>3719.9137920125995</v>
      </c>
      <c r="T111" s="18">
        <f t="shared" ref="T111" si="84">T45/1000</f>
        <v>3767.6661173690013</v>
      </c>
      <c r="U111" s="2"/>
    </row>
    <row r="112" spans="1:21" ht="15.75" customHeight="1">
      <c r="A112" s="14">
        <v>3.2</v>
      </c>
      <c r="B112" s="15" t="s">
        <v>49</v>
      </c>
      <c r="C112" s="14" t="s">
        <v>107</v>
      </c>
      <c r="D112" s="18"/>
      <c r="E112" s="18"/>
      <c r="F112" s="18"/>
      <c r="G112" s="18"/>
      <c r="H112" s="18"/>
      <c r="I112" s="18"/>
      <c r="J112" s="18"/>
      <c r="K112" s="18"/>
      <c r="L112" s="18"/>
      <c r="M112" s="18"/>
      <c r="N112" s="18"/>
      <c r="O112" s="18"/>
      <c r="P112" s="18"/>
      <c r="Q112" s="18"/>
      <c r="R112" s="18"/>
      <c r="S112" s="18"/>
      <c r="T112" s="18"/>
      <c r="U112" s="2"/>
    </row>
    <row r="113" spans="1:21" ht="15.75" customHeight="1">
      <c r="A113" s="14">
        <v>3.3</v>
      </c>
      <c r="B113" s="15" t="s">
        <v>50</v>
      </c>
      <c r="C113" s="14" t="s">
        <v>107</v>
      </c>
      <c r="D113" s="18"/>
      <c r="E113" s="18"/>
      <c r="F113" s="18"/>
      <c r="G113" s="18"/>
      <c r="H113" s="18"/>
      <c r="I113" s="18"/>
      <c r="J113" s="18"/>
      <c r="K113" s="18"/>
      <c r="L113" s="18"/>
      <c r="M113" s="18"/>
      <c r="N113" s="18"/>
      <c r="O113" s="18"/>
      <c r="P113" s="18"/>
      <c r="Q113" s="18"/>
      <c r="R113" s="18"/>
      <c r="S113" s="18"/>
      <c r="T113" s="18"/>
      <c r="U113" s="2"/>
    </row>
    <row r="114" spans="1:21" ht="15.75" customHeight="1">
      <c r="A114" s="14">
        <v>3.4</v>
      </c>
      <c r="B114" s="15" t="s">
        <v>46</v>
      </c>
      <c r="C114" s="14" t="s">
        <v>107</v>
      </c>
      <c r="D114" s="18"/>
      <c r="E114" s="18"/>
      <c r="F114" s="18"/>
      <c r="G114" s="18"/>
      <c r="H114" s="18"/>
      <c r="I114" s="18"/>
      <c r="J114" s="18"/>
      <c r="K114" s="18"/>
      <c r="L114" s="18"/>
      <c r="M114" s="18"/>
      <c r="N114" s="18"/>
      <c r="O114" s="18"/>
      <c r="P114" s="18"/>
      <c r="Q114" s="18"/>
      <c r="R114" s="18"/>
      <c r="S114" s="18"/>
      <c r="T114" s="18"/>
      <c r="U114" s="2"/>
    </row>
    <row r="115" spans="1:21" ht="15.75" customHeight="1">
      <c r="A115" s="23">
        <v>4</v>
      </c>
      <c r="B115" s="24" t="s">
        <v>51</v>
      </c>
      <c r="C115" s="23" t="s">
        <v>107</v>
      </c>
      <c r="D115" s="25">
        <f t="shared" ref="D115:Q115" si="85">D116-D105-D106+D110</f>
        <v>129.55141552347001</v>
      </c>
      <c r="E115" s="25">
        <f t="shared" si="85"/>
        <v>251.61419024900002</v>
      </c>
      <c r="F115" s="25">
        <f t="shared" si="85"/>
        <v>371.58356567400006</v>
      </c>
      <c r="G115" s="25">
        <f t="shared" si="85"/>
        <v>651.32679421100011</v>
      </c>
      <c r="H115" s="25">
        <f t="shared" si="85"/>
        <v>22529.163762305107</v>
      </c>
      <c r="I115" s="25">
        <f t="shared" si="85"/>
        <v>1061.1696472834928</v>
      </c>
      <c r="J115" s="25">
        <f t="shared" si="85"/>
        <v>0.69690922000282285</v>
      </c>
      <c r="K115" s="25">
        <f t="shared" si="85"/>
        <v>29601.519943519994</v>
      </c>
      <c r="L115" s="25">
        <f t="shared" si="85"/>
        <v>-2154.385026930001</v>
      </c>
      <c r="M115" s="25">
        <f t="shared" si="85"/>
        <v>14015.768352830006</v>
      </c>
      <c r="N115" s="25">
        <f t="shared" si="85"/>
        <v>14980.118297999985</v>
      </c>
      <c r="O115" s="25">
        <f t="shared" si="85"/>
        <v>-3254.9511703531634</v>
      </c>
      <c r="P115" s="25">
        <f t="shared" si="85"/>
        <v>-21314.080278768077</v>
      </c>
      <c r="Q115" s="25">
        <f t="shared" si="85"/>
        <v>9499.1949346000038</v>
      </c>
      <c r="R115" s="25">
        <f t="shared" ref="R115:S115" si="86">R116-R105-R106+R110</f>
        <v>56.078067999998439</v>
      </c>
      <c r="S115" s="25">
        <f t="shared" si="86"/>
        <v>4773.2141560257205</v>
      </c>
      <c r="T115" s="25">
        <f t="shared" ref="T115" si="87">T116-T105-T106+T110</f>
        <v>9680.3347533558772</v>
      </c>
      <c r="U115" s="13"/>
    </row>
    <row r="116" spans="1:21" ht="15.75" customHeight="1">
      <c r="A116" s="23">
        <v>5</v>
      </c>
      <c r="B116" s="24" t="s">
        <v>52</v>
      </c>
      <c r="C116" s="23" t="s">
        <v>107</v>
      </c>
      <c r="D116" s="25">
        <f t="shared" ref="D116:Q116" si="88">D24/1000</f>
        <v>0</v>
      </c>
      <c r="E116" s="25">
        <f t="shared" si="88"/>
        <v>0</v>
      </c>
      <c r="F116" s="25">
        <f t="shared" si="88"/>
        <v>0</v>
      </c>
      <c r="G116" s="25">
        <f t="shared" si="88"/>
        <v>0</v>
      </c>
      <c r="H116" s="25">
        <f t="shared" si="88"/>
        <v>21703.720095920005</v>
      </c>
      <c r="I116" s="25">
        <f t="shared" si="88"/>
        <v>21547.512612719998</v>
      </c>
      <c r="J116" s="25">
        <f t="shared" si="88"/>
        <v>21378.312600000001</v>
      </c>
      <c r="K116" s="25">
        <f t="shared" si="88"/>
        <v>50872.304364639996</v>
      </c>
      <c r="L116" s="25">
        <f t="shared" si="88"/>
        <v>48564.691398769995</v>
      </c>
      <c r="M116" s="25">
        <f t="shared" si="88"/>
        <v>62349.883000000002</v>
      </c>
      <c r="N116" s="25">
        <f t="shared" si="88"/>
        <v>76721.757009999987</v>
      </c>
      <c r="O116" s="25">
        <f t="shared" si="88"/>
        <v>71989.624909999999</v>
      </c>
      <c r="P116" s="25">
        <f t="shared" si="88"/>
        <v>49260.841469999999</v>
      </c>
      <c r="Q116" s="25">
        <f t="shared" si="88"/>
        <v>57111.963000000003</v>
      </c>
      <c r="R116" s="25">
        <f t="shared" ref="R116:S116" si="89">R24/1000</f>
        <v>55063.887000000002</v>
      </c>
      <c r="S116" s="25">
        <f t="shared" si="89"/>
        <v>56117.187364013123</v>
      </c>
      <c r="T116" s="25">
        <f t="shared" ref="T116" si="90">T24/1000</f>
        <v>62029.856</v>
      </c>
      <c r="U116" s="13"/>
    </row>
    <row r="117" spans="1:21" ht="15.75" customHeight="1">
      <c r="A117" s="1"/>
      <c r="B117" s="2"/>
      <c r="C117" s="2"/>
      <c r="D117" s="20"/>
      <c r="E117" s="2"/>
      <c r="F117" s="2"/>
      <c r="G117" s="2"/>
      <c r="H117" s="2"/>
      <c r="I117" s="2"/>
      <c r="J117" s="2"/>
      <c r="K117" s="2"/>
      <c r="L117" s="2"/>
      <c r="M117" s="2"/>
      <c r="N117" s="2"/>
      <c r="O117" s="2"/>
      <c r="P117" s="2"/>
      <c r="Q117" s="2"/>
      <c r="R117" s="2"/>
      <c r="S117" s="2"/>
      <c r="T117" s="2"/>
      <c r="U117" s="2"/>
    </row>
    <row r="118" spans="1:21" ht="15.75" customHeight="1">
      <c r="A118" s="28"/>
      <c r="B118" s="29" t="s">
        <v>53</v>
      </c>
      <c r="C118" s="30"/>
      <c r="D118" s="2"/>
      <c r="E118" s="2" t="b">
        <f t="shared" ref="E118:Q118" si="91">E105+E106-E110+E115=E116</f>
        <v>1</v>
      </c>
      <c r="F118" s="2" t="b">
        <f t="shared" si="91"/>
        <v>1</v>
      </c>
      <c r="G118" s="2" t="b">
        <f t="shared" si="91"/>
        <v>1</v>
      </c>
      <c r="H118" s="2" t="b">
        <f t="shared" si="91"/>
        <v>1</v>
      </c>
      <c r="I118" s="2" t="b">
        <f t="shared" si="91"/>
        <v>1</v>
      </c>
      <c r="J118" s="2" t="b">
        <f t="shared" si="91"/>
        <v>1</v>
      </c>
      <c r="K118" s="2" t="b">
        <f t="shared" si="91"/>
        <v>1</v>
      </c>
      <c r="L118" s="2" t="b">
        <f t="shared" si="91"/>
        <v>1</v>
      </c>
      <c r="M118" s="2" t="b">
        <f t="shared" si="91"/>
        <v>1</v>
      </c>
      <c r="N118" s="2" t="b">
        <f t="shared" si="91"/>
        <v>1</v>
      </c>
      <c r="O118" s="2" t="b">
        <f t="shared" si="91"/>
        <v>1</v>
      </c>
      <c r="P118" s="2" t="b">
        <f t="shared" si="91"/>
        <v>1</v>
      </c>
      <c r="Q118" s="2" t="b">
        <f t="shared" si="91"/>
        <v>1</v>
      </c>
      <c r="R118" s="2" t="b">
        <f t="shared" ref="R118:S118" si="92">R105+R106-R110+R115=R116</f>
        <v>1</v>
      </c>
      <c r="S118" s="2" t="b">
        <f t="shared" si="92"/>
        <v>1</v>
      </c>
      <c r="T118" s="2" t="b">
        <f t="shared" ref="T118" si="93">T105+T106-T110+T115=T116</f>
        <v>1</v>
      </c>
      <c r="U118" s="2"/>
    </row>
    <row r="119" spans="1:21" ht="15.75" customHeight="1">
      <c r="A119" s="1"/>
      <c r="B119" s="2"/>
      <c r="C119" s="2"/>
      <c r="D119" s="20"/>
      <c r="E119" s="2"/>
      <c r="F119" s="2"/>
      <c r="G119" s="2"/>
      <c r="H119" s="2"/>
      <c r="I119" s="2"/>
      <c r="J119" s="2"/>
      <c r="K119" s="2"/>
      <c r="L119" s="2"/>
      <c r="M119" s="2"/>
      <c r="N119" s="2"/>
      <c r="O119" s="2"/>
      <c r="P119" s="2"/>
      <c r="Q119" s="2"/>
      <c r="R119" s="2"/>
      <c r="S119" s="2"/>
      <c r="T119" s="2"/>
      <c r="U119" s="2"/>
    </row>
    <row r="120" spans="1:21" ht="15.75" customHeight="1">
      <c r="A120" s="6" t="s">
        <v>102</v>
      </c>
      <c r="B120" s="2"/>
      <c r="C120" s="2"/>
      <c r="D120" s="2"/>
      <c r="E120" s="2"/>
      <c r="F120" s="2"/>
      <c r="G120" s="2"/>
      <c r="H120" s="2"/>
      <c r="I120" s="2"/>
      <c r="J120" s="2"/>
      <c r="K120" s="2"/>
      <c r="L120" s="2"/>
      <c r="M120" s="2"/>
      <c r="N120" s="2"/>
      <c r="O120" s="2"/>
      <c r="P120" s="2"/>
      <c r="Q120" s="2"/>
      <c r="R120" s="2"/>
      <c r="S120" s="2"/>
      <c r="T120" s="2"/>
      <c r="U120" s="2"/>
    </row>
    <row r="121" spans="1:21" ht="15.75" customHeight="1" thickBot="1">
      <c r="A121" s="7"/>
      <c r="B121" s="2"/>
      <c r="C121" s="2"/>
      <c r="D121" s="2"/>
      <c r="E121" s="2"/>
      <c r="F121" s="2"/>
      <c r="G121" s="2"/>
      <c r="H121" s="2"/>
      <c r="I121" s="2"/>
      <c r="J121" s="2"/>
      <c r="K121" s="2"/>
      <c r="L121" s="2"/>
      <c r="M121" s="2"/>
      <c r="N121" s="2"/>
      <c r="O121" s="2"/>
      <c r="P121" s="2"/>
      <c r="Q121" s="2"/>
      <c r="R121" s="2"/>
      <c r="S121" s="2"/>
      <c r="T121" s="2"/>
      <c r="U121" s="2"/>
    </row>
    <row r="122" spans="1:21" ht="15.75" customHeight="1" thickBot="1">
      <c r="A122" s="110" t="s">
        <v>3</v>
      </c>
      <c r="B122" s="108" t="s">
        <v>4</v>
      </c>
      <c r="C122" s="109" t="s">
        <v>5</v>
      </c>
      <c r="D122" s="109">
        <f t="shared" ref="D122:T122" si="94">D$3</f>
        <v>2008</v>
      </c>
      <c r="E122" s="109">
        <f t="shared" si="94"/>
        <v>2009</v>
      </c>
      <c r="F122" s="109">
        <f t="shared" si="94"/>
        <v>2010</v>
      </c>
      <c r="G122" s="109">
        <f t="shared" si="94"/>
        <v>2011</v>
      </c>
      <c r="H122" s="109">
        <f t="shared" si="94"/>
        <v>2012</v>
      </c>
      <c r="I122" s="109">
        <f t="shared" si="94"/>
        <v>2013</v>
      </c>
      <c r="J122" s="109">
        <f t="shared" si="94"/>
        <v>2014</v>
      </c>
      <c r="K122" s="109">
        <f t="shared" si="94"/>
        <v>2015</v>
      </c>
      <c r="L122" s="109">
        <f t="shared" si="94"/>
        <v>2016</v>
      </c>
      <c r="M122" s="109">
        <f t="shared" si="94"/>
        <v>2017</v>
      </c>
      <c r="N122" s="109">
        <f t="shared" si="94"/>
        <v>2018</v>
      </c>
      <c r="O122" s="109">
        <f t="shared" si="94"/>
        <v>2019</v>
      </c>
      <c r="P122" s="109">
        <f t="shared" si="94"/>
        <v>2020</v>
      </c>
      <c r="Q122" s="109">
        <f t="shared" si="94"/>
        <v>2021</v>
      </c>
      <c r="R122" s="109">
        <f t="shared" si="94"/>
        <v>2022</v>
      </c>
      <c r="S122" s="109">
        <f t="shared" si="94"/>
        <v>2023</v>
      </c>
      <c r="T122" s="109">
        <f t="shared" si="94"/>
        <v>2024</v>
      </c>
      <c r="U122" s="2"/>
    </row>
    <row r="123" spans="1:21" ht="15.75" customHeight="1">
      <c r="A123" s="9">
        <v>-1</v>
      </c>
      <c r="B123" s="9">
        <f t="shared" ref="B123:T123" si="95">A123-1</f>
        <v>-2</v>
      </c>
      <c r="C123" s="9">
        <f t="shared" si="95"/>
        <v>-3</v>
      </c>
      <c r="D123" s="9">
        <f t="shared" si="95"/>
        <v>-4</v>
      </c>
      <c r="E123" s="9">
        <f t="shared" si="95"/>
        <v>-5</v>
      </c>
      <c r="F123" s="9">
        <f t="shared" si="95"/>
        <v>-6</v>
      </c>
      <c r="G123" s="9">
        <f t="shared" si="95"/>
        <v>-7</v>
      </c>
      <c r="H123" s="9">
        <f t="shared" si="95"/>
        <v>-8</v>
      </c>
      <c r="I123" s="9">
        <f t="shared" si="95"/>
        <v>-9</v>
      </c>
      <c r="J123" s="9">
        <f t="shared" si="95"/>
        <v>-10</v>
      </c>
      <c r="K123" s="9">
        <f t="shared" si="95"/>
        <v>-11</v>
      </c>
      <c r="L123" s="9">
        <f t="shared" si="95"/>
        <v>-12</v>
      </c>
      <c r="M123" s="9">
        <f t="shared" si="95"/>
        <v>-13</v>
      </c>
      <c r="N123" s="9">
        <f t="shared" si="95"/>
        <v>-14</v>
      </c>
      <c r="O123" s="9">
        <f t="shared" si="95"/>
        <v>-15</v>
      </c>
      <c r="P123" s="9">
        <f t="shared" si="95"/>
        <v>-16</v>
      </c>
      <c r="Q123" s="9">
        <f t="shared" si="95"/>
        <v>-17</v>
      </c>
      <c r="R123" s="9">
        <f t="shared" si="95"/>
        <v>-18</v>
      </c>
      <c r="S123" s="9">
        <f t="shared" si="95"/>
        <v>-19</v>
      </c>
      <c r="T123" s="9">
        <f t="shared" si="95"/>
        <v>-20</v>
      </c>
      <c r="U123" s="2"/>
    </row>
    <row r="124" spans="1:21" ht="15.75" customHeight="1">
      <c r="A124" s="14">
        <v>1</v>
      </c>
      <c r="B124" s="15" t="s">
        <v>55</v>
      </c>
      <c r="C124" s="14" t="s">
        <v>85</v>
      </c>
      <c r="D124" s="18">
        <f t="shared" ref="D124:Q124" si="96">D78</f>
        <v>6894949.1037517563</v>
      </c>
      <c r="E124" s="18">
        <f t="shared" si="96"/>
        <v>3783849.5109455967</v>
      </c>
      <c r="F124" s="18">
        <f t="shared" si="96"/>
        <v>3228451.2974425079</v>
      </c>
      <c r="G124" s="18">
        <f t="shared" si="96"/>
        <v>5647810.0366548933</v>
      </c>
      <c r="H124" s="18">
        <f t="shared" si="96"/>
        <v>4456476.1416086173</v>
      </c>
      <c r="I124" s="18">
        <f t="shared" si="96"/>
        <v>6180696.1068227105</v>
      </c>
      <c r="J124" s="18">
        <f t="shared" si="96"/>
        <v>49961240.693420179</v>
      </c>
      <c r="K124" s="18">
        <f t="shared" si="96"/>
        <v>119407289.31042731</v>
      </c>
      <c r="L124" s="18">
        <f t="shared" si="96"/>
        <v>158983497.99002871</v>
      </c>
      <c r="M124" s="18">
        <f t="shared" si="96"/>
        <v>93351028.351573393</v>
      </c>
      <c r="N124" s="18">
        <f t="shared" si="96"/>
        <v>5792223.6599498028</v>
      </c>
      <c r="O124" s="18">
        <f t="shared" si="96"/>
        <v>2216937.0441981885</v>
      </c>
      <c r="P124" s="18">
        <f t="shared" si="96"/>
        <v>5178729.0451321388</v>
      </c>
      <c r="Q124" s="18">
        <f t="shared" si="96"/>
        <v>7271473.8300001035</v>
      </c>
      <c r="R124" s="18">
        <f t="shared" ref="R124:S124" si="97">R78</f>
        <v>5942665.8962957114</v>
      </c>
      <c r="S124" s="18">
        <f t="shared" si="97"/>
        <v>3767293.9746979689</v>
      </c>
      <c r="T124" s="18">
        <f t="shared" ref="T124" si="98">T78</f>
        <v>4696942.3576503806</v>
      </c>
      <c r="U124" s="2"/>
    </row>
    <row r="125" spans="1:21" ht="15.75" customHeight="1">
      <c r="A125" s="14">
        <f t="shared" ref="A125:A132" si="99">A124+1</f>
        <v>2</v>
      </c>
      <c r="B125" s="15" t="s">
        <v>56</v>
      </c>
      <c r="C125" s="14" t="s">
        <v>84</v>
      </c>
      <c r="D125" s="18">
        <f t="shared" ref="D125:Q125" si="100">D77</f>
        <v>129551.41552347</v>
      </c>
      <c r="E125" s="18">
        <f t="shared" si="100"/>
        <v>251614.19024900001</v>
      </c>
      <c r="F125" s="18">
        <f t="shared" si="100"/>
        <v>371583.56567400007</v>
      </c>
      <c r="G125" s="18">
        <f t="shared" si="100"/>
        <v>651326.79421100009</v>
      </c>
      <c r="H125" s="18">
        <f t="shared" si="100"/>
        <v>825443.66638510022</v>
      </c>
      <c r="I125" s="18">
        <f t="shared" si="100"/>
        <v>1217377.1304835</v>
      </c>
      <c r="J125" s="18">
        <f t="shared" si="100"/>
        <v>169896.92194</v>
      </c>
      <c r="K125" s="18">
        <f t="shared" si="100"/>
        <v>107528.17887999999</v>
      </c>
      <c r="L125" s="18">
        <f t="shared" si="100"/>
        <v>153227.93894000002</v>
      </c>
      <c r="M125" s="18">
        <f t="shared" si="100"/>
        <v>230576.75160000002</v>
      </c>
      <c r="N125" s="18">
        <f t="shared" si="100"/>
        <v>608244.28799999994</v>
      </c>
      <c r="O125" s="18">
        <f t="shared" si="100"/>
        <v>1477180.9296468247</v>
      </c>
      <c r="P125" s="18">
        <f t="shared" si="100"/>
        <v>1414703.1612319238</v>
      </c>
      <c r="Q125" s="18">
        <f t="shared" si="100"/>
        <v>1648073.4046</v>
      </c>
      <c r="R125" s="18">
        <f t="shared" ref="R125:S125" si="101">R77</f>
        <v>2104154.0679999995</v>
      </c>
      <c r="S125" s="18">
        <f t="shared" si="101"/>
        <v>3719913.7920125993</v>
      </c>
      <c r="T125" s="18">
        <f t="shared" ref="T125" si="102">T77</f>
        <v>3767666.1173690013</v>
      </c>
      <c r="U125" s="2"/>
    </row>
    <row r="126" spans="1:21" ht="15.75" customHeight="1">
      <c r="A126" s="14">
        <f t="shared" si="99"/>
        <v>3</v>
      </c>
      <c r="B126" s="15" t="s">
        <v>57</v>
      </c>
      <c r="C126" s="14" t="s">
        <v>58</v>
      </c>
      <c r="D126" s="18">
        <f t="shared" ref="D126:Q126" si="103">D124*D125/1000000000</f>
        <v>893.25041635332082</v>
      </c>
      <c r="E126" s="18">
        <f t="shared" si="103"/>
        <v>952.07023072065101</v>
      </c>
      <c r="F126" s="18">
        <f t="shared" si="103"/>
        <v>1199.6394447085388</v>
      </c>
      <c r="G126" s="18">
        <f t="shared" si="103"/>
        <v>3678.5700054871427</v>
      </c>
      <c r="H126" s="18">
        <f t="shared" si="103"/>
        <v>3678.5700054871422</v>
      </c>
      <c r="I126" s="18">
        <f t="shared" si="103"/>
        <v>7524.2380909143712</v>
      </c>
      <c r="J126" s="18">
        <f t="shared" si="103"/>
        <v>8488.2610101155587</v>
      </c>
      <c r="K126" s="18">
        <f t="shared" si="103"/>
        <v>12839.648364547538</v>
      </c>
      <c r="L126" s="18">
        <f t="shared" si="103"/>
        <v>24360.713722483735</v>
      </c>
      <c r="M126" s="18">
        <f t="shared" si="103"/>
        <v>21524.576875825296</v>
      </c>
      <c r="N126" s="18">
        <f t="shared" si="103"/>
        <v>3523.0869559829216</v>
      </c>
      <c r="O126" s="18">
        <f t="shared" si="103"/>
        <v>3274.8171239171634</v>
      </c>
      <c r="P126" s="18">
        <f t="shared" si="103"/>
        <v>7326.3643513120196</v>
      </c>
      <c r="Q126" s="18">
        <f t="shared" si="103"/>
        <v>11983.922631468073</v>
      </c>
      <c r="R126" s="18">
        <f t="shared" ref="R126:S126" si="104">R124*R125/1000000000</f>
        <v>12504.284620455484</v>
      </c>
      <c r="S126" s="18">
        <f t="shared" si="104"/>
        <v>14014.008815044939</v>
      </c>
      <c r="T126" s="18">
        <f t="shared" ref="T126" si="105">T124*T125/1000000000</f>
        <v>17696.510576154615</v>
      </c>
      <c r="U126" s="2"/>
    </row>
    <row r="127" spans="1:21" ht="15.75" customHeight="1">
      <c r="A127" s="14">
        <f t="shared" si="99"/>
        <v>4</v>
      </c>
      <c r="B127" s="21" t="s">
        <v>59</v>
      </c>
      <c r="C127" s="14" t="s">
        <v>60</v>
      </c>
      <c r="D127" s="18">
        <f t="shared" ref="D127:M127" si="106">D116/D125*1000</f>
        <v>0</v>
      </c>
      <c r="E127" s="18">
        <f t="shared" si="106"/>
        <v>0</v>
      </c>
      <c r="F127" s="18">
        <f t="shared" si="106"/>
        <v>0</v>
      </c>
      <c r="G127" s="18">
        <f t="shared" si="106"/>
        <v>0</v>
      </c>
      <c r="H127" s="18">
        <f t="shared" si="106"/>
        <v>26.29339951321937</v>
      </c>
      <c r="I127" s="18">
        <f t="shared" si="106"/>
        <v>17.699948580570158</v>
      </c>
      <c r="J127" s="18">
        <f t="shared" si="106"/>
        <v>125.83107660743769</v>
      </c>
      <c r="K127" s="18">
        <f t="shared" si="106"/>
        <v>473.10672322845539</v>
      </c>
      <c r="L127" s="18">
        <f t="shared" si="106"/>
        <v>316.944101282904</v>
      </c>
      <c r="M127" s="18">
        <f t="shared" si="106"/>
        <v>270.4083675710869</v>
      </c>
      <c r="N127" s="18">
        <f t="shared" ref="N127:T127" si="107">AVERAGE(J116/J125*1000,K116/K125*1000,L116/L125*1000,M116/M125*1000,N116/N125*1000)</f>
        <v>262.48533774989011</v>
      </c>
      <c r="O127" s="18">
        <f t="shared" si="107"/>
        <v>247.06601577980967</v>
      </c>
      <c r="P127" s="18">
        <f t="shared" si="107"/>
        <v>159.40879517369504</v>
      </c>
      <c r="Q127" s="18">
        <f t="shared" si="107"/>
        <v>102.95072968089994</v>
      </c>
      <c r="R127" s="18">
        <f t="shared" si="107"/>
        <v>54.102882704141223</v>
      </c>
      <c r="S127" s="18">
        <f t="shared" si="107"/>
        <v>31.892721695696856</v>
      </c>
      <c r="T127" s="18">
        <f t="shared" si="107"/>
        <v>25.438575316429425</v>
      </c>
      <c r="U127" s="2"/>
    </row>
    <row r="128" spans="1:21" ht="15.75" customHeight="1">
      <c r="A128" s="113">
        <f t="shared" si="99"/>
        <v>5</v>
      </c>
      <c r="B128" s="33" t="s">
        <v>61</v>
      </c>
      <c r="C128" s="114"/>
      <c r="D128" s="33">
        <v>0.1318648305084745</v>
      </c>
      <c r="E128" s="33">
        <v>0.11456120218579237</v>
      </c>
      <c r="F128" s="33">
        <v>9.6083870967741916E-2</v>
      </c>
      <c r="G128" s="33">
        <v>8.4860816326530641E-2</v>
      </c>
      <c r="H128" s="33">
        <v>6.6462195121951215E-2</v>
      </c>
      <c r="I128" s="33">
        <v>7.5548571428571409E-2</v>
      </c>
      <c r="J128" s="33">
        <v>8.6841975308642003E-2</v>
      </c>
      <c r="K128" s="33">
        <v>8.4721074380165282E-2</v>
      </c>
      <c r="L128" s="33">
        <v>7.9230487804878069E-2</v>
      </c>
      <c r="M128" s="33">
        <v>7.6071308016877698E-2</v>
      </c>
      <c r="N128" s="33">
        <f>Bond!M26</f>
        <v>8.3599999999999994E-2</v>
      </c>
      <c r="O128" s="33">
        <f>Bond!N26</f>
        <v>7.6499999999999999E-2</v>
      </c>
      <c r="P128" s="33">
        <f>Bond!O26</f>
        <v>6.4799999999999996E-2</v>
      </c>
      <c r="Q128" s="33">
        <f>Bond!P26</f>
        <v>7.0499999999999993E-2</v>
      </c>
      <c r="R128" s="33">
        <f>Bond!Q26</f>
        <v>7.0900000000000005E-2</v>
      </c>
      <c r="S128" s="33">
        <f>Bond!R26</f>
        <v>6.7699999999999996E-2</v>
      </c>
      <c r="T128" s="33">
        <f>Bond!S26</f>
        <v>7.0900000000000005E-2</v>
      </c>
      <c r="U128" s="2"/>
    </row>
    <row r="129" spans="1:21" ht="15.75" customHeight="1">
      <c r="A129" s="115">
        <f t="shared" si="99"/>
        <v>6</v>
      </c>
      <c r="B129" s="21" t="s">
        <v>62</v>
      </c>
      <c r="C129" s="14"/>
      <c r="D129" s="16" t="e">
        <f t="shared" ref="D129:Q129" si="108">PV(D128,D127,-1/D127)</f>
        <v>#DIV/0!</v>
      </c>
      <c r="E129" s="16" t="e">
        <f t="shared" si="108"/>
        <v>#DIV/0!</v>
      </c>
      <c r="F129" s="16" t="e">
        <f t="shared" si="108"/>
        <v>#DIV/0!</v>
      </c>
      <c r="G129" s="16" t="e">
        <f t="shared" si="108"/>
        <v>#DIV/0!</v>
      </c>
      <c r="H129" s="16">
        <f t="shared" si="108"/>
        <v>0.46685099177186484</v>
      </c>
      <c r="I129" s="16">
        <f t="shared" si="108"/>
        <v>0.54178787131407879</v>
      </c>
      <c r="J129" s="16">
        <f t="shared" si="108"/>
        <v>9.1510341928265848E-2</v>
      </c>
      <c r="K129" s="16">
        <f t="shared" si="108"/>
        <v>2.4948786448229104E-2</v>
      </c>
      <c r="L129" s="16">
        <f t="shared" si="108"/>
        <v>3.9822176853110063E-2</v>
      </c>
      <c r="M129" s="16">
        <f t="shared" si="108"/>
        <v>4.8613734938783071E-2</v>
      </c>
      <c r="N129" s="16">
        <f t="shared" si="108"/>
        <v>4.5571012012176997E-2</v>
      </c>
      <c r="O129" s="16">
        <f t="shared" si="108"/>
        <v>5.2908512012884233E-2</v>
      </c>
      <c r="P129" s="16">
        <f t="shared" si="108"/>
        <v>9.6803970379990209E-2</v>
      </c>
      <c r="Q129" s="16">
        <f t="shared" si="108"/>
        <v>0.13765456037145121</v>
      </c>
      <c r="R129" s="16">
        <f t="shared" ref="R129:S129" si="109">PV(R128,R127,-1/R127)</f>
        <v>0.25428874299786475</v>
      </c>
      <c r="S129" s="16">
        <f t="shared" si="109"/>
        <v>0.40581610069689911</v>
      </c>
      <c r="T129" s="16">
        <f t="shared" ref="T129" si="110">PV(T128,T127,-1/T127)</f>
        <v>0.4573768960411741</v>
      </c>
      <c r="U129" s="2"/>
    </row>
    <row r="130" spans="1:21" ht="15.75" customHeight="1">
      <c r="A130" s="116">
        <f t="shared" si="99"/>
        <v>7</v>
      </c>
      <c r="B130" s="24" t="s">
        <v>63</v>
      </c>
      <c r="C130" s="23" t="s">
        <v>58</v>
      </c>
      <c r="D130" s="25" t="e">
        <f t="shared" ref="D130:Q130" si="111">D126*D127*D129</f>
        <v>#DIV/0!</v>
      </c>
      <c r="E130" s="25" t="e">
        <f t="shared" si="111"/>
        <v>#DIV/0!</v>
      </c>
      <c r="F130" s="25" t="e">
        <f t="shared" si="111"/>
        <v>#DIV/0!</v>
      </c>
      <c r="G130" s="25" t="e">
        <f t="shared" si="111"/>
        <v>#DIV/0!</v>
      </c>
      <c r="H130" s="25">
        <f t="shared" si="111"/>
        <v>45154.81334933552</v>
      </c>
      <c r="I130" s="25">
        <f t="shared" si="111"/>
        <v>72154.564998690679</v>
      </c>
      <c r="J130" s="25">
        <f t="shared" si="111"/>
        <v>97741.008539998918</v>
      </c>
      <c r="K130" s="25">
        <f t="shared" si="111"/>
        <v>151552.00118134395</v>
      </c>
      <c r="L130" s="25">
        <f t="shared" si="111"/>
        <v>307466.41093133908</v>
      </c>
      <c r="M130" s="25">
        <f t="shared" si="111"/>
        <v>282952.63199922501</v>
      </c>
      <c r="N130" s="25">
        <f t="shared" si="111"/>
        <v>42142.188439038946</v>
      </c>
      <c r="O130" s="25">
        <f t="shared" si="111"/>
        <v>42808.066452145322</v>
      </c>
      <c r="P130" s="25">
        <f t="shared" si="111"/>
        <v>113056.09025386334</v>
      </c>
      <c r="Q130" s="25">
        <f t="shared" si="111"/>
        <v>169831.80657200314</v>
      </c>
      <c r="R130" s="25">
        <f t="shared" ref="R130:S130" si="112">R126*R127*R129</f>
        <v>172030.87219682394</v>
      </c>
      <c r="S130" s="25">
        <f t="shared" si="112"/>
        <v>181377.42963707951</v>
      </c>
      <c r="T130" s="25">
        <f t="shared" ref="T130" si="113">T126*T127*T129</f>
        <v>205899.19463307661</v>
      </c>
      <c r="U130" s="13"/>
    </row>
    <row r="131" spans="1:21" ht="15.75" customHeight="1">
      <c r="A131" s="115">
        <f t="shared" si="99"/>
        <v>8</v>
      </c>
      <c r="B131" s="21" t="s">
        <v>64</v>
      </c>
      <c r="C131" s="14" t="s">
        <v>107</v>
      </c>
      <c r="D131" s="18">
        <f t="shared" ref="D131:Q131" si="114">D116</f>
        <v>0</v>
      </c>
      <c r="E131" s="18">
        <f t="shared" si="114"/>
        <v>0</v>
      </c>
      <c r="F131" s="18">
        <f t="shared" si="114"/>
        <v>0</v>
      </c>
      <c r="G131" s="18">
        <f t="shared" si="114"/>
        <v>0</v>
      </c>
      <c r="H131" s="18">
        <f t="shared" si="114"/>
        <v>21703.720095920005</v>
      </c>
      <c r="I131" s="18">
        <f t="shared" si="114"/>
        <v>21547.512612719998</v>
      </c>
      <c r="J131" s="18">
        <f t="shared" si="114"/>
        <v>21378.312600000001</v>
      </c>
      <c r="K131" s="18">
        <f t="shared" si="114"/>
        <v>50872.304364639996</v>
      </c>
      <c r="L131" s="18">
        <f t="shared" si="114"/>
        <v>48564.691398769995</v>
      </c>
      <c r="M131" s="18">
        <f t="shared" si="114"/>
        <v>62349.883000000002</v>
      </c>
      <c r="N131" s="18">
        <f t="shared" si="114"/>
        <v>76721.757009999987</v>
      </c>
      <c r="O131" s="18">
        <f t="shared" si="114"/>
        <v>71989.624909999999</v>
      </c>
      <c r="P131" s="18">
        <f t="shared" si="114"/>
        <v>49260.841469999999</v>
      </c>
      <c r="Q131" s="18">
        <f t="shared" si="114"/>
        <v>57111.963000000003</v>
      </c>
      <c r="R131" s="18">
        <f t="shared" ref="R131:S131" si="115">R116</f>
        <v>55063.887000000002</v>
      </c>
      <c r="S131" s="18">
        <f t="shared" si="115"/>
        <v>56117.187364013123</v>
      </c>
      <c r="T131" s="18">
        <f t="shared" ref="T131" si="116">T116</f>
        <v>62029.856</v>
      </c>
      <c r="U131" s="2"/>
    </row>
    <row r="132" spans="1:21" ht="15.75" customHeight="1">
      <c r="A132" s="115">
        <f t="shared" si="99"/>
        <v>9</v>
      </c>
      <c r="B132" s="15" t="s">
        <v>65</v>
      </c>
      <c r="C132" s="14" t="s">
        <v>85</v>
      </c>
      <c r="D132" s="18" t="e">
        <f t="shared" ref="D132:Q132" si="117">D130/D131*1000000</f>
        <v>#DIV/0!</v>
      </c>
      <c r="E132" s="18" t="e">
        <f t="shared" si="117"/>
        <v>#DIV/0!</v>
      </c>
      <c r="F132" s="18" t="e">
        <f t="shared" si="117"/>
        <v>#DIV/0!</v>
      </c>
      <c r="G132" s="18" t="e">
        <f t="shared" si="117"/>
        <v>#DIV/0!</v>
      </c>
      <c r="H132" s="18">
        <f t="shared" si="117"/>
        <v>2080510.3065176364</v>
      </c>
      <c r="I132" s="18">
        <f t="shared" si="117"/>
        <v>3348626.1869546911</v>
      </c>
      <c r="J132" s="18">
        <f t="shared" si="117"/>
        <v>4571970.2190152705</v>
      </c>
      <c r="K132" s="18">
        <f t="shared" si="117"/>
        <v>2979066.9613677608</v>
      </c>
      <c r="L132" s="18">
        <f t="shared" si="117"/>
        <v>6331068.9736849917</v>
      </c>
      <c r="M132" s="18">
        <f t="shared" si="117"/>
        <v>4538142.1485462133</v>
      </c>
      <c r="N132" s="18">
        <f t="shared" si="117"/>
        <v>549286.01848294598</v>
      </c>
      <c r="O132" s="18">
        <f t="shared" si="117"/>
        <v>594642.1655295901</v>
      </c>
      <c r="P132" s="18">
        <f t="shared" si="117"/>
        <v>2295049.9195738435</v>
      </c>
      <c r="Q132" s="18">
        <f t="shared" si="117"/>
        <v>2973664.319190064</v>
      </c>
      <c r="R132" s="18">
        <f t="shared" ref="R132:S132" si="118">R130/R131*1000000</f>
        <v>3124205.020194523</v>
      </c>
      <c r="S132" s="18">
        <f t="shared" si="118"/>
        <v>3232119.037979323</v>
      </c>
      <c r="T132" s="18">
        <f t="shared" ref="T132" si="119">T130/T131*1000000</f>
        <v>3319356.3214635965</v>
      </c>
      <c r="U132" s="2"/>
    </row>
    <row r="133" spans="1:21" ht="15.75" customHeight="1">
      <c r="A133" s="1"/>
      <c r="B133" s="2"/>
      <c r="C133" s="2"/>
      <c r="D133" s="2"/>
      <c r="E133" s="2"/>
      <c r="F133" s="2"/>
      <c r="G133" s="2"/>
      <c r="H133" s="2"/>
      <c r="I133" s="2"/>
      <c r="J133" s="2"/>
      <c r="K133" s="2"/>
      <c r="L133" s="2"/>
      <c r="M133" s="2"/>
      <c r="N133" s="2"/>
      <c r="O133" s="2"/>
      <c r="P133" s="2"/>
      <c r="Q133" s="2"/>
      <c r="R133" s="2"/>
      <c r="S133" s="2"/>
      <c r="T133" s="2"/>
      <c r="U133" s="2"/>
    </row>
    <row r="134" spans="1:21" ht="15.75" customHeight="1">
      <c r="A134" s="1"/>
      <c r="B134" s="2"/>
      <c r="C134" s="2"/>
      <c r="D134" s="2"/>
      <c r="E134" s="2"/>
      <c r="F134" s="2"/>
      <c r="G134" s="2"/>
      <c r="H134" s="2"/>
      <c r="I134" s="2"/>
      <c r="J134" s="2"/>
      <c r="K134" s="2"/>
      <c r="L134" s="2"/>
      <c r="M134" s="2"/>
      <c r="N134" s="2"/>
      <c r="O134" s="2"/>
      <c r="P134" s="2"/>
      <c r="Q134" s="2"/>
      <c r="R134" s="2"/>
      <c r="S134" s="2"/>
      <c r="T134" s="2"/>
      <c r="U134" s="2"/>
    </row>
    <row r="135" spans="1:21" ht="15.75" customHeight="1">
      <c r="A135" s="6" t="s">
        <v>103</v>
      </c>
      <c r="B135" s="2"/>
      <c r="C135" s="2"/>
      <c r="D135" s="2"/>
      <c r="E135" s="2"/>
      <c r="F135" s="2"/>
      <c r="G135" s="2"/>
      <c r="H135" s="2"/>
      <c r="I135" s="2"/>
      <c r="J135" s="2"/>
      <c r="K135" s="2"/>
      <c r="L135" s="2"/>
      <c r="M135" s="2"/>
      <c r="N135" s="2"/>
      <c r="O135" s="2"/>
      <c r="P135" s="2"/>
      <c r="Q135" s="2"/>
      <c r="R135" s="2"/>
      <c r="S135" s="2"/>
      <c r="T135" s="2"/>
      <c r="U135" s="2"/>
    </row>
    <row r="136" spans="1:21" ht="15.75" customHeight="1" thickBot="1">
      <c r="A136" s="19"/>
      <c r="B136" s="2"/>
      <c r="C136" s="2"/>
      <c r="D136" s="2"/>
      <c r="E136" s="2"/>
      <c r="F136" s="2"/>
      <c r="G136" s="2"/>
      <c r="H136" s="2"/>
      <c r="I136" s="2"/>
      <c r="J136" s="2"/>
      <c r="K136" s="2"/>
      <c r="L136" s="2"/>
      <c r="M136" s="2"/>
      <c r="N136" s="2"/>
      <c r="O136" s="2"/>
      <c r="P136" s="2"/>
      <c r="Q136" s="2"/>
      <c r="R136" s="2"/>
      <c r="S136" s="2"/>
      <c r="T136" s="2"/>
      <c r="U136" s="2"/>
    </row>
    <row r="137" spans="1:21" ht="15.75" customHeight="1" thickBot="1">
      <c r="A137" s="110" t="s">
        <v>3</v>
      </c>
      <c r="B137" s="108" t="s">
        <v>4</v>
      </c>
      <c r="C137" s="109" t="s">
        <v>5</v>
      </c>
      <c r="D137" s="109">
        <f t="shared" ref="D137:T137" si="120">D$3</f>
        <v>2008</v>
      </c>
      <c r="E137" s="109">
        <f t="shared" si="120"/>
        <v>2009</v>
      </c>
      <c r="F137" s="109">
        <f t="shared" si="120"/>
        <v>2010</v>
      </c>
      <c r="G137" s="109">
        <f t="shared" si="120"/>
        <v>2011</v>
      </c>
      <c r="H137" s="109">
        <f t="shared" si="120"/>
        <v>2012</v>
      </c>
      <c r="I137" s="109">
        <f t="shared" si="120"/>
        <v>2013</v>
      </c>
      <c r="J137" s="109">
        <f t="shared" si="120"/>
        <v>2014</v>
      </c>
      <c r="K137" s="109">
        <f t="shared" si="120"/>
        <v>2015</v>
      </c>
      <c r="L137" s="109">
        <f t="shared" si="120"/>
        <v>2016</v>
      </c>
      <c r="M137" s="109">
        <f t="shared" si="120"/>
        <v>2017</v>
      </c>
      <c r="N137" s="109">
        <f t="shared" si="120"/>
        <v>2018</v>
      </c>
      <c r="O137" s="109">
        <f t="shared" si="120"/>
        <v>2019</v>
      </c>
      <c r="P137" s="109">
        <f t="shared" si="120"/>
        <v>2020</v>
      </c>
      <c r="Q137" s="109">
        <f t="shared" si="120"/>
        <v>2021</v>
      </c>
      <c r="R137" s="109">
        <f t="shared" si="120"/>
        <v>2022</v>
      </c>
      <c r="S137" s="109">
        <f t="shared" si="120"/>
        <v>2023</v>
      </c>
      <c r="T137" s="109">
        <f t="shared" si="120"/>
        <v>2024</v>
      </c>
      <c r="U137" s="2"/>
    </row>
    <row r="138" spans="1:21" ht="15.75" customHeight="1">
      <c r="A138" s="9">
        <v>-1</v>
      </c>
      <c r="B138" s="9">
        <f t="shared" ref="B138:T138" si="121">A138-1</f>
        <v>-2</v>
      </c>
      <c r="C138" s="9">
        <f t="shared" si="121"/>
        <v>-3</v>
      </c>
      <c r="D138" s="9">
        <f t="shared" si="121"/>
        <v>-4</v>
      </c>
      <c r="E138" s="9">
        <f t="shared" si="121"/>
        <v>-5</v>
      </c>
      <c r="F138" s="9">
        <f t="shared" si="121"/>
        <v>-6</v>
      </c>
      <c r="G138" s="9">
        <f t="shared" si="121"/>
        <v>-7</v>
      </c>
      <c r="H138" s="9">
        <f t="shared" si="121"/>
        <v>-8</v>
      </c>
      <c r="I138" s="9">
        <f t="shared" si="121"/>
        <v>-9</v>
      </c>
      <c r="J138" s="9">
        <f t="shared" si="121"/>
        <v>-10</v>
      </c>
      <c r="K138" s="9">
        <f t="shared" si="121"/>
        <v>-11</v>
      </c>
      <c r="L138" s="9">
        <f t="shared" si="121"/>
        <v>-12</v>
      </c>
      <c r="M138" s="9">
        <f t="shared" si="121"/>
        <v>-13</v>
      </c>
      <c r="N138" s="9">
        <f t="shared" si="121"/>
        <v>-14</v>
      </c>
      <c r="O138" s="9">
        <f t="shared" si="121"/>
        <v>-15</v>
      </c>
      <c r="P138" s="9">
        <f t="shared" si="121"/>
        <v>-16</v>
      </c>
      <c r="Q138" s="9">
        <f t="shared" si="121"/>
        <v>-17</v>
      </c>
      <c r="R138" s="9">
        <f t="shared" si="121"/>
        <v>-18</v>
      </c>
      <c r="S138" s="9">
        <f t="shared" si="121"/>
        <v>-19</v>
      </c>
      <c r="T138" s="9">
        <f t="shared" si="121"/>
        <v>-20</v>
      </c>
      <c r="U138" s="2"/>
    </row>
    <row r="139" spans="1:21" ht="15.75" customHeight="1">
      <c r="A139" s="31">
        <v>1</v>
      </c>
      <c r="B139" s="32" t="s">
        <v>41</v>
      </c>
      <c r="C139" s="31" t="s">
        <v>58</v>
      </c>
      <c r="D139" s="35"/>
      <c r="E139" s="35" t="e">
        <f t="shared" ref="E139:T139" si="122">D151</f>
        <v>#DIV/0!</v>
      </c>
      <c r="F139" s="35" t="e">
        <f t="shared" si="122"/>
        <v>#DIV/0!</v>
      </c>
      <c r="G139" s="35" t="e">
        <f t="shared" si="122"/>
        <v>#DIV/0!</v>
      </c>
      <c r="H139" s="35" t="e">
        <f t="shared" si="122"/>
        <v>#DIV/0!</v>
      </c>
      <c r="I139" s="35">
        <f t="shared" si="122"/>
        <v>45154.81334933552</v>
      </c>
      <c r="J139" s="35">
        <f t="shared" si="122"/>
        <v>72154.564998690679</v>
      </c>
      <c r="K139" s="35">
        <f t="shared" si="122"/>
        <v>97741.008539998918</v>
      </c>
      <c r="L139" s="35">
        <f t="shared" si="122"/>
        <v>151552.00118134395</v>
      </c>
      <c r="M139" s="35">
        <f t="shared" si="122"/>
        <v>307466.41093133908</v>
      </c>
      <c r="N139" s="35">
        <f t="shared" si="122"/>
        <v>282952.63199922501</v>
      </c>
      <c r="O139" s="35">
        <f t="shared" si="122"/>
        <v>42142.188439038946</v>
      </c>
      <c r="P139" s="35">
        <f t="shared" si="122"/>
        <v>42808.066452145322</v>
      </c>
      <c r="Q139" s="35">
        <f t="shared" si="122"/>
        <v>113056.09025386334</v>
      </c>
      <c r="R139" s="35">
        <f t="shared" si="122"/>
        <v>169831.80657200314</v>
      </c>
      <c r="S139" s="35">
        <f t="shared" si="122"/>
        <v>172030.87219682394</v>
      </c>
      <c r="T139" s="35">
        <f t="shared" si="122"/>
        <v>181377.42963707951</v>
      </c>
      <c r="U139" s="2"/>
    </row>
    <row r="140" spans="1:21" ht="15.75" customHeight="1">
      <c r="A140" s="31">
        <v>2</v>
      </c>
      <c r="B140" s="32" t="s">
        <v>43</v>
      </c>
      <c r="C140" s="31" t="s">
        <v>58</v>
      </c>
      <c r="D140" s="35">
        <f t="shared" ref="D140:Q140" si="123">SUM(D141:D143)</f>
        <v>0</v>
      </c>
      <c r="E140" s="35" t="e">
        <f t="shared" si="123"/>
        <v>#DIV/0!</v>
      </c>
      <c r="F140" s="35" t="e">
        <f t="shared" si="123"/>
        <v>#DIV/0!</v>
      </c>
      <c r="G140" s="35" t="e">
        <f t="shared" si="123"/>
        <v>#DIV/0!</v>
      </c>
      <c r="H140" s="35" t="e">
        <f t="shared" si="123"/>
        <v>#DIV/0!</v>
      </c>
      <c r="I140" s="35">
        <f t="shared" si="123"/>
        <v>0</v>
      </c>
      <c r="J140" s="35">
        <f t="shared" si="123"/>
        <v>0</v>
      </c>
      <c r="K140" s="35">
        <f t="shared" si="123"/>
        <v>0</v>
      </c>
      <c r="L140" s="35">
        <f t="shared" si="123"/>
        <v>0</v>
      </c>
      <c r="M140" s="35">
        <f t="shared" si="123"/>
        <v>0</v>
      </c>
      <c r="N140" s="35">
        <f t="shared" si="123"/>
        <v>0</v>
      </c>
      <c r="O140" s="35">
        <f t="shared" si="123"/>
        <v>0</v>
      </c>
      <c r="P140" s="35">
        <f t="shared" si="123"/>
        <v>0</v>
      </c>
      <c r="Q140" s="35">
        <f t="shared" si="123"/>
        <v>0</v>
      </c>
      <c r="R140" s="35">
        <f t="shared" ref="R140:S140" si="124">SUM(R141:R143)</f>
        <v>0</v>
      </c>
      <c r="S140" s="35">
        <f t="shared" si="124"/>
        <v>0</v>
      </c>
      <c r="T140" s="35">
        <f t="shared" ref="T140" si="125">SUM(T141:T143)</f>
        <v>0</v>
      </c>
      <c r="U140" s="2"/>
    </row>
    <row r="141" spans="1:21" ht="15.75" customHeight="1">
      <c r="A141" s="14">
        <v>2.1</v>
      </c>
      <c r="B141" s="15" t="s">
        <v>44</v>
      </c>
      <c r="C141" s="14" t="s">
        <v>58</v>
      </c>
      <c r="D141" s="18"/>
      <c r="E141" s="18" t="e">
        <f t="shared" ref="E141:T141" si="126">0.5*(D$132+E$132)*E107/1000000</f>
        <v>#DIV/0!</v>
      </c>
      <c r="F141" s="18" t="e">
        <f t="shared" si="126"/>
        <v>#DIV/0!</v>
      </c>
      <c r="G141" s="18" t="e">
        <f t="shared" si="126"/>
        <v>#DIV/0!</v>
      </c>
      <c r="H141" s="18" t="e">
        <f t="shared" si="126"/>
        <v>#DIV/0!</v>
      </c>
      <c r="I141" s="18">
        <f t="shared" si="126"/>
        <v>0</v>
      </c>
      <c r="J141" s="18">
        <f t="shared" si="126"/>
        <v>0</v>
      </c>
      <c r="K141" s="18">
        <f t="shared" si="126"/>
        <v>0</v>
      </c>
      <c r="L141" s="18">
        <f t="shared" si="126"/>
        <v>0</v>
      </c>
      <c r="M141" s="18">
        <f t="shared" si="126"/>
        <v>0</v>
      </c>
      <c r="N141" s="18">
        <f t="shared" si="126"/>
        <v>0</v>
      </c>
      <c r="O141" s="18">
        <f t="shared" si="126"/>
        <v>0</v>
      </c>
      <c r="P141" s="18">
        <f t="shared" si="126"/>
        <v>0</v>
      </c>
      <c r="Q141" s="18">
        <f t="shared" si="126"/>
        <v>0</v>
      </c>
      <c r="R141" s="18">
        <f t="shared" si="126"/>
        <v>0</v>
      </c>
      <c r="S141" s="18">
        <f t="shared" si="126"/>
        <v>0</v>
      </c>
      <c r="T141" s="18">
        <f t="shared" si="126"/>
        <v>0</v>
      </c>
      <c r="U141" s="2"/>
    </row>
    <row r="142" spans="1:21" ht="15.75" customHeight="1">
      <c r="A142" s="14">
        <v>2.2000000000000002</v>
      </c>
      <c r="B142" s="15" t="s">
        <v>45</v>
      </c>
      <c r="C142" s="14" t="s">
        <v>58</v>
      </c>
      <c r="D142" s="18"/>
      <c r="E142" s="18" t="e">
        <f t="shared" ref="E142:T142" si="127">0.5*(D$132+E$132)*E108/1000000</f>
        <v>#DIV/0!</v>
      </c>
      <c r="F142" s="18" t="e">
        <f t="shared" si="127"/>
        <v>#DIV/0!</v>
      </c>
      <c r="G142" s="18" t="e">
        <f t="shared" si="127"/>
        <v>#DIV/0!</v>
      </c>
      <c r="H142" s="18" t="e">
        <f t="shared" si="127"/>
        <v>#DIV/0!</v>
      </c>
      <c r="I142" s="18">
        <f t="shared" si="127"/>
        <v>0</v>
      </c>
      <c r="J142" s="18">
        <f t="shared" si="127"/>
        <v>0</v>
      </c>
      <c r="K142" s="18">
        <f t="shared" si="127"/>
        <v>0</v>
      </c>
      <c r="L142" s="18">
        <f t="shared" si="127"/>
        <v>0</v>
      </c>
      <c r="M142" s="18">
        <f t="shared" si="127"/>
        <v>0</v>
      </c>
      <c r="N142" s="18">
        <f t="shared" si="127"/>
        <v>0</v>
      </c>
      <c r="O142" s="18">
        <f t="shared" si="127"/>
        <v>0</v>
      </c>
      <c r="P142" s="18">
        <f t="shared" si="127"/>
        <v>0</v>
      </c>
      <c r="Q142" s="18">
        <f t="shared" si="127"/>
        <v>0</v>
      </c>
      <c r="R142" s="18">
        <f t="shared" si="127"/>
        <v>0</v>
      </c>
      <c r="S142" s="18">
        <f t="shared" si="127"/>
        <v>0</v>
      </c>
      <c r="T142" s="18">
        <f t="shared" si="127"/>
        <v>0</v>
      </c>
      <c r="U142" s="2"/>
    </row>
    <row r="143" spans="1:21" ht="15.75" customHeight="1">
      <c r="A143" s="14">
        <v>2.2999999999999998</v>
      </c>
      <c r="B143" s="15" t="s">
        <v>46</v>
      </c>
      <c r="C143" s="14" t="s">
        <v>58</v>
      </c>
      <c r="D143" s="18"/>
      <c r="E143" s="18" t="e">
        <f t="shared" ref="E143:T143" si="128">0.5*(D$132+E$132)*E109/1000000</f>
        <v>#DIV/0!</v>
      </c>
      <c r="F143" s="18" t="e">
        <f t="shared" si="128"/>
        <v>#DIV/0!</v>
      </c>
      <c r="G143" s="18" t="e">
        <f t="shared" si="128"/>
        <v>#DIV/0!</v>
      </c>
      <c r="H143" s="18" t="e">
        <f t="shared" si="128"/>
        <v>#DIV/0!</v>
      </c>
      <c r="I143" s="18">
        <f t="shared" si="128"/>
        <v>0</v>
      </c>
      <c r="J143" s="18">
        <f t="shared" si="128"/>
        <v>0</v>
      </c>
      <c r="K143" s="18">
        <f t="shared" si="128"/>
        <v>0</v>
      </c>
      <c r="L143" s="18">
        <f t="shared" si="128"/>
        <v>0</v>
      </c>
      <c r="M143" s="18">
        <f t="shared" si="128"/>
        <v>0</v>
      </c>
      <c r="N143" s="18">
        <f t="shared" si="128"/>
        <v>0</v>
      </c>
      <c r="O143" s="18">
        <f t="shared" si="128"/>
        <v>0</v>
      </c>
      <c r="P143" s="18">
        <f t="shared" si="128"/>
        <v>0</v>
      </c>
      <c r="Q143" s="18">
        <f t="shared" si="128"/>
        <v>0</v>
      </c>
      <c r="R143" s="18">
        <f t="shared" si="128"/>
        <v>0</v>
      </c>
      <c r="S143" s="18">
        <f t="shared" si="128"/>
        <v>0</v>
      </c>
      <c r="T143" s="18">
        <f t="shared" si="128"/>
        <v>0</v>
      </c>
      <c r="U143" s="2"/>
    </row>
    <row r="144" spans="1:21" ht="15.75" customHeight="1">
      <c r="A144" s="31">
        <v>3</v>
      </c>
      <c r="B144" s="32" t="s">
        <v>47</v>
      </c>
      <c r="C144" s="31" t="s">
        <v>58</v>
      </c>
      <c r="D144" s="35">
        <f t="shared" ref="D144:Q144" si="129">SUM(D145:D148)</f>
        <v>0</v>
      </c>
      <c r="E144" s="35" t="e">
        <f t="shared" si="129"/>
        <v>#DIV/0!</v>
      </c>
      <c r="F144" s="35" t="e">
        <f t="shared" si="129"/>
        <v>#DIV/0!</v>
      </c>
      <c r="G144" s="35" t="e">
        <f t="shared" si="129"/>
        <v>#DIV/0!</v>
      </c>
      <c r="H144" s="35" t="e">
        <f t="shared" si="129"/>
        <v>#DIV/0!</v>
      </c>
      <c r="I144" s="35">
        <f t="shared" si="129"/>
        <v>3304.6533027132964</v>
      </c>
      <c r="J144" s="35">
        <f t="shared" si="129"/>
        <v>672.84247465166152</v>
      </c>
      <c r="K144" s="35">
        <f t="shared" si="129"/>
        <v>405.97463833087869</v>
      </c>
      <c r="L144" s="35">
        <f t="shared" si="129"/>
        <v>713.28647028968169</v>
      </c>
      <c r="M144" s="35">
        <f t="shared" si="129"/>
        <v>1253.093696509331</v>
      </c>
      <c r="N144" s="35">
        <f t="shared" si="129"/>
        <v>1547.1995616028978</v>
      </c>
      <c r="O144" s="35">
        <f t="shared" si="129"/>
        <v>844.89444915442095</v>
      </c>
      <c r="P144" s="35">
        <f t="shared" si="129"/>
        <v>2044.0282638913484</v>
      </c>
      <c r="Q144" s="35">
        <f t="shared" si="129"/>
        <v>4341.6139066720662</v>
      </c>
      <c r="R144" s="35">
        <f t="shared" ref="R144:S144" si="130">SUM(R145:R148)</f>
        <v>6415.4282882992748</v>
      </c>
      <c r="S144" s="35">
        <f t="shared" si="130"/>
        <v>11822.488765251193</v>
      </c>
      <c r="T144" s="35">
        <f t="shared" ref="T144" si="131">SUM(T145:T148)</f>
        <v>12341.885865275493</v>
      </c>
      <c r="U144" s="2"/>
    </row>
    <row r="145" spans="1:21" ht="15.75" customHeight="1">
      <c r="A145" s="14">
        <v>3.1</v>
      </c>
      <c r="B145" s="15" t="s">
        <v>67</v>
      </c>
      <c r="C145" s="14" t="s">
        <v>58</v>
      </c>
      <c r="D145" s="18"/>
      <c r="E145" s="18" t="e">
        <f t="shared" ref="E145:T145" si="132">0.5*(D$132+E$132)*E111/1000000</f>
        <v>#DIV/0!</v>
      </c>
      <c r="F145" s="18" t="e">
        <f t="shared" si="132"/>
        <v>#DIV/0!</v>
      </c>
      <c r="G145" s="18" t="e">
        <f t="shared" si="132"/>
        <v>#DIV/0!</v>
      </c>
      <c r="H145" s="18" t="e">
        <f t="shared" si="132"/>
        <v>#DIV/0!</v>
      </c>
      <c r="I145" s="18">
        <f t="shared" si="132"/>
        <v>3304.6533027132964</v>
      </c>
      <c r="J145" s="18">
        <f t="shared" si="132"/>
        <v>672.84247465166152</v>
      </c>
      <c r="K145" s="18">
        <f t="shared" si="132"/>
        <v>405.97463833087869</v>
      </c>
      <c r="L145" s="18">
        <f t="shared" si="132"/>
        <v>713.28647028968169</v>
      </c>
      <c r="M145" s="18">
        <f t="shared" si="132"/>
        <v>1253.093696509331</v>
      </c>
      <c r="N145" s="18">
        <f t="shared" si="132"/>
        <v>1547.1995616028978</v>
      </c>
      <c r="O145" s="18">
        <f t="shared" si="132"/>
        <v>844.89444915442095</v>
      </c>
      <c r="P145" s="18">
        <f t="shared" si="132"/>
        <v>2044.0282638913484</v>
      </c>
      <c r="Q145" s="18">
        <f t="shared" si="132"/>
        <v>4341.6139066720662</v>
      </c>
      <c r="R145" s="18">
        <f t="shared" si="132"/>
        <v>6415.4282882992748</v>
      </c>
      <c r="S145" s="18">
        <f t="shared" si="132"/>
        <v>11822.488765251193</v>
      </c>
      <c r="T145" s="18">
        <f t="shared" si="132"/>
        <v>12341.885865275493</v>
      </c>
      <c r="U145" s="2"/>
    </row>
    <row r="146" spans="1:21" ht="15.75" customHeight="1">
      <c r="A146" s="14">
        <v>3.2</v>
      </c>
      <c r="B146" s="15" t="s">
        <v>49</v>
      </c>
      <c r="C146" s="14" t="s">
        <v>58</v>
      </c>
      <c r="D146" s="18"/>
      <c r="E146" s="18" t="e">
        <f t="shared" ref="E146:T146" si="133">0.5*(D$132+E$132)*E112/1000000</f>
        <v>#DIV/0!</v>
      </c>
      <c r="F146" s="18" t="e">
        <f t="shared" si="133"/>
        <v>#DIV/0!</v>
      </c>
      <c r="G146" s="18" t="e">
        <f t="shared" si="133"/>
        <v>#DIV/0!</v>
      </c>
      <c r="H146" s="18" t="e">
        <f t="shared" si="133"/>
        <v>#DIV/0!</v>
      </c>
      <c r="I146" s="18">
        <f t="shared" si="133"/>
        <v>0</v>
      </c>
      <c r="J146" s="18">
        <f t="shared" si="133"/>
        <v>0</v>
      </c>
      <c r="K146" s="18">
        <f t="shared" si="133"/>
        <v>0</v>
      </c>
      <c r="L146" s="18">
        <f t="shared" si="133"/>
        <v>0</v>
      </c>
      <c r="M146" s="18">
        <f t="shared" si="133"/>
        <v>0</v>
      </c>
      <c r="N146" s="18">
        <f t="shared" si="133"/>
        <v>0</v>
      </c>
      <c r="O146" s="18">
        <f t="shared" si="133"/>
        <v>0</v>
      </c>
      <c r="P146" s="18">
        <f t="shared" si="133"/>
        <v>0</v>
      </c>
      <c r="Q146" s="18">
        <f t="shared" si="133"/>
        <v>0</v>
      </c>
      <c r="R146" s="18">
        <f t="shared" si="133"/>
        <v>0</v>
      </c>
      <c r="S146" s="18">
        <f t="shared" si="133"/>
        <v>0</v>
      </c>
      <c r="T146" s="18">
        <f t="shared" si="133"/>
        <v>0</v>
      </c>
      <c r="U146" s="2"/>
    </row>
    <row r="147" spans="1:21" ht="15.75" customHeight="1">
      <c r="A147" s="14">
        <v>3.3</v>
      </c>
      <c r="B147" s="15" t="s">
        <v>50</v>
      </c>
      <c r="C147" s="14" t="s">
        <v>58</v>
      </c>
      <c r="D147" s="18"/>
      <c r="E147" s="18" t="e">
        <f t="shared" ref="E147:T147" si="134">0.5*(D$132+E$132)*E113/1000000</f>
        <v>#DIV/0!</v>
      </c>
      <c r="F147" s="18" t="e">
        <f t="shared" si="134"/>
        <v>#DIV/0!</v>
      </c>
      <c r="G147" s="18" t="e">
        <f t="shared" si="134"/>
        <v>#DIV/0!</v>
      </c>
      <c r="H147" s="18" t="e">
        <f t="shared" si="134"/>
        <v>#DIV/0!</v>
      </c>
      <c r="I147" s="18">
        <f t="shared" si="134"/>
        <v>0</v>
      </c>
      <c r="J147" s="18">
        <f t="shared" si="134"/>
        <v>0</v>
      </c>
      <c r="K147" s="18">
        <f t="shared" si="134"/>
        <v>0</v>
      </c>
      <c r="L147" s="18">
        <f t="shared" si="134"/>
        <v>0</v>
      </c>
      <c r="M147" s="18">
        <f t="shared" si="134"/>
        <v>0</v>
      </c>
      <c r="N147" s="18">
        <f t="shared" si="134"/>
        <v>0</v>
      </c>
      <c r="O147" s="18">
        <f t="shared" si="134"/>
        <v>0</v>
      </c>
      <c r="P147" s="18">
        <f t="shared" si="134"/>
        <v>0</v>
      </c>
      <c r="Q147" s="18">
        <f t="shared" si="134"/>
        <v>0</v>
      </c>
      <c r="R147" s="18">
        <f t="shared" si="134"/>
        <v>0</v>
      </c>
      <c r="S147" s="18">
        <f t="shared" si="134"/>
        <v>0</v>
      </c>
      <c r="T147" s="18">
        <f t="shared" si="134"/>
        <v>0</v>
      </c>
      <c r="U147" s="2"/>
    </row>
    <row r="148" spans="1:21" ht="15.75" customHeight="1">
      <c r="A148" s="14">
        <v>3.4</v>
      </c>
      <c r="B148" s="15" t="s">
        <v>46</v>
      </c>
      <c r="C148" s="14" t="s">
        <v>58</v>
      </c>
      <c r="D148" s="18"/>
      <c r="E148" s="18" t="e">
        <f t="shared" ref="E148:T148" si="135">0.5*(D$132+E$132)*E114/1000000</f>
        <v>#DIV/0!</v>
      </c>
      <c r="F148" s="18" t="e">
        <f t="shared" si="135"/>
        <v>#DIV/0!</v>
      </c>
      <c r="G148" s="18" t="e">
        <f t="shared" si="135"/>
        <v>#DIV/0!</v>
      </c>
      <c r="H148" s="18" t="e">
        <f t="shared" si="135"/>
        <v>#DIV/0!</v>
      </c>
      <c r="I148" s="18">
        <f t="shared" si="135"/>
        <v>0</v>
      </c>
      <c r="J148" s="18">
        <f t="shared" si="135"/>
        <v>0</v>
      </c>
      <c r="K148" s="18">
        <f t="shared" si="135"/>
        <v>0</v>
      </c>
      <c r="L148" s="18">
        <f t="shared" si="135"/>
        <v>0</v>
      </c>
      <c r="M148" s="18">
        <f t="shared" si="135"/>
        <v>0</v>
      </c>
      <c r="N148" s="18">
        <f t="shared" si="135"/>
        <v>0</v>
      </c>
      <c r="O148" s="18">
        <f t="shared" si="135"/>
        <v>0</v>
      </c>
      <c r="P148" s="18">
        <f t="shared" si="135"/>
        <v>0</v>
      </c>
      <c r="Q148" s="18">
        <f t="shared" si="135"/>
        <v>0</v>
      </c>
      <c r="R148" s="18">
        <f t="shared" si="135"/>
        <v>0</v>
      </c>
      <c r="S148" s="18">
        <f t="shared" si="135"/>
        <v>0</v>
      </c>
      <c r="T148" s="18">
        <f t="shared" si="135"/>
        <v>0</v>
      </c>
      <c r="U148" s="2"/>
    </row>
    <row r="149" spans="1:21" ht="15.75" customHeight="1">
      <c r="A149" s="31">
        <v>4</v>
      </c>
      <c r="B149" s="32" t="s">
        <v>68</v>
      </c>
      <c r="C149" s="31" t="s">
        <v>58</v>
      </c>
      <c r="D149" s="35"/>
      <c r="E149" s="35" t="e">
        <f t="shared" ref="E149:T149" si="136">0.5*(D$132+E$132)*E115/1000000</f>
        <v>#DIV/0!</v>
      </c>
      <c r="F149" s="35" t="e">
        <f t="shared" si="136"/>
        <v>#DIV/0!</v>
      </c>
      <c r="G149" s="35" t="e">
        <f t="shared" si="136"/>
        <v>#DIV/0!</v>
      </c>
      <c r="H149" s="35" t="e">
        <f t="shared" si="136"/>
        <v>#DIV/0!</v>
      </c>
      <c r="I149" s="35">
        <f t="shared" si="136"/>
        <v>2880.6174289159844</v>
      </c>
      <c r="J149" s="35">
        <f t="shared" si="136"/>
        <v>2.7599683316208439</v>
      </c>
      <c r="K149" s="35">
        <f t="shared" si="136"/>
        <v>111761.08884468465</v>
      </c>
      <c r="L149" s="35">
        <f t="shared" si="136"/>
        <v>-10028.808728580298</v>
      </c>
      <c r="M149" s="35">
        <f t="shared" si="136"/>
        <v>76170.172633598006</v>
      </c>
      <c r="N149" s="35">
        <f t="shared" si="136"/>
        <v>38105.137887337012</v>
      </c>
      <c r="O149" s="35">
        <f t="shared" si="136"/>
        <v>-1861.7151906757865</v>
      </c>
      <c r="P149" s="35">
        <f t="shared" si="136"/>
        <v>-30795.56454140765</v>
      </c>
      <c r="Q149" s="35">
        <f t="shared" si="136"/>
        <v>25024.271804360516</v>
      </c>
      <c r="R149" s="35">
        <f t="shared" si="136"/>
        <v>170.97836573455723</v>
      </c>
      <c r="S149" s="35">
        <f t="shared" si="136"/>
        <v>15170.047987381131</v>
      </c>
      <c r="T149" s="35">
        <f t="shared" si="136"/>
        <v>31710.237303884991</v>
      </c>
      <c r="U149" s="2"/>
    </row>
    <row r="150" spans="1:21" ht="15.75" customHeight="1">
      <c r="A150" s="31">
        <v>5</v>
      </c>
      <c r="B150" s="32" t="s">
        <v>69</v>
      </c>
      <c r="C150" s="31" t="s">
        <v>58</v>
      </c>
      <c r="D150" s="35"/>
      <c r="E150" s="35" t="e">
        <f t="shared" ref="E150:T150" si="137">0.5*(D131+E131)*(E132-D132)/1000000</f>
        <v>#DIV/0!</v>
      </c>
      <c r="F150" s="35" t="e">
        <f t="shared" si="137"/>
        <v>#DIV/0!</v>
      </c>
      <c r="G150" s="35" t="e">
        <f t="shared" si="137"/>
        <v>#DIV/0!</v>
      </c>
      <c r="H150" s="35" t="e">
        <f t="shared" si="137"/>
        <v>#DIV/0!</v>
      </c>
      <c r="I150" s="35">
        <f t="shared" si="137"/>
        <v>27423.787523152478</v>
      </c>
      <c r="J150" s="35">
        <f t="shared" si="137"/>
        <v>26256.526047628282</v>
      </c>
      <c r="K150" s="35">
        <f t="shared" si="137"/>
        <v>-57544.121565008732</v>
      </c>
      <c r="L150" s="35">
        <f t="shared" si="137"/>
        <v>166656.50494886516</v>
      </c>
      <c r="M150" s="35">
        <f t="shared" si="137"/>
        <v>-99430.857869202766</v>
      </c>
      <c r="N150" s="35">
        <f t="shared" si="137"/>
        <v>-277368.38188592019</v>
      </c>
      <c r="O150" s="35">
        <f t="shared" si="137"/>
        <v>3372.487652936587</v>
      </c>
      <c r="P150" s="35">
        <f t="shared" si="137"/>
        <v>103087.61660701703</v>
      </c>
      <c r="Q150" s="35">
        <f t="shared" si="137"/>
        <v>36093.058420451329</v>
      </c>
      <c r="R150" s="35">
        <f t="shared" si="137"/>
        <v>8443.5155473855248</v>
      </c>
      <c r="S150" s="35">
        <f t="shared" si="137"/>
        <v>5998.9982181256373</v>
      </c>
      <c r="T150" s="35">
        <f t="shared" si="137"/>
        <v>5153.4135573875883</v>
      </c>
      <c r="U150" s="2"/>
    </row>
    <row r="151" spans="1:21" ht="15.75" customHeight="1">
      <c r="A151" s="31">
        <v>6</v>
      </c>
      <c r="B151" s="32" t="s">
        <v>52</v>
      </c>
      <c r="C151" s="31" t="s">
        <v>58</v>
      </c>
      <c r="D151" s="35" t="e">
        <f t="shared" ref="D151:Q151" si="138">D130</f>
        <v>#DIV/0!</v>
      </c>
      <c r="E151" s="35" t="e">
        <f t="shared" si="138"/>
        <v>#DIV/0!</v>
      </c>
      <c r="F151" s="35" t="e">
        <f t="shared" si="138"/>
        <v>#DIV/0!</v>
      </c>
      <c r="G151" s="35" t="e">
        <f t="shared" si="138"/>
        <v>#DIV/0!</v>
      </c>
      <c r="H151" s="35">
        <f t="shared" si="138"/>
        <v>45154.81334933552</v>
      </c>
      <c r="I151" s="35">
        <f t="shared" si="138"/>
        <v>72154.564998690679</v>
      </c>
      <c r="J151" s="35">
        <f t="shared" si="138"/>
        <v>97741.008539998918</v>
      </c>
      <c r="K151" s="35">
        <f t="shared" si="138"/>
        <v>151552.00118134395</v>
      </c>
      <c r="L151" s="35">
        <f t="shared" si="138"/>
        <v>307466.41093133908</v>
      </c>
      <c r="M151" s="35">
        <f t="shared" si="138"/>
        <v>282952.63199922501</v>
      </c>
      <c r="N151" s="35">
        <f t="shared" si="138"/>
        <v>42142.188439038946</v>
      </c>
      <c r="O151" s="35">
        <f t="shared" si="138"/>
        <v>42808.066452145322</v>
      </c>
      <c r="P151" s="35">
        <f t="shared" si="138"/>
        <v>113056.09025386334</v>
      </c>
      <c r="Q151" s="35">
        <f t="shared" si="138"/>
        <v>169831.80657200314</v>
      </c>
      <c r="R151" s="35">
        <f t="shared" ref="R151:S151" si="139">R130</f>
        <v>172030.87219682394</v>
      </c>
      <c r="S151" s="35">
        <f t="shared" si="139"/>
        <v>181377.42963707951</v>
      </c>
      <c r="T151" s="35">
        <f t="shared" ref="T151" si="140">T130</f>
        <v>205899.19463307661</v>
      </c>
      <c r="U151" s="2"/>
    </row>
    <row r="152" spans="1:21" ht="15.75" customHeight="1">
      <c r="A152" s="1"/>
      <c r="B152" s="2"/>
      <c r="C152" s="2"/>
      <c r="D152" s="2"/>
      <c r="E152" s="2"/>
      <c r="F152" s="2"/>
      <c r="G152" s="2"/>
      <c r="H152" s="2"/>
      <c r="I152" s="2"/>
      <c r="J152" s="2"/>
      <c r="K152" s="2"/>
      <c r="L152" s="2"/>
      <c r="M152" s="2"/>
      <c r="N152" s="2"/>
      <c r="O152" s="2"/>
      <c r="P152" s="2"/>
      <c r="Q152" s="2"/>
      <c r="R152" s="2"/>
      <c r="S152" s="2"/>
      <c r="T152" s="2"/>
      <c r="U152" s="2"/>
    </row>
    <row r="153" spans="1:21" ht="15.75" customHeight="1">
      <c r="A153" s="28"/>
      <c r="B153" s="29" t="s">
        <v>53</v>
      </c>
      <c r="C153" s="30"/>
      <c r="D153" s="2"/>
      <c r="E153" s="2" t="e">
        <f t="shared" ref="E153:Q153" si="141">E139+E140-E144+E149+E150=E151</f>
        <v>#DIV/0!</v>
      </c>
      <c r="F153" s="2" t="e">
        <f t="shared" si="141"/>
        <v>#DIV/0!</v>
      </c>
      <c r="G153" s="2" t="e">
        <f t="shared" si="141"/>
        <v>#DIV/0!</v>
      </c>
      <c r="H153" s="2" t="e">
        <f t="shared" si="141"/>
        <v>#DIV/0!</v>
      </c>
      <c r="I153" s="2" t="b">
        <f t="shared" si="141"/>
        <v>1</v>
      </c>
      <c r="J153" s="2" t="b">
        <f t="shared" si="141"/>
        <v>1</v>
      </c>
      <c r="K153" s="2" t="b">
        <f t="shared" si="141"/>
        <v>1</v>
      </c>
      <c r="L153" s="2" t="b">
        <f t="shared" si="141"/>
        <v>1</v>
      </c>
      <c r="M153" s="2" t="b">
        <f t="shared" si="141"/>
        <v>1</v>
      </c>
      <c r="N153" s="2" t="b">
        <f t="shared" si="141"/>
        <v>1</v>
      </c>
      <c r="O153" s="2" t="b">
        <f t="shared" si="141"/>
        <v>1</v>
      </c>
      <c r="P153" s="2" t="b">
        <f t="shared" si="141"/>
        <v>1</v>
      </c>
      <c r="Q153" s="2" t="b">
        <f t="shared" si="141"/>
        <v>1</v>
      </c>
      <c r="R153" s="2" t="b">
        <f t="shared" ref="R153:S153" si="142">R139+R140-R144+R149+R150=R151</f>
        <v>1</v>
      </c>
      <c r="S153" s="2" t="b">
        <f t="shared" si="142"/>
        <v>1</v>
      </c>
      <c r="T153" s="2" t="b">
        <f t="shared" ref="T153" si="143">T139+T140-T144+T149+T150=T151</f>
        <v>1</v>
      </c>
      <c r="U153" s="2"/>
    </row>
    <row r="154" spans="1:21" ht="15.75" customHeight="1">
      <c r="A154" s="1"/>
      <c r="B154" s="2"/>
      <c r="C154" s="2"/>
      <c r="D154" s="2"/>
      <c r="E154" s="2"/>
      <c r="F154" s="2"/>
      <c r="G154" s="2"/>
      <c r="H154" s="2"/>
      <c r="I154" s="2"/>
      <c r="J154" s="2"/>
      <c r="K154" s="2"/>
      <c r="L154" s="2"/>
      <c r="M154" s="2"/>
      <c r="N154" s="2"/>
      <c r="O154" s="2"/>
      <c r="P154" s="2"/>
      <c r="Q154" s="2"/>
      <c r="R154" s="2"/>
      <c r="S154" s="2"/>
      <c r="T154" s="2"/>
      <c r="U154" s="2"/>
    </row>
    <row r="155" spans="1:21" ht="15.75" customHeight="1">
      <c r="A155" s="1"/>
      <c r="B155" s="2"/>
      <c r="C155" s="2"/>
      <c r="D155" s="2"/>
      <c r="E155" s="2"/>
      <c r="F155" s="2"/>
      <c r="G155" s="2"/>
      <c r="H155" s="2"/>
      <c r="I155" s="2"/>
      <c r="J155" s="2"/>
      <c r="K155" s="2"/>
      <c r="L155" s="2"/>
      <c r="M155" s="2"/>
      <c r="N155" s="20"/>
      <c r="O155" s="2"/>
      <c r="P155" s="2"/>
      <c r="Q155" s="2"/>
      <c r="R155" s="2"/>
      <c r="S155" s="2"/>
      <c r="T155" s="2"/>
      <c r="U155" s="2"/>
    </row>
    <row r="156" spans="1:21" ht="15.75" customHeight="1">
      <c r="A156" s="1"/>
      <c r="B156" s="2"/>
      <c r="C156" s="2"/>
      <c r="D156" s="2"/>
      <c r="E156" s="2"/>
      <c r="F156" s="2"/>
      <c r="G156" s="2"/>
      <c r="H156" s="2"/>
      <c r="I156" s="2"/>
      <c r="J156" s="2"/>
      <c r="K156" s="2"/>
      <c r="L156" s="2"/>
      <c r="M156" s="2"/>
      <c r="N156" s="2"/>
      <c r="O156" s="2"/>
      <c r="P156" s="2"/>
      <c r="Q156" s="2"/>
      <c r="R156" s="2"/>
      <c r="S156" s="2"/>
      <c r="T156" s="2"/>
      <c r="U156" s="2"/>
    </row>
    <row r="157" spans="1:21" ht="15.75" customHeight="1">
      <c r="A157" s="117"/>
      <c r="B157" s="118" t="s">
        <v>70</v>
      </c>
      <c r="C157" s="119"/>
      <c r="D157" s="120"/>
      <c r="E157" s="120"/>
      <c r="F157" s="120"/>
      <c r="G157" s="120"/>
      <c r="H157" s="120"/>
      <c r="I157" s="120"/>
      <c r="J157" s="120"/>
      <c r="K157" s="120"/>
      <c r="L157" s="120"/>
      <c r="M157" s="120"/>
      <c r="N157" s="120"/>
      <c r="O157" s="120"/>
      <c r="P157" s="120"/>
      <c r="Q157" s="120"/>
      <c r="R157" s="120"/>
      <c r="S157" s="120"/>
      <c r="T157" s="120"/>
      <c r="U157" s="2"/>
    </row>
    <row r="158" spans="1:21" ht="15.75" customHeight="1">
      <c r="A158" s="1"/>
      <c r="B158" s="2"/>
      <c r="C158" s="2"/>
      <c r="D158" s="2"/>
      <c r="E158" s="2"/>
      <c r="F158" s="2"/>
      <c r="G158" s="2"/>
      <c r="H158" s="2"/>
      <c r="I158" s="2"/>
      <c r="J158" s="2"/>
      <c r="K158" s="2"/>
      <c r="L158" s="2"/>
      <c r="M158" s="2"/>
      <c r="N158" s="2"/>
      <c r="O158" s="2"/>
      <c r="P158" s="2"/>
      <c r="Q158" s="2"/>
      <c r="R158" s="2"/>
      <c r="S158" s="2"/>
      <c r="T158" s="2"/>
      <c r="U158" s="2"/>
    </row>
    <row r="159" spans="1:21" ht="15.75" customHeight="1">
      <c r="A159" s="6" t="s">
        <v>127</v>
      </c>
      <c r="B159" s="2"/>
      <c r="C159" s="2"/>
      <c r="D159" s="2"/>
      <c r="E159" s="2"/>
      <c r="F159" s="2"/>
      <c r="G159" s="2"/>
      <c r="H159" s="2"/>
      <c r="I159" s="2"/>
      <c r="J159" s="2"/>
      <c r="K159" s="2"/>
      <c r="L159" s="2"/>
      <c r="M159" s="2"/>
      <c r="N159" s="2"/>
      <c r="O159" s="2"/>
      <c r="P159" s="2"/>
      <c r="Q159" s="2"/>
      <c r="R159" s="2"/>
      <c r="S159" s="2"/>
      <c r="T159" s="2"/>
      <c r="U159" s="2"/>
    </row>
    <row r="160" spans="1:21" ht="15.75" customHeight="1">
      <c r="A160" s="1"/>
      <c r="B160" s="2"/>
      <c r="C160" s="2"/>
      <c r="D160" s="2"/>
      <c r="E160" s="2"/>
      <c r="F160" s="2"/>
      <c r="G160" s="2"/>
      <c r="H160" s="2"/>
      <c r="I160" s="2"/>
      <c r="J160" s="2"/>
      <c r="K160" s="2"/>
      <c r="L160" s="2"/>
      <c r="M160" s="2"/>
      <c r="N160" s="2"/>
      <c r="O160" s="2"/>
      <c r="P160" s="2"/>
      <c r="Q160" s="2"/>
      <c r="R160" s="2"/>
      <c r="S160" s="2"/>
      <c r="T160" s="2"/>
      <c r="U160" s="2"/>
    </row>
    <row r="161" spans="1:21" ht="15.75" customHeight="1">
      <c r="A161" s="121" t="s">
        <v>3</v>
      </c>
      <c r="B161" s="121" t="s">
        <v>4</v>
      </c>
      <c r="C161" s="121" t="s">
        <v>5</v>
      </c>
      <c r="D161" s="121">
        <f t="shared" ref="D161:T161" si="144">D$3</f>
        <v>2008</v>
      </c>
      <c r="E161" s="121">
        <f t="shared" si="144"/>
        <v>2009</v>
      </c>
      <c r="F161" s="121">
        <f t="shared" si="144"/>
        <v>2010</v>
      </c>
      <c r="G161" s="121">
        <f t="shared" si="144"/>
        <v>2011</v>
      </c>
      <c r="H161" s="121">
        <f t="shared" si="144"/>
        <v>2012</v>
      </c>
      <c r="I161" s="121">
        <f t="shared" si="144"/>
        <v>2013</v>
      </c>
      <c r="J161" s="121">
        <f t="shared" si="144"/>
        <v>2014</v>
      </c>
      <c r="K161" s="121">
        <f t="shared" si="144"/>
        <v>2015</v>
      </c>
      <c r="L161" s="121">
        <f t="shared" si="144"/>
        <v>2016</v>
      </c>
      <c r="M161" s="121">
        <f t="shared" si="144"/>
        <v>2017</v>
      </c>
      <c r="N161" s="121">
        <f t="shared" si="144"/>
        <v>2018</v>
      </c>
      <c r="O161" s="121">
        <f t="shared" si="144"/>
        <v>2019</v>
      </c>
      <c r="P161" s="121">
        <f t="shared" si="144"/>
        <v>2020</v>
      </c>
      <c r="Q161" s="121">
        <f t="shared" si="144"/>
        <v>2021</v>
      </c>
      <c r="R161" s="121">
        <f t="shared" si="144"/>
        <v>2022</v>
      </c>
      <c r="S161" s="121">
        <f t="shared" si="144"/>
        <v>2023</v>
      </c>
      <c r="T161" s="121">
        <f t="shared" si="144"/>
        <v>2024</v>
      </c>
      <c r="U161" s="2"/>
    </row>
    <row r="162" spans="1:21" ht="15.75" customHeight="1">
      <c r="A162" s="9">
        <v>-1</v>
      </c>
      <c r="B162" s="9">
        <f t="shared" ref="B162:T162" si="145">A162-1</f>
        <v>-2</v>
      </c>
      <c r="C162" s="9">
        <f t="shared" si="145"/>
        <v>-3</v>
      </c>
      <c r="D162" s="9">
        <f t="shared" si="145"/>
        <v>-4</v>
      </c>
      <c r="E162" s="9">
        <f t="shared" si="145"/>
        <v>-5</v>
      </c>
      <c r="F162" s="9">
        <f t="shared" si="145"/>
        <v>-6</v>
      </c>
      <c r="G162" s="9">
        <f t="shared" si="145"/>
        <v>-7</v>
      </c>
      <c r="H162" s="9">
        <f t="shared" si="145"/>
        <v>-8</v>
      </c>
      <c r="I162" s="9">
        <f t="shared" si="145"/>
        <v>-9</v>
      </c>
      <c r="J162" s="9">
        <f t="shared" si="145"/>
        <v>-10</v>
      </c>
      <c r="K162" s="9">
        <f t="shared" si="145"/>
        <v>-11</v>
      </c>
      <c r="L162" s="9">
        <f t="shared" si="145"/>
        <v>-12</v>
      </c>
      <c r="M162" s="9">
        <f t="shared" si="145"/>
        <v>-13</v>
      </c>
      <c r="N162" s="9">
        <f t="shared" si="145"/>
        <v>-14</v>
      </c>
      <c r="O162" s="9">
        <f t="shared" si="145"/>
        <v>-15</v>
      </c>
      <c r="P162" s="9">
        <f t="shared" si="145"/>
        <v>-16</v>
      </c>
      <c r="Q162" s="9">
        <f t="shared" si="145"/>
        <v>-17</v>
      </c>
      <c r="R162" s="9">
        <f t="shared" si="145"/>
        <v>-18</v>
      </c>
      <c r="S162" s="9">
        <f t="shared" si="145"/>
        <v>-19</v>
      </c>
      <c r="T162" s="9">
        <f t="shared" si="145"/>
        <v>-20</v>
      </c>
      <c r="U162" s="2"/>
    </row>
    <row r="163" spans="1:21" ht="15.75" customHeight="1">
      <c r="A163" s="14">
        <v>1</v>
      </c>
      <c r="B163" s="21" t="s">
        <v>72</v>
      </c>
      <c r="C163" s="14" t="s">
        <v>22</v>
      </c>
      <c r="D163" s="22"/>
      <c r="E163" s="22"/>
      <c r="F163" s="22"/>
      <c r="G163" s="22"/>
      <c r="H163" s="22"/>
      <c r="I163" s="22"/>
      <c r="J163" s="22"/>
      <c r="K163" s="22"/>
      <c r="L163" s="40">
        <v>4322861.0728325797</v>
      </c>
      <c r="M163" s="22"/>
      <c r="N163" s="22"/>
      <c r="O163" s="22"/>
      <c r="P163" s="22"/>
      <c r="Q163" s="22"/>
      <c r="R163" s="22"/>
      <c r="S163" s="22"/>
      <c r="T163" s="22"/>
      <c r="U163" s="2"/>
    </row>
    <row r="164" spans="1:21" ht="15.75" customHeight="1">
      <c r="A164" s="14">
        <v>2</v>
      </c>
      <c r="B164" s="15" t="s">
        <v>26</v>
      </c>
      <c r="C164" s="14" t="s">
        <v>22</v>
      </c>
      <c r="D164" s="22"/>
      <c r="E164" s="22"/>
      <c r="F164" s="22"/>
      <c r="G164" s="22"/>
      <c r="H164" s="22"/>
      <c r="I164" s="22"/>
      <c r="J164" s="22"/>
      <c r="K164" s="22"/>
      <c r="L164" s="41">
        <v>1182535.3128016901</v>
      </c>
      <c r="M164" s="22"/>
      <c r="N164" s="22"/>
      <c r="O164" s="22"/>
      <c r="P164" s="22"/>
      <c r="Q164" s="22"/>
      <c r="R164" s="22"/>
      <c r="S164" s="22"/>
      <c r="T164" s="22"/>
      <c r="U164" s="2"/>
    </row>
    <row r="165" spans="1:21" ht="15.75" customHeight="1">
      <c r="A165" s="14">
        <v>3</v>
      </c>
      <c r="B165" s="21" t="s">
        <v>73</v>
      </c>
      <c r="C165" s="14" t="s">
        <v>22</v>
      </c>
      <c r="D165" s="22"/>
      <c r="E165" s="22"/>
      <c r="F165" s="22"/>
      <c r="G165" s="22"/>
      <c r="H165" s="22"/>
      <c r="I165" s="22"/>
      <c r="J165" s="22"/>
      <c r="K165" s="22"/>
      <c r="L165" s="41">
        <v>3447722.4236872802</v>
      </c>
      <c r="M165" s="22"/>
      <c r="N165" s="22"/>
      <c r="O165" s="22"/>
      <c r="P165" s="22"/>
      <c r="Q165" s="22"/>
      <c r="R165" s="22"/>
      <c r="S165" s="22"/>
      <c r="T165" s="22"/>
      <c r="U165" s="2"/>
    </row>
    <row r="166" spans="1:21" ht="15.75" customHeight="1">
      <c r="A166" s="14">
        <v>4</v>
      </c>
      <c r="B166" s="21" t="s">
        <v>35</v>
      </c>
      <c r="C166" s="14" t="s">
        <v>22</v>
      </c>
      <c r="D166" s="22"/>
      <c r="E166" s="22"/>
      <c r="F166" s="22"/>
      <c r="G166" s="22"/>
      <c r="H166" s="22"/>
      <c r="I166" s="22"/>
      <c r="J166" s="22"/>
      <c r="K166" s="22"/>
      <c r="L166" s="41">
        <v>1506748.9449632501</v>
      </c>
      <c r="M166" s="22"/>
      <c r="N166" s="22"/>
      <c r="O166" s="22"/>
      <c r="P166" s="22"/>
      <c r="Q166" s="22"/>
      <c r="R166" s="22"/>
      <c r="S166" s="22"/>
      <c r="T166" s="22"/>
      <c r="U166" s="2"/>
    </row>
    <row r="167" spans="1:21" ht="15.75" customHeight="1">
      <c r="A167" s="14">
        <v>5</v>
      </c>
      <c r="B167" s="21" t="s">
        <v>74</v>
      </c>
      <c r="C167" s="14" t="s">
        <v>22</v>
      </c>
      <c r="D167" s="22"/>
      <c r="E167" s="22"/>
      <c r="F167" s="22"/>
      <c r="G167" s="22"/>
      <c r="H167" s="22"/>
      <c r="I167" s="22"/>
      <c r="J167" s="22"/>
      <c r="K167" s="22"/>
      <c r="L167" s="41">
        <v>35093.779852409301</v>
      </c>
      <c r="M167" s="22"/>
      <c r="N167" s="22"/>
      <c r="O167" s="22"/>
      <c r="P167" s="22"/>
      <c r="Q167" s="22"/>
      <c r="R167" s="22"/>
      <c r="S167" s="22"/>
      <c r="T167" s="22"/>
      <c r="U167" s="2"/>
    </row>
    <row r="168" spans="1:21" ht="15.75" customHeight="1">
      <c r="A168" s="14">
        <v>6</v>
      </c>
      <c r="B168" s="21" t="s">
        <v>75</v>
      </c>
      <c r="C168" s="14" t="s">
        <v>22</v>
      </c>
      <c r="D168" s="22"/>
      <c r="E168" s="22"/>
      <c r="F168" s="22"/>
      <c r="G168" s="22"/>
      <c r="H168" s="22"/>
      <c r="I168" s="22"/>
      <c r="J168" s="22"/>
      <c r="K168" s="22"/>
      <c r="L168" s="41">
        <v>0</v>
      </c>
      <c r="M168" s="22"/>
      <c r="N168" s="22"/>
      <c r="O168" s="22"/>
      <c r="P168" s="22"/>
      <c r="Q168" s="22"/>
      <c r="R168" s="22"/>
      <c r="S168" s="22"/>
      <c r="T168" s="22"/>
      <c r="U168" s="2"/>
    </row>
    <row r="169" spans="1:21" ht="15.75" customHeight="1">
      <c r="A169" s="31">
        <v>7</v>
      </c>
      <c r="B169" s="42" t="s">
        <v>29</v>
      </c>
      <c r="C169" s="31" t="s">
        <v>22</v>
      </c>
      <c r="D169" s="43"/>
      <c r="E169" s="43"/>
      <c r="F169" s="43"/>
      <c r="G169" s="43"/>
      <c r="H169" s="43"/>
      <c r="I169" s="43"/>
      <c r="J169" s="43"/>
      <c r="K169" s="43"/>
      <c r="L169" s="44">
        <f>SUM(L163:L168)</f>
        <v>10494961.534137208</v>
      </c>
      <c r="M169" s="43"/>
      <c r="N169" s="43"/>
      <c r="O169" s="43"/>
      <c r="P169" s="43"/>
      <c r="Q169" s="43"/>
      <c r="R169" s="43"/>
      <c r="S169" s="43"/>
      <c r="T169" s="43"/>
      <c r="U169" s="2"/>
    </row>
    <row r="170" spans="1:21" ht="15.75" customHeight="1">
      <c r="A170" s="17" t="s">
        <v>76</v>
      </c>
      <c r="B170" s="2"/>
      <c r="C170" s="2"/>
      <c r="D170" s="2"/>
      <c r="E170" s="2"/>
      <c r="F170" s="2"/>
      <c r="G170" s="2"/>
      <c r="H170" s="2"/>
      <c r="I170" s="2"/>
      <c r="J170" s="2"/>
      <c r="K170" s="2"/>
      <c r="L170" s="2"/>
      <c r="M170" s="2"/>
      <c r="N170" s="2"/>
      <c r="O170" s="2"/>
      <c r="P170" s="2"/>
      <c r="Q170" s="2"/>
      <c r="R170" s="2"/>
      <c r="S170" s="2"/>
      <c r="T170" s="2"/>
      <c r="U170" s="2"/>
    </row>
    <row r="171" spans="1:21" ht="15.75" customHeight="1">
      <c r="A171" s="1"/>
      <c r="B171" s="2"/>
      <c r="C171" s="2"/>
      <c r="D171" s="2"/>
      <c r="E171" s="2"/>
      <c r="F171" s="2"/>
      <c r="G171" s="2"/>
      <c r="H171" s="2"/>
      <c r="I171" s="2"/>
      <c r="J171" s="2"/>
      <c r="K171" s="2"/>
      <c r="L171" s="2"/>
      <c r="M171" s="2"/>
      <c r="N171" s="2"/>
      <c r="O171" s="2"/>
      <c r="P171" s="2"/>
      <c r="Q171" s="2"/>
      <c r="R171" s="2"/>
      <c r="S171" s="2"/>
      <c r="T171" s="2"/>
      <c r="U171" s="2"/>
    </row>
    <row r="172" spans="1:21" ht="15.75" customHeight="1">
      <c r="A172" s="1"/>
      <c r="B172" s="2"/>
      <c r="C172" s="2"/>
      <c r="D172" s="2"/>
      <c r="E172" s="2"/>
      <c r="F172" s="2"/>
      <c r="G172" s="2"/>
      <c r="H172" s="2"/>
      <c r="I172" s="2"/>
      <c r="J172" s="2"/>
      <c r="K172" s="2"/>
      <c r="L172" s="2"/>
      <c r="M172" s="2"/>
      <c r="N172" s="2"/>
      <c r="O172" s="2"/>
      <c r="P172" s="2"/>
      <c r="Q172" s="2"/>
      <c r="R172" s="2"/>
      <c r="S172" s="2"/>
      <c r="T172" s="2"/>
      <c r="U172" s="2"/>
    </row>
    <row r="173" spans="1:21" ht="15.75" customHeight="1">
      <c r="A173" s="1"/>
      <c r="B173" s="2"/>
      <c r="C173" s="2"/>
      <c r="D173" s="2"/>
      <c r="E173" s="2"/>
      <c r="F173" s="2"/>
      <c r="G173" s="2"/>
      <c r="H173" s="2"/>
      <c r="I173" s="2"/>
      <c r="J173" s="2"/>
      <c r="K173" s="2"/>
      <c r="L173" s="2"/>
      <c r="M173" s="2"/>
      <c r="N173" s="2"/>
      <c r="O173" s="2"/>
      <c r="P173" s="2"/>
      <c r="Q173" s="2"/>
      <c r="R173" s="2"/>
      <c r="S173" s="2"/>
      <c r="T173" s="2"/>
      <c r="U173" s="2"/>
    </row>
    <row r="174" spans="1:21" ht="15.75" customHeight="1">
      <c r="A174" s="1"/>
      <c r="B174" s="2"/>
      <c r="C174" s="2"/>
      <c r="D174" s="2"/>
      <c r="E174" s="2"/>
      <c r="F174" s="2"/>
      <c r="G174" s="2"/>
      <c r="H174" s="2"/>
      <c r="I174" s="2"/>
      <c r="J174" s="2"/>
      <c r="K174" s="2"/>
      <c r="L174" s="2"/>
      <c r="M174" s="2"/>
      <c r="N174" s="2"/>
      <c r="O174" s="2"/>
      <c r="P174" s="2"/>
      <c r="Q174" s="2"/>
      <c r="R174" s="2"/>
      <c r="S174" s="2"/>
      <c r="T174" s="2"/>
      <c r="U174" s="2"/>
    </row>
    <row r="175" spans="1:21" ht="15.75" customHeight="1">
      <c r="A175" s="1"/>
      <c r="B175" s="2"/>
      <c r="C175" s="2"/>
      <c r="D175" s="2"/>
      <c r="E175" s="2"/>
      <c r="F175" s="2"/>
      <c r="G175" s="2"/>
      <c r="H175" s="2"/>
      <c r="I175" s="2"/>
      <c r="J175" s="2"/>
      <c r="K175" s="2"/>
      <c r="L175" s="2"/>
      <c r="M175" s="2"/>
      <c r="N175" s="2"/>
      <c r="O175" s="2"/>
      <c r="P175" s="2"/>
      <c r="Q175" s="2"/>
      <c r="R175" s="2"/>
      <c r="S175" s="2"/>
      <c r="T175" s="2"/>
      <c r="U175" s="2"/>
    </row>
    <row r="176" spans="1:21" ht="15.75" customHeight="1">
      <c r="A176" s="1"/>
      <c r="B176" s="2"/>
      <c r="C176" s="2"/>
      <c r="D176" s="2"/>
      <c r="E176" s="2"/>
      <c r="F176" s="2"/>
      <c r="G176" s="2"/>
      <c r="H176" s="2"/>
      <c r="I176" s="2"/>
      <c r="J176" s="2"/>
      <c r="K176" s="2"/>
      <c r="L176" s="2"/>
      <c r="M176" s="2"/>
      <c r="N176" s="2"/>
      <c r="O176" s="2"/>
      <c r="P176" s="2"/>
      <c r="Q176" s="2"/>
      <c r="R176" s="2"/>
      <c r="S176" s="2"/>
      <c r="T176" s="2"/>
      <c r="U176" s="2"/>
    </row>
    <row r="177" spans="1:21" ht="15.75" customHeight="1">
      <c r="A177" s="1"/>
      <c r="B177" s="2"/>
      <c r="C177" s="2"/>
      <c r="D177" s="2"/>
      <c r="E177" s="2"/>
      <c r="F177" s="2"/>
      <c r="G177" s="2"/>
      <c r="H177" s="2"/>
      <c r="I177" s="2"/>
      <c r="J177" s="2"/>
      <c r="K177" s="2"/>
      <c r="L177" s="2"/>
      <c r="M177" s="2"/>
      <c r="N177" s="2"/>
      <c r="O177" s="2"/>
      <c r="P177" s="2"/>
      <c r="Q177" s="2"/>
      <c r="R177" s="2"/>
      <c r="S177" s="2"/>
      <c r="T177" s="2"/>
      <c r="U177" s="2"/>
    </row>
    <row r="178" spans="1:21" ht="15.75" customHeight="1">
      <c r="A178" s="1"/>
      <c r="B178" s="2"/>
      <c r="C178" s="2"/>
      <c r="D178" s="2"/>
      <c r="E178" s="2"/>
      <c r="F178" s="2"/>
      <c r="G178" s="2"/>
      <c r="H178" s="2"/>
      <c r="I178" s="2"/>
      <c r="J178" s="2"/>
      <c r="K178" s="2"/>
      <c r="L178" s="2"/>
      <c r="M178" s="2"/>
      <c r="N178" s="2"/>
      <c r="O178" s="2"/>
      <c r="P178" s="2"/>
      <c r="Q178" s="2"/>
      <c r="R178" s="2"/>
      <c r="S178" s="2"/>
      <c r="T178" s="2"/>
      <c r="U178" s="2"/>
    </row>
    <row r="179" spans="1:21" ht="15.75" customHeight="1">
      <c r="A179" s="1"/>
      <c r="B179" s="2"/>
      <c r="C179" s="2"/>
      <c r="D179" s="2"/>
      <c r="E179" s="2"/>
      <c r="F179" s="2"/>
      <c r="G179" s="2"/>
      <c r="H179" s="2"/>
      <c r="I179" s="2"/>
      <c r="J179" s="2"/>
      <c r="K179" s="2"/>
      <c r="L179" s="2"/>
      <c r="M179" s="2"/>
      <c r="N179" s="2"/>
      <c r="O179" s="2"/>
      <c r="P179" s="2"/>
      <c r="Q179" s="2"/>
      <c r="R179" s="2"/>
      <c r="S179" s="2"/>
      <c r="T179" s="2"/>
      <c r="U179" s="2"/>
    </row>
    <row r="180" spans="1:21" ht="15.75" customHeight="1">
      <c r="A180" s="1"/>
      <c r="B180" s="2"/>
      <c r="C180" s="2"/>
      <c r="D180" s="2"/>
      <c r="E180" s="2"/>
      <c r="F180" s="2"/>
      <c r="G180" s="2"/>
      <c r="H180" s="2"/>
      <c r="I180" s="2"/>
      <c r="J180" s="2"/>
      <c r="K180" s="2"/>
      <c r="L180" s="2"/>
      <c r="M180" s="2"/>
      <c r="N180" s="2"/>
      <c r="O180" s="2"/>
      <c r="P180" s="2"/>
      <c r="Q180" s="2"/>
      <c r="R180" s="2"/>
      <c r="S180" s="2"/>
      <c r="T180" s="2"/>
      <c r="U180" s="2"/>
    </row>
    <row r="181" spans="1:21" ht="15.75" customHeight="1">
      <c r="A181" s="1"/>
      <c r="B181" s="2"/>
      <c r="C181" s="2"/>
      <c r="D181" s="2"/>
      <c r="E181" s="2"/>
      <c r="F181" s="2"/>
      <c r="G181" s="2"/>
      <c r="H181" s="2"/>
      <c r="I181" s="2"/>
      <c r="J181" s="2"/>
      <c r="K181" s="2"/>
      <c r="L181" s="2"/>
      <c r="M181" s="2"/>
      <c r="N181" s="2"/>
      <c r="O181" s="2"/>
      <c r="P181" s="2"/>
      <c r="Q181" s="2"/>
      <c r="R181" s="2"/>
      <c r="S181" s="2"/>
      <c r="T181" s="2"/>
      <c r="U181" s="2"/>
    </row>
    <row r="182" spans="1:21" ht="15.75" customHeight="1">
      <c r="A182" s="1"/>
      <c r="B182" s="2"/>
      <c r="C182" s="2"/>
      <c r="D182" s="2"/>
      <c r="E182" s="2"/>
      <c r="F182" s="2"/>
      <c r="G182" s="2"/>
      <c r="H182" s="2"/>
      <c r="I182" s="2"/>
      <c r="J182" s="2"/>
      <c r="K182" s="2"/>
      <c r="L182" s="2"/>
      <c r="M182" s="2"/>
      <c r="N182" s="2"/>
      <c r="O182" s="2"/>
      <c r="P182" s="2"/>
      <c r="Q182" s="2"/>
      <c r="R182" s="2"/>
      <c r="S182" s="2"/>
      <c r="T182" s="2"/>
      <c r="U182" s="2"/>
    </row>
    <row r="183" spans="1:21" ht="15.75" customHeight="1">
      <c r="A183" s="1"/>
      <c r="B183" s="2"/>
      <c r="C183" s="2"/>
      <c r="D183" s="2"/>
      <c r="E183" s="2"/>
      <c r="F183" s="2"/>
      <c r="G183" s="2"/>
      <c r="H183" s="2"/>
      <c r="I183" s="2"/>
      <c r="J183" s="2"/>
      <c r="K183" s="2"/>
      <c r="L183" s="2"/>
      <c r="M183" s="2"/>
      <c r="N183" s="2"/>
      <c r="O183" s="2"/>
      <c r="P183" s="2"/>
      <c r="Q183" s="2"/>
      <c r="R183" s="2"/>
      <c r="S183" s="2"/>
      <c r="T183" s="2"/>
      <c r="U183" s="2"/>
    </row>
    <row r="184" spans="1:21" ht="15.75" customHeight="1">
      <c r="A184" s="1"/>
      <c r="B184" s="2"/>
      <c r="C184" s="2"/>
      <c r="D184" s="2"/>
      <c r="E184" s="2"/>
      <c r="F184" s="2"/>
      <c r="G184" s="2"/>
      <c r="H184" s="2"/>
      <c r="I184" s="2"/>
      <c r="J184" s="2"/>
      <c r="K184" s="2"/>
      <c r="L184" s="2"/>
      <c r="M184" s="2"/>
      <c r="N184" s="2"/>
      <c r="O184" s="2"/>
      <c r="P184" s="2"/>
      <c r="Q184" s="2"/>
      <c r="R184" s="2"/>
      <c r="S184" s="2"/>
      <c r="T184" s="2"/>
      <c r="U184" s="2"/>
    </row>
    <row r="185" spans="1:21" ht="15.75" customHeight="1">
      <c r="A185" s="1"/>
      <c r="B185" s="2"/>
      <c r="C185" s="2"/>
      <c r="D185" s="2"/>
      <c r="E185" s="2"/>
      <c r="F185" s="2"/>
      <c r="G185" s="2"/>
      <c r="H185" s="2"/>
      <c r="I185" s="2"/>
      <c r="J185" s="2"/>
      <c r="K185" s="2"/>
      <c r="L185" s="2"/>
      <c r="M185" s="2"/>
      <c r="N185" s="2"/>
      <c r="O185" s="2"/>
      <c r="P185" s="2"/>
      <c r="Q185" s="2"/>
      <c r="R185" s="2"/>
      <c r="S185" s="2"/>
      <c r="T185" s="2"/>
      <c r="U185" s="2"/>
    </row>
    <row r="186" spans="1:21" ht="15.75" customHeight="1">
      <c r="A186" s="1"/>
      <c r="B186" s="2"/>
      <c r="C186" s="2"/>
      <c r="D186" s="2"/>
      <c r="E186" s="2"/>
      <c r="F186" s="2"/>
      <c r="G186" s="2"/>
      <c r="H186" s="2"/>
      <c r="I186" s="2"/>
      <c r="J186" s="2"/>
      <c r="K186" s="2"/>
      <c r="L186" s="2"/>
      <c r="M186" s="2"/>
      <c r="N186" s="2"/>
      <c r="O186" s="2"/>
      <c r="P186" s="2"/>
      <c r="Q186" s="2"/>
      <c r="R186" s="2"/>
      <c r="S186" s="2"/>
      <c r="T186" s="2"/>
      <c r="U186" s="2"/>
    </row>
    <row r="187" spans="1:21" ht="15.75" customHeight="1">
      <c r="A187" s="1"/>
      <c r="B187" s="2"/>
      <c r="C187" s="2"/>
      <c r="D187" s="2"/>
      <c r="E187" s="2"/>
      <c r="F187" s="2"/>
      <c r="G187" s="2"/>
      <c r="H187" s="2"/>
      <c r="I187" s="2"/>
      <c r="J187" s="2"/>
      <c r="K187" s="2"/>
      <c r="L187" s="2"/>
      <c r="M187" s="2"/>
      <c r="N187" s="2"/>
      <c r="O187" s="2"/>
      <c r="P187" s="2"/>
      <c r="Q187" s="2"/>
      <c r="R187" s="2"/>
      <c r="S187" s="2"/>
      <c r="T187" s="2"/>
      <c r="U187" s="2"/>
    </row>
    <row r="188" spans="1:21" ht="15.75" customHeight="1">
      <c r="A188" s="1"/>
      <c r="B188" s="2"/>
      <c r="C188" s="2"/>
      <c r="D188" s="2"/>
      <c r="E188" s="2"/>
      <c r="F188" s="2"/>
      <c r="G188" s="2"/>
      <c r="H188" s="2"/>
      <c r="I188" s="2"/>
      <c r="J188" s="2"/>
      <c r="K188" s="2"/>
      <c r="L188" s="2"/>
      <c r="M188" s="2"/>
      <c r="N188" s="2"/>
      <c r="O188" s="2"/>
      <c r="P188" s="2"/>
      <c r="Q188" s="2"/>
      <c r="R188" s="2"/>
      <c r="S188" s="2"/>
      <c r="T188" s="2"/>
      <c r="U188" s="2"/>
    </row>
    <row r="189" spans="1:21" ht="15.75" customHeight="1">
      <c r="A189" s="1"/>
      <c r="B189" s="2"/>
      <c r="C189" s="2"/>
      <c r="D189" s="2"/>
      <c r="E189" s="2"/>
      <c r="F189" s="2"/>
      <c r="G189" s="2"/>
      <c r="H189" s="2"/>
      <c r="I189" s="2"/>
      <c r="J189" s="2"/>
      <c r="K189" s="2"/>
      <c r="L189" s="2"/>
      <c r="M189" s="2"/>
      <c r="N189" s="2"/>
      <c r="O189" s="2"/>
      <c r="P189" s="2"/>
      <c r="Q189" s="2"/>
      <c r="R189" s="2"/>
      <c r="S189" s="2"/>
      <c r="T189" s="2"/>
      <c r="U189" s="2"/>
    </row>
    <row r="190" spans="1:21" ht="15.75" customHeight="1">
      <c r="A190" s="1"/>
      <c r="B190" s="2"/>
      <c r="C190" s="2"/>
      <c r="D190" s="2"/>
      <c r="E190" s="2"/>
      <c r="F190" s="2"/>
      <c r="G190" s="2"/>
      <c r="H190" s="2"/>
      <c r="I190" s="2"/>
      <c r="J190" s="2"/>
      <c r="K190" s="2"/>
      <c r="L190" s="2"/>
      <c r="M190" s="2"/>
      <c r="N190" s="2"/>
      <c r="O190" s="2"/>
      <c r="P190" s="2"/>
      <c r="Q190" s="2"/>
      <c r="R190" s="2"/>
      <c r="S190" s="2"/>
      <c r="T190" s="2"/>
      <c r="U190" s="2"/>
    </row>
    <row r="191" spans="1:21" ht="15.75" customHeight="1">
      <c r="A191" s="1"/>
      <c r="B191" s="2"/>
      <c r="C191" s="2"/>
      <c r="D191" s="2"/>
      <c r="E191" s="2"/>
      <c r="F191" s="2"/>
      <c r="G191" s="2"/>
      <c r="H191" s="2"/>
      <c r="I191" s="2"/>
      <c r="J191" s="2"/>
      <c r="K191" s="2"/>
      <c r="L191" s="2"/>
      <c r="M191" s="2"/>
      <c r="N191" s="2"/>
      <c r="O191" s="2"/>
      <c r="P191" s="2"/>
      <c r="Q191" s="2"/>
      <c r="R191" s="2"/>
      <c r="S191" s="2"/>
      <c r="T191" s="2"/>
      <c r="U191" s="2"/>
    </row>
    <row r="192" spans="1:21" ht="15.75" customHeight="1">
      <c r="A192" s="1"/>
      <c r="B192" s="2"/>
      <c r="C192" s="2"/>
      <c r="D192" s="2"/>
      <c r="E192" s="2"/>
      <c r="F192" s="2"/>
      <c r="G192" s="2"/>
      <c r="H192" s="2"/>
      <c r="I192" s="2"/>
      <c r="J192" s="2"/>
      <c r="K192" s="2"/>
      <c r="L192" s="2"/>
      <c r="M192" s="2"/>
      <c r="N192" s="2"/>
      <c r="O192" s="2"/>
      <c r="P192" s="2"/>
      <c r="Q192" s="2"/>
      <c r="R192" s="2"/>
      <c r="S192" s="2"/>
      <c r="T192" s="2"/>
      <c r="U192" s="2"/>
    </row>
    <row r="193" spans="1:21" ht="15.75" customHeight="1">
      <c r="A193" s="1"/>
      <c r="B193" s="2"/>
      <c r="C193" s="2"/>
      <c r="D193" s="2"/>
      <c r="E193" s="2"/>
      <c r="F193" s="2"/>
      <c r="G193" s="2"/>
      <c r="H193" s="2"/>
      <c r="I193" s="2"/>
      <c r="J193" s="2"/>
      <c r="K193" s="2"/>
      <c r="L193" s="2"/>
      <c r="M193" s="2"/>
      <c r="N193" s="2"/>
      <c r="O193" s="2"/>
      <c r="P193" s="2"/>
      <c r="Q193" s="2"/>
      <c r="R193" s="2"/>
      <c r="S193" s="2"/>
      <c r="T193" s="2"/>
      <c r="U193" s="2"/>
    </row>
    <row r="194" spans="1:21" ht="15.75" customHeight="1">
      <c r="A194" s="1"/>
      <c r="B194" s="2"/>
      <c r="C194" s="2"/>
      <c r="D194" s="2"/>
      <c r="E194" s="2"/>
      <c r="F194" s="2"/>
      <c r="G194" s="2"/>
      <c r="H194" s="2"/>
      <c r="I194" s="2"/>
      <c r="J194" s="2"/>
      <c r="K194" s="2"/>
      <c r="L194" s="2"/>
      <c r="M194" s="2"/>
      <c r="N194" s="2"/>
      <c r="O194" s="2"/>
      <c r="P194" s="2"/>
      <c r="Q194" s="2"/>
      <c r="R194" s="2"/>
      <c r="S194" s="2"/>
      <c r="T194" s="2"/>
      <c r="U194" s="2"/>
    </row>
    <row r="195" spans="1:21" ht="15.75" customHeight="1">
      <c r="A195" s="1"/>
      <c r="B195" s="2"/>
      <c r="C195" s="2"/>
      <c r="D195" s="2"/>
      <c r="E195" s="2"/>
      <c r="F195" s="2"/>
      <c r="G195" s="2"/>
      <c r="H195" s="2"/>
      <c r="I195" s="2"/>
      <c r="J195" s="2"/>
      <c r="K195" s="2"/>
      <c r="L195" s="2"/>
      <c r="M195" s="2"/>
      <c r="N195" s="2"/>
      <c r="O195" s="2"/>
      <c r="P195" s="2"/>
      <c r="Q195" s="2"/>
      <c r="R195" s="2"/>
      <c r="S195" s="2"/>
      <c r="T195" s="2"/>
      <c r="U195" s="2"/>
    </row>
    <row r="196" spans="1:21" ht="15.75" customHeight="1">
      <c r="A196" s="1"/>
      <c r="B196" s="2"/>
      <c r="C196" s="2"/>
      <c r="D196" s="2"/>
      <c r="E196" s="2"/>
      <c r="F196" s="2"/>
      <c r="G196" s="2"/>
      <c r="H196" s="2"/>
      <c r="I196" s="2"/>
      <c r="J196" s="2"/>
      <c r="K196" s="2"/>
      <c r="L196" s="2"/>
      <c r="M196" s="2"/>
      <c r="N196" s="2"/>
      <c r="O196" s="2"/>
      <c r="P196" s="2"/>
      <c r="Q196" s="2"/>
      <c r="R196" s="2"/>
      <c r="S196" s="2"/>
      <c r="T196" s="2"/>
      <c r="U196" s="2"/>
    </row>
    <row r="197" spans="1:21" ht="15.75" customHeight="1">
      <c r="A197" s="1"/>
      <c r="B197" s="2"/>
      <c r="C197" s="2"/>
      <c r="D197" s="2"/>
      <c r="E197" s="2"/>
      <c r="F197" s="2"/>
      <c r="G197" s="2"/>
      <c r="H197" s="2"/>
      <c r="I197" s="2"/>
      <c r="J197" s="2"/>
      <c r="K197" s="2"/>
      <c r="L197" s="2"/>
      <c r="M197" s="2"/>
      <c r="N197" s="2"/>
      <c r="O197" s="2"/>
      <c r="P197" s="2"/>
      <c r="Q197" s="2"/>
      <c r="R197" s="2"/>
      <c r="S197" s="2"/>
      <c r="T197" s="2"/>
      <c r="U197" s="2"/>
    </row>
    <row r="198" spans="1:21" ht="15.75" customHeight="1">
      <c r="A198" s="1"/>
      <c r="B198" s="2"/>
      <c r="C198" s="2"/>
      <c r="D198" s="2"/>
      <c r="E198" s="2"/>
      <c r="F198" s="2"/>
      <c r="G198" s="2"/>
      <c r="H198" s="2"/>
      <c r="I198" s="2"/>
      <c r="J198" s="2"/>
      <c r="K198" s="2"/>
      <c r="L198" s="2"/>
      <c r="M198" s="2"/>
      <c r="N198" s="2"/>
      <c r="O198" s="2"/>
      <c r="P198" s="2"/>
      <c r="Q198" s="2"/>
      <c r="R198" s="2"/>
      <c r="S198" s="2"/>
      <c r="T198" s="2"/>
      <c r="U198" s="2"/>
    </row>
    <row r="199" spans="1:21" ht="15.75" customHeight="1">
      <c r="A199" s="1"/>
      <c r="B199" s="2"/>
      <c r="C199" s="2"/>
      <c r="D199" s="2"/>
      <c r="E199" s="2"/>
      <c r="F199" s="2"/>
      <c r="G199" s="2"/>
      <c r="H199" s="2"/>
      <c r="I199" s="2"/>
      <c r="J199" s="2"/>
      <c r="K199" s="2"/>
      <c r="L199" s="2"/>
      <c r="M199" s="2"/>
      <c r="N199" s="2"/>
      <c r="O199" s="2"/>
      <c r="P199" s="2"/>
      <c r="Q199" s="2"/>
      <c r="R199" s="2"/>
      <c r="S199" s="2"/>
      <c r="T199" s="2"/>
      <c r="U199" s="2"/>
    </row>
    <row r="200" spans="1:21" ht="15.75" customHeight="1">
      <c r="A200" s="1"/>
      <c r="B200" s="2"/>
      <c r="C200" s="2"/>
      <c r="D200" s="2"/>
      <c r="E200" s="2"/>
      <c r="F200" s="2"/>
      <c r="G200" s="2"/>
      <c r="H200" s="2"/>
      <c r="I200" s="2"/>
      <c r="J200" s="2"/>
      <c r="K200" s="2"/>
      <c r="L200" s="2"/>
      <c r="M200" s="2"/>
      <c r="N200" s="2"/>
      <c r="O200" s="2"/>
      <c r="P200" s="2"/>
      <c r="Q200" s="2"/>
      <c r="R200" s="2"/>
      <c r="S200" s="2"/>
      <c r="T200" s="2"/>
      <c r="U200" s="2"/>
    </row>
    <row r="201" spans="1:21" ht="15.75" customHeight="1">
      <c r="A201" s="1"/>
      <c r="B201" s="2"/>
      <c r="C201" s="2"/>
      <c r="D201" s="2"/>
      <c r="E201" s="2"/>
      <c r="F201" s="2"/>
      <c r="G201" s="2"/>
      <c r="H201" s="2"/>
      <c r="I201" s="2"/>
      <c r="J201" s="2"/>
      <c r="K201" s="2"/>
      <c r="L201" s="2"/>
      <c r="M201" s="2"/>
      <c r="N201" s="2"/>
      <c r="O201" s="2"/>
      <c r="P201" s="2"/>
      <c r="Q201" s="2"/>
      <c r="R201" s="2"/>
      <c r="S201" s="2"/>
      <c r="T201" s="2"/>
      <c r="U201" s="2"/>
    </row>
    <row r="202" spans="1:21" ht="15.75" customHeight="1">
      <c r="A202" s="1"/>
      <c r="B202" s="2"/>
      <c r="C202" s="2"/>
      <c r="D202" s="2"/>
      <c r="E202" s="2"/>
      <c r="F202" s="2"/>
      <c r="G202" s="2"/>
      <c r="H202" s="2"/>
      <c r="I202" s="2"/>
      <c r="J202" s="2"/>
      <c r="K202" s="2"/>
      <c r="L202" s="2"/>
      <c r="M202" s="2"/>
      <c r="N202" s="2"/>
      <c r="O202" s="2"/>
      <c r="P202" s="2"/>
      <c r="Q202" s="2"/>
      <c r="R202" s="2"/>
      <c r="S202" s="2"/>
      <c r="T202" s="2"/>
      <c r="U202" s="2"/>
    </row>
    <row r="203" spans="1:21" ht="15.75" customHeight="1">
      <c r="A203" s="1"/>
      <c r="B203" s="2"/>
      <c r="C203" s="2"/>
      <c r="D203" s="2"/>
      <c r="E203" s="2"/>
      <c r="F203" s="2"/>
      <c r="G203" s="2"/>
      <c r="H203" s="2"/>
      <c r="I203" s="2"/>
      <c r="J203" s="2"/>
      <c r="K203" s="2"/>
      <c r="L203" s="2"/>
      <c r="M203" s="2"/>
      <c r="N203" s="2"/>
      <c r="O203" s="2"/>
      <c r="P203" s="2"/>
      <c r="Q203" s="2"/>
      <c r="R203" s="2"/>
      <c r="S203" s="2"/>
      <c r="T203" s="2"/>
      <c r="U203" s="2"/>
    </row>
    <row r="204" spans="1:21" ht="15.75" customHeight="1">
      <c r="A204" s="1"/>
      <c r="B204" s="2"/>
      <c r="C204" s="2"/>
      <c r="D204" s="2"/>
      <c r="E204" s="2"/>
      <c r="F204" s="2"/>
      <c r="G204" s="2"/>
      <c r="H204" s="2"/>
      <c r="I204" s="2"/>
      <c r="J204" s="2"/>
      <c r="K204" s="2"/>
      <c r="L204" s="2"/>
      <c r="M204" s="2"/>
      <c r="N204" s="2"/>
      <c r="O204" s="2"/>
      <c r="P204" s="2"/>
      <c r="Q204" s="2"/>
      <c r="R204" s="2"/>
      <c r="S204" s="2"/>
      <c r="T204" s="2"/>
      <c r="U204" s="2"/>
    </row>
    <row r="205" spans="1:21" ht="15.75" customHeight="1">
      <c r="A205" s="1"/>
      <c r="B205" s="2"/>
      <c r="C205" s="2"/>
      <c r="D205" s="2"/>
      <c r="E205" s="2"/>
      <c r="F205" s="2"/>
      <c r="G205" s="2"/>
      <c r="H205" s="2"/>
      <c r="I205" s="2"/>
      <c r="J205" s="2"/>
      <c r="K205" s="2"/>
      <c r="L205" s="2"/>
      <c r="M205" s="2"/>
      <c r="N205" s="2"/>
      <c r="O205" s="2"/>
      <c r="P205" s="2"/>
      <c r="Q205" s="2"/>
      <c r="R205" s="2"/>
      <c r="S205" s="2"/>
      <c r="T205" s="2"/>
      <c r="U205" s="2"/>
    </row>
    <row r="206" spans="1:21" ht="15.75" customHeight="1">
      <c r="A206" s="1"/>
      <c r="B206" s="2"/>
      <c r="C206" s="2"/>
      <c r="D206" s="2"/>
      <c r="E206" s="2"/>
      <c r="F206" s="2"/>
      <c r="G206" s="2"/>
      <c r="H206" s="2"/>
      <c r="I206" s="2"/>
      <c r="J206" s="2"/>
      <c r="K206" s="2"/>
      <c r="L206" s="2"/>
      <c r="M206" s="2"/>
      <c r="N206" s="2"/>
      <c r="O206" s="2"/>
      <c r="P206" s="2"/>
      <c r="Q206" s="2"/>
      <c r="R206" s="2"/>
      <c r="S206" s="2"/>
      <c r="T206" s="2"/>
      <c r="U206" s="2"/>
    </row>
    <row r="207" spans="1:21" ht="15.75" customHeight="1">
      <c r="A207" s="1"/>
      <c r="B207" s="2"/>
      <c r="C207" s="2"/>
      <c r="D207" s="2"/>
      <c r="E207" s="2"/>
      <c r="F207" s="2"/>
      <c r="G207" s="2"/>
      <c r="H207" s="2"/>
      <c r="I207" s="2"/>
      <c r="J207" s="2"/>
      <c r="K207" s="2"/>
      <c r="L207" s="2"/>
      <c r="M207" s="2"/>
      <c r="N207" s="2"/>
      <c r="O207" s="2"/>
      <c r="P207" s="2"/>
      <c r="Q207" s="2"/>
      <c r="R207" s="2"/>
      <c r="S207" s="2"/>
      <c r="T207" s="2"/>
      <c r="U207" s="2"/>
    </row>
    <row r="208" spans="1:21" ht="15.75" customHeight="1">
      <c r="A208" s="1"/>
      <c r="B208" s="2"/>
      <c r="C208" s="2"/>
      <c r="D208" s="2"/>
      <c r="E208" s="2"/>
      <c r="F208" s="2"/>
      <c r="G208" s="2"/>
      <c r="H208" s="2"/>
      <c r="I208" s="2"/>
      <c r="J208" s="2"/>
      <c r="K208" s="2"/>
      <c r="L208" s="2"/>
      <c r="M208" s="2"/>
      <c r="N208" s="2"/>
      <c r="O208" s="2"/>
      <c r="P208" s="2"/>
      <c r="Q208" s="2"/>
      <c r="R208" s="2"/>
      <c r="S208" s="2"/>
      <c r="T208" s="2"/>
      <c r="U208" s="2"/>
    </row>
    <row r="209" spans="1:21" ht="15.75" customHeight="1">
      <c r="A209" s="1"/>
      <c r="B209" s="2"/>
      <c r="C209" s="2"/>
      <c r="D209" s="2"/>
      <c r="E209" s="2"/>
      <c r="F209" s="2"/>
      <c r="G209" s="2"/>
      <c r="H209" s="2"/>
      <c r="I209" s="2"/>
      <c r="J209" s="2"/>
      <c r="K209" s="2"/>
      <c r="L209" s="2"/>
      <c r="M209" s="2"/>
      <c r="N209" s="2"/>
      <c r="O209" s="2"/>
      <c r="P209" s="2"/>
      <c r="Q209" s="2"/>
      <c r="R209" s="2"/>
      <c r="S209" s="2"/>
      <c r="T209" s="2"/>
      <c r="U209" s="2"/>
    </row>
    <row r="210" spans="1:21" ht="15.75" customHeight="1">
      <c r="A210" s="1"/>
      <c r="B210" s="2"/>
      <c r="C210" s="2"/>
      <c r="D210" s="2"/>
      <c r="E210" s="2"/>
      <c r="F210" s="2"/>
      <c r="G210" s="2"/>
      <c r="H210" s="2"/>
      <c r="I210" s="2"/>
      <c r="J210" s="2"/>
      <c r="K210" s="2"/>
      <c r="L210" s="2"/>
      <c r="M210" s="2"/>
      <c r="N210" s="2"/>
      <c r="O210" s="2"/>
      <c r="P210" s="2"/>
      <c r="Q210" s="2"/>
      <c r="R210" s="2"/>
      <c r="S210" s="2"/>
      <c r="T210" s="2"/>
      <c r="U210" s="2"/>
    </row>
    <row r="211" spans="1:21" ht="15.75" customHeight="1">
      <c r="A211" s="1"/>
      <c r="B211" s="2"/>
      <c r="C211" s="2"/>
      <c r="D211" s="2"/>
      <c r="E211" s="2"/>
      <c r="F211" s="2"/>
      <c r="G211" s="2"/>
      <c r="H211" s="2"/>
      <c r="I211" s="2"/>
      <c r="J211" s="2"/>
      <c r="K211" s="2"/>
      <c r="L211" s="2"/>
      <c r="M211" s="2"/>
      <c r="N211" s="2"/>
      <c r="O211" s="2"/>
      <c r="P211" s="2"/>
      <c r="Q211" s="2"/>
      <c r="R211" s="2"/>
      <c r="S211" s="2"/>
      <c r="T211" s="2"/>
      <c r="U211" s="2"/>
    </row>
    <row r="212" spans="1:21" ht="15.75" customHeight="1">
      <c r="A212" s="1"/>
      <c r="B212" s="2"/>
      <c r="C212" s="2"/>
      <c r="D212" s="2"/>
      <c r="E212" s="2"/>
      <c r="F212" s="2"/>
      <c r="G212" s="2"/>
      <c r="H212" s="2"/>
      <c r="I212" s="2"/>
      <c r="J212" s="2"/>
      <c r="K212" s="2"/>
      <c r="L212" s="2"/>
      <c r="M212" s="2"/>
      <c r="N212" s="2"/>
      <c r="O212" s="2"/>
      <c r="P212" s="2"/>
      <c r="Q212" s="2"/>
      <c r="R212" s="2"/>
      <c r="S212" s="2"/>
      <c r="T212" s="2"/>
      <c r="U212" s="2"/>
    </row>
    <row r="213" spans="1:21" ht="15.75" customHeight="1">
      <c r="A213" s="1"/>
      <c r="B213" s="2"/>
      <c r="C213" s="2"/>
      <c r="D213" s="2"/>
      <c r="E213" s="2"/>
      <c r="F213" s="2"/>
      <c r="G213" s="2"/>
      <c r="H213" s="2"/>
      <c r="I213" s="2"/>
      <c r="J213" s="2"/>
      <c r="K213" s="2"/>
      <c r="L213" s="2"/>
      <c r="M213" s="2"/>
      <c r="N213" s="2"/>
      <c r="O213" s="2"/>
      <c r="P213" s="2"/>
      <c r="Q213" s="2"/>
      <c r="R213" s="2"/>
      <c r="S213" s="2"/>
      <c r="T213" s="2"/>
      <c r="U213" s="2"/>
    </row>
    <row r="214" spans="1:21" ht="15.75" customHeight="1">
      <c r="A214" s="1"/>
      <c r="B214" s="2"/>
      <c r="C214" s="2"/>
      <c r="D214" s="2"/>
      <c r="E214" s="2"/>
      <c r="F214" s="2"/>
      <c r="G214" s="2"/>
      <c r="H214" s="2"/>
      <c r="I214" s="2"/>
      <c r="J214" s="2"/>
      <c r="K214" s="2"/>
      <c r="L214" s="2"/>
      <c r="M214" s="2"/>
      <c r="N214" s="2"/>
      <c r="O214" s="2"/>
      <c r="P214" s="2"/>
      <c r="Q214" s="2"/>
      <c r="R214" s="2"/>
      <c r="S214" s="2"/>
      <c r="T214" s="2"/>
      <c r="U214" s="2"/>
    </row>
    <row r="215" spans="1:21" ht="15.75" customHeight="1">
      <c r="A215" s="1"/>
      <c r="B215" s="2"/>
      <c r="C215" s="2"/>
      <c r="D215" s="2"/>
      <c r="E215" s="2"/>
      <c r="F215" s="2"/>
      <c r="G215" s="2"/>
      <c r="H215" s="2"/>
      <c r="I215" s="2"/>
      <c r="J215" s="2"/>
      <c r="K215" s="2"/>
      <c r="L215" s="2"/>
      <c r="M215" s="2"/>
      <c r="N215" s="2"/>
      <c r="O215" s="2"/>
      <c r="P215" s="2"/>
      <c r="Q215" s="2"/>
      <c r="R215" s="2"/>
      <c r="S215" s="2"/>
      <c r="T215" s="2"/>
      <c r="U215" s="2"/>
    </row>
    <row r="216" spans="1:21" ht="15.75" customHeight="1">
      <c r="A216" s="1"/>
      <c r="B216" s="2"/>
      <c r="C216" s="2"/>
      <c r="D216" s="2"/>
      <c r="E216" s="2"/>
      <c r="F216" s="2"/>
      <c r="G216" s="2"/>
      <c r="H216" s="2"/>
      <c r="I216" s="2"/>
      <c r="J216" s="2"/>
      <c r="K216" s="2"/>
      <c r="L216" s="2"/>
      <c r="M216" s="2"/>
      <c r="N216" s="2"/>
      <c r="O216" s="2"/>
      <c r="P216" s="2"/>
      <c r="Q216" s="2"/>
      <c r="R216" s="2"/>
      <c r="S216" s="2"/>
      <c r="T216" s="2"/>
      <c r="U216" s="2"/>
    </row>
    <row r="217" spans="1:21" ht="15.75" customHeight="1">
      <c r="A217" s="1"/>
      <c r="B217" s="2"/>
      <c r="C217" s="2"/>
      <c r="D217" s="2"/>
      <c r="E217" s="2"/>
      <c r="F217" s="2"/>
      <c r="G217" s="2"/>
      <c r="H217" s="2"/>
      <c r="I217" s="2"/>
      <c r="J217" s="2"/>
      <c r="K217" s="2"/>
      <c r="L217" s="2"/>
      <c r="M217" s="2"/>
      <c r="N217" s="2"/>
      <c r="O217" s="2"/>
      <c r="P217" s="2"/>
      <c r="Q217" s="2"/>
      <c r="R217" s="2"/>
      <c r="S217" s="2"/>
      <c r="T217" s="2"/>
      <c r="U217" s="2"/>
    </row>
    <row r="218" spans="1:21" ht="15.75" customHeight="1">
      <c r="A218" s="1"/>
      <c r="B218" s="2"/>
      <c r="C218" s="2"/>
      <c r="D218" s="2"/>
      <c r="E218" s="2"/>
      <c r="F218" s="2"/>
      <c r="G218" s="2"/>
      <c r="H218" s="2"/>
      <c r="I218" s="2"/>
      <c r="J218" s="2"/>
      <c r="K218" s="2"/>
      <c r="L218" s="2"/>
      <c r="M218" s="2"/>
      <c r="N218" s="2"/>
      <c r="O218" s="2"/>
      <c r="P218" s="2"/>
      <c r="Q218" s="2"/>
      <c r="R218" s="2"/>
      <c r="S218" s="2"/>
      <c r="T218" s="2"/>
      <c r="U218" s="2"/>
    </row>
    <row r="219" spans="1:21" ht="15.75" customHeight="1">
      <c r="A219" s="1"/>
      <c r="B219" s="2"/>
      <c r="C219" s="2"/>
      <c r="D219" s="2"/>
      <c r="E219" s="2"/>
      <c r="F219" s="2"/>
      <c r="G219" s="2"/>
      <c r="H219" s="2"/>
      <c r="I219" s="2"/>
      <c r="J219" s="2"/>
      <c r="K219" s="2"/>
      <c r="L219" s="2"/>
      <c r="M219" s="2"/>
      <c r="N219" s="2"/>
      <c r="O219" s="2"/>
      <c r="P219" s="2"/>
      <c r="Q219" s="2"/>
      <c r="R219" s="2"/>
      <c r="S219" s="2"/>
      <c r="T219" s="2"/>
      <c r="U219" s="2"/>
    </row>
    <row r="220" spans="1:21" ht="15.75" customHeight="1">
      <c r="A220" s="1"/>
      <c r="B220" s="2"/>
      <c r="C220" s="2"/>
      <c r="D220" s="2"/>
      <c r="E220" s="2"/>
      <c r="F220" s="2"/>
      <c r="G220" s="2"/>
      <c r="H220" s="2"/>
      <c r="I220" s="2"/>
      <c r="J220" s="2"/>
      <c r="K220" s="2"/>
      <c r="L220" s="2"/>
      <c r="M220" s="2"/>
      <c r="N220" s="2"/>
      <c r="O220" s="2"/>
      <c r="P220" s="2"/>
      <c r="Q220" s="2"/>
      <c r="R220" s="2"/>
      <c r="S220" s="2"/>
      <c r="T220" s="2"/>
      <c r="U220" s="2"/>
    </row>
    <row r="221" spans="1:21" ht="15.75" customHeight="1">
      <c r="A221" s="1"/>
      <c r="B221" s="2"/>
      <c r="C221" s="2"/>
      <c r="D221" s="2"/>
      <c r="E221" s="2"/>
      <c r="F221" s="2"/>
      <c r="G221" s="2"/>
      <c r="H221" s="2"/>
      <c r="I221" s="2"/>
      <c r="J221" s="2"/>
      <c r="K221" s="2"/>
      <c r="L221" s="2"/>
      <c r="M221" s="2"/>
      <c r="N221" s="2"/>
      <c r="O221" s="2"/>
      <c r="P221" s="2"/>
      <c r="Q221" s="2"/>
      <c r="R221" s="2"/>
      <c r="S221" s="2"/>
      <c r="T221" s="2"/>
      <c r="U221" s="2"/>
    </row>
    <row r="222" spans="1:21" ht="15.75" customHeight="1">
      <c r="A222" s="1"/>
      <c r="B222" s="2"/>
      <c r="C222" s="2"/>
      <c r="D222" s="2"/>
      <c r="E222" s="2"/>
      <c r="F222" s="2"/>
      <c r="G222" s="2"/>
      <c r="H222" s="2"/>
      <c r="I222" s="2"/>
      <c r="J222" s="2"/>
      <c r="K222" s="2"/>
      <c r="L222" s="2"/>
      <c r="M222" s="2"/>
      <c r="N222" s="2"/>
      <c r="O222" s="2"/>
      <c r="P222" s="2"/>
      <c r="Q222" s="2"/>
      <c r="R222" s="2"/>
      <c r="S222" s="2"/>
      <c r="T222" s="2"/>
      <c r="U222" s="2"/>
    </row>
    <row r="223" spans="1:21" ht="15.75" customHeight="1">
      <c r="A223" s="1"/>
      <c r="B223" s="2"/>
      <c r="C223" s="2"/>
      <c r="D223" s="2"/>
      <c r="E223" s="2"/>
      <c r="F223" s="2"/>
      <c r="G223" s="2"/>
      <c r="H223" s="2"/>
      <c r="I223" s="2"/>
      <c r="J223" s="2"/>
      <c r="K223" s="2"/>
      <c r="L223" s="2"/>
      <c r="M223" s="2"/>
      <c r="N223" s="2"/>
      <c r="O223" s="2"/>
      <c r="P223" s="2"/>
      <c r="Q223" s="2"/>
      <c r="R223" s="2"/>
      <c r="S223" s="2"/>
      <c r="T223" s="2"/>
      <c r="U223" s="2"/>
    </row>
    <row r="224" spans="1:21" ht="15.75" customHeight="1">
      <c r="A224" s="1"/>
      <c r="B224" s="2"/>
      <c r="C224" s="2"/>
      <c r="D224" s="2"/>
      <c r="E224" s="2"/>
      <c r="F224" s="2"/>
      <c r="G224" s="2"/>
      <c r="H224" s="2"/>
      <c r="I224" s="2"/>
      <c r="J224" s="2"/>
      <c r="K224" s="2"/>
      <c r="L224" s="2"/>
      <c r="M224" s="2"/>
      <c r="N224" s="2"/>
      <c r="O224" s="2"/>
      <c r="P224" s="2"/>
      <c r="Q224" s="2"/>
      <c r="R224" s="2"/>
      <c r="S224" s="2"/>
      <c r="T224" s="2"/>
      <c r="U224" s="2"/>
    </row>
    <row r="225" spans="1:21" ht="15.75" customHeight="1">
      <c r="A225" s="1"/>
      <c r="B225" s="2"/>
      <c r="C225" s="2"/>
      <c r="D225" s="2"/>
      <c r="E225" s="2"/>
      <c r="F225" s="2"/>
      <c r="G225" s="2"/>
      <c r="H225" s="2"/>
      <c r="I225" s="2"/>
      <c r="J225" s="2"/>
      <c r="K225" s="2"/>
      <c r="L225" s="2"/>
      <c r="M225" s="2"/>
      <c r="N225" s="2"/>
      <c r="O225" s="2"/>
      <c r="P225" s="2"/>
      <c r="Q225" s="2"/>
      <c r="R225" s="2"/>
      <c r="S225" s="2"/>
      <c r="T225" s="2"/>
      <c r="U225" s="2"/>
    </row>
    <row r="226" spans="1:21" ht="15.75" customHeight="1">
      <c r="A226" s="1"/>
      <c r="B226" s="2"/>
      <c r="C226" s="2"/>
      <c r="D226" s="2"/>
      <c r="E226" s="2"/>
      <c r="F226" s="2"/>
      <c r="G226" s="2"/>
      <c r="H226" s="2"/>
      <c r="I226" s="2"/>
      <c r="J226" s="2"/>
      <c r="K226" s="2"/>
      <c r="L226" s="2"/>
      <c r="M226" s="2"/>
      <c r="N226" s="2"/>
      <c r="O226" s="2"/>
      <c r="P226" s="2"/>
      <c r="Q226" s="2"/>
      <c r="R226" s="2"/>
      <c r="S226" s="2"/>
      <c r="T226" s="2"/>
      <c r="U226" s="2"/>
    </row>
    <row r="227" spans="1:21" ht="15.75" customHeight="1">
      <c r="A227" s="1"/>
      <c r="B227" s="2"/>
      <c r="C227" s="2"/>
      <c r="D227" s="2"/>
      <c r="E227" s="2"/>
      <c r="F227" s="2"/>
      <c r="G227" s="2"/>
      <c r="H227" s="2"/>
      <c r="I227" s="2"/>
      <c r="J227" s="2"/>
      <c r="K227" s="2"/>
      <c r="L227" s="2"/>
      <c r="M227" s="2"/>
      <c r="N227" s="2"/>
      <c r="O227" s="2"/>
      <c r="P227" s="2"/>
      <c r="Q227" s="2"/>
      <c r="R227" s="2"/>
      <c r="S227" s="2"/>
      <c r="T227" s="2"/>
      <c r="U227" s="2"/>
    </row>
    <row r="228" spans="1:21" ht="15.75" customHeight="1">
      <c r="A228" s="1"/>
      <c r="B228" s="2"/>
      <c r="C228" s="2"/>
      <c r="D228" s="2"/>
      <c r="E228" s="2"/>
      <c r="F228" s="2"/>
      <c r="G228" s="2"/>
      <c r="H228" s="2"/>
      <c r="I228" s="2"/>
      <c r="J228" s="2"/>
      <c r="K228" s="2"/>
      <c r="L228" s="2"/>
      <c r="M228" s="2"/>
      <c r="N228" s="2"/>
      <c r="O228" s="2"/>
      <c r="P228" s="2"/>
      <c r="Q228" s="2"/>
      <c r="R228" s="2"/>
      <c r="S228" s="2"/>
      <c r="T228" s="2"/>
      <c r="U228" s="2"/>
    </row>
    <row r="229" spans="1:21" ht="15.75" customHeight="1">
      <c r="A229" s="1"/>
      <c r="B229" s="2"/>
      <c r="C229" s="2"/>
      <c r="D229" s="2"/>
      <c r="E229" s="2"/>
      <c r="F229" s="2"/>
      <c r="G229" s="2"/>
      <c r="H229" s="2"/>
      <c r="I229" s="2"/>
      <c r="J229" s="2"/>
      <c r="K229" s="2"/>
      <c r="L229" s="2"/>
      <c r="M229" s="2"/>
      <c r="N229" s="2"/>
      <c r="O229" s="2"/>
      <c r="P229" s="2"/>
      <c r="Q229" s="2"/>
      <c r="R229" s="2"/>
      <c r="S229" s="2"/>
      <c r="T229" s="2"/>
      <c r="U229" s="2"/>
    </row>
    <row r="230" spans="1:21" ht="15.75" customHeight="1">
      <c r="A230" s="1"/>
      <c r="B230" s="2"/>
      <c r="C230" s="2"/>
      <c r="D230" s="2"/>
      <c r="E230" s="2"/>
      <c r="F230" s="2"/>
      <c r="G230" s="2"/>
      <c r="H230" s="2"/>
      <c r="I230" s="2"/>
      <c r="J230" s="2"/>
      <c r="K230" s="2"/>
      <c r="L230" s="2"/>
      <c r="M230" s="2"/>
      <c r="N230" s="2"/>
      <c r="O230" s="2"/>
      <c r="P230" s="2"/>
      <c r="Q230" s="2"/>
      <c r="R230" s="2"/>
      <c r="S230" s="2"/>
      <c r="T230" s="2"/>
      <c r="U230" s="2"/>
    </row>
    <row r="231" spans="1:21" ht="15.75" customHeight="1">
      <c r="A231" s="1"/>
      <c r="B231" s="2"/>
      <c r="C231" s="2"/>
      <c r="D231" s="2"/>
      <c r="E231" s="2"/>
      <c r="F231" s="2"/>
      <c r="G231" s="2"/>
      <c r="H231" s="2"/>
      <c r="I231" s="2"/>
      <c r="J231" s="2"/>
      <c r="K231" s="2"/>
      <c r="L231" s="2"/>
      <c r="M231" s="2"/>
      <c r="N231" s="2"/>
      <c r="O231" s="2"/>
      <c r="P231" s="2"/>
      <c r="Q231" s="2"/>
      <c r="R231" s="2"/>
      <c r="S231" s="2"/>
      <c r="T231" s="2"/>
      <c r="U231" s="2"/>
    </row>
    <row r="232" spans="1:21" ht="15.75" customHeight="1">
      <c r="A232" s="1"/>
      <c r="B232" s="2"/>
      <c r="C232" s="2"/>
      <c r="D232" s="2"/>
      <c r="E232" s="2"/>
      <c r="F232" s="2"/>
      <c r="G232" s="2"/>
      <c r="H232" s="2"/>
      <c r="I232" s="2"/>
      <c r="J232" s="2"/>
      <c r="K232" s="2"/>
      <c r="L232" s="2"/>
      <c r="M232" s="2"/>
      <c r="N232" s="2"/>
      <c r="O232" s="2"/>
      <c r="P232" s="2"/>
      <c r="Q232" s="2"/>
      <c r="R232" s="2"/>
      <c r="S232" s="2"/>
      <c r="T232" s="2"/>
      <c r="U232" s="2"/>
    </row>
    <row r="233" spans="1:21" ht="15.75" customHeight="1">
      <c r="A233" s="1"/>
      <c r="B233" s="2"/>
      <c r="C233" s="2"/>
      <c r="D233" s="2"/>
      <c r="E233" s="2"/>
      <c r="F233" s="2"/>
      <c r="G233" s="2"/>
      <c r="H233" s="2"/>
      <c r="I233" s="2"/>
      <c r="J233" s="2"/>
      <c r="K233" s="2"/>
      <c r="L233" s="2"/>
      <c r="M233" s="2"/>
      <c r="N233" s="2"/>
      <c r="O233" s="2"/>
      <c r="P233" s="2"/>
      <c r="Q233" s="2"/>
      <c r="R233" s="2"/>
      <c r="S233" s="2"/>
      <c r="T233" s="2"/>
      <c r="U233" s="2"/>
    </row>
    <row r="234" spans="1:21" ht="15.75" customHeight="1">
      <c r="A234" s="1"/>
      <c r="B234" s="2"/>
      <c r="C234" s="2"/>
      <c r="D234" s="2"/>
      <c r="E234" s="2"/>
      <c r="F234" s="2"/>
      <c r="G234" s="2"/>
      <c r="H234" s="2"/>
      <c r="I234" s="2"/>
      <c r="J234" s="2"/>
      <c r="K234" s="2"/>
      <c r="L234" s="2"/>
      <c r="M234" s="2"/>
      <c r="N234" s="2"/>
      <c r="O234" s="2"/>
      <c r="P234" s="2"/>
      <c r="Q234" s="2"/>
      <c r="R234" s="2"/>
      <c r="S234" s="2"/>
      <c r="T234" s="2"/>
      <c r="U234" s="2"/>
    </row>
    <row r="235" spans="1:21" ht="15.75" customHeight="1">
      <c r="A235" s="1"/>
      <c r="B235" s="2"/>
      <c r="C235" s="2"/>
      <c r="D235" s="2"/>
      <c r="E235" s="2"/>
      <c r="F235" s="2"/>
      <c r="G235" s="2"/>
      <c r="H235" s="2"/>
      <c r="I235" s="2"/>
      <c r="J235" s="2"/>
      <c r="K235" s="2"/>
      <c r="L235" s="2"/>
      <c r="M235" s="2"/>
      <c r="N235" s="2"/>
      <c r="O235" s="2"/>
      <c r="P235" s="2"/>
      <c r="Q235" s="2"/>
      <c r="R235" s="2"/>
      <c r="S235" s="2"/>
      <c r="T235" s="2"/>
      <c r="U235" s="2"/>
    </row>
    <row r="236" spans="1:21" ht="15.75" customHeight="1">
      <c r="A236" s="1"/>
      <c r="B236" s="2"/>
      <c r="C236" s="2"/>
      <c r="D236" s="2"/>
      <c r="E236" s="2"/>
      <c r="F236" s="2"/>
      <c r="G236" s="2"/>
      <c r="H236" s="2"/>
      <c r="I236" s="2"/>
      <c r="J236" s="2"/>
      <c r="K236" s="2"/>
      <c r="L236" s="2"/>
      <c r="M236" s="2"/>
      <c r="N236" s="2"/>
      <c r="O236" s="2"/>
      <c r="P236" s="2"/>
      <c r="Q236" s="2"/>
      <c r="R236" s="2"/>
      <c r="S236" s="2"/>
      <c r="T236" s="2"/>
      <c r="U236" s="2"/>
    </row>
    <row r="237" spans="1:21" ht="15.75" customHeight="1">
      <c r="A237" s="1"/>
      <c r="B237" s="2"/>
      <c r="C237" s="2"/>
      <c r="D237" s="2"/>
      <c r="E237" s="2"/>
      <c r="F237" s="2"/>
      <c r="G237" s="2"/>
      <c r="H237" s="2"/>
      <c r="I237" s="2"/>
      <c r="J237" s="2"/>
      <c r="K237" s="2"/>
      <c r="L237" s="2"/>
      <c r="M237" s="2"/>
      <c r="N237" s="2"/>
      <c r="O237" s="2"/>
      <c r="P237" s="2"/>
      <c r="Q237" s="2"/>
      <c r="R237" s="2"/>
      <c r="S237" s="2"/>
      <c r="T237" s="2"/>
      <c r="U237" s="2"/>
    </row>
    <row r="238" spans="1:21" ht="15.75" customHeight="1">
      <c r="A238" s="1"/>
      <c r="B238" s="2"/>
      <c r="C238" s="2"/>
      <c r="D238" s="2"/>
      <c r="E238" s="2"/>
      <c r="F238" s="2"/>
      <c r="G238" s="2"/>
      <c r="H238" s="2"/>
      <c r="I238" s="2"/>
      <c r="J238" s="2"/>
      <c r="K238" s="2"/>
      <c r="L238" s="2"/>
      <c r="M238" s="2"/>
      <c r="N238" s="2"/>
      <c r="O238" s="2"/>
      <c r="P238" s="2"/>
      <c r="Q238" s="2"/>
      <c r="R238" s="2"/>
      <c r="S238" s="2"/>
      <c r="T238" s="2"/>
      <c r="U238" s="2"/>
    </row>
    <row r="239" spans="1:21" ht="15.75" customHeight="1">
      <c r="A239" s="1"/>
      <c r="B239" s="2"/>
      <c r="C239" s="2"/>
      <c r="D239" s="2"/>
      <c r="E239" s="2"/>
      <c r="F239" s="2"/>
      <c r="G239" s="2"/>
      <c r="H239" s="2"/>
      <c r="I239" s="2"/>
      <c r="J239" s="2"/>
      <c r="K239" s="2"/>
      <c r="L239" s="2"/>
      <c r="M239" s="2"/>
      <c r="N239" s="2"/>
      <c r="O239" s="2"/>
      <c r="P239" s="2"/>
      <c r="Q239" s="2"/>
      <c r="R239" s="2"/>
      <c r="S239" s="2"/>
      <c r="T239" s="2"/>
      <c r="U239" s="2"/>
    </row>
    <row r="240" spans="1:21" ht="15.75" customHeight="1">
      <c r="A240" s="1"/>
      <c r="B240" s="2"/>
      <c r="C240" s="2"/>
      <c r="D240" s="2"/>
      <c r="E240" s="2"/>
      <c r="F240" s="2"/>
      <c r="G240" s="2"/>
      <c r="H240" s="2"/>
      <c r="I240" s="2"/>
      <c r="J240" s="2"/>
      <c r="K240" s="2"/>
      <c r="L240" s="2"/>
      <c r="M240" s="2"/>
      <c r="N240" s="2"/>
      <c r="O240" s="2"/>
      <c r="P240" s="2"/>
      <c r="Q240" s="2"/>
      <c r="R240" s="2"/>
      <c r="S240" s="2"/>
      <c r="T240" s="2"/>
      <c r="U240" s="2"/>
    </row>
    <row r="241" spans="1:21" ht="15.75" customHeight="1">
      <c r="A241" s="1"/>
      <c r="B241" s="2"/>
      <c r="C241" s="2"/>
      <c r="D241" s="2"/>
      <c r="E241" s="2"/>
      <c r="F241" s="2"/>
      <c r="G241" s="2"/>
      <c r="H241" s="2"/>
      <c r="I241" s="2"/>
      <c r="J241" s="2"/>
      <c r="K241" s="2"/>
      <c r="L241" s="2"/>
      <c r="M241" s="2"/>
      <c r="N241" s="2"/>
      <c r="O241" s="2"/>
      <c r="P241" s="2"/>
      <c r="Q241" s="2"/>
      <c r="R241" s="2"/>
      <c r="S241" s="2"/>
      <c r="T241" s="2"/>
      <c r="U241" s="2"/>
    </row>
    <row r="242" spans="1:21" ht="15.75" customHeight="1">
      <c r="A242" s="1"/>
      <c r="B242" s="2"/>
      <c r="C242" s="2"/>
      <c r="D242" s="2"/>
      <c r="E242" s="2"/>
      <c r="F242" s="2"/>
      <c r="G242" s="2"/>
      <c r="H242" s="2"/>
      <c r="I242" s="2"/>
      <c r="J242" s="2"/>
      <c r="K242" s="2"/>
      <c r="L242" s="2"/>
      <c r="M242" s="2"/>
      <c r="N242" s="2"/>
      <c r="O242" s="2"/>
      <c r="P242" s="2"/>
      <c r="Q242" s="2"/>
      <c r="R242" s="2"/>
      <c r="S242" s="2"/>
      <c r="T242" s="2"/>
      <c r="U242" s="2"/>
    </row>
    <row r="243" spans="1:21" ht="15.75" customHeight="1">
      <c r="A243" s="1"/>
      <c r="B243" s="2"/>
      <c r="C243" s="2"/>
      <c r="D243" s="2"/>
      <c r="E243" s="2"/>
      <c r="F243" s="2"/>
      <c r="G243" s="2"/>
      <c r="H243" s="2"/>
      <c r="I243" s="2"/>
      <c r="J243" s="2"/>
      <c r="K243" s="2"/>
      <c r="L243" s="2"/>
      <c r="M243" s="2"/>
      <c r="N243" s="2"/>
      <c r="O243" s="2"/>
      <c r="P243" s="2"/>
      <c r="Q243" s="2"/>
      <c r="R243" s="2"/>
      <c r="S243" s="2"/>
      <c r="T243" s="2"/>
      <c r="U243" s="2"/>
    </row>
    <row r="244" spans="1:21" ht="15.75" customHeight="1">
      <c r="A244" s="1"/>
      <c r="B244" s="2"/>
      <c r="C244" s="2"/>
      <c r="D244" s="2"/>
      <c r="E244" s="2"/>
      <c r="F244" s="2"/>
      <c r="G244" s="2"/>
      <c r="H244" s="2"/>
      <c r="I244" s="2"/>
      <c r="J244" s="2"/>
      <c r="K244" s="2"/>
      <c r="L244" s="2"/>
      <c r="M244" s="2"/>
      <c r="N244" s="2"/>
      <c r="O244" s="2"/>
      <c r="P244" s="2"/>
      <c r="Q244" s="2"/>
      <c r="R244" s="2"/>
      <c r="S244" s="2"/>
      <c r="T244" s="2"/>
      <c r="U244" s="2"/>
    </row>
    <row r="245" spans="1:21" ht="15.75" customHeight="1">
      <c r="A245" s="1"/>
      <c r="B245" s="2"/>
      <c r="C245" s="2"/>
      <c r="D245" s="2"/>
      <c r="E245" s="2"/>
      <c r="F245" s="2"/>
      <c r="G245" s="2"/>
      <c r="H245" s="2"/>
      <c r="I245" s="2"/>
      <c r="J245" s="2"/>
      <c r="K245" s="2"/>
      <c r="L245" s="2"/>
      <c r="M245" s="2"/>
      <c r="N245" s="2"/>
      <c r="O245" s="2"/>
      <c r="P245" s="2"/>
      <c r="Q245" s="2"/>
      <c r="R245" s="2"/>
      <c r="S245" s="2"/>
      <c r="T245" s="2"/>
      <c r="U245" s="2"/>
    </row>
    <row r="246" spans="1:21" ht="15.75" customHeight="1">
      <c r="A246" s="1"/>
      <c r="B246" s="2"/>
      <c r="C246" s="2"/>
      <c r="D246" s="2"/>
      <c r="E246" s="2"/>
      <c r="F246" s="2"/>
      <c r="G246" s="2"/>
      <c r="H246" s="2"/>
      <c r="I246" s="2"/>
      <c r="J246" s="2"/>
      <c r="K246" s="2"/>
      <c r="L246" s="2"/>
      <c r="M246" s="2"/>
      <c r="N246" s="2"/>
      <c r="O246" s="2"/>
      <c r="P246" s="2"/>
      <c r="Q246" s="2"/>
      <c r="R246" s="2"/>
      <c r="S246" s="2"/>
      <c r="T246" s="2"/>
      <c r="U246" s="2"/>
    </row>
    <row r="247" spans="1:21" ht="15.75" customHeight="1">
      <c r="A247" s="1"/>
      <c r="B247" s="2"/>
      <c r="C247" s="2"/>
      <c r="D247" s="2"/>
      <c r="E247" s="2"/>
      <c r="F247" s="2"/>
      <c r="G247" s="2"/>
      <c r="H247" s="2"/>
      <c r="I247" s="2"/>
      <c r="J247" s="2"/>
      <c r="K247" s="2"/>
      <c r="L247" s="2"/>
      <c r="M247" s="2"/>
      <c r="N247" s="2"/>
      <c r="O247" s="2"/>
      <c r="P247" s="2"/>
      <c r="Q247" s="2"/>
      <c r="R247" s="2"/>
      <c r="S247" s="2"/>
      <c r="T247" s="2"/>
      <c r="U247" s="2"/>
    </row>
    <row r="248" spans="1:21" ht="15.75" customHeight="1">
      <c r="A248" s="1"/>
      <c r="B248" s="2"/>
      <c r="C248" s="2"/>
      <c r="D248" s="2"/>
      <c r="E248" s="2"/>
      <c r="F248" s="2"/>
      <c r="G248" s="2"/>
      <c r="H248" s="2"/>
      <c r="I248" s="2"/>
      <c r="J248" s="2"/>
      <c r="K248" s="2"/>
      <c r="L248" s="2"/>
      <c r="M248" s="2"/>
      <c r="N248" s="2"/>
      <c r="O248" s="2"/>
      <c r="P248" s="2"/>
      <c r="Q248" s="2"/>
      <c r="R248" s="2"/>
      <c r="S248" s="2"/>
      <c r="T248" s="2"/>
      <c r="U248" s="2"/>
    </row>
    <row r="249" spans="1:21" ht="15.75" customHeight="1">
      <c r="A249" s="1"/>
      <c r="B249" s="2"/>
      <c r="C249" s="2"/>
      <c r="D249" s="2"/>
      <c r="E249" s="2"/>
      <c r="F249" s="2"/>
      <c r="G249" s="2"/>
      <c r="H249" s="2"/>
      <c r="I249" s="2"/>
      <c r="J249" s="2"/>
      <c r="K249" s="2"/>
      <c r="L249" s="2"/>
      <c r="M249" s="2"/>
      <c r="N249" s="2"/>
      <c r="O249" s="2"/>
      <c r="P249" s="2"/>
      <c r="Q249" s="2"/>
      <c r="R249" s="2"/>
      <c r="S249" s="2"/>
      <c r="T249" s="2"/>
      <c r="U249" s="2"/>
    </row>
    <row r="250" spans="1:21" ht="15.75" customHeight="1">
      <c r="A250" s="1"/>
      <c r="B250" s="2"/>
      <c r="C250" s="2"/>
      <c r="D250" s="2"/>
      <c r="E250" s="2"/>
      <c r="F250" s="2"/>
      <c r="G250" s="2"/>
      <c r="H250" s="2"/>
      <c r="I250" s="2"/>
      <c r="J250" s="2"/>
      <c r="K250" s="2"/>
      <c r="L250" s="2"/>
      <c r="M250" s="2"/>
      <c r="N250" s="2"/>
      <c r="O250" s="2"/>
      <c r="P250" s="2"/>
      <c r="Q250" s="2"/>
      <c r="R250" s="2"/>
      <c r="S250" s="2"/>
      <c r="T250" s="2"/>
      <c r="U250" s="2"/>
    </row>
    <row r="251" spans="1:21" ht="15.75" customHeight="1">
      <c r="A251" s="1"/>
      <c r="B251" s="2"/>
      <c r="C251" s="2"/>
      <c r="D251" s="2"/>
      <c r="E251" s="2"/>
      <c r="F251" s="2"/>
      <c r="G251" s="2"/>
      <c r="H251" s="2"/>
      <c r="I251" s="2"/>
      <c r="J251" s="2"/>
      <c r="K251" s="2"/>
      <c r="L251" s="2"/>
      <c r="M251" s="2"/>
      <c r="N251" s="2"/>
      <c r="O251" s="2"/>
      <c r="P251" s="2"/>
      <c r="Q251" s="2"/>
      <c r="R251" s="2"/>
      <c r="S251" s="2"/>
      <c r="T251" s="2"/>
      <c r="U251" s="2"/>
    </row>
    <row r="252" spans="1:21" ht="15.75" customHeight="1">
      <c r="A252" s="1"/>
      <c r="B252" s="2"/>
      <c r="C252" s="2"/>
      <c r="D252" s="2"/>
      <c r="E252" s="2"/>
      <c r="F252" s="2"/>
      <c r="G252" s="2"/>
      <c r="H252" s="2"/>
      <c r="I252" s="2"/>
      <c r="J252" s="2"/>
      <c r="K252" s="2"/>
      <c r="L252" s="2"/>
      <c r="M252" s="2"/>
      <c r="N252" s="2"/>
      <c r="O252" s="2"/>
      <c r="P252" s="2"/>
      <c r="Q252" s="2"/>
      <c r="R252" s="2"/>
      <c r="S252" s="2"/>
      <c r="T252" s="2"/>
      <c r="U252" s="2"/>
    </row>
    <row r="253" spans="1:21" ht="15.75" customHeight="1">
      <c r="A253" s="1"/>
      <c r="B253" s="2"/>
      <c r="C253" s="2"/>
      <c r="D253" s="2"/>
      <c r="E253" s="2"/>
      <c r="F253" s="2"/>
      <c r="G253" s="2"/>
      <c r="H253" s="2"/>
      <c r="I253" s="2"/>
      <c r="J253" s="2"/>
      <c r="K253" s="2"/>
      <c r="L253" s="2"/>
      <c r="M253" s="2"/>
      <c r="N253" s="2"/>
      <c r="O253" s="2"/>
      <c r="P253" s="2"/>
      <c r="Q253" s="2"/>
      <c r="R253" s="2"/>
      <c r="S253" s="2"/>
      <c r="T253" s="2"/>
      <c r="U253" s="2"/>
    </row>
    <row r="254" spans="1:21" ht="15.75" customHeight="1">
      <c r="A254" s="1"/>
      <c r="B254" s="2"/>
      <c r="C254" s="2"/>
      <c r="D254" s="2"/>
      <c r="E254" s="2"/>
      <c r="F254" s="2"/>
      <c r="G254" s="2"/>
      <c r="H254" s="2"/>
      <c r="I254" s="2"/>
      <c r="J254" s="2"/>
      <c r="K254" s="2"/>
      <c r="L254" s="2"/>
      <c r="M254" s="2"/>
      <c r="N254" s="2"/>
      <c r="O254" s="2"/>
      <c r="P254" s="2"/>
      <c r="Q254" s="2"/>
      <c r="R254" s="2"/>
      <c r="S254" s="2"/>
      <c r="T254" s="2"/>
      <c r="U254" s="2"/>
    </row>
    <row r="255" spans="1:21" ht="15.75" customHeight="1">
      <c r="A255" s="1"/>
      <c r="B255" s="2"/>
      <c r="C255" s="2"/>
      <c r="D255" s="2"/>
      <c r="E255" s="2"/>
      <c r="F255" s="2"/>
      <c r="G255" s="2"/>
      <c r="H255" s="2"/>
      <c r="I255" s="2"/>
      <c r="J255" s="2"/>
      <c r="K255" s="2"/>
      <c r="L255" s="2"/>
      <c r="M255" s="2"/>
      <c r="N255" s="2"/>
      <c r="O255" s="2"/>
      <c r="P255" s="2"/>
      <c r="Q255" s="2"/>
      <c r="R255" s="2"/>
      <c r="S255" s="2"/>
      <c r="T255" s="2"/>
      <c r="U255" s="2"/>
    </row>
    <row r="256" spans="1:21" ht="15.75" customHeight="1">
      <c r="A256" s="1"/>
      <c r="B256" s="2"/>
      <c r="C256" s="2"/>
      <c r="D256" s="2"/>
      <c r="E256" s="2"/>
      <c r="F256" s="2"/>
      <c r="G256" s="2"/>
      <c r="H256" s="2"/>
      <c r="I256" s="2"/>
      <c r="J256" s="2"/>
      <c r="K256" s="2"/>
      <c r="L256" s="2"/>
      <c r="M256" s="2"/>
      <c r="N256" s="2"/>
      <c r="O256" s="2"/>
      <c r="P256" s="2"/>
      <c r="Q256" s="2"/>
      <c r="R256" s="2"/>
      <c r="S256" s="2"/>
      <c r="T256" s="2"/>
      <c r="U256" s="2"/>
    </row>
    <row r="257" spans="1:21" ht="15.75" customHeight="1">
      <c r="A257" s="1"/>
      <c r="B257" s="2"/>
      <c r="C257" s="2"/>
      <c r="D257" s="2"/>
      <c r="E257" s="2"/>
      <c r="F257" s="2"/>
      <c r="G257" s="2"/>
      <c r="H257" s="2"/>
      <c r="I257" s="2"/>
      <c r="J257" s="2"/>
      <c r="K257" s="2"/>
      <c r="L257" s="2"/>
      <c r="M257" s="2"/>
      <c r="N257" s="2"/>
      <c r="O257" s="2"/>
      <c r="P257" s="2"/>
      <c r="Q257" s="2"/>
      <c r="R257" s="2"/>
      <c r="S257" s="2"/>
      <c r="T257" s="2"/>
      <c r="U257" s="2"/>
    </row>
    <row r="258" spans="1:21" ht="15.75" customHeight="1">
      <c r="A258" s="1"/>
      <c r="B258" s="2"/>
      <c r="C258" s="2"/>
      <c r="D258" s="2"/>
      <c r="E258" s="2"/>
      <c r="F258" s="2"/>
      <c r="G258" s="2"/>
      <c r="H258" s="2"/>
      <c r="I258" s="2"/>
      <c r="J258" s="2"/>
      <c r="K258" s="2"/>
      <c r="L258" s="2"/>
      <c r="M258" s="2"/>
      <c r="N258" s="2"/>
      <c r="O258" s="2"/>
      <c r="P258" s="2"/>
      <c r="Q258" s="2"/>
      <c r="R258" s="2"/>
      <c r="S258" s="2"/>
      <c r="T258" s="2"/>
      <c r="U258" s="2"/>
    </row>
    <row r="259" spans="1:21" ht="15.75" customHeight="1">
      <c r="A259" s="1"/>
      <c r="B259" s="2"/>
      <c r="C259" s="2"/>
      <c r="D259" s="2"/>
      <c r="E259" s="2"/>
      <c r="F259" s="2"/>
      <c r="G259" s="2"/>
      <c r="H259" s="2"/>
      <c r="I259" s="2"/>
      <c r="J259" s="2"/>
      <c r="K259" s="2"/>
      <c r="L259" s="2"/>
      <c r="M259" s="2"/>
      <c r="N259" s="2"/>
      <c r="O259" s="2"/>
      <c r="P259" s="2"/>
      <c r="Q259" s="2"/>
      <c r="R259" s="2"/>
      <c r="S259" s="2"/>
      <c r="T259" s="2"/>
      <c r="U259" s="2"/>
    </row>
    <row r="260" spans="1:21" ht="15.75" customHeight="1">
      <c r="A260" s="1"/>
      <c r="B260" s="2"/>
      <c r="C260" s="2"/>
      <c r="D260" s="2"/>
      <c r="E260" s="2"/>
      <c r="F260" s="2"/>
      <c r="G260" s="2"/>
      <c r="H260" s="2"/>
      <c r="I260" s="2"/>
      <c r="J260" s="2"/>
      <c r="K260" s="2"/>
      <c r="L260" s="2"/>
      <c r="M260" s="2"/>
      <c r="N260" s="2"/>
      <c r="O260" s="2"/>
      <c r="P260" s="2"/>
      <c r="Q260" s="2"/>
      <c r="R260" s="2"/>
      <c r="S260" s="2"/>
      <c r="T260" s="2"/>
      <c r="U260" s="2"/>
    </row>
    <row r="261" spans="1:21" ht="15.75" customHeight="1">
      <c r="A261" s="1"/>
      <c r="B261" s="2"/>
      <c r="C261" s="2"/>
      <c r="D261" s="2"/>
      <c r="E261" s="2"/>
      <c r="F261" s="2"/>
      <c r="G261" s="2"/>
      <c r="H261" s="2"/>
      <c r="I261" s="2"/>
      <c r="J261" s="2"/>
      <c r="K261" s="2"/>
      <c r="L261" s="2"/>
      <c r="M261" s="2"/>
      <c r="N261" s="2"/>
      <c r="O261" s="2"/>
      <c r="P261" s="2"/>
      <c r="Q261" s="2"/>
      <c r="R261" s="2"/>
      <c r="S261" s="2"/>
      <c r="T261" s="2"/>
      <c r="U261" s="2"/>
    </row>
    <row r="262" spans="1:21" ht="15.75" customHeight="1">
      <c r="A262" s="1"/>
      <c r="B262" s="2"/>
      <c r="C262" s="2"/>
      <c r="D262" s="2"/>
      <c r="E262" s="2"/>
      <c r="F262" s="2"/>
      <c r="G262" s="2"/>
      <c r="H262" s="2"/>
      <c r="I262" s="2"/>
      <c r="J262" s="2"/>
      <c r="K262" s="2"/>
      <c r="L262" s="2"/>
      <c r="M262" s="2"/>
      <c r="N262" s="2"/>
      <c r="O262" s="2"/>
      <c r="P262" s="2"/>
      <c r="Q262" s="2"/>
      <c r="R262" s="2"/>
      <c r="S262" s="2"/>
      <c r="T262" s="2"/>
      <c r="U262" s="2"/>
    </row>
    <row r="263" spans="1:21" ht="15.75" customHeight="1">
      <c r="A263" s="1"/>
      <c r="B263" s="2"/>
      <c r="C263" s="2"/>
      <c r="D263" s="2"/>
      <c r="E263" s="2"/>
      <c r="F263" s="2"/>
      <c r="G263" s="2"/>
      <c r="H263" s="2"/>
      <c r="I263" s="2"/>
      <c r="J263" s="2"/>
      <c r="K263" s="2"/>
      <c r="L263" s="2"/>
      <c r="M263" s="2"/>
      <c r="N263" s="2"/>
      <c r="O263" s="2"/>
      <c r="P263" s="2"/>
      <c r="Q263" s="2"/>
      <c r="R263" s="2"/>
      <c r="S263" s="2"/>
      <c r="T263" s="2"/>
      <c r="U263" s="2"/>
    </row>
    <row r="264" spans="1:21" ht="15.75" customHeight="1">
      <c r="A264" s="1"/>
      <c r="B264" s="2"/>
      <c r="C264" s="2"/>
      <c r="D264" s="2"/>
      <c r="E264" s="2"/>
      <c r="F264" s="2"/>
      <c r="G264" s="2"/>
      <c r="H264" s="2"/>
      <c r="I264" s="2"/>
      <c r="J264" s="2"/>
      <c r="K264" s="2"/>
      <c r="L264" s="2"/>
      <c r="M264" s="2"/>
      <c r="N264" s="2"/>
      <c r="O264" s="2"/>
      <c r="P264" s="2"/>
      <c r="Q264" s="2"/>
      <c r="R264" s="2"/>
      <c r="S264" s="2"/>
      <c r="T264" s="2"/>
      <c r="U264" s="2"/>
    </row>
    <row r="265" spans="1:21" ht="15.75" customHeight="1">
      <c r="A265" s="1"/>
      <c r="B265" s="2"/>
      <c r="C265" s="2"/>
      <c r="D265" s="2"/>
      <c r="E265" s="2"/>
      <c r="F265" s="2"/>
      <c r="G265" s="2"/>
      <c r="H265" s="2"/>
      <c r="I265" s="2"/>
      <c r="J265" s="2"/>
      <c r="K265" s="2"/>
      <c r="L265" s="2"/>
      <c r="M265" s="2"/>
      <c r="N265" s="2"/>
      <c r="O265" s="2"/>
      <c r="P265" s="2"/>
      <c r="Q265" s="2"/>
      <c r="R265" s="2"/>
      <c r="S265" s="2"/>
      <c r="T265" s="2"/>
      <c r="U265" s="2"/>
    </row>
    <row r="266" spans="1:21" ht="15.75" customHeight="1">
      <c r="A266" s="1"/>
      <c r="B266" s="2"/>
      <c r="C266" s="2"/>
      <c r="D266" s="2"/>
      <c r="E266" s="2"/>
      <c r="F266" s="2"/>
      <c r="G266" s="2"/>
      <c r="H266" s="2"/>
      <c r="I266" s="2"/>
      <c r="J266" s="2"/>
      <c r="K266" s="2"/>
      <c r="L266" s="2"/>
      <c r="M266" s="2"/>
      <c r="N266" s="2"/>
      <c r="O266" s="2"/>
      <c r="P266" s="2"/>
      <c r="Q266" s="2"/>
      <c r="R266" s="2"/>
      <c r="S266" s="2"/>
      <c r="T266" s="2"/>
      <c r="U266" s="2"/>
    </row>
    <row r="267" spans="1:21" ht="15.75" customHeight="1">
      <c r="A267" s="1"/>
      <c r="B267" s="2"/>
      <c r="C267" s="2"/>
      <c r="D267" s="2"/>
      <c r="E267" s="2"/>
      <c r="F267" s="2"/>
      <c r="G267" s="2"/>
      <c r="H267" s="2"/>
      <c r="I267" s="2"/>
      <c r="J267" s="2"/>
      <c r="K267" s="2"/>
      <c r="L267" s="2"/>
      <c r="M267" s="2"/>
      <c r="N267" s="2"/>
      <c r="O267" s="2"/>
      <c r="P267" s="2"/>
      <c r="Q267" s="2"/>
      <c r="R267" s="2"/>
      <c r="S267" s="2"/>
      <c r="T267" s="2"/>
      <c r="U267" s="2"/>
    </row>
    <row r="268" spans="1:21" ht="15.75" customHeight="1">
      <c r="A268" s="1"/>
      <c r="B268" s="2"/>
      <c r="C268" s="2"/>
      <c r="D268" s="2"/>
      <c r="E268" s="2"/>
      <c r="F268" s="2"/>
      <c r="G268" s="2"/>
      <c r="H268" s="2"/>
      <c r="I268" s="2"/>
      <c r="J268" s="2"/>
      <c r="K268" s="2"/>
      <c r="L268" s="2"/>
      <c r="M268" s="2"/>
      <c r="N268" s="2"/>
      <c r="O268" s="2"/>
      <c r="P268" s="2"/>
      <c r="Q268" s="2"/>
      <c r="R268" s="2"/>
      <c r="S268" s="2"/>
      <c r="T268" s="2"/>
      <c r="U268" s="2"/>
    </row>
    <row r="269" spans="1:21" ht="15.75" customHeight="1">
      <c r="A269" s="1"/>
      <c r="B269" s="2"/>
      <c r="C269" s="2"/>
      <c r="D269" s="2"/>
      <c r="E269" s="2"/>
      <c r="F269" s="2"/>
      <c r="G269" s="2"/>
      <c r="H269" s="2"/>
      <c r="I269" s="2"/>
      <c r="J269" s="2"/>
      <c r="K269" s="2"/>
      <c r="L269" s="2"/>
      <c r="M269" s="2"/>
      <c r="N269" s="2"/>
      <c r="O269" s="2"/>
      <c r="P269" s="2"/>
      <c r="Q269" s="2"/>
      <c r="R269" s="2"/>
      <c r="S269" s="2"/>
      <c r="T269" s="2"/>
      <c r="U269" s="2"/>
    </row>
    <row r="270" spans="1:21" ht="15.75" customHeight="1">
      <c r="A270" s="1"/>
      <c r="B270" s="2"/>
      <c r="C270" s="2"/>
      <c r="D270" s="2"/>
      <c r="E270" s="2"/>
      <c r="F270" s="2"/>
      <c r="G270" s="2"/>
      <c r="H270" s="2"/>
      <c r="I270" s="2"/>
      <c r="J270" s="2"/>
      <c r="K270" s="2"/>
      <c r="L270" s="2"/>
      <c r="M270" s="2"/>
      <c r="N270" s="2"/>
      <c r="O270" s="2"/>
      <c r="P270" s="2"/>
      <c r="Q270" s="2"/>
      <c r="R270" s="2"/>
      <c r="S270" s="2"/>
      <c r="T270" s="2"/>
      <c r="U270" s="2"/>
    </row>
    <row r="271" spans="1:21" ht="15.75" customHeight="1">
      <c r="A271" s="1"/>
      <c r="B271" s="2"/>
      <c r="C271" s="2"/>
      <c r="D271" s="2"/>
      <c r="E271" s="2"/>
      <c r="F271" s="2"/>
      <c r="G271" s="2"/>
      <c r="H271" s="2"/>
      <c r="I271" s="2"/>
      <c r="J271" s="2"/>
      <c r="K271" s="2"/>
      <c r="L271" s="2"/>
      <c r="M271" s="2"/>
      <c r="N271" s="2"/>
      <c r="O271" s="2"/>
      <c r="P271" s="2"/>
      <c r="Q271" s="2"/>
      <c r="R271" s="2"/>
      <c r="S271" s="2"/>
      <c r="T271" s="2"/>
      <c r="U271" s="2"/>
    </row>
    <row r="272" spans="1:21" ht="15.75" customHeight="1">
      <c r="A272" s="1"/>
      <c r="B272" s="2"/>
      <c r="C272" s="2"/>
      <c r="D272" s="2"/>
      <c r="E272" s="2"/>
      <c r="F272" s="2"/>
      <c r="G272" s="2"/>
      <c r="H272" s="2"/>
      <c r="I272" s="2"/>
      <c r="J272" s="2"/>
      <c r="K272" s="2"/>
      <c r="L272" s="2"/>
      <c r="M272" s="2"/>
      <c r="N272" s="2"/>
      <c r="O272" s="2"/>
      <c r="P272" s="2"/>
      <c r="Q272" s="2"/>
      <c r="R272" s="2"/>
      <c r="S272" s="2"/>
      <c r="T272" s="2"/>
      <c r="U272" s="2"/>
    </row>
    <row r="273" spans="1:21" ht="15.75" customHeight="1">
      <c r="A273" s="1"/>
      <c r="B273" s="2"/>
      <c r="C273" s="2"/>
      <c r="D273" s="2"/>
      <c r="E273" s="2"/>
      <c r="F273" s="2"/>
      <c r="G273" s="2"/>
      <c r="H273" s="2"/>
      <c r="I273" s="2"/>
      <c r="J273" s="2"/>
      <c r="K273" s="2"/>
      <c r="L273" s="2"/>
      <c r="M273" s="2"/>
      <c r="N273" s="2"/>
      <c r="O273" s="2"/>
      <c r="P273" s="2"/>
      <c r="Q273" s="2"/>
      <c r="R273" s="2"/>
      <c r="S273" s="2"/>
      <c r="T273" s="2"/>
      <c r="U273" s="2"/>
    </row>
    <row r="274" spans="1:21" ht="15.75" customHeight="1">
      <c r="A274" s="1"/>
      <c r="B274" s="2"/>
      <c r="C274" s="2"/>
      <c r="D274" s="2"/>
      <c r="E274" s="2"/>
      <c r="F274" s="2"/>
      <c r="G274" s="2"/>
      <c r="H274" s="2"/>
      <c r="I274" s="2"/>
      <c r="J274" s="2"/>
      <c r="K274" s="2"/>
      <c r="L274" s="2"/>
      <c r="M274" s="2"/>
      <c r="N274" s="2"/>
      <c r="O274" s="2"/>
      <c r="P274" s="2"/>
      <c r="Q274" s="2"/>
      <c r="R274" s="2"/>
      <c r="S274" s="2"/>
      <c r="T274" s="2"/>
      <c r="U274" s="2"/>
    </row>
    <row r="275" spans="1:21" ht="15.75" customHeight="1">
      <c r="A275" s="1"/>
      <c r="B275" s="2"/>
      <c r="C275" s="2"/>
      <c r="D275" s="2"/>
      <c r="E275" s="2"/>
      <c r="F275" s="2"/>
      <c r="G275" s="2"/>
      <c r="H275" s="2"/>
      <c r="I275" s="2"/>
      <c r="J275" s="2"/>
      <c r="K275" s="2"/>
      <c r="L275" s="2"/>
      <c r="M275" s="2"/>
      <c r="N275" s="2"/>
      <c r="O275" s="2"/>
      <c r="P275" s="2"/>
      <c r="Q275" s="2"/>
      <c r="R275" s="2"/>
      <c r="S275" s="2"/>
      <c r="T275" s="2"/>
      <c r="U275" s="2"/>
    </row>
    <row r="276" spans="1:21" ht="15.75" customHeight="1">
      <c r="A276" s="1"/>
      <c r="B276" s="2"/>
      <c r="C276" s="2"/>
      <c r="D276" s="2"/>
      <c r="E276" s="2"/>
      <c r="F276" s="2"/>
      <c r="G276" s="2"/>
      <c r="H276" s="2"/>
      <c r="I276" s="2"/>
      <c r="J276" s="2"/>
      <c r="K276" s="2"/>
      <c r="L276" s="2"/>
      <c r="M276" s="2"/>
      <c r="N276" s="2"/>
      <c r="O276" s="2"/>
      <c r="P276" s="2"/>
      <c r="Q276" s="2"/>
      <c r="R276" s="2"/>
      <c r="S276" s="2"/>
      <c r="T276" s="2"/>
      <c r="U276" s="2"/>
    </row>
    <row r="277" spans="1:21" ht="15.75" customHeight="1">
      <c r="A277" s="1"/>
      <c r="B277" s="2"/>
      <c r="C277" s="2"/>
      <c r="D277" s="2"/>
      <c r="E277" s="2"/>
      <c r="F277" s="2"/>
      <c r="G277" s="2"/>
      <c r="H277" s="2"/>
      <c r="I277" s="2"/>
      <c r="J277" s="2"/>
      <c r="K277" s="2"/>
      <c r="L277" s="2"/>
      <c r="M277" s="2"/>
      <c r="N277" s="2"/>
      <c r="O277" s="2"/>
      <c r="P277" s="2"/>
      <c r="Q277" s="2"/>
      <c r="R277" s="2"/>
      <c r="S277" s="2"/>
      <c r="T277" s="2"/>
      <c r="U277" s="2"/>
    </row>
    <row r="278" spans="1:21" ht="15.75" customHeight="1">
      <c r="A278" s="1"/>
      <c r="B278" s="2"/>
      <c r="C278" s="2"/>
      <c r="D278" s="2"/>
      <c r="E278" s="2"/>
      <c r="F278" s="2"/>
      <c r="G278" s="2"/>
      <c r="H278" s="2"/>
      <c r="I278" s="2"/>
      <c r="J278" s="2"/>
      <c r="K278" s="2"/>
      <c r="L278" s="2"/>
      <c r="M278" s="2"/>
      <c r="N278" s="2"/>
      <c r="O278" s="2"/>
      <c r="P278" s="2"/>
      <c r="Q278" s="2"/>
      <c r="R278" s="2"/>
      <c r="S278" s="2"/>
      <c r="T278" s="2"/>
      <c r="U278" s="2"/>
    </row>
    <row r="279" spans="1:21" ht="15.75" customHeight="1">
      <c r="A279" s="1"/>
      <c r="B279" s="2"/>
      <c r="C279" s="2"/>
      <c r="D279" s="2"/>
      <c r="E279" s="2"/>
      <c r="F279" s="2"/>
      <c r="G279" s="2"/>
      <c r="H279" s="2"/>
      <c r="I279" s="2"/>
      <c r="J279" s="2"/>
      <c r="K279" s="2"/>
      <c r="L279" s="2"/>
      <c r="M279" s="2"/>
      <c r="N279" s="2"/>
      <c r="O279" s="2"/>
      <c r="P279" s="2"/>
      <c r="Q279" s="2"/>
      <c r="R279" s="2"/>
      <c r="S279" s="2"/>
      <c r="T279" s="2"/>
      <c r="U279" s="2"/>
    </row>
    <row r="280" spans="1:21" ht="15.75" customHeight="1">
      <c r="A280" s="1"/>
      <c r="B280" s="2"/>
      <c r="C280" s="2"/>
      <c r="D280" s="2"/>
      <c r="E280" s="2"/>
      <c r="F280" s="2"/>
      <c r="G280" s="2"/>
      <c r="H280" s="2"/>
      <c r="I280" s="2"/>
      <c r="J280" s="2"/>
      <c r="K280" s="2"/>
      <c r="L280" s="2"/>
      <c r="M280" s="2"/>
      <c r="N280" s="2"/>
      <c r="O280" s="2"/>
      <c r="P280" s="2"/>
      <c r="Q280" s="2"/>
      <c r="R280" s="2"/>
      <c r="S280" s="2"/>
      <c r="T280" s="2"/>
      <c r="U280" s="2"/>
    </row>
    <row r="281" spans="1:21" ht="15.75" customHeight="1">
      <c r="A281" s="1"/>
      <c r="B281" s="2"/>
      <c r="C281" s="2"/>
      <c r="D281" s="2"/>
      <c r="E281" s="2"/>
      <c r="F281" s="2"/>
      <c r="G281" s="2"/>
      <c r="H281" s="2"/>
      <c r="I281" s="2"/>
      <c r="J281" s="2"/>
      <c r="K281" s="2"/>
      <c r="L281" s="2"/>
      <c r="M281" s="2"/>
      <c r="N281" s="2"/>
      <c r="O281" s="2"/>
      <c r="P281" s="2"/>
      <c r="Q281" s="2"/>
      <c r="R281" s="2"/>
      <c r="S281" s="2"/>
      <c r="T281" s="2"/>
      <c r="U281" s="2"/>
    </row>
    <row r="282" spans="1:21" ht="15.75" customHeight="1">
      <c r="A282" s="1"/>
      <c r="B282" s="2"/>
      <c r="C282" s="2"/>
      <c r="D282" s="2"/>
      <c r="E282" s="2"/>
      <c r="F282" s="2"/>
      <c r="G282" s="2"/>
      <c r="H282" s="2"/>
      <c r="I282" s="2"/>
      <c r="J282" s="2"/>
      <c r="K282" s="2"/>
      <c r="L282" s="2"/>
      <c r="M282" s="2"/>
      <c r="N282" s="2"/>
      <c r="O282" s="2"/>
      <c r="P282" s="2"/>
      <c r="Q282" s="2"/>
      <c r="R282" s="2"/>
      <c r="S282" s="2"/>
      <c r="T282" s="2"/>
      <c r="U282" s="2"/>
    </row>
    <row r="283" spans="1:21" ht="15.75" customHeight="1">
      <c r="A283" s="1"/>
      <c r="B283" s="2"/>
      <c r="C283" s="2"/>
      <c r="D283" s="2"/>
      <c r="E283" s="2"/>
      <c r="F283" s="2"/>
      <c r="G283" s="2"/>
      <c r="H283" s="2"/>
      <c r="I283" s="2"/>
      <c r="J283" s="2"/>
      <c r="K283" s="2"/>
      <c r="L283" s="2"/>
      <c r="M283" s="2"/>
      <c r="N283" s="2"/>
      <c r="O283" s="2"/>
      <c r="P283" s="2"/>
      <c r="Q283" s="2"/>
      <c r="R283" s="2"/>
      <c r="S283" s="2"/>
      <c r="T283" s="2"/>
      <c r="U283" s="2"/>
    </row>
    <row r="284" spans="1:21" ht="15.75" customHeight="1">
      <c r="A284" s="1"/>
      <c r="B284" s="2"/>
      <c r="C284" s="2"/>
      <c r="D284" s="2"/>
      <c r="E284" s="2"/>
      <c r="F284" s="2"/>
      <c r="G284" s="2"/>
      <c r="H284" s="2"/>
      <c r="I284" s="2"/>
      <c r="J284" s="2"/>
      <c r="K284" s="2"/>
      <c r="L284" s="2"/>
      <c r="M284" s="2"/>
      <c r="N284" s="2"/>
      <c r="O284" s="2"/>
      <c r="P284" s="2"/>
      <c r="Q284" s="2"/>
      <c r="R284" s="2"/>
      <c r="S284" s="2"/>
      <c r="T284" s="2"/>
      <c r="U284" s="2"/>
    </row>
    <row r="285" spans="1:21" ht="15.75" customHeight="1">
      <c r="A285" s="1"/>
      <c r="B285" s="2"/>
      <c r="C285" s="2"/>
      <c r="D285" s="2"/>
      <c r="E285" s="2"/>
      <c r="F285" s="2"/>
      <c r="G285" s="2"/>
      <c r="H285" s="2"/>
      <c r="I285" s="2"/>
      <c r="J285" s="2"/>
      <c r="K285" s="2"/>
      <c r="L285" s="2"/>
      <c r="M285" s="2"/>
      <c r="N285" s="2"/>
      <c r="O285" s="2"/>
      <c r="P285" s="2"/>
      <c r="Q285" s="2"/>
      <c r="R285" s="2"/>
      <c r="S285" s="2"/>
      <c r="T285" s="2"/>
      <c r="U285" s="2"/>
    </row>
    <row r="286" spans="1:21" ht="15.75" customHeight="1">
      <c r="A286" s="1"/>
      <c r="B286" s="2"/>
      <c r="C286" s="2"/>
      <c r="D286" s="2"/>
      <c r="E286" s="2"/>
      <c r="F286" s="2"/>
      <c r="G286" s="2"/>
      <c r="H286" s="2"/>
      <c r="I286" s="2"/>
      <c r="J286" s="2"/>
      <c r="K286" s="2"/>
      <c r="L286" s="2"/>
      <c r="M286" s="2"/>
      <c r="N286" s="2"/>
      <c r="O286" s="2"/>
      <c r="P286" s="2"/>
      <c r="Q286" s="2"/>
      <c r="R286" s="2"/>
      <c r="S286" s="2"/>
      <c r="T286" s="2"/>
      <c r="U286" s="2"/>
    </row>
    <row r="287" spans="1:21" ht="15.75" customHeight="1">
      <c r="A287" s="1"/>
      <c r="B287" s="2"/>
      <c r="C287" s="2"/>
      <c r="D287" s="2"/>
      <c r="E287" s="2"/>
      <c r="F287" s="2"/>
      <c r="G287" s="2"/>
      <c r="H287" s="2"/>
      <c r="I287" s="2"/>
      <c r="J287" s="2"/>
      <c r="K287" s="2"/>
      <c r="L287" s="2"/>
      <c r="M287" s="2"/>
      <c r="N287" s="2"/>
      <c r="O287" s="2"/>
      <c r="P287" s="2"/>
      <c r="Q287" s="2"/>
      <c r="R287" s="2"/>
      <c r="S287" s="2"/>
      <c r="T287" s="2"/>
      <c r="U287" s="2"/>
    </row>
    <row r="288" spans="1:21" ht="15.75" customHeight="1">
      <c r="A288" s="1"/>
      <c r="B288" s="2"/>
      <c r="C288" s="2"/>
      <c r="D288" s="2"/>
      <c r="E288" s="2"/>
      <c r="F288" s="2"/>
      <c r="G288" s="2"/>
      <c r="H288" s="2"/>
      <c r="I288" s="2"/>
      <c r="J288" s="2"/>
      <c r="K288" s="2"/>
      <c r="L288" s="2"/>
      <c r="M288" s="2"/>
      <c r="N288" s="2"/>
      <c r="O288" s="2"/>
      <c r="P288" s="2"/>
      <c r="Q288" s="2"/>
      <c r="R288" s="2"/>
      <c r="S288" s="2"/>
      <c r="T288" s="2"/>
      <c r="U288" s="2"/>
    </row>
    <row r="289" spans="1:21" ht="15.75" customHeight="1">
      <c r="A289" s="1"/>
      <c r="B289" s="2"/>
      <c r="C289" s="2"/>
      <c r="D289" s="2"/>
      <c r="E289" s="2"/>
      <c r="F289" s="2"/>
      <c r="G289" s="2"/>
      <c r="H289" s="2"/>
      <c r="I289" s="2"/>
      <c r="J289" s="2"/>
      <c r="K289" s="2"/>
      <c r="L289" s="2"/>
      <c r="M289" s="2"/>
      <c r="N289" s="2"/>
      <c r="O289" s="2"/>
      <c r="P289" s="2"/>
      <c r="Q289" s="2"/>
      <c r="R289" s="2"/>
      <c r="S289" s="2"/>
      <c r="T289" s="2"/>
      <c r="U289" s="2"/>
    </row>
    <row r="290" spans="1:21" ht="15.75" customHeight="1">
      <c r="A290" s="1"/>
      <c r="B290" s="2"/>
      <c r="C290" s="2"/>
      <c r="D290" s="2"/>
      <c r="E290" s="2"/>
      <c r="F290" s="2"/>
      <c r="G290" s="2"/>
      <c r="H290" s="2"/>
      <c r="I290" s="2"/>
      <c r="J290" s="2"/>
      <c r="K290" s="2"/>
      <c r="L290" s="2"/>
      <c r="M290" s="2"/>
      <c r="N290" s="2"/>
      <c r="O290" s="2"/>
      <c r="P290" s="2"/>
      <c r="Q290" s="2"/>
      <c r="R290" s="2"/>
      <c r="S290" s="2"/>
      <c r="T290" s="2"/>
      <c r="U290" s="2"/>
    </row>
    <row r="291" spans="1:21" ht="15.75" customHeight="1">
      <c r="A291" s="1"/>
      <c r="B291" s="2"/>
      <c r="C291" s="2"/>
      <c r="D291" s="2"/>
      <c r="E291" s="2"/>
      <c r="F291" s="2"/>
      <c r="G291" s="2"/>
      <c r="H291" s="2"/>
      <c r="I291" s="2"/>
      <c r="J291" s="2"/>
      <c r="K291" s="2"/>
      <c r="L291" s="2"/>
      <c r="M291" s="2"/>
      <c r="N291" s="2"/>
      <c r="O291" s="2"/>
      <c r="P291" s="2"/>
      <c r="Q291" s="2"/>
      <c r="R291" s="2"/>
      <c r="S291" s="2"/>
      <c r="T291" s="2"/>
      <c r="U291" s="2"/>
    </row>
    <row r="292" spans="1:21" ht="15.75" customHeight="1">
      <c r="A292" s="1"/>
      <c r="B292" s="2"/>
      <c r="C292" s="2"/>
      <c r="D292" s="2"/>
      <c r="E292" s="2"/>
      <c r="F292" s="2"/>
      <c r="G292" s="2"/>
      <c r="H292" s="2"/>
      <c r="I292" s="2"/>
      <c r="J292" s="2"/>
      <c r="K292" s="2"/>
      <c r="L292" s="2"/>
      <c r="M292" s="2"/>
      <c r="N292" s="2"/>
      <c r="O292" s="2"/>
      <c r="P292" s="2"/>
      <c r="Q292" s="2"/>
      <c r="R292" s="2"/>
      <c r="S292" s="2"/>
      <c r="T292" s="2"/>
      <c r="U292" s="2"/>
    </row>
    <row r="293" spans="1:21" ht="15.75" customHeight="1">
      <c r="A293" s="1"/>
      <c r="B293" s="2"/>
      <c r="C293" s="2"/>
      <c r="D293" s="2"/>
      <c r="E293" s="2"/>
      <c r="F293" s="2"/>
      <c r="G293" s="2"/>
      <c r="H293" s="2"/>
      <c r="I293" s="2"/>
      <c r="J293" s="2"/>
      <c r="K293" s="2"/>
      <c r="L293" s="2"/>
      <c r="M293" s="2"/>
      <c r="N293" s="2"/>
      <c r="O293" s="2"/>
      <c r="P293" s="2"/>
      <c r="Q293" s="2"/>
      <c r="R293" s="2"/>
      <c r="S293" s="2"/>
      <c r="T293" s="2"/>
      <c r="U293" s="2"/>
    </row>
    <row r="294" spans="1:21" ht="15.75" customHeight="1">
      <c r="A294" s="1"/>
      <c r="B294" s="2"/>
      <c r="C294" s="2"/>
      <c r="D294" s="2"/>
      <c r="E294" s="2"/>
      <c r="F294" s="2"/>
      <c r="G294" s="2"/>
      <c r="H294" s="2"/>
      <c r="I294" s="2"/>
      <c r="J294" s="2"/>
      <c r="K294" s="2"/>
      <c r="L294" s="2"/>
      <c r="M294" s="2"/>
      <c r="N294" s="2"/>
      <c r="O294" s="2"/>
      <c r="P294" s="2"/>
      <c r="Q294" s="2"/>
      <c r="R294" s="2"/>
      <c r="S294" s="2"/>
      <c r="T294" s="2"/>
      <c r="U294" s="2"/>
    </row>
    <row r="295" spans="1:21" ht="15.75" customHeight="1">
      <c r="A295" s="1"/>
      <c r="B295" s="2"/>
      <c r="C295" s="2"/>
      <c r="D295" s="2"/>
      <c r="E295" s="2"/>
      <c r="F295" s="2"/>
      <c r="G295" s="2"/>
      <c r="H295" s="2"/>
      <c r="I295" s="2"/>
      <c r="J295" s="2"/>
      <c r="K295" s="2"/>
      <c r="L295" s="2"/>
      <c r="M295" s="2"/>
      <c r="N295" s="2"/>
      <c r="O295" s="2"/>
      <c r="P295" s="2"/>
      <c r="Q295" s="2"/>
      <c r="R295" s="2"/>
      <c r="S295" s="2"/>
      <c r="T295" s="2"/>
      <c r="U295" s="2"/>
    </row>
    <row r="296" spans="1:21" ht="15.75" customHeight="1">
      <c r="A296" s="1"/>
      <c r="B296" s="2"/>
      <c r="C296" s="2"/>
      <c r="D296" s="2"/>
      <c r="E296" s="2"/>
      <c r="F296" s="2"/>
      <c r="G296" s="2"/>
      <c r="H296" s="2"/>
      <c r="I296" s="2"/>
      <c r="J296" s="2"/>
      <c r="K296" s="2"/>
      <c r="L296" s="2"/>
      <c r="M296" s="2"/>
      <c r="N296" s="2"/>
      <c r="O296" s="2"/>
      <c r="P296" s="2"/>
      <c r="Q296" s="2"/>
      <c r="R296" s="2"/>
      <c r="S296" s="2"/>
      <c r="T296" s="2"/>
      <c r="U296" s="2"/>
    </row>
    <row r="297" spans="1:21" ht="15.75" customHeight="1">
      <c r="A297" s="1"/>
      <c r="B297" s="2"/>
      <c r="C297" s="2"/>
      <c r="D297" s="2"/>
      <c r="E297" s="2"/>
      <c r="F297" s="2"/>
      <c r="G297" s="2"/>
      <c r="H297" s="2"/>
      <c r="I297" s="2"/>
      <c r="J297" s="2"/>
      <c r="K297" s="2"/>
      <c r="L297" s="2"/>
      <c r="M297" s="2"/>
      <c r="N297" s="2"/>
      <c r="O297" s="2"/>
      <c r="P297" s="2"/>
      <c r="Q297" s="2"/>
      <c r="R297" s="2"/>
      <c r="S297" s="2"/>
      <c r="T297" s="2"/>
      <c r="U297" s="2"/>
    </row>
    <row r="298" spans="1:21" ht="15.75" customHeight="1">
      <c r="A298" s="1"/>
      <c r="B298" s="2"/>
      <c r="C298" s="2"/>
      <c r="D298" s="2"/>
      <c r="E298" s="2"/>
      <c r="F298" s="2"/>
      <c r="G298" s="2"/>
      <c r="H298" s="2"/>
      <c r="I298" s="2"/>
      <c r="J298" s="2"/>
      <c r="K298" s="2"/>
      <c r="L298" s="2"/>
      <c r="M298" s="2"/>
      <c r="N298" s="2"/>
      <c r="O298" s="2"/>
      <c r="P298" s="2"/>
      <c r="Q298" s="2"/>
      <c r="R298" s="2"/>
      <c r="S298" s="2"/>
      <c r="T298" s="2"/>
      <c r="U298" s="2"/>
    </row>
    <row r="299" spans="1:21" ht="15.75" customHeight="1">
      <c r="A299" s="1"/>
      <c r="B299" s="2"/>
      <c r="C299" s="2"/>
      <c r="D299" s="2"/>
      <c r="E299" s="2"/>
      <c r="F299" s="2"/>
      <c r="G299" s="2"/>
      <c r="H299" s="2"/>
      <c r="I299" s="2"/>
      <c r="J299" s="2"/>
      <c r="K299" s="2"/>
      <c r="L299" s="2"/>
      <c r="M299" s="2"/>
      <c r="N299" s="2"/>
      <c r="O299" s="2"/>
      <c r="P299" s="2"/>
      <c r="Q299" s="2"/>
      <c r="R299" s="2"/>
      <c r="S299" s="2"/>
      <c r="T299" s="2"/>
      <c r="U299" s="2"/>
    </row>
    <row r="300" spans="1:21" ht="15.75" customHeight="1">
      <c r="A300" s="1"/>
      <c r="B300" s="2"/>
      <c r="C300" s="2"/>
      <c r="D300" s="2"/>
      <c r="E300" s="2"/>
      <c r="F300" s="2"/>
      <c r="G300" s="2"/>
      <c r="H300" s="2"/>
      <c r="I300" s="2"/>
      <c r="J300" s="2"/>
      <c r="K300" s="2"/>
      <c r="L300" s="2"/>
      <c r="M300" s="2"/>
      <c r="N300" s="2"/>
      <c r="O300" s="2"/>
      <c r="P300" s="2"/>
      <c r="Q300" s="2"/>
      <c r="R300" s="2"/>
      <c r="S300" s="2"/>
      <c r="T300" s="2"/>
      <c r="U300" s="2"/>
    </row>
    <row r="301" spans="1:21" ht="15.75" customHeight="1">
      <c r="A301" s="1"/>
      <c r="B301" s="2"/>
      <c r="C301" s="2"/>
      <c r="D301" s="2"/>
      <c r="E301" s="2"/>
      <c r="F301" s="2"/>
      <c r="G301" s="2"/>
      <c r="H301" s="2"/>
      <c r="I301" s="2"/>
      <c r="J301" s="2"/>
      <c r="K301" s="2"/>
      <c r="L301" s="2"/>
      <c r="M301" s="2"/>
      <c r="N301" s="2"/>
      <c r="O301" s="2"/>
      <c r="P301" s="2"/>
      <c r="Q301" s="2"/>
      <c r="R301" s="2"/>
      <c r="S301" s="2"/>
      <c r="T301" s="2"/>
      <c r="U301" s="2"/>
    </row>
    <row r="302" spans="1:21" ht="15.75" customHeight="1">
      <c r="A302" s="1"/>
      <c r="B302" s="2"/>
      <c r="C302" s="2"/>
      <c r="D302" s="2"/>
      <c r="E302" s="2"/>
      <c r="F302" s="2"/>
      <c r="G302" s="2"/>
      <c r="H302" s="2"/>
      <c r="I302" s="2"/>
      <c r="J302" s="2"/>
      <c r="K302" s="2"/>
      <c r="L302" s="2"/>
      <c r="M302" s="2"/>
      <c r="N302" s="2"/>
      <c r="O302" s="2"/>
      <c r="P302" s="2"/>
      <c r="Q302" s="2"/>
      <c r="R302" s="2"/>
      <c r="S302" s="2"/>
      <c r="T302" s="2"/>
      <c r="U302" s="2"/>
    </row>
    <row r="303" spans="1:21" ht="15.75" customHeight="1">
      <c r="A303" s="1"/>
      <c r="B303" s="2"/>
      <c r="C303" s="2"/>
      <c r="D303" s="2"/>
      <c r="E303" s="2"/>
      <c r="F303" s="2"/>
      <c r="G303" s="2"/>
      <c r="H303" s="2"/>
      <c r="I303" s="2"/>
      <c r="J303" s="2"/>
      <c r="K303" s="2"/>
      <c r="L303" s="2"/>
      <c r="M303" s="2"/>
      <c r="N303" s="2"/>
      <c r="O303" s="2"/>
      <c r="P303" s="2"/>
      <c r="Q303" s="2"/>
      <c r="R303" s="2"/>
      <c r="S303" s="2"/>
      <c r="T303" s="2"/>
      <c r="U303" s="2"/>
    </row>
    <row r="304" spans="1:21" ht="15.75" customHeight="1">
      <c r="A304" s="1"/>
      <c r="B304" s="2"/>
      <c r="C304" s="2"/>
      <c r="D304" s="2"/>
      <c r="E304" s="2"/>
      <c r="F304" s="2"/>
      <c r="G304" s="2"/>
      <c r="H304" s="2"/>
      <c r="I304" s="2"/>
      <c r="J304" s="2"/>
      <c r="K304" s="2"/>
      <c r="L304" s="2"/>
      <c r="M304" s="2"/>
      <c r="N304" s="2"/>
      <c r="O304" s="2"/>
      <c r="P304" s="2"/>
      <c r="Q304" s="2"/>
      <c r="R304" s="2"/>
      <c r="S304" s="2"/>
      <c r="T304" s="2"/>
      <c r="U304" s="2"/>
    </row>
    <row r="305" spans="1:21" ht="15.75" customHeight="1">
      <c r="A305" s="1"/>
      <c r="B305" s="2"/>
      <c r="C305" s="2"/>
      <c r="D305" s="2"/>
      <c r="E305" s="2"/>
      <c r="F305" s="2"/>
      <c r="G305" s="2"/>
      <c r="H305" s="2"/>
      <c r="I305" s="2"/>
      <c r="J305" s="2"/>
      <c r="K305" s="2"/>
      <c r="L305" s="2"/>
      <c r="M305" s="2"/>
      <c r="N305" s="2"/>
      <c r="O305" s="2"/>
      <c r="P305" s="2"/>
      <c r="Q305" s="2"/>
      <c r="R305" s="2"/>
      <c r="S305" s="2"/>
      <c r="T305" s="2"/>
      <c r="U305" s="2"/>
    </row>
    <row r="306" spans="1:21" ht="15.75" customHeight="1">
      <c r="A306" s="1"/>
      <c r="B306" s="2"/>
      <c r="C306" s="2"/>
      <c r="D306" s="2"/>
      <c r="E306" s="2"/>
      <c r="F306" s="2"/>
      <c r="G306" s="2"/>
      <c r="H306" s="2"/>
      <c r="I306" s="2"/>
      <c r="J306" s="2"/>
      <c r="K306" s="2"/>
      <c r="L306" s="2"/>
      <c r="M306" s="2"/>
      <c r="N306" s="2"/>
      <c r="O306" s="2"/>
      <c r="P306" s="2"/>
      <c r="Q306" s="2"/>
      <c r="R306" s="2"/>
      <c r="S306" s="2"/>
      <c r="T306" s="2"/>
      <c r="U306" s="2"/>
    </row>
    <row r="307" spans="1:21" ht="15.75" customHeight="1">
      <c r="A307" s="1"/>
      <c r="B307" s="2"/>
      <c r="C307" s="2"/>
      <c r="D307" s="2"/>
      <c r="E307" s="2"/>
      <c r="F307" s="2"/>
      <c r="G307" s="2"/>
      <c r="H307" s="2"/>
      <c r="I307" s="2"/>
      <c r="J307" s="2"/>
      <c r="K307" s="2"/>
      <c r="L307" s="2"/>
      <c r="M307" s="2"/>
      <c r="N307" s="2"/>
      <c r="O307" s="2"/>
      <c r="P307" s="2"/>
      <c r="Q307" s="2"/>
      <c r="R307" s="2"/>
      <c r="S307" s="2"/>
      <c r="T307" s="2"/>
      <c r="U307" s="2"/>
    </row>
    <row r="308" spans="1:21" ht="15.75" customHeight="1">
      <c r="A308" s="1"/>
      <c r="B308" s="2"/>
      <c r="C308" s="2"/>
      <c r="D308" s="2"/>
      <c r="E308" s="2"/>
      <c r="F308" s="2"/>
      <c r="G308" s="2"/>
      <c r="H308" s="2"/>
      <c r="I308" s="2"/>
      <c r="J308" s="2"/>
      <c r="K308" s="2"/>
      <c r="L308" s="2"/>
      <c r="M308" s="2"/>
      <c r="N308" s="2"/>
      <c r="O308" s="2"/>
      <c r="P308" s="2"/>
      <c r="Q308" s="2"/>
      <c r="R308" s="2"/>
      <c r="S308" s="2"/>
      <c r="T308" s="2"/>
      <c r="U308" s="2"/>
    </row>
    <row r="309" spans="1:21" ht="15.75" customHeight="1">
      <c r="A309" s="1"/>
      <c r="B309" s="2"/>
      <c r="C309" s="2"/>
      <c r="D309" s="2"/>
      <c r="E309" s="2"/>
      <c r="F309" s="2"/>
      <c r="G309" s="2"/>
      <c r="H309" s="2"/>
      <c r="I309" s="2"/>
      <c r="J309" s="2"/>
      <c r="K309" s="2"/>
      <c r="L309" s="2"/>
      <c r="M309" s="2"/>
      <c r="N309" s="2"/>
      <c r="O309" s="2"/>
      <c r="P309" s="2"/>
      <c r="Q309" s="2"/>
      <c r="R309" s="2"/>
      <c r="S309" s="2"/>
      <c r="T309" s="2"/>
      <c r="U309" s="2"/>
    </row>
    <row r="310" spans="1:21" ht="15.75" customHeight="1">
      <c r="A310" s="1"/>
      <c r="B310" s="2"/>
      <c r="C310" s="2"/>
      <c r="D310" s="2"/>
      <c r="E310" s="2"/>
      <c r="F310" s="2"/>
      <c r="G310" s="2"/>
      <c r="H310" s="2"/>
      <c r="I310" s="2"/>
      <c r="J310" s="2"/>
      <c r="K310" s="2"/>
      <c r="L310" s="2"/>
      <c r="M310" s="2"/>
      <c r="N310" s="2"/>
      <c r="O310" s="2"/>
      <c r="P310" s="2"/>
      <c r="Q310" s="2"/>
      <c r="R310" s="2"/>
      <c r="S310" s="2"/>
      <c r="T310" s="2"/>
      <c r="U310" s="2"/>
    </row>
    <row r="311" spans="1:21" ht="15.75" customHeight="1">
      <c r="A311" s="1"/>
      <c r="B311" s="2"/>
      <c r="C311" s="2"/>
      <c r="D311" s="2"/>
      <c r="E311" s="2"/>
      <c r="F311" s="2"/>
      <c r="G311" s="2"/>
      <c r="H311" s="2"/>
      <c r="I311" s="2"/>
      <c r="J311" s="2"/>
      <c r="K311" s="2"/>
      <c r="L311" s="2"/>
      <c r="M311" s="2"/>
      <c r="N311" s="2"/>
      <c r="O311" s="2"/>
      <c r="P311" s="2"/>
      <c r="Q311" s="2"/>
      <c r="R311" s="2"/>
      <c r="S311" s="2"/>
      <c r="T311" s="2"/>
      <c r="U311" s="2"/>
    </row>
    <row r="312" spans="1:21" ht="15.75" customHeight="1">
      <c r="A312" s="1"/>
      <c r="B312" s="2"/>
      <c r="C312" s="2"/>
      <c r="D312" s="2"/>
      <c r="E312" s="2"/>
      <c r="F312" s="2"/>
      <c r="G312" s="2"/>
      <c r="H312" s="2"/>
      <c r="I312" s="2"/>
      <c r="J312" s="2"/>
      <c r="K312" s="2"/>
      <c r="L312" s="2"/>
      <c r="M312" s="2"/>
      <c r="N312" s="2"/>
      <c r="O312" s="2"/>
      <c r="P312" s="2"/>
      <c r="Q312" s="2"/>
      <c r="R312" s="2"/>
      <c r="S312" s="2"/>
      <c r="T312" s="2"/>
      <c r="U312" s="2"/>
    </row>
    <row r="313" spans="1:21" ht="15.75" customHeight="1">
      <c r="A313" s="1"/>
      <c r="B313" s="2"/>
      <c r="C313" s="2"/>
      <c r="D313" s="2"/>
      <c r="E313" s="2"/>
      <c r="F313" s="2"/>
      <c r="G313" s="2"/>
      <c r="H313" s="2"/>
      <c r="I313" s="2"/>
      <c r="J313" s="2"/>
      <c r="K313" s="2"/>
      <c r="L313" s="2"/>
      <c r="M313" s="2"/>
      <c r="N313" s="2"/>
      <c r="O313" s="2"/>
      <c r="P313" s="2"/>
      <c r="Q313" s="2"/>
      <c r="R313" s="2"/>
      <c r="S313" s="2"/>
      <c r="T313" s="2"/>
      <c r="U313" s="2"/>
    </row>
    <row r="314" spans="1:21" ht="15.75" customHeight="1">
      <c r="A314" s="1"/>
      <c r="B314" s="2"/>
      <c r="C314" s="2"/>
      <c r="D314" s="2"/>
      <c r="E314" s="2"/>
      <c r="F314" s="2"/>
      <c r="G314" s="2"/>
      <c r="H314" s="2"/>
      <c r="I314" s="2"/>
      <c r="J314" s="2"/>
      <c r="K314" s="2"/>
      <c r="L314" s="2"/>
      <c r="M314" s="2"/>
      <c r="N314" s="2"/>
      <c r="O314" s="2"/>
      <c r="P314" s="2"/>
      <c r="Q314" s="2"/>
      <c r="R314" s="2"/>
      <c r="S314" s="2"/>
      <c r="T314" s="2"/>
      <c r="U314" s="2"/>
    </row>
    <row r="315" spans="1:21" ht="15.75" customHeight="1">
      <c r="A315" s="1"/>
      <c r="B315" s="2"/>
      <c r="C315" s="2"/>
      <c r="D315" s="2"/>
      <c r="E315" s="2"/>
      <c r="F315" s="2"/>
      <c r="G315" s="2"/>
      <c r="H315" s="2"/>
      <c r="I315" s="2"/>
      <c r="J315" s="2"/>
      <c r="K315" s="2"/>
      <c r="L315" s="2"/>
      <c r="M315" s="2"/>
      <c r="N315" s="2"/>
      <c r="O315" s="2"/>
      <c r="P315" s="2"/>
      <c r="Q315" s="2"/>
      <c r="R315" s="2"/>
      <c r="S315" s="2"/>
      <c r="T315" s="2"/>
      <c r="U315" s="2"/>
    </row>
    <row r="316" spans="1:21" ht="15.75" customHeight="1">
      <c r="A316" s="1"/>
      <c r="B316" s="2"/>
      <c r="C316" s="2"/>
      <c r="D316" s="2"/>
      <c r="E316" s="2"/>
      <c r="F316" s="2"/>
      <c r="G316" s="2"/>
      <c r="H316" s="2"/>
      <c r="I316" s="2"/>
      <c r="J316" s="2"/>
      <c r="K316" s="2"/>
      <c r="L316" s="2"/>
      <c r="M316" s="2"/>
      <c r="N316" s="2"/>
      <c r="O316" s="2"/>
      <c r="P316" s="2"/>
      <c r="Q316" s="2"/>
      <c r="R316" s="2"/>
      <c r="S316" s="2"/>
      <c r="T316" s="2"/>
      <c r="U316" s="2"/>
    </row>
    <row r="317" spans="1:21" ht="15.75" customHeight="1">
      <c r="A317" s="1"/>
      <c r="B317" s="2"/>
      <c r="C317" s="2"/>
      <c r="D317" s="2"/>
      <c r="E317" s="2"/>
      <c r="F317" s="2"/>
      <c r="G317" s="2"/>
      <c r="H317" s="2"/>
      <c r="I317" s="2"/>
      <c r="J317" s="2"/>
      <c r="K317" s="2"/>
      <c r="L317" s="2"/>
      <c r="M317" s="2"/>
      <c r="N317" s="2"/>
      <c r="O317" s="2"/>
      <c r="P317" s="2"/>
      <c r="Q317" s="2"/>
      <c r="R317" s="2"/>
      <c r="S317" s="2"/>
      <c r="T317" s="2"/>
      <c r="U317" s="2"/>
    </row>
    <row r="318" spans="1:21" ht="15.75" customHeight="1">
      <c r="A318" s="1"/>
      <c r="B318" s="2"/>
      <c r="C318" s="2"/>
      <c r="D318" s="2"/>
      <c r="E318" s="2"/>
      <c r="F318" s="2"/>
      <c r="G318" s="2"/>
      <c r="H318" s="2"/>
      <c r="I318" s="2"/>
      <c r="J318" s="2"/>
      <c r="K318" s="2"/>
      <c r="L318" s="2"/>
      <c r="M318" s="2"/>
      <c r="N318" s="2"/>
      <c r="O318" s="2"/>
      <c r="P318" s="2"/>
      <c r="Q318" s="2"/>
      <c r="R318" s="2"/>
      <c r="S318" s="2"/>
      <c r="T318" s="2"/>
      <c r="U318" s="2"/>
    </row>
    <row r="319" spans="1:21" ht="15.75" customHeight="1">
      <c r="A319" s="1"/>
      <c r="B319" s="2"/>
      <c r="C319" s="2"/>
      <c r="D319" s="2"/>
      <c r="E319" s="2"/>
      <c r="F319" s="2"/>
      <c r="G319" s="2"/>
      <c r="H319" s="2"/>
      <c r="I319" s="2"/>
      <c r="J319" s="2"/>
      <c r="K319" s="2"/>
      <c r="L319" s="2"/>
      <c r="M319" s="2"/>
      <c r="N319" s="2"/>
      <c r="O319" s="2"/>
      <c r="P319" s="2"/>
      <c r="Q319" s="2"/>
      <c r="R319" s="2"/>
      <c r="S319" s="2"/>
      <c r="T319" s="2"/>
      <c r="U319" s="2"/>
    </row>
    <row r="320" spans="1:21" ht="15.75" customHeight="1">
      <c r="A320" s="1"/>
      <c r="B320" s="2"/>
      <c r="C320" s="2"/>
      <c r="D320" s="2"/>
      <c r="E320" s="2"/>
      <c r="F320" s="2"/>
      <c r="G320" s="2"/>
      <c r="H320" s="2"/>
      <c r="I320" s="2"/>
      <c r="J320" s="2"/>
      <c r="K320" s="2"/>
      <c r="L320" s="2"/>
      <c r="M320" s="2"/>
      <c r="N320" s="2"/>
      <c r="O320" s="2"/>
      <c r="P320" s="2"/>
      <c r="Q320" s="2"/>
      <c r="R320" s="2"/>
      <c r="S320" s="2"/>
      <c r="T320" s="2"/>
      <c r="U320" s="2"/>
    </row>
    <row r="321" spans="1:21" ht="15.75" customHeight="1">
      <c r="A321" s="1"/>
      <c r="B321" s="2"/>
      <c r="C321" s="2"/>
      <c r="D321" s="2"/>
      <c r="E321" s="2"/>
      <c r="F321" s="2"/>
      <c r="G321" s="2"/>
      <c r="H321" s="2"/>
      <c r="I321" s="2"/>
      <c r="J321" s="2"/>
      <c r="K321" s="2"/>
      <c r="L321" s="2"/>
      <c r="M321" s="2"/>
      <c r="N321" s="2"/>
      <c r="O321" s="2"/>
      <c r="P321" s="2"/>
      <c r="Q321" s="2"/>
      <c r="R321" s="2"/>
      <c r="S321" s="2"/>
      <c r="T321" s="2"/>
      <c r="U321" s="2"/>
    </row>
    <row r="322" spans="1:21" ht="15.75" customHeight="1">
      <c r="A322" s="1"/>
      <c r="B322" s="2"/>
      <c r="C322" s="2"/>
      <c r="D322" s="2"/>
      <c r="E322" s="2"/>
      <c r="F322" s="2"/>
      <c r="G322" s="2"/>
      <c r="H322" s="2"/>
      <c r="I322" s="2"/>
      <c r="J322" s="2"/>
      <c r="K322" s="2"/>
      <c r="L322" s="2"/>
      <c r="M322" s="2"/>
      <c r="N322" s="2"/>
      <c r="O322" s="2"/>
      <c r="P322" s="2"/>
      <c r="Q322" s="2"/>
      <c r="R322" s="2"/>
      <c r="S322" s="2"/>
      <c r="T322" s="2"/>
      <c r="U322" s="2"/>
    </row>
    <row r="323" spans="1:21" ht="15.75" customHeight="1">
      <c r="A323" s="1"/>
      <c r="B323" s="2"/>
      <c r="C323" s="2"/>
      <c r="D323" s="2"/>
      <c r="E323" s="2"/>
      <c r="F323" s="2"/>
      <c r="G323" s="2"/>
      <c r="H323" s="2"/>
      <c r="I323" s="2"/>
      <c r="J323" s="2"/>
      <c r="K323" s="2"/>
      <c r="L323" s="2"/>
      <c r="M323" s="2"/>
      <c r="N323" s="2"/>
      <c r="O323" s="2"/>
      <c r="P323" s="2"/>
      <c r="Q323" s="2"/>
      <c r="R323" s="2"/>
      <c r="S323" s="2"/>
      <c r="T323" s="2"/>
      <c r="U323" s="2"/>
    </row>
    <row r="324" spans="1:21" ht="15.75" customHeight="1">
      <c r="A324" s="1"/>
      <c r="B324" s="2"/>
      <c r="C324" s="2"/>
      <c r="D324" s="2"/>
      <c r="E324" s="2"/>
      <c r="F324" s="2"/>
      <c r="G324" s="2"/>
      <c r="H324" s="2"/>
      <c r="I324" s="2"/>
      <c r="J324" s="2"/>
      <c r="K324" s="2"/>
      <c r="L324" s="2"/>
      <c r="M324" s="2"/>
      <c r="N324" s="2"/>
      <c r="O324" s="2"/>
      <c r="P324" s="2"/>
      <c r="Q324" s="2"/>
      <c r="R324" s="2"/>
      <c r="S324" s="2"/>
      <c r="T324" s="2"/>
      <c r="U324" s="2"/>
    </row>
    <row r="325" spans="1:21" ht="15.75" customHeight="1">
      <c r="A325" s="1"/>
      <c r="B325" s="2"/>
      <c r="C325" s="2"/>
      <c r="D325" s="2"/>
      <c r="E325" s="2"/>
      <c r="F325" s="2"/>
      <c r="G325" s="2"/>
      <c r="H325" s="2"/>
      <c r="I325" s="2"/>
      <c r="J325" s="2"/>
      <c r="K325" s="2"/>
      <c r="L325" s="2"/>
      <c r="M325" s="2"/>
      <c r="N325" s="2"/>
      <c r="O325" s="2"/>
      <c r="P325" s="2"/>
      <c r="Q325" s="2"/>
      <c r="R325" s="2"/>
      <c r="S325" s="2"/>
      <c r="T325" s="2"/>
      <c r="U325" s="2"/>
    </row>
    <row r="326" spans="1:21" ht="15.75" customHeight="1">
      <c r="A326" s="1"/>
      <c r="B326" s="2"/>
      <c r="C326" s="2"/>
      <c r="D326" s="2"/>
      <c r="E326" s="2"/>
      <c r="F326" s="2"/>
      <c r="G326" s="2"/>
      <c r="H326" s="2"/>
      <c r="I326" s="2"/>
      <c r="J326" s="2"/>
      <c r="K326" s="2"/>
      <c r="L326" s="2"/>
      <c r="M326" s="2"/>
      <c r="N326" s="2"/>
      <c r="O326" s="2"/>
      <c r="P326" s="2"/>
      <c r="Q326" s="2"/>
      <c r="R326" s="2"/>
      <c r="S326" s="2"/>
      <c r="T326" s="2"/>
      <c r="U326" s="2"/>
    </row>
    <row r="327" spans="1:21" ht="15.75" customHeight="1">
      <c r="A327" s="1"/>
      <c r="B327" s="2"/>
      <c r="C327" s="2"/>
      <c r="D327" s="2"/>
      <c r="E327" s="2"/>
      <c r="F327" s="2"/>
      <c r="G327" s="2"/>
      <c r="H327" s="2"/>
      <c r="I327" s="2"/>
      <c r="J327" s="2"/>
      <c r="K327" s="2"/>
      <c r="L327" s="2"/>
      <c r="M327" s="2"/>
      <c r="N327" s="2"/>
      <c r="O327" s="2"/>
      <c r="P327" s="2"/>
      <c r="Q327" s="2"/>
      <c r="R327" s="2"/>
      <c r="S327" s="2"/>
      <c r="T327" s="2"/>
      <c r="U327" s="2"/>
    </row>
    <row r="328" spans="1:21" ht="15.75" customHeight="1">
      <c r="A328" s="1"/>
      <c r="B328" s="2"/>
      <c r="C328" s="2"/>
      <c r="D328" s="2"/>
      <c r="E328" s="2"/>
      <c r="F328" s="2"/>
      <c r="G328" s="2"/>
      <c r="H328" s="2"/>
      <c r="I328" s="2"/>
      <c r="J328" s="2"/>
      <c r="K328" s="2"/>
      <c r="L328" s="2"/>
      <c r="M328" s="2"/>
      <c r="N328" s="2"/>
      <c r="O328" s="2"/>
      <c r="P328" s="2"/>
      <c r="Q328" s="2"/>
      <c r="R328" s="2"/>
      <c r="S328" s="2"/>
      <c r="T328" s="2"/>
      <c r="U328" s="2"/>
    </row>
    <row r="329" spans="1:21" ht="15.75" customHeight="1">
      <c r="A329" s="1"/>
      <c r="B329" s="2"/>
      <c r="C329" s="2"/>
      <c r="D329" s="2"/>
      <c r="E329" s="2"/>
      <c r="F329" s="2"/>
      <c r="G329" s="2"/>
      <c r="H329" s="2"/>
      <c r="I329" s="2"/>
      <c r="J329" s="2"/>
      <c r="K329" s="2"/>
      <c r="L329" s="2"/>
      <c r="M329" s="2"/>
      <c r="N329" s="2"/>
      <c r="O329" s="2"/>
      <c r="P329" s="2"/>
      <c r="Q329" s="2"/>
      <c r="R329" s="2"/>
      <c r="S329" s="2"/>
      <c r="T329" s="2"/>
      <c r="U329" s="2"/>
    </row>
    <row r="330" spans="1:21" ht="15.75" customHeight="1">
      <c r="A330" s="1"/>
      <c r="B330" s="2"/>
      <c r="C330" s="2"/>
      <c r="D330" s="2"/>
      <c r="E330" s="2"/>
      <c r="F330" s="2"/>
      <c r="G330" s="2"/>
      <c r="H330" s="2"/>
      <c r="I330" s="2"/>
      <c r="J330" s="2"/>
      <c r="K330" s="2"/>
      <c r="L330" s="2"/>
      <c r="M330" s="2"/>
      <c r="N330" s="2"/>
      <c r="O330" s="2"/>
      <c r="P330" s="2"/>
      <c r="Q330" s="2"/>
      <c r="R330" s="2"/>
      <c r="S330" s="2"/>
      <c r="T330" s="2"/>
      <c r="U330" s="2"/>
    </row>
    <row r="331" spans="1:21" ht="15.75" customHeight="1">
      <c r="A331" s="1"/>
      <c r="B331" s="2"/>
      <c r="C331" s="2"/>
      <c r="D331" s="2"/>
      <c r="E331" s="2"/>
      <c r="F331" s="2"/>
      <c r="G331" s="2"/>
      <c r="H331" s="2"/>
      <c r="I331" s="2"/>
      <c r="J331" s="2"/>
      <c r="K331" s="2"/>
      <c r="L331" s="2"/>
      <c r="M331" s="2"/>
      <c r="N331" s="2"/>
      <c r="O331" s="2"/>
      <c r="P331" s="2"/>
      <c r="Q331" s="2"/>
      <c r="R331" s="2"/>
      <c r="S331" s="2"/>
      <c r="T331" s="2"/>
      <c r="U331" s="2"/>
    </row>
    <row r="332" spans="1:21" ht="15.75" customHeight="1">
      <c r="A332" s="1"/>
      <c r="B332" s="2"/>
      <c r="C332" s="2"/>
      <c r="D332" s="2"/>
      <c r="E332" s="2"/>
      <c r="F332" s="2"/>
      <c r="G332" s="2"/>
      <c r="H332" s="2"/>
      <c r="I332" s="2"/>
      <c r="J332" s="2"/>
      <c r="K332" s="2"/>
      <c r="L332" s="2"/>
      <c r="M332" s="2"/>
      <c r="N332" s="2"/>
      <c r="O332" s="2"/>
      <c r="P332" s="2"/>
      <c r="Q332" s="2"/>
      <c r="R332" s="2"/>
      <c r="S332" s="2"/>
      <c r="T332" s="2"/>
      <c r="U332" s="2"/>
    </row>
    <row r="333" spans="1:21" ht="15.75" customHeight="1">
      <c r="A333" s="1"/>
      <c r="B333" s="2"/>
      <c r="C333" s="2"/>
      <c r="D333" s="2"/>
      <c r="E333" s="2"/>
      <c r="F333" s="2"/>
      <c r="G333" s="2"/>
      <c r="H333" s="2"/>
      <c r="I333" s="2"/>
      <c r="J333" s="2"/>
      <c r="K333" s="2"/>
      <c r="L333" s="2"/>
      <c r="M333" s="2"/>
      <c r="N333" s="2"/>
      <c r="O333" s="2"/>
      <c r="P333" s="2"/>
      <c r="Q333" s="2"/>
      <c r="R333" s="2"/>
      <c r="S333" s="2"/>
      <c r="T333" s="2"/>
      <c r="U333" s="2"/>
    </row>
    <row r="334" spans="1:21" ht="15.75" customHeight="1">
      <c r="A334" s="1"/>
      <c r="B334" s="2"/>
      <c r="C334" s="2"/>
      <c r="D334" s="2"/>
      <c r="E334" s="2"/>
      <c r="F334" s="2"/>
      <c r="G334" s="2"/>
      <c r="H334" s="2"/>
      <c r="I334" s="2"/>
      <c r="J334" s="2"/>
      <c r="K334" s="2"/>
      <c r="L334" s="2"/>
      <c r="M334" s="2"/>
      <c r="N334" s="2"/>
      <c r="O334" s="2"/>
      <c r="P334" s="2"/>
      <c r="Q334" s="2"/>
      <c r="R334" s="2"/>
      <c r="S334" s="2"/>
      <c r="T334" s="2"/>
      <c r="U334" s="2"/>
    </row>
    <row r="335" spans="1:21" ht="15.75" customHeight="1">
      <c r="A335" s="1"/>
      <c r="B335" s="2"/>
      <c r="C335" s="2"/>
      <c r="D335" s="2"/>
      <c r="E335" s="2"/>
      <c r="F335" s="2"/>
      <c r="G335" s="2"/>
      <c r="H335" s="2"/>
      <c r="I335" s="2"/>
      <c r="J335" s="2"/>
      <c r="K335" s="2"/>
      <c r="L335" s="2"/>
      <c r="M335" s="2"/>
      <c r="N335" s="2"/>
      <c r="O335" s="2"/>
      <c r="P335" s="2"/>
      <c r="Q335" s="2"/>
      <c r="R335" s="2"/>
      <c r="S335" s="2"/>
      <c r="T335" s="2"/>
      <c r="U335" s="2"/>
    </row>
    <row r="336" spans="1:21" ht="15.75" customHeight="1">
      <c r="A336" s="1"/>
      <c r="B336" s="2"/>
      <c r="C336" s="2"/>
      <c r="D336" s="2"/>
      <c r="E336" s="2"/>
      <c r="F336" s="2"/>
      <c r="G336" s="2"/>
      <c r="H336" s="2"/>
      <c r="I336" s="2"/>
      <c r="J336" s="2"/>
      <c r="K336" s="2"/>
      <c r="L336" s="2"/>
      <c r="M336" s="2"/>
      <c r="N336" s="2"/>
      <c r="O336" s="2"/>
      <c r="P336" s="2"/>
      <c r="Q336" s="2"/>
      <c r="R336" s="2"/>
      <c r="S336" s="2"/>
      <c r="T336" s="2"/>
      <c r="U336" s="2"/>
    </row>
    <row r="337" spans="1:21" ht="15.75" customHeight="1">
      <c r="A337" s="1"/>
      <c r="B337" s="2"/>
      <c r="C337" s="2"/>
      <c r="D337" s="2"/>
      <c r="E337" s="2"/>
      <c r="F337" s="2"/>
      <c r="G337" s="2"/>
      <c r="H337" s="2"/>
      <c r="I337" s="2"/>
      <c r="J337" s="2"/>
      <c r="K337" s="2"/>
      <c r="L337" s="2"/>
      <c r="M337" s="2"/>
      <c r="N337" s="2"/>
      <c r="O337" s="2"/>
      <c r="P337" s="2"/>
      <c r="Q337" s="2"/>
      <c r="R337" s="2"/>
      <c r="S337" s="2"/>
      <c r="T337" s="2"/>
      <c r="U337" s="2"/>
    </row>
    <row r="338" spans="1:21" ht="15.75" customHeight="1">
      <c r="A338" s="1"/>
      <c r="B338" s="2"/>
      <c r="C338" s="2"/>
      <c r="D338" s="2"/>
      <c r="E338" s="2"/>
      <c r="F338" s="2"/>
      <c r="G338" s="2"/>
      <c r="H338" s="2"/>
      <c r="I338" s="2"/>
      <c r="J338" s="2"/>
      <c r="K338" s="2"/>
      <c r="L338" s="2"/>
      <c r="M338" s="2"/>
      <c r="N338" s="2"/>
      <c r="O338" s="2"/>
      <c r="P338" s="2"/>
      <c r="Q338" s="2"/>
      <c r="R338" s="2"/>
      <c r="S338" s="2"/>
      <c r="T338" s="2"/>
      <c r="U338" s="2"/>
    </row>
    <row r="339" spans="1:21" ht="15.75" customHeight="1">
      <c r="A339" s="1"/>
      <c r="B339" s="2"/>
      <c r="C339" s="2"/>
      <c r="D339" s="2"/>
      <c r="E339" s="2"/>
      <c r="F339" s="2"/>
      <c r="G339" s="2"/>
      <c r="H339" s="2"/>
      <c r="I339" s="2"/>
      <c r="J339" s="2"/>
      <c r="K339" s="2"/>
      <c r="L339" s="2"/>
      <c r="M339" s="2"/>
      <c r="N339" s="2"/>
      <c r="O339" s="2"/>
      <c r="P339" s="2"/>
      <c r="Q339" s="2"/>
      <c r="R339" s="2"/>
      <c r="S339" s="2"/>
      <c r="T339" s="2"/>
      <c r="U339" s="2"/>
    </row>
    <row r="340" spans="1:21" ht="15.75" customHeight="1">
      <c r="A340" s="1"/>
      <c r="B340" s="2"/>
      <c r="C340" s="2"/>
      <c r="D340" s="2"/>
      <c r="E340" s="2"/>
      <c r="F340" s="2"/>
      <c r="G340" s="2"/>
      <c r="H340" s="2"/>
      <c r="I340" s="2"/>
      <c r="J340" s="2"/>
      <c r="K340" s="2"/>
      <c r="L340" s="2"/>
      <c r="M340" s="2"/>
      <c r="N340" s="2"/>
      <c r="O340" s="2"/>
      <c r="P340" s="2"/>
      <c r="Q340" s="2"/>
      <c r="R340" s="2"/>
      <c r="S340" s="2"/>
      <c r="T340" s="2"/>
      <c r="U340" s="2"/>
    </row>
    <row r="341" spans="1:21" ht="15.75" customHeight="1">
      <c r="A341" s="1"/>
      <c r="B341" s="2"/>
      <c r="C341" s="2"/>
      <c r="D341" s="2"/>
      <c r="E341" s="2"/>
      <c r="F341" s="2"/>
      <c r="G341" s="2"/>
      <c r="H341" s="2"/>
      <c r="I341" s="2"/>
      <c r="J341" s="2"/>
      <c r="K341" s="2"/>
      <c r="L341" s="2"/>
      <c r="M341" s="2"/>
      <c r="N341" s="2"/>
      <c r="O341" s="2"/>
      <c r="P341" s="2"/>
      <c r="Q341" s="2"/>
      <c r="R341" s="2"/>
      <c r="S341" s="2"/>
      <c r="T341" s="2"/>
      <c r="U341" s="2"/>
    </row>
    <row r="342" spans="1:21" ht="15.75" customHeight="1">
      <c r="A342" s="1"/>
      <c r="B342" s="2"/>
      <c r="C342" s="2"/>
      <c r="D342" s="2"/>
      <c r="E342" s="2"/>
      <c r="F342" s="2"/>
      <c r="G342" s="2"/>
      <c r="H342" s="2"/>
      <c r="I342" s="2"/>
      <c r="J342" s="2"/>
      <c r="K342" s="2"/>
      <c r="L342" s="2"/>
      <c r="M342" s="2"/>
      <c r="N342" s="2"/>
      <c r="O342" s="2"/>
      <c r="P342" s="2"/>
      <c r="Q342" s="2"/>
      <c r="R342" s="2"/>
      <c r="S342" s="2"/>
      <c r="T342" s="2"/>
      <c r="U342" s="2"/>
    </row>
    <row r="343" spans="1:21" ht="15.75" customHeight="1">
      <c r="A343" s="1"/>
      <c r="B343" s="2"/>
      <c r="C343" s="2"/>
      <c r="D343" s="2"/>
      <c r="E343" s="2"/>
      <c r="F343" s="2"/>
      <c r="G343" s="2"/>
      <c r="H343" s="2"/>
      <c r="I343" s="2"/>
      <c r="J343" s="2"/>
      <c r="K343" s="2"/>
      <c r="L343" s="2"/>
      <c r="M343" s="2"/>
      <c r="N343" s="2"/>
      <c r="O343" s="2"/>
      <c r="P343" s="2"/>
      <c r="Q343" s="2"/>
      <c r="R343" s="2"/>
      <c r="S343" s="2"/>
      <c r="T343" s="2"/>
      <c r="U343" s="2"/>
    </row>
    <row r="344" spans="1:21" ht="15.75" customHeight="1">
      <c r="A344" s="1"/>
      <c r="B344" s="2"/>
      <c r="C344" s="2"/>
      <c r="D344" s="2"/>
      <c r="E344" s="2"/>
      <c r="F344" s="2"/>
      <c r="G344" s="2"/>
      <c r="H344" s="2"/>
      <c r="I344" s="2"/>
      <c r="J344" s="2"/>
      <c r="K344" s="2"/>
      <c r="L344" s="2"/>
      <c r="M344" s="2"/>
      <c r="N344" s="2"/>
      <c r="O344" s="2"/>
      <c r="P344" s="2"/>
      <c r="Q344" s="2"/>
      <c r="R344" s="2"/>
      <c r="S344" s="2"/>
      <c r="T344" s="2"/>
      <c r="U344" s="2"/>
    </row>
    <row r="345" spans="1:21" ht="15.75" customHeight="1">
      <c r="A345" s="1"/>
      <c r="B345" s="2"/>
      <c r="C345" s="2"/>
      <c r="D345" s="2"/>
      <c r="E345" s="2"/>
      <c r="F345" s="2"/>
      <c r="G345" s="2"/>
      <c r="H345" s="2"/>
      <c r="I345" s="2"/>
      <c r="J345" s="2"/>
      <c r="K345" s="2"/>
      <c r="L345" s="2"/>
      <c r="M345" s="2"/>
      <c r="N345" s="2"/>
      <c r="O345" s="2"/>
      <c r="P345" s="2"/>
      <c r="Q345" s="2"/>
      <c r="R345" s="2"/>
      <c r="S345" s="2"/>
      <c r="T345" s="2"/>
      <c r="U345" s="2"/>
    </row>
    <row r="346" spans="1:21" ht="15.75" customHeight="1">
      <c r="A346" s="1"/>
      <c r="B346" s="2"/>
      <c r="C346" s="2"/>
      <c r="D346" s="2"/>
      <c r="E346" s="2"/>
      <c r="F346" s="2"/>
      <c r="G346" s="2"/>
      <c r="H346" s="2"/>
      <c r="I346" s="2"/>
      <c r="J346" s="2"/>
      <c r="K346" s="2"/>
      <c r="L346" s="2"/>
      <c r="M346" s="2"/>
      <c r="N346" s="2"/>
      <c r="O346" s="2"/>
      <c r="P346" s="2"/>
      <c r="Q346" s="2"/>
      <c r="R346" s="2"/>
      <c r="S346" s="2"/>
      <c r="T346" s="2"/>
      <c r="U346" s="2"/>
    </row>
    <row r="347" spans="1:21" ht="15.75" customHeight="1">
      <c r="A347" s="1"/>
      <c r="B347" s="2"/>
      <c r="C347" s="2"/>
      <c r="D347" s="2"/>
      <c r="E347" s="2"/>
      <c r="F347" s="2"/>
      <c r="G347" s="2"/>
      <c r="H347" s="2"/>
      <c r="I347" s="2"/>
      <c r="J347" s="2"/>
      <c r="K347" s="2"/>
      <c r="L347" s="2"/>
      <c r="M347" s="2"/>
      <c r="N347" s="2"/>
      <c r="O347" s="2"/>
      <c r="P347" s="2"/>
      <c r="Q347" s="2"/>
      <c r="R347" s="2"/>
      <c r="S347" s="2"/>
      <c r="T347" s="2"/>
      <c r="U347" s="2"/>
    </row>
    <row r="348" spans="1:21" ht="15.75" customHeight="1">
      <c r="A348" s="1"/>
      <c r="B348" s="2"/>
      <c r="C348" s="2"/>
      <c r="D348" s="2"/>
      <c r="E348" s="2"/>
      <c r="F348" s="2"/>
      <c r="G348" s="2"/>
      <c r="H348" s="2"/>
      <c r="I348" s="2"/>
      <c r="J348" s="2"/>
      <c r="K348" s="2"/>
      <c r="L348" s="2"/>
      <c r="M348" s="2"/>
      <c r="N348" s="2"/>
      <c r="O348" s="2"/>
      <c r="P348" s="2"/>
      <c r="Q348" s="2"/>
      <c r="R348" s="2"/>
      <c r="S348" s="2"/>
      <c r="T348" s="2"/>
      <c r="U348" s="2"/>
    </row>
    <row r="349" spans="1:21" ht="15.75" customHeight="1">
      <c r="A349" s="1"/>
      <c r="B349" s="2"/>
      <c r="C349" s="2"/>
      <c r="D349" s="2"/>
      <c r="E349" s="2"/>
      <c r="F349" s="2"/>
      <c r="G349" s="2"/>
      <c r="H349" s="2"/>
      <c r="I349" s="2"/>
      <c r="J349" s="2"/>
      <c r="K349" s="2"/>
      <c r="L349" s="2"/>
      <c r="M349" s="2"/>
      <c r="N349" s="2"/>
      <c r="O349" s="2"/>
      <c r="P349" s="2"/>
      <c r="Q349" s="2"/>
      <c r="R349" s="2"/>
      <c r="S349" s="2"/>
      <c r="T349" s="2"/>
      <c r="U349" s="2"/>
    </row>
    <row r="350" spans="1:21" ht="15.75" customHeight="1">
      <c r="A350" s="1"/>
      <c r="B350" s="2"/>
      <c r="C350" s="2"/>
      <c r="D350" s="2"/>
      <c r="E350" s="2"/>
      <c r="F350" s="2"/>
      <c r="G350" s="2"/>
      <c r="H350" s="2"/>
      <c r="I350" s="2"/>
      <c r="J350" s="2"/>
      <c r="K350" s="2"/>
      <c r="L350" s="2"/>
      <c r="M350" s="2"/>
      <c r="N350" s="2"/>
      <c r="O350" s="2"/>
      <c r="P350" s="2"/>
      <c r="Q350" s="2"/>
      <c r="R350" s="2"/>
      <c r="S350" s="2"/>
      <c r="T350" s="2"/>
      <c r="U350" s="2"/>
    </row>
    <row r="351" spans="1:21" ht="15.75" customHeight="1">
      <c r="A351" s="1"/>
      <c r="B351" s="2"/>
      <c r="C351" s="2"/>
      <c r="D351" s="2"/>
      <c r="E351" s="2"/>
      <c r="F351" s="2"/>
      <c r="G351" s="2"/>
      <c r="H351" s="2"/>
      <c r="I351" s="2"/>
      <c r="J351" s="2"/>
      <c r="K351" s="2"/>
      <c r="L351" s="2"/>
      <c r="M351" s="2"/>
      <c r="N351" s="2"/>
      <c r="O351" s="2"/>
      <c r="P351" s="2"/>
      <c r="Q351" s="2"/>
      <c r="R351" s="2"/>
      <c r="S351" s="2"/>
      <c r="T351" s="2"/>
      <c r="U351" s="2"/>
    </row>
    <row r="352" spans="1:21" ht="15.75" customHeight="1">
      <c r="A352" s="1"/>
      <c r="B352" s="2"/>
      <c r="C352" s="2"/>
      <c r="D352" s="2"/>
      <c r="E352" s="2"/>
      <c r="F352" s="2"/>
      <c r="G352" s="2"/>
      <c r="H352" s="2"/>
      <c r="I352" s="2"/>
      <c r="J352" s="2"/>
      <c r="K352" s="2"/>
      <c r="L352" s="2"/>
      <c r="M352" s="2"/>
      <c r="N352" s="2"/>
      <c r="O352" s="2"/>
      <c r="P352" s="2"/>
      <c r="Q352" s="2"/>
      <c r="R352" s="2"/>
      <c r="S352" s="2"/>
      <c r="T352" s="2"/>
      <c r="U352" s="2"/>
    </row>
    <row r="353" spans="1:21" ht="15.75" customHeight="1">
      <c r="A353" s="1"/>
      <c r="B353" s="2"/>
      <c r="C353" s="2"/>
      <c r="D353" s="2"/>
      <c r="E353" s="2"/>
      <c r="F353" s="2"/>
      <c r="G353" s="2"/>
      <c r="H353" s="2"/>
      <c r="I353" s="2"/>
      <c r="J353" s="2"/>
      <c r="K353" s="2"/>
      <c r="L353" s="2"/>
      <c r="M353" s="2"/>
      <c r="N353" s="2"/>
      <c r="O353" s="2"/>
      <c r="P353" s="2"/>
      <c r="Q353" s="2"/>
      <c r="R353" s="2"/>
      <c r="S353" s="2"/>
      <c r="T353" s="2"/>
      <c r="U353" s="2"/>
    </row>
    <row r="354" spans="1:21" ht="15.75" customHeight="1">
      <c r="A354" s="1"/>
      <c r="B354" s="2"/>
      <c r="C354" s="2"/>
      <c r="D354" s="2"/>
      <c r="E354" s="2"/>
      <c r="F354" s="2"/>
      <c r="G354" s="2"/>
      <c r="H354" s="2"/>
      <c r="I354" s="2"/>
      <c r="J354" s="2"/>
      <c r="K354" s="2"/>
      <c r="L354" s="2"/>
      <c r="M354" s="2"/>
      <c r="N354" s="2"/>
      <c r="O354" s="2"/>
      <c r="P354" s="2"/>
      <c r="Q354" s="2"/>
      <c r="R354" s="2"/>
      <c r="S354" s="2"/>
      <c r="T354" s="2"/>
      <c r="U354" s="2"/>
    </row>
    <row r="355" spans="1:21" ht="15.75" customHeight="1">
      <c r="A355" s="1"/>
      <c r="B355" s="2"/>
      <c r="C355" s="2"/>
      <c r="D355" s="2"/>
      <c r="E355" s="2"/>
      <c r="F355" s="2"/>
      <c r="G355" s="2"/>
      <c r="H355" s="2"/>
      <c r="I355" s="2"/>
      <c r="J355" s="2"/>
      <c r="K355" s="2"/>
      <c r="L355" s="2"/>
      <c r="M355" s="2"/>
      <c r="N355" s="2"/>
      <c r="O355" s="2"/>
      <c r="P355" s="2"/>
      <c r="Q355" s="2"/>
      <c r="R355" s="2"/>
      <c r="S355" s="2"/>
      <c r="T355" s="2"/>
      <c r="U355" s="2"/>
    </row>
    <row r="356" spans="1:21" ht="15.75" customHeight="1">
      <c r="A356" s="1"/>
      <c r="B356" s="2"/>
      <c r="C356" s="2"/>
      <c r="D356" s="2"/>
      <c r="E356" s="2"/>
      <c r="F356" s="2"/>
      <c r="G356" s="2"/>
      <c r="H356" s="2"/>
      <c r="I356" s="2"/>
      <c r="J356" s="2"/>
      <c r="K356" s="2"/>
      <c r="L356" s="2"/>
      <c r="M356" s="2"/>
      <c r="N356" s="2"/>
      <c r="O356" s="2"/>
      <c r="P356" s="2"/>
      <c r="Q356" s="2"/>
      <c r="R356" s="2"/>
      <c r="S356" s="2"/>
      <c r="T356" s="2"/>
      <c r="U356" s="2"/>
    </row>
    <row r="357" spans="1:21" ht="15.75" customHeight="1">
      <c r="A357" s="1"/>
      <c r="B357" s="2"/>
      <c r="C357" s="2"/>
      <c r="D357" s="2"/>
      <c r="E357" s="2"/>
      <c r="F357" s="2"/>
      <c r="G357" s="2"/>
      <c r="H357" s="2"/>
      <c r="I357" s="2"/>
      <c r="J357" s="2"/>
      <c r="K357" s="2"/>
      <c r="L357" s="2"/>
      <c r="M357" s="2"/>
      <c r="N357" s="2"/>
      <c r="O357" s="2"/>
      <c r="P357" s="2"/>
      <c r="Q357" s="2"/>
      <c r="R357" s="2"/>
      <c r="S357" s="2"/>
      <c r="T357" s="2"/>
      <c r="U357" s="2"/>
    </row>
    <row r="358" spans="1:21" ht="15.75" customHeight="1">
      <c r="A358" s="1"/>
      <c r="B358" s="2"/>
      <c r="C358" s="2"/>
      <c r="D358" s="2"/>
      <c r="E358" s="2"/>
      <c r="F358" s="2"/>
      <c r="G358" s="2"/>
      <c r="H358" s="2"/>
      <c r="I358" s="2"/>
      <c r="J358" s="2"/>
      <c r="K358" s="2"/>
      <c r="L358" s="2"/>
      <c r="M358" s="2"/>
      <c r="N358" s="2"/>
      <c r="O358" s="2"/>
      <c r="P358" s="2"/>
      <c r="Q358" s="2"/>
      <c r="R358" s="2"/>
      <c r="S358" s="2"/>
      <c r="T358" s="2"/>
      <c r="U358" s="2"/>
    </row>
    <row r="359" spans="1:21" ht="15.75" customHeight="1">
      <c r="A359" s="1"/>
      <c r="B359" s="2"/>
      <c r="C359" s="2"/>
      <c r="D359" s="2"/>
      <c r="E359" s="2"/>
      <c r="F359" s="2"/>
      <c r="G359" s="2"/>
      <c r="H359" s="2"/>
      <c r="I359" s="2"/>
      <c r="J359" s="2"/>
      <c r="K359" s="2"/>
      <c r="L359" s="2"/>
      <c r="M359" s="2"/>
      <c r="N359" s="2"/>
      <c r="O359" s="2"/>
      <c r="P359" s="2"/>
      <c r="Q359" s="2"/>
      <c r="R359" s="2"/>
      <c r="S359" s="2"/>
      <c r="T359" s="2"/>
      <c r="U359" s="2"/>
    </row>
    <row r="360" spans="1:21" ht="15.75" customHeight="1">
      <c r="A360" s="1"/>
      <c r="B360" s="2"/>
      <c r="C360" s="2"/>
      <c r="D360" s="2"/>
      <c r="E360" s="2"/>
      <c r="F360" s="2"/>
      <c r="G360" s="2"/>
      <c r="H360" s="2"/>
      <c r="I360" s="2"/>
      <c r="J360" s="2"/>
      <c r="K360" s="2"/>
      <c r="L360" s="2"/>
      <c r="M360" s="2"/>
      <c r="N360" s="2"/>
      <c r="O360" s="2"/>
      <c r="P360" s="2"/>
      <c r="Q360" s="2"/>
      <c r="R360" s="2"/>
      <c r="S360" s="2"/>
      <c r="T360" s="2"/>
      <c r="U360" s="2"/>
    </row>
    <row r="361" spans="1:21" ht="15.75" customHeight="1">
      <c r="A361" s="1"/>
      <c r="B361" s="2"/>
      <c r="C361" s="2"/>
      <c r="D361" s="2"/>
      <c r="E361" s="2"/>
      <c r="F361" s="2"/>
      <c r="G361" s="2"/>
      <c r="H361" s="2"/>
      <c r="I361" s="2"/>
      <c r="J361" s="2"/>
      <c r="K361" s="2"/>
      <c r="L361" s="2"/>
      <c r="M361" s="2"/>
      <c r="N361" s="2"/>
      <c r="O361" s="2"/>
      <c r="P361" s="2"/>
      <c r="Q361" s="2"/>
      <c r="R361" s="2"/>
      <c r="S361" s="2"/>
      <c r="T361" s="2"/>
      <c r="U361" s="2"/>
    </row>
    <row r="362" spans="1:21" ht="15.75" customHeight="1">
      <c r="A362" s="1"/>
      <c r="B362" s="2"/>
      <c r="C362" s="2"/>
      <c r="D362" s="2"/>
      <c r="E362" s="2"/>
      <c r="F362" s="2"/>
      <c r="G362" s="2"/>
      <c r="H362" s="2"/>
      <c r="I362" s="2"/>
      <c r="J362" s="2"/>
      <c r="K362" s="2"/>
      <c r="L362" s="2"/>
      <c r="M362" s="2"/>
      <c r="N362" s="2"/>
      <c r="O362" s="2"/>
      <c r="P362" s="2"/>
      <c r="Q362" s="2"/>
      <c r="R362" s="2"/>
      <c r="S362" s="2"/>
      <c r="T362" s="2"/>
      <c r="U362" s="2"/>
    </row>
    <row r="363" spans="1:21" ht="15.75" customHeight="1">
      <c r="A363" s="1"/>
      <c r="B363" s="2"/>
      <c r="C363" s="2"/>
      <c r="D363" s="2"/>
      <c r="E363" s="2"/>
      <c r="F363" s="2"/>
      <c r="G363" s="2"/>
      <c r="H363" s="2"/>
      <c r="I363" s="2"/>
      <c r="J363" s="2"/>
      <c r="K363" s="2"/>
      <c r="L363" s="2"/>
      <c r="M363" s="2"/>
      <c r="N363" s="2"/>
      <c r="O363" s="2"/>
      <c r="P363" s="2"/>
      <c r="Q363" s="2"/>
      <c r="R363" s="2"/>
      <c r="S363" s="2"/>
      <c r="T363" s="2"/>
      <c r="U363" s="2"/>
    </row>
    <row r="364" spans="1:21" ht="15.75" customHeight="1">
      <c r="A364" s="1"/>
      <c r="B364" s="2"/>
      <c r="C364" s="2"/>
      <c r="D364" s="2"/>
      <c r="E364" s="2"/>
      <c r="F364" s="2"/>
      <c r="G364" s="2"/>
      <c r="H364" s="2"/>
      <c r="I364" s="2"/>
      <c r="J364" s="2"/>
      <c r="K364" s="2"/>
      <c r="L364" s="2"/>
      <c r="M364" s="2"/>
      <c r="N364" s="2"/>
      <c r="O364" s="2"/>
      <c r="P364" s="2"/>
      <c r="Q364" s="2"/>
      <c r="R364" s="2"/>
      <c r="S364" s="2"/>
      <c r="T364" s="2"/>
      <c r="U364" s="2"/>
    </row>
    <row r="365" spans="1:21" ht="15.75" customHeight="1">
      <c r="A365" s="1"/>
      <c r="B365" s="2"/>
      <c r="C365" s="2"/>
      <c r="D365" s="2"/>
      <c r="E365" s="2"/>
      <c r="F365" s="2"/>
      <c r="G365" s="2"/>
      <c r="H365" s="2"/>
      <c r="I365" s="2"/>
      <c r="J365" s="2"/>
      <c r="K365" s="2"/>
      <c r="L365" s="2"/>
      <c r="M365" s="2"/>
      <c r="N365" s="2"/>
      <c r="O365" s="2"/>
      <c r="P365" s="2"/>
      <c r="Q365" s="2"/>
      <c r="R365" s="2"/>
      <c r="S365" s="2"/>
      <c r="T365" s="2"/>
      <c r="U365" s="2"/>
    </row>
    <row r="366" spans="1:21" ht="15.75" customHeight="1">
      <c r="A366" s="1"/>
      <c r="B366" s="2"/>
      <c r="C366" s="2"/>
      <c r="D366" s="2"/>
      <c r="E366" s="2"/>
      <c r="F366" s="2"/>
      <c r="G366" s="2"/>
      <c r="H366" s="2"/>
      <c r="I366" s="2"/>
      <c r="J366" s="2"/>
      <c r="K366" s="2"/>
      <c r="L366" s="2"/>
      <c r="M366" s="2"/>
      <c r="N366" s="2"/>
      <c r="O366" s="2"/>
      <c r="P366" s="2"/>
      <c r="Q366" s="2"/>
      <c r="R366" s="2"/>
      <c r="S366" s="2"/>
      <c r="T366" s="2"/>
      <c r="U366" s="2"/>
    </row>
    <row r="367" spans="1:21" ht="15.75" customHeight="1">
      <c r="A367" s="1"/>
      <c r="B367" s="2"/>
      <c r="C367" s="2"/>
      <c r="D367" s="2"/>
      <c r="E367" s="2"/>
      <c r="F367" s="2"/>
      <c r="G367" s="2"/>
      <c r="H367" s="2"/>
      <c r="I367" s="2"/>
      <c r="J367" s="2"/>
      <c r="K367" s="2"/>
      <c r="L367" s="2"/>
      <c r="M367" s="2"/>
      <c r="N367" s="2"/>
      <c r="O367" s="2"/>
      <c r="P367" s="2"/>
      <c r="Q367" s="2"/>
      <c r="R367" s="2"/>
      <c r="S367" s="2"/>
      <c r="T367" s="2"/>
      <c r="U367" s="2"/>
    </row>
    <row r="368" spans="1:21" ht="15.75" customHeight="1">
      <c r="A368" s="1"/>
      <c r="B368" s="2"/>
      <c r="C368" s="2"/>
      <c r="D368" s="2"/>
      <c r="E368" s="2"/>
      <c r="F368" s="2"/>
      <c r="G368" s="2"/>
      <c r="H368" s="2"/>
      <c r="I368" s="2"/>
      <c r="J368" s="2"/>
      <c r="K368" s="2"/>
      <c r="L368" s="2"/>
      <c r="M368" s="2"/>
      <c r="N368" s="2"/>
      <c r="O368" s="2"/>
      <c r="P368" s="2"/>
      <c r="Q368" s="2"/>
      <c r="R368" s="2"/>
      <c r="S368" s="2"/>
      <c r="T368" s="2"/>
      <c r="U368" s="2"/>
    </row>
    <row r="369" spans="1:21" ht="15.75" customHeight="1">
      <c r="A369" s="1"/>
      <c r="B369" s="2"/>
      <c r="C369" s="2"/>
      <c r="D369" s="2"/>
      <c r="E369" s="2"/>
      <c r="F369" s="2"/>
      <c r="G369" s="2"/>
      <c r="H369" s="2"/>
      <c r="I369" s="2"/>
      <c r="J369" s="2"/>
      <c r="K369" s="2"/>
      <c r="L369" s="2"/>
      <c r="M369" s="2"/>
      <c r="N369" s="2"/>
      <c r="O369" s="2"/>
      <c r="P369" s="2"/>
      <c r="Q369" s="2"/>
      <c r="R369" s="2"/>
      <c r="S369" s="2"/>
      <c r="T369" s="2"/>
      <c r="U369" s="2"/>
    </row>
    <row r="370" spans="1:21" ht="15.75" customHeight="1">
      <c r="A370" s="1"/>
      <c r="B370" s="2"/>
      <c r="C370" s="2"/>
      <c r="D370" s="2"/>
      <c r="E370" s="2"/>
      <c r="F370" s="2"/>
      <c r="G370" s="2"/>
      <c r="H370" s="2"/>
      <c r="I370" s="2"/>
      <c r="J370" s="2"/>
      <c r="K370" s="2"/>
      <c r="L370" s="2"/>
      <c r="M370" s="2"/>
      <c r="N370" s="2"/>
      <c r="O370" s="2"/>
      <c r="P370" s="2"/>
      <c r="Q370" s="2"/>
      <c r="R370" s="2"/>
      <c r="S370" s="2"/>
      <c r="T370" s="2"/>
      <c r="U370" s="2"/>
    </row>
    <row r="371" spans="1:21" ht="15.75" customHeight="1">
      <c r="A371" s="1"/>
      <c r="B371" s="2"/>
      <c r="C371" s="2"/>
      <c r="D371" s="2"/>
      <c r="E371" s="2"/>
      <c r="F371" s="2"/>
      <c r="G371" s="2"/>
      <c r="H371" s="2"/>
      <c r="I371" s="2"/>
      <c r="J371" s="2"/>
      <c r="K371" s="2"/>
      <c r="L371" s="2"/>
      <c r="M371" s="2"/>
      <c r="N371" s="2"/>
      <c r="O371" s="2"/>
      <c r="P371" s="2"/>
      <c r="Q371" s="2"/>
      <c r="R371" s="2"/>
      <c r="S371" s="2"/>
      <c r="T371" s="2"/>
      <c r="U371" s="2"/>
    </row>
    <row r="372" spans="1:21" ht="15.75" customHeight="1">
      <c r="A372" s="1"/>
      <c r="B372" s="2"/>
      <c r="C372" s="2"/>
      <c r="D372" s="2"/>
      <c r="E372" s="2"/>
      <c r="F372" s="2"/>
      <c r="G372" s="2"/>
      <c r="H372" s="2"/>
      <c r="I372" s="2"/>
      <c r="J372" s="2"/>
      <c r="K372" s="2"/>
      <c r="L372" s="2"/>
      <c r="M372" s="2"/>
      <c r="N372" s="2"/>
      <c r="O372" s="2"/>
      <c r="P372" s="2"/>
      <c r="Q372" s="2"/>
      <c r="R372" s="2"/>
      <c r="S372" s="2"/>
      <c r="T372" s="2"/>
      <c r="U372" s="2"/>
    </row>
    <row r="373" spans="1:21" ht="15.75" customHeight="1">
      <c r="A373" s="1"/>
      <c r="B373" s="2"/>
      <c r="C373" s="2"/>
      <c r="D373" s="2"/>
      <c r="E373" s="2"/>
      <c r="F373" s="2"/>
      <c r="G373" s="2"/>
      <c r="H373" s="2"/>
      <c r="I373" s="2"/>
      <c r="J373" s="2"/>
      <c r="K373" s="2"/>
      <c r="L373" s="2"/>
      <c r="M373" s="2"/>
      <c r="N373" s="2"/>
      <c r="O373" s="2"/>
      <c r="P373" s="2"/>
      <c r="Q373" s="2"/>
      <c r="R373" s="2"/>
      <c r="S373" s="2"/>
      <c r="T373" s="2"/>
      <c r="U373" s="2"/>
    </row>
    <row r="374" spans="1:21" ht="15.75" customHeight="1">
      <c r="A374" s="1"/>
      <c r="B374" s="2"/>
      <c r="C374" s="2"/>
      <c r="D374" s="2"/>
      <c r="E374" s="2"/>
      <c r="F374" s="2"/>
      <c r="G374" s="2"/>
      <c r="H374" s="2"/>
      <c r="I374" s="2"/>
      <c r="J374" s="2"/>
      <c r="K374" s="2"/>
      <c r="L374" s="2"/>
      <c r="M374" s="2"/>
      <c r="N374" s="2"/>
      <c r="O374" s="2"/>
      <c r="P374" s="2"/>
      <c r="Q374" s="2"/>
      <c r="R374" s="2"/>
      <c r="S374" s="2"/>
      <c r="T374" s="2"/>
      <c r="U374" s="2"/>
    </row>
    <row r="375" spans="1:21" ht="15.75" customHeight="1">
      <c r="A375" s="1"/>
      <c r="B375" s="2"/>
      <c r="C375" s="2"/>
      <c r="D375" s="2"/>
      <c r="E375" s="2"/>
      <c r="F375" s="2"/>
      <c r="G375" s="2"/>
      <c r="H375" s="2"/>
      <c r="I375" s="2"/>
      <c r="J375" s="2"/>
      <c r="K375" s="2"/>
      <c r="L375" s="2"/>
      <c r="M375" s="2"/>
      <c r="N375" s="2"/>
      <c r="O375" s="2"/>
      <c r="P375" s="2"/>
      <c r="Q375" s="2"/>
      <c r="R375" s="2"/>
      <c r="S375" s="2"/>
      <c r="T375" s="2"/>
      <c r="U375" s="2"/>
    </row>
    <row r="376" spans="1:21" ht="15.75" customHeight="1">
      <c r="A376" s="1"/>
      <c r="B376" s="2"/>
      <c r="C376" s="2"/>
      <c r="D376" s="2"/>
      <c r="E376" s="2"/>
      <c r="F376" s="2"/>
      <c r="G376" s="2"/>
      <c r="H376" s="2"/>
      <c r="I376" s="2"/>
      <c r="J376" s="2"/>
      <c r="K376" s="2"/>
      <c r="L376" s="2"/>
      <c r="M376" s="2"/>
      <c r="N376" s="2"/>
      <c r="O376" s="2"/>
      <c r="P376" s="2"/>
      <c r="Q376" s="2"/>
      <c r="R376" s="2"/>
      <c r="S376" s="2"/>
      <c r="T376" s="2"/>
      <c r="U376" s="2"/>
    </row>
    <row r="377" spans="1:21" ht="15.75" customHeight="1">
      <c r="A377" s="1"/>
      <c r="B377" s="2"/>
      <c r="C377" s="2"/>
      <c r="D377" s="2"/>
      <c r="E377" s="2"/>
      <c r="F377" s="2"/>
      <c r="G377" s="2"/>
      <c r="H377" s="2"/>
      <c r="I377" s="2"/>
      <c r="J377" s="2"/>
      <c r="K377" s="2"/>
      <c r="L377" s="2"/>
      <c r="M377" s="2"/>
      <c r="N377" s="2"/>
      <c r="O377" s="2"/>
      <c r="P377" s="2"/>
      <c r="Q377" s="2"/>
      <c r="R377" s="2"/>
      <c r="S377" s="2"/>
      <c r="T377" s="2"/>
      <c r="U377" s="2"/>
    </row>
    <row r="378" spans="1:21" ht="15.75" customHeight="1">
      <c r="A378" s="1"/>
      <c r="B378" s="2"/>
      <c r="C378" s="2"/>
      <c r="D378" s="2"/>
      <c r="E378" s="2"/>
      <c r="F378" s="2"/>
      <c r="G378" s="2"/>
      <c r="H378" s="2"/>
      <c r="I378" s="2"/>
      <c r="J378" s="2"/>
      <c r="K378" s="2"/>
      <c r="L378" s="2"/>
      <c r="M378" s="2"/>
      <c r="N378" s="2"/>
      <c r="O378" s="2"/>
      <c r="P378" s="2"/>
      <c r="Q378" s="2"/>
      <c r="R378" s="2"/>
      <c r="S378" s="2"/>
      <c r="T378" s="2"/>
      <c r="U378" s="2"/>
    </row>
    <row r="379" spans="1:21" ht="15.75" customHeight="1">
      <c r="A379" s="1"/>
      <c r="B379" s="2"/>
      <c r="C379" s="2"/>
      <c r="D379" s="2"/>
      <c r="E379" s="2"/>
      <c r="F379" s="2"/>
      <c r="G379" s="2"/>
      <c r="H379" s="2"/>
      <c r="I379" s="2"/>
      <c r="J379" s="2"/>
      <c r="K379" s="2"/>
      <c r="L379" s="2"/>
      <c r="M379" s="2"/>
      <c r="N379" s="2"/>
      <c r="O379" s="2"/>
      <c r="P379" s="2"/>
      <c r="Q379" s="2"/>
      <c r="R379" s="2"/>
      <c r="S379" s="2"/>
      <c r="T379" s="2"/>
      <c r="U379" s="2"/>
    </row>
    <row r="380" spans="1:21" ht="15.75" customHeight="1">
      <c r="A380" s="1"/>
      <c r="B380" s="2"/>
      <c r="C380" s="2"/>
      <c r="D380" s="2"/>
      <c r="E380" s="2"/>
      <c r="F380" s="2"/>
      <c r="G380" s="2"/>
      <c r="H380" s="2"/>
      <c r="I380" s="2"/>
      <c r="J380" s="2"/>
      <c r="K380" s="2"/>
      <c r="L380" s="2"/>
      <c r="M380" s="2"/>
      <c r="N380" s="2"/>
      <c r="O380" s="2"/>
      <c r="P380" s="2"/>
      <c r="Q380" s="2"/>
      <c r="R380" s="2"/>
      <c r="S380" s="2"/>
      <c r="T380" s="2"/>
      <c r="U380" s="2"/>
    </row>
    <row r="381" spans="1:21" ht="15.75" customHeight="1">
      <c r="A381" s="1"/>
      <c r="B381" s="2"/>
      <c r="C381" s="2"/>
      <c r="D381" s="2"/>
      <c r="E381" s="2"/>
      <c r="F381" s="2"/>
      <c r="G381" s="2"/>
      <c r="H381" s="2"/>
      <c r="I381" s="2"/>
      <c r="J381" s="2"/>
      <c r="K381" s="2"/>
      <c r="L381" s="2"/>
      <c r="M381" s="2"/>
      <c r="N381" s="2"/>
      <c r="O381" s="2"/>
      <c r="P381" s="2"/>
      <c r="Q381" s="2"/>
      <c r="R381" s="2"/>
      <c r="S381" s="2"/>
      <c r="T381" s="2"/>
      <c r="U381" s="2"/>
    </row>
    <row r="382" spans="1:21" ht="15.75" customHeight="1">
      <c r="A382" s="1"/>
      <c r="B382" s="2"/>
      <c r="C382" s="2"/>
      <c r="D382" s="2"/>
      <c r="E382" s="2"/>
      <c r="F382" s="2"/>
      <c r="G382" s="2"/>
      <c r="H382" s="2"/>
      <c r="I382" s="2"/>
      <c r="J382" s="2"/>
      <c r="K382" s="2"/>
      <c r="L382" s="2"/>
      <c r="M382" s="2"/>
      <c r="N382" s="2"/>
      <c r="O382" s="2"/>
      <c r="P382" s="2"/>
      <c r="Q382" s="2"/>
      <c r="R382" s="2"/>
      <c r="S382" s="2"/>
      <c r="T382" s="2"/>
      <c r="U382" s="2"/>
    </row>
    <row r="383" spans="1:21" ht="15.75" customHeight="1">
      <c r="A383" s="1"/>
      <c r="B383" s="2"/>
      <c r="C383" s="2"/>
      <c r="D383" s="2"/>
      <c r="E383" s="2"/>
      <c r="F383" s="2"/>
      <c r="G383" s="2"/>
      <c r="H383" s="2"/>
      <c r="I383" s="2"/>
      <c r="J383" s="2"/>
      <c r="K383" s="2"/>
      <c r="L383" s="2"/>
      <c r="M383" s="2"/>
      <c r="N383" s="2"/>
      <c r="O383" s="2"/>
      <c r="P383" s="2"/>
      <c r="Q383" s="2"/>
      <c r="R383" s="2"/>
      <c r="S383" s="2"/>
      <c r="T383" s="2"/>
      <c r="U383" s="2"/>
    </row>
    <row r="384" spans="1:21" ht="15.75" customHeight="1">
      <c r="A384" s="1"/>
      <c r="B384" s="2"/>
      <c r="C384" s="2"/>
      <c r="D384" s="2"/>
      <c r="E384" s="2"/>
      <c r="F384" s="2"/>
      <c r="G384" s="2"/>
      <c r="H384" s="2"/>
      <c r="I384" s="2"/>
      <c r="J384" s="2"/>
      <c r="K384" s="2"/>
      <c r="L384" s="2"/>
      <c r="M384" s="2"/>
      <c r="N384" s="2"/>
      <c r="O384" s="2"/>
      <c r="P384" s="2"/>
      <c r="Q384" s="2"/>
      <c r="R384" s="2"/>
      <c r="S384" s="2"/>
      <c r="T384" s="2"/>
      <c r="U384" s="2"/>
    </row>
    <row r="385" spans="1:21" ht="15.75" customHeight="1">
      <c r="A385" s="1"/>
      <c r="B385" s="2"/>
      <c r="C385" s="2"/>
      <c r="D385" s="2"/>
      <c r="E385" s="2"/>
      <c r="F385" s="2"/>
      <c r="G385" s="2"/>
      <c r="H385" s="2"/>
      <c r="I385" s="2"/>
      <c r="J385" s="2"/>
      <c r="K385" s="2"/>
      <c r="L385" s="2"/>
      <c r="M385" s="2"/>
      <c r="N385" s="2"/>
      <c r="O385" s="2"/>
      <c r="P385" s="2"/>
      <c r="Q385" s="2"/>
      <c r="R385" s="2"/>
      <c r="S385" s="2"/>
      <c r="T385" s="2"/>
      <c r="U385" s="2"/>
    </row>
    <row r="386" spans="1:21" ht="15.75" customHeight="1">
      <c r="A386" s="1"/>
      <c r="B386" s="2"/>
      <c r="C386" s="2"/>
      <c r="D386" s="2"/>
      <c r="E386" s="2"/>
      <c r="F386" s="2"/>
      <c r="G386" s="2"/>
      <c r="H386" s="2"/>
      <c r="I386" s="2"/>
      <c r="J386" s="2"/>
      <c r="K386" s="2"/>
      <c r="L386" s="2"/>
      <c r="M386" s="2"/>
      <c r="N386" s="2"/>
      <c r="O386" s="2"/>
      <c r="P386" s="2"/>
      <c r="Q386" s="2"/>
      <c r="R386" s="2"/>
      <c r="S386" s="2"/>
      <c r="T386" s="2"/>
      <c r="U386" s="2"/>
    </row>
    <row r="387" spans="1:21" ht="15.75" customHeight="1">
      <c r="A387" s="1"/>
      <c r="B387" s="2"/>
      <c r="C387" s="2"/>
      <c r="D387" s="2"/>
      <c r="E387" s="2"/>
      <c r="F387" s="2"/>
      <c r="G387" s="2"/>
      <c r="H387" s="2"/>
      <c r="I387" s="2"/>
      <c r="J387" s="2"/>
      <c r="K387" s="2"/>
      <c r="L387" s="2"/>
      <c r="M387" s="2"/>
      <c r="N387" s="2"/>
      <c r="O387" s="2"/>
      <c r="P387" s="2"/>
      <c r="Q387" s="2"/>
      <c r="R387" s="2"/>
      <c r="S387" s="2"/>
      <c r="T387" s="2"/>
      <c r="U387" s="2"/>
    </row>
    <row r="388" spans="1:21" ht="15.75" customHeight="1">
      <c r="A388" s="1"/>
      <c r="B388" s="2"/>
      <c r="C388" s="2"/>
      <c r="D388" s="2"/>
      <c r="E388" s="2"/>
      <c r="F388" s="2"/>
      <c r="G388" s="2"/>
      <c r="H388" s="2"/>
      <c r="I388" s="2"/>
      <c r="J388" s="2"/>
      <c r="K388" s="2"/>
      <c r="L388" s="2"/>
      <c r="M388" s="2"/>
      <c r="N388" s="2"/>
      <c r="O388" s="2"/>
      <c r="P388" s="2"/>
      <c r="Q388" s="2"/>
      <c r="R388" s="2"/>
      <c r="S388" s="2"/>
      <c r="T388" s="2"/>
      <c r="U388" s="2"/>
    </row>
    <row r="389" spans="1:21" ht="15.75" customHeight="1">
      <c r="A389" s="1"/>
      <c r="B389" s="2"/>
      <c r="C389" s="2"/>
      <c r="D389" s="2"/>
      <c r="E389" s="2"/>
      <c r="F389" s="2"/>
      <c r="G389" s="2"/>
      <c r="H389" s="2"/>
      <c r="I389" s="2"/>
      <c r="J389" s="2"/>
      <c r="K389" s="2"/>
      <c r="L389" s="2"/>
      <c r="M389" s="2"/>
      <c r="N389" s="2"/>
      <c r="O389" s="2"/>
      <c r="P389" s="2"/>
      <c r="Q389" s="2"/>
      <c r="R389" s="2"/>
      <c r="S389" s="2"/>
      <c r="T389" s="2"/>
      <c r="U389" s="2"/>
    </row>
    <row r="390" spans="1:21" ht="15.75" customHeight="1">
      <c r="A390" s="1"/>
      <c r="B390" s="2"/>
      <c r="C390" s="2"/>
      <c r="D390" s="2"/>
      <c r="E390" s="2"/>
      <c r="F390" s="2"/>
      <c r="G390" s="2"/>
      <c r="H390" s="2"/>
      <c r="I390" s="2"/>
      <c r="J390" s="2"/>
      <c r="K390" s="2"/>
      <c r="L390" s="2"/>
      <c r="M390" s="2"/>
      <c r="N390" s="2"/>
      <c r="O390" s="2"/>
      <c r="P390" s="2"/>
      <c r="Q390" s="2"/>
      <c r="R390" s="2"/>
      <c r="S390" s="2"/>
      <c r="T390" s="2"/>
      <c r="U390" s="2"/>
    </row>
    <row r="391" spans="1:21" ht="15.75" customHeight="1">
      <c r="A391" s="1"/>
      <c r="B391" s="2"/>
      <c r="C391" s="2"/>
      <c r="D391" s="2"/>
      <c r="E391" s="2"/>
      <c r="F391" s="2"/>
      <c r="G391" s="2"/>
      <c r="H391" s="2"/>
      <c r="I391" s="2"/>
      <c r="J391" s="2"/>
      <c r="K391" s="2"/>
      <c r="L391" s="2"/>
      <c r="M391" s="2"/>
      <c r="N391" s="2"/>
      <c r="O391" s="2"/>
      <c r="P391" s="2"/>
      <c r="Q391" s="2"/>
      <c r="R391" s="2"/>
      <c r="S391" s="2"/>
      <c r="T391" s="2"/>
      <c r="U391" s="2"/>
    </row>
    <row r="392" spans="1:21" ht="15.75" customHeight="1">
      <c r="A392" s="1"/>
      <c r="B392" s="2"/>
      <c r="C392" s="2"/>
      <c r="D392" s="2"/>
      <c r="E392" s="2"/>
      <c r="F392" s="2"/>
      <c r="G392" s="2"/>
      <c r="H392" s="2"/>
      <c r="I392" s="2"/>
      <c r="J392" s="2"/>
      <c r="K392" s="2"/>
      <c r="L392" s="2"/>
      <c r="M392" s="2"/>
      <c r="N392" s="2"/>
      <c r="O392" s="2"/>
      <c r="P392" s="2"/>
      <c r="Q392" s="2"/>
      <c r="R392" s="2"/>
      <c r="S392" s="2"/>
      <c r="T392" s="2"/>
      <c r="U392" s="2"/>
    </row>
    <row r="393" spans="1:21" ht="15.75" customHeight="1">
      <c r="A393" s="1"/>
      <c r="B393" s="2"/>
      <c r="C393" s="2"/>
      <c r="D393" s="2"/>
      <c r="E393" s="2"/>
      <c r="F393" s="2"/>
      <c r="G393" s="2"/>
      <c r="H393" s="2"/>
      <c r="I393" s="2"/>
      <c r="J393" s="2"/>
      <c r="K393" s="2"/>
      <c r="L393" s="2"/>
      <c r="M393" s="2"/>
      <c r="N393" s="2"/>
      <c r="O393" s="2"/>
      <c r="P393" s="2"/>
      <c r="Q393" s="2"/>
      <c r="R393" s="2"/>
      <c r="S393" s="2"/>
      <c r="T393" s="2"/>
      <c r="U393" s="2"/>
    </row>
    <row r="394" spans="1:21" ht="15.75" customHeight="1">
      <c r="A394" s="1"/>
      <c r="B394" s="2"/>
      <c r="C394" s="2"/>
      <c r="D394" s="2"/>
      <c r="E394" s="2"/>
      <c r="F394" s="2"/>
      <c r="G394" s="2"/>
      <c r="H394" s="2"/>
      <c r="I394" s="2"/>
      <c r="J394" s="2"/>
      <c r="K394" s="2"/>
      <c r="L394" s="2"/>
      <c r="M394" s="2"/>
      <c r="N394" s="2"/>
      <c r="O394" s="2"/>
      <c r="P394" s="2"/>
      <c r="Q394" s="2"/>
      <c r="R394" s="2"/>
      <c r="S394" s="2"/>
      <c r="T394" s="2"/>
      <c r="U394" s="2"/>
    </row>
    <row r="395" spans="1:21" ht="15.75" customHeight="1">
      <c r="A395" s="1"/>
      <c r="B395" s="2"/>
      <c r="C395" s="2"/>
      <c r="D395" s="2"/>
      <c r="E395" s="2"/>
      <c r="F395" s="2"/>
      <c r="G395" s="2"/>
      <c r="H395" s="2"/>
      <c r="I395" s="2"/>
      <c r="J395" s="2"/>
      <c r="K395" s="2"/>
      <c r="L395" s="2"/>
      <c r="M395" s="2"/>
      <c r="N395" s="2"/>
      <c r="O395" s="2"/>
      <c r="P395" s="2"/>
      <c r="Q395" s="2"/>
      <c r="R395" s="2"/>
      <c r="S395" s="2"/>
      <c r="T395" s="2"/>
      <c r="U395" s="2"/>
    </row>
    <row r="396" spans="1:21" ht="15.75" customHeight="1">
      <c r="A396" s="1"/>
      <c r="B396" s="2"/>
      <c r="C396" s="2"/>
      <c r="D396" s="2"/>
      <c r="E396" s="2"/>
      <c r="F396" s="2"/>
      <c r="G396" s="2"/>
      <c r="H396" s="2"/>
      <c r="I396" s="2"/>
      <c r="J396" s="2"/>
      <c r="K396" s="2"/>
      <c r="L396" s="2"/>
      <c r="M396" s="2"/>
      <c r="N396" s="2"/>
      <c r="O396" s="2"/>
      <c r="P396" s="2"/>
      <c r="Q396" s="2"/>
      <c r="R396" s="2"/>
      <c r="S396" s="2"/>
      <c r="T396" s="2"/>
      <c r="U396" s="2"/>
    </row>
    <row r="397" spans="1:21" ht="15.75" customHeight="1">
      <c r="A397" s="1"/>
      <c r="B397" s="2"/>
      <c r="C397" s="2"/>
      <c r="D397" s="2"/>
      <c r="E397" s="2"/>
      <c r="F397" s="2"/>
      <c r="G397" s="2"/>
      <c r="H397" s="2"/>
      <c r="I397" s="2"/>
      <c r="J397" s="2"/>
      <c r="K397" s="2"/>
      <c r="L397" s="2"/>
      <c r="M397" s="2"/>
      <c r="N397" s="2"/>
      <c r="O397" s="2"/>
      <c r="P397" s="2"/>
      <c r="Q397" s="2"/>
      <c r="R397" s="2"/>
      <c r="S397" s="2"/>
      <c r="T397" s="2"/>
      <c r="U397" s="2"/>
    </row>
    <row r="398" spans="1:21" ht="15.75" customHeight="1">
      <c r="A398" s="1"/>
      <c r="B398" s="2"/>
      <c r="C398" s="2"/>
      <c r="D398" s="2"/>
      <c r="E398" s="2"/>
      <c r="F398" s="2"/>
      <c r="G398" s="2"/>
      <c r="H398" s="2"/>
      <c r="I398" s="2"/>
      <c r="J398" s="2"/>
      <c r="K398" s="2"/>
      <c r="L398" s="2"/>
      <c r="M398" s="2"/>
      <c r="N398" s="2"/>
      <c r="O398" s="2"/>
      <c r="P398" s="2"/>
      <c r="Q398" s="2"/>
      <c r="R398" s="2"/>
      <c r="S398" s="2"/>
      <c r="T398" s="2"/>
      <c r="U398" s="2"/>
    </row>
    <row r="399" spans="1:21" ht="15.75" customHeight="1">
      <c r="A399" s="1"/>
      <c r="B399" s="2"/>
      <c r="C399" s="2"/>
      <c r="D399" s="2"/>
      <c r="E399" s="2"/>
      <c r="F399" s="2"/>
      <c r="G399" s="2"/>
      <c r="H399" s="2"/>
      <c r="I399" s="2"/>
      <c r="J399" s="2"/>
      <c r="K399" s="2"/>
      <c r="L399" s="2"/>
      <c r="M399" s="2"/>
      <c r="N399" s="2"/>
      <c r="O399" s="2"/>
      <c r="P399" s="2"/>
      <c r="Q399" s="2"/>
      <c r="R399" s="2"/>
      <c r="S399" s="2"/>
      <c r="T399" s="2"/>
      <c r="U399" s="2"/>
    </row>
    <row r="400" spans="1:21" ht="15.75" customHeight="1">
      <c r="A400" s="1"/>
      <c r="B400" s="2"/>
      <c r="C400" s="2"/>
      <c r="D400" s="2"/>
      <c r="E400" s="2"/>
      <c r="F400" s="2"/>
      <c r="G400" s="2"/>
      <c r="H400" s="2"/>
      <c r="I400" s="2"/>
      <c r="J400" s="2"/>
      <c r="K400" s="2"/>
      <c r="L400" s="2"/>
      <c r="M400" s="2"/>
      <c r="N400" s="2"/>
      <c r="O400" s="2"/>
      <c r="P400" s="2"/>
      <c r="Q400" s="2"/>
      <c r="R400" s="2"/>
      <c r="S400" s="2"/>
      <c r="T400" s="2"/>
      <c r="U400" s="2"/>
    </row>
    <row r="401" spans="1:21" ht="15.75" customHeight="1">
      <c r="A401" s="1"/>
      <c r="B401" s="2"/>
      <c r="C401" s="2"/>
      <c r="D401" s="2"/>
      <c r="E401" s="2"/>
      <c r="F401" s="2"/>
      <c r="G401" s="2"/>
      <c r="H401" s="2"/>
      <c r="I401" s="2"/>
      <c r="J401" s="2"/>
      <c r="K401" s="2"/>
      <c r="L401" s="2"/>
      <c r="M401" s="2"/>
      <c r="N401" s="2"/>
      <c r="O401" s="2"/>
      <c r="P401" s="2"/>
      <c r="Q401" s="2"/>
      <c r="R401" s="2"/>
      <c r="S401" s="2"/>
      <c r="T401" s="2"/>
      <c r="U401" s="2"/>
    </row>
    <row r="402" spans="1:21" ht="15.75" customHeight="1">
      <c r="A402" s="1"/>
      <c r="B402" s="2"/>
      <c r="C402" s="2"/>
      <c r="D402" s="2"/>
      <c r="E402" s="2"/>
      <c r="F402" s="2"/>
      <c r="G402" s="2"/>
      <c r="H402" s="2"/>
      <c r="I402" s="2"/>
      <c r="J402" s="2"/>
      <c r="K402" s="2"/>
      <c r="L402" s="2"/>
      <c r="M402" s="2"/>
      <c r="N402" s="2"/>
      <c r="O402" s="2"/>
      <c r="P402" s="2"/>
      <c r="Q402" s="2"/>
      <c r="R402" s="2"/>
      <c r="S402" s="2"/>
      <c r="T402" s="2"/>
      <c r="U402" s="2"/>
    </row>
    <row r="403" spans="1:21" ht="15.75" customHeight="1">
      <c r="A403" s="1"/>
      <c r="B403" s="2"/>
      <c r="C403" s="2"/>
      <c r="D403" s="2"/>
      <c r="E403" s="2"/>
      <c r="F403" s="2"/>
      <c r="G403" s="2"/>
      <c r="H403" s="2"/>
      <c r="I403" s="2"/>
      <c r="J403" s="2"/>
      <c r="K403" s="2"/>
      <c r="L403" s="2"/>
      <c r="M403" s="2"/>
      <c r="N403" s="2"/>
      <c r="O403" s="2"/>
      <c r="P403" s="2"/>
      <c r="Q403" s="2"/>
      <c r="R403" s="2"/>
      <c r="S403" s="2"/>
      <c r="T403" s="2"/>
      <c r="U403" s="2"/>
    </row>
    <row r="404" spans="1:21" ht="15.75" customHeight="1">
      <c r="A404" s="1"/>
      <c r="B404" s="2"/>
      <c r="C404" s="2"/>
      <c r="D404" s="2"/>
      <c r="E404" s="2"/>
      <c r="F404" s="2"/>
      <c r="G404" s="2"/>
      <c r="H404" s="2"/>
      <c r="I404" s="2"/>
      <c r="J404" s="2"/>
      <c r="K404" s="2"/>
      <c r="L404" s="2"/>
      <c r="M404" s="2"/>
      <c r="N404" s="2"/>
      <c r="O404" s="2"/>
      <c r="P404" s="2"/>
      <c r="Q404" s="2"/>
      <c r="R404" s="2"/>
      <c r="S404" s="2"/>
      <c r="T404" s="2"/>
      <c r="U404" s="2"/>
    </row>
    <row r="405" spans="1:21" ht="15.75" customHeight="1">
      <c r="A405" s="1"/>
      <c r="B405" s="2"/>
      <c r="C405" s="2"/>
      <c r="D405" s="2"/>
      <c r="E405" s="2"/>
      <c r="F405" s="2"/>
      <c r="G405" s="2"/>
      <c r="H405" s="2"/>
      <c r="I405" s="2"/>
      <c r="J405" s="2"/>
      <c r="K405" s="2"/>
      <c r="L405" s="2"/>
      <c r="M405" s="2"/>
      <c r="N405" s="2"/>
      <c r="O405" s="2"/>
      <c r="P405" s="2"/>
      <c r="Q405" s="2"/>
      <c r="R405" s="2"/>
      <c r="S405" s="2"/>
      <c r="T405" s="2"/>
      <c r="U405" s="2"/>
    </row>
    <row r="406" spans="1:21" ht="15.75" customHeight="1">
      <c r="A406" s="1"/>
      <c r="B406" s="2"/>
      <c r="C406" s="2"/>
      <c r="D406" s="2"/>
      <c r="E406" s="2"/>
      <c r="F406" s="2"/>
      <c r="G406" s="2"/>
      <c r="H406" s="2"/>
      <c r="I406" s="2"/>
      <c r="J406" s="2"/>
      <c r="K406" s="2"/>
      <c r="L406" s="2"/>
      <c r="M406" s="2"/>
      <c r="N406" s="2"/>
      <c r="O406" s="2"/>
      <c r="P406" s="2"/>
      <c r="Q406" s="2"/>
      <c r="R406" s="2"/>
      <c r="S406" s="2"/>
      <c r="T406" s="2"/>
      <c r="U406" s="2"/>
    </row>
    <row r="407" spans="1:21" ht="15.75" customHeight="1">
      <c r="A407" s="1"/>
      <c r="B407" s="2"/>
      <c r="C407" s="2"/>
      <c r="D407" s="2"/>
      <c r="E407" s="2"/>
      <c r="F407" s="2"/>
      <c r="G407" s="2"/>
      <c r="H407" s="2"/>
      <c r="I407" s="2"/>
      <c r="J407" s="2"/>
      <c r="K407" s="2"/>
      <c r="L407" s="2"/>
      <c r="M407" s="2"/>
      <c r="N407" s="2"/>
      <c r="O407" s="2"/>
      <c r="P407" s="2"/>
      <c r="Q407" s="2"/>
      <c r="R407" s="2"/>
      <c r="S407" s="2"/>
      <c r="T407" s="2"/>
      <c r="U407" s="2"/>
    </row>
    <row r="408" spans="1:21" ht="15.75" customHeight="1">
      <c r="A408" s="1"/>
      <c r="B408" s="2"/>
      <c r="C408" s="2"/>
      <c r="D408" s="2"/>
      <c r="E408" s="2"/>
      <c r="F408" s="2"/>
      <c r="G408" s="2"/>
      <c r="H408" s="2"/>
      <c r="I408" s="2"/>
      <c r="J408" s="2"/>
      <c r="K408" s="2"/>
      <c r="L408" s="2"/>
      <c r="M408" s="2"/>
      <c r="N408" s="2"/>
      <c r="O408" s="2"/>
      <c r="P408" s="2"/>
      <c r="Q408" s="2"/>
      <c r="R408" s="2"/>
      <c r="S408" s="2"/>
      <c r="T408" s="2"/>
      <c r="U408" s="2"/>
    </row>
    <row r="409" spans="1:21" ht="15.75" customHeight="1">
      <c r="A409" s="1"/>
      <c r="B409" s="2"/>
      <c r="C409" s="2"/>
      <c r="D409" s="2"/>
      <c r="E409" s="2"/>
      <c r="F409" s="2"/>
      <c r="G409" s="2"/>
      <c r="H409" s="2"/>
      <c r="I409" s="2"/>
      <c r="J409" s="2"/>
      <c r="K409" s="2"/>
      <c r="L409" s="2"/>
      <c r="M409" s="2"/>
      <c r="N409" s="2"/>
      <c r="O409" s="2"/>
      <c r="P409" s="2"/>
      <c r="Q409" s="2"/>
      <c r="R409" s="2"/>
      <c r="S409" s="2"/>
      <c r="T409" s="2"/>
      <c r="U409" s="2"/>
    </row>
    <row r="410" spans="1:21" ht="15.75" customHeight="1">
      <c r="A410" s="1"/>
      <c r="B410" s="2"/>
      <c r="C410" s="2"/>
      <c r="D410" s="2"/>
      <c r="E410" s="2"/>
      <c r="F410" s="2"/>
      <c r="G410" s="2"/>
      <c r="H410" s="2"/>
      <c r="I410" s="2"/>
      <c r="J410" s="2"/>
      <c r="K410" s="2"/>
      <c r="L410" s="2"/>
      <c r="M410" s="2"/>
      <c r="N410" s="2"/>
      <c r="O410" s="2"/>
      <c r="P410" s="2"/>
      <c r="Q410" s="2"/>
      <c r="R410" s="2"/>
      <c r="S410" s="2"/>
      <c r="T410" s="2"/>
      <c r="U410" s="2"/>
    </row>
    <row r="411" spans="1:21" ht="15.75" customHeight="1">
      <c r="A411" s="1"/>
      <c r="B411" s="2"/>
      <c r="C411" s="2"/>
      <c r="D411" s="2"/>
      <c r="E411" s="2"/>
      <c r="F411" s="2"/>
      <c r="G411" s="2"/>
      <c r="H411" s="2"/>
      <c r="I411" s="2"/>
      <c r="J411" s="2"/>
      <c r="K411" s="2"/>
      <c r="L411" s="2"/>
      <c r="M411" s="2"/>
      <c r="N411" s="2"/>
      <c r="O411" s="2"/>
      <c r="P411" s="2"/>
      <c r="Q411" s="2"/>
      <c r="R411" s="2"/>
      <c r="S411" s="2"/>
      <c r="T411" s="2"/>
      <c r="U411" s="2"/>
    </row>
    <row r="412" spans="1:21" ht="15.75" customHeight="1">
      <c r="A412" s="1"/>
      <c r="B412" s="2"/>
      <c r="C412" s="2"/>
      <c r="D412" s="2"/>
      <c r="E412" s="2"/>
      <c r="F412" s="2"/>
      <c r="G412" s="2"/>
      <c r="H412" s="2"/>
      <c r="I412" s="2"/>
      <c r="J412" s="2"/>
      <c r="K412" s="2"/>
      <c r="L412" s="2"/>
      <c r="M412" s="2"/>
      <c r="N412" s="2"/>
      <c r="O412" s="2"/>
      <c r="P412" s="2"/>
      <c r="Q412" s="2"/>
      <c r="R412" s="2"/>
      <c r="S412" s="2"/>
      <c r="T412" s="2"/>
      <c r="U412" s="2"/>
    </row>
    <row r="413" spans="1:21" ht="15.75" customHeight="1">
      <c r="A413" s="1"/>
      <c r="B413" s="2"/>
      <c r="C413" s="2"/>
      <c r="D413" s="2"/>
      <c r="E413" s="2"/>
      <c r="F413" s="2"/>
      <c r="G413" s="2"/>
      <c r="H413" s="2"/>
      <c r="I413" s="2"/>
      <c r="J413" s="2"/>
      <c r="K413" s="2"/>
      <c r="L413" s="2"/>
      <c r="M413" s="2"/>
      <c r="N413" s="2"/>
      <c r="O413" s="2"/>
      <c r="P413" s="2"/>
      <c r="Q413" s="2"/>
      <c r="R413" s="2"/>
      <c r="S413" s="2"/>
      <c r="T413" s="2"/>
      <c r="U413" s="2"/>
    </row>
    <row r="414" spans="1:21" ht="15.75" customHeight="1">
      <c r="A414" s="1"/>
      <c r="B414" s="2"/>
      <c r="C414" s="2"/>
      <c r="D414" s="2"/>
      <c r="E414" s="2"/>
      <c r="F414" s="2"/>
      <c r="G414" s="2"/>
      <c r="H414" s="2"/>
      <c r="I414" s="2"/>
      <c r="J414" s="2"/>
      <c r="K414" s="2"/>
      <c r="L414" s="2"/>
      <c r="M414" s="2"/>
      <c r="N414" s="2"/>
      <c r="O414" s="2"/>
      <c r="P414" s="2"/>
      <c r="Q414" s="2"/>
      <c r="R414" s="2"/>
      <c r="S414" s="2"/>
      <c r="T414" s="2"/>
      <c r="U414" s="2"/>
    </row>
    <row r="415" spans="1:21" ht="15.75" customHeight="1">
      <c r="A415" s="1"/>
      <c r="B415" s="2"/>
      <c r="C415" s="2"/>
      <c r="D415" s="2"/>
      <c r="E415" s="2"/>
      <c r="F415" s="2"/>
      <c r="G415" s="2"/>
      <c r="H415" s="2"/>
      <c r="I415" s="2"/>
      <c r="J415" s="2"/>
      <c r="K415" s="2"/>
      <c r="L415" s="2"/>
      <c r="M415" s="2"/>
      <c r="N415" s="2"/>
      <c r="O415" s="2"/>
      <c r="P415" s="2"/>
      <c r="Q415" s="2"/>
      <c r="R415" s="2"/>
      <c r="S415" s="2"/>
      <c r="T415" s="2"/>
      <c r="U415" s="2"/>
    </row>
    <row r="416" spans="1:21" ht="15.75" customHeight="1">
      <c r="A416" s="1"/>
      <c r="B416" s="2"/>
      <c r="C416" s="2"/>
      <c r="D416" s="2"/>
      <c r="E416" s="2"/>
      <c r="F416" s="2"/>
      <c r="G416" s="2"/>
      <c r="H416" s="2"/>
      <c r="I416" s="2"/>
      <c r="J416" s="2"/>
      <c r="K416" s="2"/>
      <c r="L416" s="2"/>
      <c r="M416" s="2"/>
      <c r="N416" s="2"/>
      <c r="O416" s="2"/>
      <c r="P416" s="2"/>
      <c r="Q416" s="2"/>
      <c r="R416" s="2"/>
      <c r="S416" s="2"/>
      <c r="T416" s="2"/>
      <c r="U416" s="2"/>
    </row>
    <row r="417" spans="1:21" ht="15.75" customHeight="1">
      <c r="A417" s="1"/>
      <c r="B417" s="2"/>
      <c r="C417" s="2"/>
      <c r="D417" s="2"/>
      <c r="E417" s="2"/>
      <c r="F417" s="2"/>
      <c r="G417" s="2"/>
      <c r="H417" s="2"/>
      <c r="I417" s="2"/>
      <c r="J417" s="2"/>
      <c r="K417" s="2"/>
      <c r="L417" s="2"/>
      <c r="M417" s="2"/>
      <c r="N417" s="2"/>
      <c r="O417" s="2"/>
      <c r="P417" s="2"/>
      <c r="Q417" s="2"/>
      <c r="R417" s="2"/>
      <c r="S417" s="2"/>
      <c r="T417" s="2"/>
      <c r="U417" s="2"/>
    </row>
    <row r="418" spans="1:21" ht="15.75" customHeight="1">
      <c r="A418" s="1"/>
      <c r="B418" s="2"/>
      <c r="C418" s="2"/>
      <c r="D418" s="2"/>
      <c r="E418" s="2"/>
      <c r="F418" s="2"/>
      <c r="G418" s="2"/>
      <c r="H418" s="2"/>
      <c r="I418" s="2"/>
      <c r="J418" s="2"/>
      <c r="K418" s="2"/>
      <c r="L418" s="2"/>
      <c r="M418" s="2"/>
      <c r="N418" s="2"/>
      <c r="O418" s="2"/>
      <c r="P418" s="2"/>
      <c r="Q418" s="2"/>
      <c r="R418" s="2"/>
      <c r="S418" s="2"/>
      <c r="T418" s="2"/>
      <c r="U418" s="2"/>
    </row>
    <row r="419" spans="1:21" ht="15.75" customHeight="1">
      <c r="A419" s="1"/>
      <c r="B419" s="2"/>
      <c r="C419" s="2"/>
      <c r="D419" s="2"/>
      <c r="E419" s="2"/>
      <c r="F419" s="2"/>
      <c r="G419" s="2"/>
      <c r="H419" s="2"/>
      <c r="I419" s="2"/>
      <c r="J419" s="2"/>
      <c r="K419" s="2"/>
      <c r="L419" s="2"/>
      <c r="M419" s="2"/>
      <c r="N419" s="2"/>
      <c r="O419" s="2"/>
      <c r="P419" s="2"/>
      <c r="Q419" s="2"/>
      <c r="R419" s="2"/>
      <c r="S419" s="2"/>
      <c r="T419" s="2"/>
      <c r="U419" s="2"/>
    </row>
    <row r="420" spans="1:21" ht="15.75" customHeight="1">
      <c r="A420" s="1"/>
      <c r="B420" s="2"/>
      <c r="C420" s="2"/>
      <c r="D420" s="2"/>
      <c r="E420" s="2"/>
      <c r="F420" s="2"/>
      <c r="G420" s="2"/>
      <c r="H420" s="2"/>
      <c r="I420" s="2"/>
      <c r="J420" s="2"/>
      <c r="K420" s="2"/>
      <c r="L420" s="2"/>
      <c r="M420" s="2"/>
      <c r="N420" s="2"/>
      <c r="O420" s="2"/>
      <c r="P420" s="2"/>
      <c r="Q420" s="2"/>
      <c r="R420" s="2"/>
      <c r="S420" s="2"/>
      <c r="T420" s="2"/>
      <c r="U420" s="2"/>
    </row>
    <row r="421" spans="1:21" ht="15.75" customHeight="1">
      <c r="A421" s="1"/>
      <c r="B421" s="2"/>
      <c r="C421" s="2"/>
      <c r="D421" s="2"/>
      <c r="E421" s="2"/>
      <c r="F421" s="2"/>
      <c r="G421" s="2"/>
      <c r="H421" s="2"/>
      <c r="I421" s="2"/>
      <c r="J421" s="2"/>
      <c r="K421" s="2"/>
      <c r="L421" s="2"/>
      <c r="M421" s="2"/>
      <c r="N421" s="2"/>
      <c r="O421" s="2"/>
      <c r="P421" s="2"/>
      <c r="Q421" s="2"/>
      <c r="R421" s="2"/>
      <c r="S421" s="2"/>
      <c r="T421" s="2"/>
      <c r="U421" s="2"/>
    </row>
    <row r="422" spans="1:21" ht="15.75" customHeight="1">
      <c r="A422" s="1"/>
      <c r="B422" s="2"/>
      <c r="C422" s="2"/>
      <c r="D422" s="2"/>
      <c r="E422" s="2"/>
      <c r="F422" s="2"/>
      <c r="G422" s="2"/>
      <c r="H422" s="2"/>
      <c r="I422" s="2"/>
      <c r="J422" s="2"/>
      <c r="K422" s="2"/>
      <c r="L422" s="2"/>
      <c r="M422" s="2"/>
      <c r="N422" s="2"/>
      <c r="O422" s="2"/>
      <c r="P422" s="2"/>
      <c r="Q422" s="2"/>
      <c r="R422" s="2"/>
      <c r="S422" s="2"/>
      <c r="T422" s="2"/>
      <c r="U422" s="2"/>
    </row>
    <row r="423" spans="1:21" ht="15.75" customHeight="1">
      <c r="A423" s="1"/>
      <c r="B423" s="2"/>
      <c r="C423" s="2"/>
      <c r="D423" s="2"/>
      <c r="E423" s="2"/>
      <c r="F423" s="2"/>
      <c r="G423" s="2"/>
      <c r="H423" s="2"/>
      <c r="I423" s="2"/>
      <c r="J423" s="2"/>
      <c r="K423" s="2"/>
      <c r="L423" s="2"/>
      <c r="M423" s="2"/>
      <c r="N423" s="2"/>
      <c r="O423" s="2"/>
      <c r="P423" s="2"/>
      <c r="Q423" s="2"/>
      <c r="R423" s="2"/>
      <c r="S423" s="2"/>
      <c r="T423" s="2"/>
      <c r="U423" s="2"/>
    </row>
    <row r="424" spans="1:21" ht="15.75" customHeight="1">
      <c r="A424" s="1"/>
      <c r="B424" s="2"/>
      <c r="C424" s="2"/>
      <c r="D424" s="2"/>
      <c r="E424" s="2"/>
      <c r="F424" s="2"/>
      <c r="G424" s="2"/>
      <c r="H424" s="2"/>
      <c r="I424" s="2"/>
      <c r="J424" s="2"/>
      <c r="K424" s="2"/>
      <c r="L424" s="2"/>
      <c r="M424" s="2"/>
      <c r="N424" s="2"/>
      <c r="O424" s="2"/>
      <c r="P424" s="2"/>
      <c r="Q424" s="2"/>
      <c r="R424" s="2"/>
      <c r="S424" s="2"/>
      <c r="T424" s="2"/>
      <c r="U424" s="2"/>
    </row>
    <row r="425" spans="1:21" ht="15.75" customHeight="1">
      <c r="A425" s="1"/>
      <c r="B425" s="2"/>
      <c r="C425" s="2"/>
      <c r="D425" s="2"/>
      <c r="E425" s="2"/>
      <c r="F425" s="2"/>
      <c r="G425" s="2"/>
      <c r="H425" s="2"/>
      <c r="I425" s="2"/>
      <c r="J425" s="2"/>
      <c r="K425" s="2"/>
      <c r="L425" s="2"/>
      <c r="M425" s="2"/>
      <c r="N425" s="2"/>
      <c r="O425" s="2"/>
      <c r="P425" s="2"/>
      <c r="Q425" s="2"/>
      <c r="R425" s="2"/>
      <c r="S425" s="2"/>
      <c r="T425" s="2"/>
      <c r="U425" s="2"/>
    </row>
    <row r="426" spans="1:21" ht="15.75" customHeight="1">
      <c r="A426" s="1"/>
      <c r="B426" s="2"/>
      <c r="C426" s="2"/>
      <c r="D426" s="2"/>
      <c r="E426" s="2"/>
      <c r="F426" s="2"/>
      <c r="G426" s="2"/>
      <c r="H426" s="2"/>
      <c r="I426" s="2"/>
      <c r="J426" s="2"/>
      <c r="K426" s="2"/>
      <c r="L426" s="2"/>
      <c r="M426" s="2"/>
      <c r="N426" s="2"/>
      <c r="O426" s="2"/>
      <c r="P426" s="2"/>
      <c r="Q426" s="2"/>
      <c r="R426" s="2"/>
      <c r="S426" s="2"/>
      <c r="T426" s="2"/>
      <c r="U426" s="2"/>
    </row>
    <row r="427" spans="1:21" ht="15.75" customHeight="1">
      <c r="A427" s="1"/>
      <c r="B427" s="2"/>
      <c r="C427" s="2"/>
      <c r="D427" s="2"/>
      <c r="E427" s="2"/>
      <c r="F427" s="2"/>
      <c r="G427" s="2"/>
      <c r="H427" s="2"/>
      <c r="I427" s="2"/>
      <c r="J427" s="2"/>
      <c r="K427" s="2"/>
      <c r="L427" s="2"/>
      <c r="M427" s="2"/>
      <c r="N427" s="2"/>
      <c r="O427" s="2"/>
      <c r="P427" s="2"/>
      <c r="Q427" s="2"/>
      <c r="R427" s="2"/>
      <c r="S427" s="2"/>
      <c r="T427" s="2"/>
      <c r="U427" s="2"/>
    </row>
    <row r="428" spans="1:21" ht="15.75" customHeight="1">
      <c r="A428" s="1"/>
      <c r="B428" s="2"/>
      <c r="C428" s="2"/>
      <c r="D428" s="2"/>
      <c r="E428" s="2"/>
      <c r="F428" s="2"/>
      <c r="G428" s="2"/>
      <c r="H428" s="2"/>
      <c r="I428" s="2"/>
      <c r="J428" s="2"/>
      <c r="K428" s="2"/>
      <c r="L428" s="2"/>
      <c r="M428" s="2"/>
      <c r="N428" s="2"/>
      <c r="O428" s="2"/>
      <c r="P428" s="2"/>
      <c r="Q428" s="2"/>
      <c r="R428" s="2"/>
      <c r="S428" s="2"/>
      <c r="T428" s="2"/>
      <c r="U428" s="2"/>
    </row>
    <row r="429" spans="1:21" ht="15.75" customHeight="1">
      <c r="A429" s="1"/>
      <c r="B429" s="2"/>
      <c r="C429" s="2"/>
      <c r="D429" s="2"/>
      <c r="E429" s="2"/>
      <c r="F429" s="2"/>
      <c r="G429" s="2"/>
      <c r="H429" s="2"/>
      <c r="I429" s="2"/>
      <c r="J429" s="2"/>
      <c r="K429" s="2"/>
      <c r="L429" s="2"/>
      <c r="M429" s="2"/>
      <c r="N429" s="2"/>
      <c r="O429" s="2"/>
      <c r="P429" s="2"/>
      <c r="Q429" s="2"/>
      <c r="R429" s="2"/>
      <c r="S429" s="2"/>
      <c r="T429" s="2"/>
      <c r="U429" s="2"/>
    </row>
    <row r="430" spans="1:21" ht="15.75" customHeight="1">
      <c r="A430" s="1"/>
      <c r="B430" s="2"/>
      <c r="C430" s="2"/>
      <c r="D430" s="2"/>
      <c r="E430" s="2"/>
      <c r="F430" s="2"/>
      <c r="G430" s="2"/>
      <c r="H430" s="2"/>
      <c r="I430" s="2"/>
      <c r="J430" s="2"/>
      <c r="K430" s="2"/>
      <c r="L430" s="2"/>
      <c r="M430" s="2"/>
      <c r="N430" s="2"/>
      <c r="O430" s="2"/>
      <c r="P430" s="2"/>
      <c r="Q430" s="2"/>
      <c r="R430" s="2"/>
      <c r="S430" s="2"/>
      <c r="T430" s="2"/>
      <c r="U430" s="2"/>
    </row>
    <row r="431" spans="1:21" ht="15.75" customHeight="1">
      <c r="A431" s="1"/>
      <c r="B431" s="2"/>
      <c r="C431" s="2"/>
      <c r="D431" s="2"/>
      <c r="E431" s="2"/>
      <c r="F431" s="2"/>
      <c r="G431" s="2"/>
      <c r="H431" s="2"/>
      <c r="I431" s="2"/>
      <c r="J431" s="2"/>
      <c r="K431" s="2"/>
      <c r="L431" s="2"/>
      <c r="M431" s="2"/>
      <c r="N431" s="2"/>
      <c r="O431" s="2"/>
      <c r="P431" s="2"/>
      <c r="Q431" s="2"/>
      <c r="R431" s="2"/>
      <c r="S431" s="2"/>
      <c r="T431" s="2"/>
      <c r="U431" s="2"/>
    </row>
    <row r="432" spans="1:21" ht="15.75" customHeight="1">
      <c r="A432" s="1"/>
      <c r="B432" s="2"/>
      <c r="C432" s="2"/>
      <c r="D432" s="2"/>
      <c r="E432" s="2"/>
      <c r="F432" s="2"/>
      <c r="G432" s="2"/>
      <c r="H432" s="2"/>
      <c r="I432" s="2"/>
      <c r="J432" s="2"/>
      <c r="K432" s="2"/>
      <c r="L432" s="2"/>
      <c r="M432" s="2"/>
      <c r="N432" s="2"/>
      <c r="O432" s="2"/>
      <c r="P432" s="2"/>
      <c r="Q432" s="2"/>
      <c r="R432" s="2"/>
      <c r="S432" s="2"/>
      <c r="T432" s="2"/>
      <c r="U432" s="2"/>
    </row>
    <row r="433" spans="1:21" ht="15.75" customHeight="1">
      <c r="A433" s="1"/>
      <c r="B433" s="2"/>
      <c r="C433" s="2"/>
      <c r="D433" s="2"/>
      <c r="E433" s="2"/>
      <c r="F433" s="2"/>
      <c r="G433" s="2"/>
      <c r="H433" s="2"/>
      <c r="I433" s="2"/>
      <c r="J433" s="2"/>
      <c r="K433" s="2"/>
      <c r="L433" s="2"/>
      <c r="M433" s="2"/>
      <c r="N433" s="2"/>
      <c r="O433" s="2"/>
      <c r="P433" s="2"/>
      <c r="Q433" s="2"/>
      <c r="R433" s="2"/>
      <c r="S433" s="2"/>
      <c r="T433" s="2"/>
      <c r="U433" s="2"/>
    </row>
    <row r="434" spans="1:21" ht="15.75" customHeight="1">
      <c r="A434" s="1"/>
      <c r="B434" s="2"/>
      <c r="C434" s="2"/>
      <c r="D434" s="2"/>
      <c r="E434" s="2"/>
      <c r="F434" s="2"/>
      <c r="G434" s="2"/>
      <c r="H434" s="2"/>
      <c r="I434" s="2"/>
      <c r="J434" s="2"/>
      <c r="K434" s="2"/>
      <c r="L434" s="2"/>
      <c r="M434" s="2"/>
      <c r="N434" s="2"/>
      <c r="O434" s="2"/>
      <c r="P434" s="2"/>
      <c r="Q434" s="2"/>
      <c r="R434" s="2"/>
      <c r="S434" s="2"/>
      <c r="T434" s="2"/>
      <c r="U434" s="2"/>
    </row>
    <row r="435" spans="1:21" ht="15.75" customHeight="1">
      <c r="A435" s="1"/>
      <c r="B435" s="2"/>
      <c r="C435" s="2"/>
      <c r="D435" s="2"/>
      <c r="E435" s="2"/>
      <c r="F435" s="2"/>
      <c r="G435" s="2"/>
      <c r="H435" s="2"/>
      <c r="I435" s="2"/>
      <c r="J435" s="2"/>
      <c r="K435" s="2"/>
      <c r="L435" s="2"/>
      <c r="M435" s="2"/>
      <c r="N435" s="2"/>
      <c r="O435" s="2"/>
      <c r="P435" s="2"/>
      <c r="Q435" s="2"/>
      <c r="R435" s="2"/>
      <c r="S435" s="2"/>
      <c r="T435" s="2"/>
      <c r="U435" s="2"/>
    </row>
    <row r="436" spans="1:21" ht="15.75" customHeight="1">
      <c r="A436" s="1"/>
      <c r="B436" s="2"/>
      <c r="C436" s="2"/>
      <c r="D436" s="2"/>
      <c r="E436" s="2"/>
      <c r="F436" s="2"/>
      <c r="G436" s="2"/>
      <c r="H436" s="2"/>
      <c r="I436" s="2"/>
      <c r="J436" s="2"/>
      <c r="K436" s="2"/>
      <c r="L436" s="2"/>
      <c r="M436" s="2"/>
      <c r="N436" s="2"/>
      <c r="O436" s="2"/>
      <c r="P436" s="2"/>
      <c r="Q436" s="2"/>
      <c r="R436" s="2"/>
      <c r="S436" s="2"/>
      <c r="T436" s="2"/>
      <c r="U436" s="2"/>
    </row>
    <row r="437" spans="1:21" ht="15.75" customHeight="1">
      <c r="A437" s="1"/>
      <c r="B437" s="2"/>
      <c r="C437" s="2"/>
      <c r="D437" s="2"/>
      <c r="E437" s="2"/>
      <c r="F437" s="2"/>
      <c r="G437" s="2"/>
      <c r="H437" s="2"/>
      <c r="I437" s="2"/>
      <c r="J437" s="2"/>
      <c r="K437" s="2"/>
      <c r="L437" s="2"/>
      <c r="M437" s="2"/>
      <c r="N437" s="2"/>
      <c r="O437" s="2"/>
      <c r="P437" s="2"/>
      <c r="Q437" s="2"/>
      <c r="R437" s="2"/>
      <c r="S437" s="2"/>
      <c r="T437" s="2"/>
      <c r="U437" s="2"/>
    </row>
    <row r="438" spans="1:21" ht="15.75" customHeight="1">
      <c r="A438" s="1"/>
      <c r="B438" s="2"/>
      <c r="C438" s="2"/>
      <c r="D438" s="2"/>
      <c r="E438" s="2"/>
      <c r="F438" s="2"/>
      <c r="G438" s="2"/>
      <c r="H438" s="2"/>
      <c r="I438" s="2"/>
      <c r="J438" s="2"/>
      <c r="K438" s="2"/>
      <c r="L438" s="2"/>
      <c r="M438" s="2"/>
      <c r="N438" s="2"/>
      <c r="O438" s="2"/>
      <c r="P438" s="2"/>
      <c r="Q438" s="2"/>
      <c r="R438" s="2"/>
      <c r="S438" s="2"/>
      <c r="T438" s="2"/>
      <c r="U438" s="2"/>
    </row>
    <row r="439" spans="1:21" ht="15.75" customHeight="1">
      <c r="A439" s="1"/>
      <c r="B439" s="2"/>
      <c r="C439" s="2"/>
      <c r="D439" s="2"/>
      <c r="E439" s="2"/>
      <c r="F439" s="2"/>
      <c r="G439" s="2"/>
      <c r="H439" s="2"/>
      <c r="I439" s="2"/>
      <c r="J439" s="2"/>
      <c r="K439" s="2"/>
      <c r="L439" s="2"/>
      <c r="M439" s="2"/>
      <c r="N439" s="2"/>
      <c r="O439" s="2"/>
      <c r="P439" s="2"/>
      <c r="Q439" s="2"/>
      <c r="R439" s="2"/>
      <c r="S439" s="2"/>
      <c r="T439" s="2"/>
      <c r="U439" s="2"/>
    </row>
    <row r="440" spans="1:21" ht="15.75" customHeight="1">
      <c r="A440" s="1"/>
      <c r="B440" s="2"/>
      <c r="C440" s="2"/>
      <c r="D440" s="2"/>
      <c r="E440" s="2"/>
      <c r="F440" s="2"/>
      <c r="G440" s="2"/>
      <c r="H440" s="2"/>
      <c r="I440" s="2"/>
      <c r="J440" s="2"/>
      <c r="K440" s="2"/>
      <c r="L440" s="2"/>
      <c r="M440" s="2"/>
      <c r="N440" s="2"/>
      <c r="O440" s="2"/>
      <c r="P440" s="2"/>
      <c r="Q440" s="2"/>
      <c r="R440" s="2"/>
      <c r="S440" s="2"/>
      <c r="T440" s="2"/>
      <c r="U440" s="2"/>
    </row>
    <row r="441" spans="1:21" ht="15.75" customHeight="1">
      <c r="A441" s="1"/>
      <c r="B441" s="2"/>
      <c r="C441" s="2"/>
      <c r="D441" s="2"/>
      <c r="E441" s="2"/>
      <c r="F441" s="2"/>
      <c r="G441" s="2"/>
      <c r="H441" s="2"/>
      <c r="I441" s="2"/>
      <c r="J441" s="2"/>
      <c r="K441" s="2"/>
      <c r="L441" s="2"/>
      <c r="M441" s="2"/>
      <c r="N441" s="2"/>
      <c r="O441" s="2"/>
      <c r="P441" s="2"/>
      <c r="Q441" s="2"/>
      <c r="R441" s="2"/>
      <c r="S441" s="2"/>
      <c r="T441" s="2"/>
      <c r="U441" s="2"/>
    </row>
    <row r="442" spans="1:21" ht="15.75" customHeight="1">
      <c r="A442" s="1"/>
      <c r="B442" s="2"/>
      <c r="C442" s="2"/>
      <c r="D442" s="2"/>
      <c r="E442" s="2"/>
      <c r="F442" s="2"/>
      <c r="G442" s="2"/>
      <c r="H442" s="2"/>
      <c r="I442" s="2"/>
      <c r="J442" s="2"/>
      <c r="K442" s="2"/>
      <c r="L442" s="2"/>
      <c r="M442" s="2"/>
      <c r="N442" s="2"/>
      <c r="O442" s="2"/>
      <c r="P442" s="2"/>
      <c r="Q442" s="2"/>
      <c r="R442" s="2"/>
      <c r="S442" s="2"/>
      <c r="T442" s="2"/>
      <c r="U442" s="2"/>
    </row>
    <row r="443" spans="1:21" ht="15.75" customHeight="1">
      <c r="A443" s="1"/>
      <c r="B443" s="2"/>
      <c r="C443" s="2"/>
      <c r="D443" s="2"/>
      <c r="E443" s="2"/>
      <c r="F443" s="2"/>
      <c r="G443" s="2"/>
      <c r="H443" s="2"/>
      <c r="I443" s="2"/>
      <c r="J443" s="2"/>
      <c r="K443" s="2"/>
      <c r="L443" s="2"/>
      <c r="M443" s="2"/>
      <c r="N443" s="2"/>
      <c r="O443" s="2"/>
      <c r="P443" s="2"/>
      <c r="Q443" s="2"/>
      <c r="R443" s="2"/>
      <c r="S443" s="2"/>
      <c r="T443" s="2"/>
      <c r="U443" s="2"/>
    </row>
    <row r="444" spans="1:21" ht="15.75" customHeight="1">
      <c r="A444" s="1"/>
      <c r="B444" s="2"/>
      <c r="C444" s="2"/>
      <c r="D444" s="2"/>
      <c r="E444" s="2"/>
      <c r="F444" s="2"/>
      <c r="G444" s="2"/>
      <c r="H444" s="2"/>
      <c r="I444" s="2"/>
      <c r="J444" s="2"/>
      <c r="K444" s="2"/>
      <c r="L444" s="2"/>
      <c r="M444" s="2"/>
      <c r="N444" s="2"/>
      <c r="O444" s="2"/>
      <c r="P444" s="2"/>
      <c r="Q444" s="2"/>
      <c r="R444" s="2"/>
      <c r="S444" s="2"/>
      <c r="T444" s="2"/>
      <c r="U444" s="2"/>
    </row>
    <row r="445" spans="1:21" ht="15.75" customHeight="1">
      <c r="A445" s="1"/>
      <c r="B445" s="2"/>
      <c r="C445" s="2"/>
      <c r="D445" s="2"/>
      <c r="E445" s="2"/>
      <c r="F445" s="2"/>
      <c r="G445" s="2"/>
      <c r="H445" s="2"/>
      <c r="I445" s="2"/>
      <c r="J445" s="2"/>
      <c r="K445" s="2"/>
      <c r="L445" s="2"/>
      <c r="M445" s="2"/>
      <c r="N445" s="2"/>
      <c r="O445" s="2"/>
      <c r="P445" s="2"/>
      <c r="Q445" s="2"/>
      <c r="R445" s="2"/>
      <c r="S445" s="2"/>
      <c r="T445" s="2"/>
      <c r="U445" s="2"/>
    </row>
    <row r="446" spans="1:21" ht="15.75" customHeight="1">
      <c r="A446" s="1"/>
      <c r="B446" s="2"/>
      <c r="C446" s="2"/>
      <c r="D446" s="2"/>
      <c r="E446" s="2"/>
      <c r="F446" s="2"/>
      <c r="G446" s="2"/>
      <c r="H446" s="2"/>
      <c r="I446" s="2"/>
      <c r="J446" s="2"/>
      <c r="K446" s="2"/>
      <c r="L446" s="2"/>
      <c r="M446" s="2"/>
      <c r="N446" s="2"/>
      <c r="O446" s="2"/>
      <c r="P446" s="2"/>
      <c r="Q446" s="2"/>
      <c r="R446" s="2"/>
      <c r="S446" s="2"/>
      <c r="T446" s="2"/>
      <c r="U446" s="2"/>
    </row>
    <row r="447" spans="1:21" ht="15.75" customHeight="1">
      <c r="A447" s="1"/>
      <c r="B447" s="2"/>
      <c r="C447" s="2"/>
      <c r="D447" s="2"/>
      <c r="E447" s="2"/>
      <c r="F447" s="2"/>
      <c r="G447" s="2"/>
      <c r="H447" s="2"/>
      <c r="I447" s="2"/>
      <c r="J447" s="2"/>
      <c r="K447" s="2"/>
      <c r="L447" s="2"/>
      <c r="M447" s="2"/>
      <c r="N447" s="2"/>
      <c r="O447" s="2"/>
      <c r="P447" s="2"/>
      <c r="Q447" s="2"/>
      <c r="R447" s="2"/>
      <c r="S447" s="2"/>
      <c r="T447" s="2"/>
      <c r="U447" s="2"/>
    </row>
    <row r="448" spans="1:21" ht="15.75" customHeight="1">
      <c r="A448" s="1"/>
      <c r="B448" s="2"/>
      <c r="C448" s="2"/>
      <c r="D448" s="2"/>
      <c r="E448" s="2"/>
      <c r="F448" s="2"/>
      <c r="G448" s="2"/>
      <c r="H448" s="2"/>
      <c r="I448" s="2"/>
      <c r="J448" s="2"/>
      <c r="K448" s="2"/>
      <c r="L448" s="2"/>
      <c r="M448" s="2"/>
      <c r="N448" s="2"/>
      <c r="O448" s="2"/>
      <c r="P448" s="2"/>
      <c r="Q448" s="2"/>
      <c r="R448" s="2"/>
      <c r="S448" s="2"/>
      <c r="T448" s="2"/>
      <c r="U448" s="2"/>
    </row>
    <row r="449" spans="1:21" ht="15.75" customHeight="1">
      <c r="A449" s="1"/>
      <c r="B449" s="2"/>
      <c r="C449" s="2"/>
      <c r="D449" s="2"/>
      <c r="E449" s="2"/>
      <c r="F449" s="2"/>
      <c r="G449" s="2"/>
      <c r="H449" s="2"/>
      <c r="I449" s="2"/>
      <c r="J449" s="2"/>
      <c r="K449" s="2"/>
      <c r="L449" s="2"/>
      <c r="M449" s="2"/>
      <c r="N449" s="2"/>
      <c r="O449" s="2"/>
      <c r="P449" s="2"/>
      <c r="Q449" s="2"/>
      <c r="R449" s="2"/>
      <c r="S449" s="2"/>
      <c r="T449" s="2"/>
      <c r="U449" s="2"/>
    </row>
    <row r="450" spans="1:21" ht="15.75" customHeight="1">
      <c r="A450" s="1"/>
      <c r="B450" s="2"/>
      <c r="C450" s="2"/>
      <c r="D450" s="2"/>
      <c r="E450" s="2"/>
      <c r="F450" s="2"/>
      <c r="G450" s="2"/>
      <c r="H450" s="2"/>
      <c r="I450" s="2"/>
      <c r="J450" s="2"/>
      <c r="K450" s="2"/>
      <c r="L450" s="2"/>
      <c r="M450" s="2"/>
      <c r="N450" s="2"/>
      <c r="O450" s="2"/>
      <c r="P450" s="2"/>
      <c r="Q450" s="2"/>
      <c r="R450" s="2"/>
      <c r="S450" s="2"/>
      <c r="T450" s="2"/>
      <c r="U450" s="2"/>
    </row>
    <row r="451" spans="1:21" ht="15.75" customHeight="1">
      <c r="A451" s="1"/>
      <c r="B451" s="2"/>
      <c r="C451" s="2"/>
      <c r="D451" s="2"/>
      <c r="E451" s="2"/>
      <c r="F451" s="2"/>
      <c r="G451" s="2"/>
      <c r="H451" s="2"/>
      <c r="I451" s="2"/>
      <c r="J451" s="2"/>
      <c r="K451" s="2"/>
      <c r="L451" s="2"/>
      <c r="M451" s="2"/>
      <c r="N451" s="2"/>
      <c r="O451" s="2"/>
      <c r="P451" s="2"/>
      <c r="Q451" s="2"/>
      <c r="R451" s="2"/>
      <c r="S451" s="2"/>
      <c r="T451" s="2"/>
      <c r="U451" s="2"/>
    </row>
    <row r="452" spans="1:21" ht="15.75" customHeight="1">
      <c r="A452" s="1"/>
      <c r="B452" s="2"/>
      <c r="C452" s="2"/>
      <c r="D452" s="2"/>
      <c r="E452" s="2"/>
      <c r="F452" s="2"/>
      <c r="G452" s="2"/>
      <c r="H452" s="2"/>
      <c r="I452" s="2"/>
      <c r="J452" s="2"/>
      <c r="K452" s="2"/>
      <c r="L452" s="2"/>
      <c r="M452" s="2"/>
      <c r="N452" s="2"/>
      <c r="O452" s="2"/>
      <c r="P452" s="2"/>
      <c r="Q452" s="2"/>
      <c r="R452" s="2"/>
      <c r="S452" s="2"/>
      <c r="T452" s="2"/>
      <c r="U452" s="2"/>
    </row>
    <row r="453" spans="1:21" ht="15.75" customHeight="1">
      <c r="A453" s="1"/>
      <c r="B453" s="2"/>
      <c r="C453" s="2"/>
      <c r="D453" s="2"/>
      <c r="E453" s="2"/>
      <c r="F453" s="2"/>
      <c r="G453" s="2"/>
      <c r="H453" s="2"/>
      <c r="I453" s="2"/>
      <c r="J453" s="2"/>
      <c r="K453" s="2"/>
      <c r="L453" s="2"/>
      <c r="M453" s="2"/>
      <c r="N453" s="2"/>
      <c r="O453" s="2"/>
      <c r="P453" s="2"/>
      <c r="Q453" s="2"/>
      <c r="R453" s="2"/>
      <c r="S453" s="2"/>
      <c r="T453" s="2"/>
      <c r="U453" s="2"/>
    </row>
    <row r="454" spans="1:21" ht="15.75" customHeight="1">
      <c r="A454" s="1"/>
      <c r="B454" s="2"/>
      <c r="C454" s="2"/>
      <c r="D454" s="2"/>
      <c r="E454" s="2"/>
      <c r="F454" s="2"/>
      <c r="G454" s="2"/>
      <c r="H454" s="2"/>
      <c r="I454" s="2"/>
      <c r="J454" s="2"/>
      <c r="K454" s="2"/>
      <c r="L454" s="2"/>
      <c r="M454" s="2"/>
      <c r="N454" s="2"/>
      <c r="O454" s="2"/>
      <c r="P454" s="2"/>
      <c r="Q454" s="2"/>
      <c r="R454" s="2"/>
      <c r="S454" s="2"/>
      <c r="T454" s="2"/>
      <c r="U454" s="2"/>
    </row>
    <row r="455" spans="1:21" ht="15.75" customHeight="1">
      <c r="A455" s="1"/>
      <c r="B455" s="2"/>
      <c r="C455" s="2"/>
      <c r="D455" s="2"/>
      <c r="E455" s="2"/>
      <c r="F455" s="2"/>
      <c r="G455" s="2"/>
      <c r="H455" s="2"/>
      <c r="I455" s="2"/>
      <c r="J455" s="2"/>
      <c r="K455" s="2"/>
      <c r="L455" s="2"/>
      <c r="M455" s="2"/>
      <c r="N455" s="2"/>
      <c r="O455" s="2"/>
      <c r="P455" s="2"/>
      <c r="Q455" s="2"/>
      <c r="R455" s="2"/>
      <c r="S455" s="2"/>
      <c r="T455" s="2"/>
      <c r="U455" s="2"/>
    </row>
    <row r="456" spans="1:21" ht="15.75" customHeight="1">
      <c r="A456" s="1"/>
      <c r="B456" s="2"/>
      <c r="C456" s="2"/>
      <c r="D456" s="2"/>
      <c r="E456" s="2"/>
      <c r="F456" s="2"/>
      <c r="G456" s="2"/>
      <c r="H456" s="2"/>
      <c r="I456" s="2"/>
      <c r="J456" s="2"/>
      <c r="K456" s="2"/>
      <c r="L456" s="2"/>
      <c r="M456" s="2"/>
      <c r="N456" s="2"/>
      <c r="O456" s="2"/>
      <c r="P456" s="2"/>
      <c r="Q456" s="2"/>
      <c r="R456" s="2"/>
      <c r="S456" s="2"/>
      <c r="T456" s="2"/>
      <c r="U456" s="2"/>
    </row>
    <row r="457" spans="1:21" ht="15.75" customHeight="1">
      <c r="A457" s="1"/>
      <c r="B457" s="2"/>
      <c r="C457" s="2"/>
      <c r="D457" s="2"/>
      <c r="E457" s="2"/>
      <c r="F457" s="2"/>
      <c r="G457" s="2"/>
      <c r="H457" s="2"/>
      <c r="I457" s="2"/>
      <c r="J457" s="2"/>
      <c r="K457" s="2"/>
      <c r="L457" s="2"/>
      <c r="M457" s="2"/>
      <c r="N457" s="2"/>
      <c r="O457" s="2"/>
      <c r="P457" s="2"/>
      <c r="Q457" s="2"/>
      <c r="R457" s="2"/>
      <c r="S457" s="2"/>
      <c r="T457" s="2"/>
      <c r="U457" s="2"/>
    </row>
    <row r="458" spans="1:21" ht="15.75" customHeight="1">
      <c r="A458" s="1"/>
      <c r="B458" s="2"/>
      <c r="C458" s="2"/>
      <c r="D458" s="2"/>
      <c r="E458" s="2"/>
      <c r="F458" s="2"/>
      <c r="G458" s="2"/>
      <c r="H458" s="2"/>
      <c r="I458" s="2"/>
      <c r="J458" s="2"/>
      <c r="K458" s="2"/>
      <c r="L458" s="2"/>
      <c r="M458" s="2"/>
      <c r="N458" s="2"/>
      <c r="O458" s="2"/>
      <c r="P458" s="2"/>
      <c r="Q458" s="2"/>
      <c r="R458" s="2"/>
      <c r="S458" s="2"/>
      <c r="T458" s="2"/>
      <c r="U458" s="2"/>
    </row>
    <row r="459" spans="1:21" ht="15.75" customHeight="1">
      <c r="A459" s="1"/>
      <c r="B459" s="2"/>
      <c r="C459" s="2"/>
      <c r="D459" s="2"/>
      <c r="E459" s="2"/>
      <c r="F459" s="2"/>
      <c r="G459" s="2"/>
      <c r="H459" s="2"/>
      <c r="I459" s="2"/>
      <c r="J459" s="2"/>
      <c r="K459" s="2"/>
      <c r="L459" s="2"/>
      <c r="M459" s="2"/>
      <c r="N459" s="2"/>
      <c r="O459" s="2"/>
      <c r="P459" s="2"/>
      <c r="Q459" s="2"/>
      <c r="R459" s="2"/>
      <c r="S459" s="2"/>
      <c r="T459" s="2"/>
      <c r="U459" s="2"/>
    </row>
    <row r="460" spans="1:21" ht="15.75" customHeight="1">
      <c r="A460" s="1"/>
      <c r="B460" s="2"/>
      <c r="C460" s="2"/>
      <c r="D460" s="2"/>
      <c r="E460" s="2"/>
      <c r="F460" s="2"/>
      <c r="G460" s="2"/>
      <c r="H460" s="2"/>
      <c r="I460" s="2"/>
      <c r="J460" s="2"/>
      <c r="K460" s="2"/>
      <c r="L460" s="2"/>
      <c r="M460" s="2"/>
      <c r="N460" s="2"/>
      <c r="O460" s="2"/>
      <c r="P460" s="2"/>
      <c r="Q460" s="2"/>
      <c r="R460" s="2"/>
      <c r="S460" s="2"/>
      <c r="T460" s="2"/>
      <c r="U460" s="2"/>
    </row>
    <row r="461" spans="1:21" ht="15.75" customHeight="1">
      <c r="A461" s="1"/>
      <c r="B461" s="2"/>
      <c r="C461" s="2"/>
      <c r="D461" s="2"/>
      <c r="E461" s="2"/>
      <c r="F461" s="2"/>
      <c r="G461" s="2"/>
      <c r="H461" s="2"/>
      <c r="I461" s="2"/>
      <c r="J461" s="2"/>
      <c r="K461" s="2"/>
      <c r="L461" s="2"/>
      <c r="M461" s="2"/>
      <c r="N461" s="2"/>
      <c r="O461" s="2"/>
      <c r="P461" s="2"/>
      <c r="Q461" s="2"/>
      <c r="R461" s="2"/>
      <c r="S461" s="2"/>
      <c r="T461" s="2"/>
      <c r="U461" s="2"/>
    </row>
    <row r="462" spans="1:21" ht="15.75" customHeight="1">
      <c r="A462" s="1"/>
      <c r="B462" s="2"/>
      <c r="C462" s="2"/>
      <c r="D462" s="2"/>
      <c r="E462" s="2"/>
      <c r="F462" s="2"/>
      <c r="G462" s="2"/>
      <c r="H462" s="2"/>
      <c r="I462" s="2"/>
      <c r="J462" s="2"/>
      <c r="K462" s="2"/>
      <c r="L462" s="2"/>
      <c r="M462" s="2"/>
      <c r="N462" s="2"/>
      <c r="O462" s="2"/>
      <c r="P462" s="2"/>
      <c r="Q462" s="2"/>
      <c r="R462" s="2"/>
      <c r="S462" s="2"/>
      <c r="T462" s="2"/>
      <c r="U462" s="2"/>
    </row>
    <row r="463" spans="1:21" ht="15.75" customHeight="1">
      <c r="A463" s="1"/>
      <c r="B463" s="2"/>
      <c r="C463" s="2"/>
      <c r="D463" s="2"/>
      <c r="E463" s="2"/>
      <c r="F463" s="2"/>
      <c r="G463" s="2"/>
      <c r="H463" s="2"/>
      <c r="I463" s="2"/>
      <c r="J463" s="2"/>
      <c r="K463" s="2"/>
      <c r="L463" s="2"/>
      <c r="M463" s="2"/>
      <c r="N463" s="2"/>
      <c r="O463" s="2"/>
      <c r="P463" s="2"/>
      <c r="Q463" s="2"/>
      <c r="R463" s="2"/>
      <c r="S463" s="2"/>
      <c r="T463" s="2"/>
      <c r="U463" s="2"/>
    </row>
    <row r="464" spans="1:21" ht="15.75" customHeight="1">
      <c r="A464" s="1"/>
      <c r="B464" s="2"/>
      <c r="C464" s="2"/>
      <c r="D464" s="2"/>
      <c r="E464" s="2"/>
      <c r="F464" s="2"/>
      <c r="G464" s="2"/>
      <c r="H464" s="2"/>
      <c r="I464" s="2"/>
      <c r="J464" s="2"/>
      <c r="K464" s="2"/>
      <c r="L464" s="2"/>
      <c r="M464" s="2"/>
      <c r="N464" s="2"/>
      <c r="O464" s="2"/>
      <c r="P464" s="2"/>
      <c r="Q464" s="2"/>
      <c r="R464" s="2"/>
      <c r="S464" s="2"/>
      <c r="T464" s="2"/>
      <c r="U464" s="2"/>
    </row>
    <row r="465" spans="1:21" ht="15.75" customHeight="1">
      <c r="A465" s="1"/>
      <c r="B465" s="2"/>
      <c r="C465" s="2"/>
      <c r="D465" s="2"/>
      <c r="E465" s="2"/>
      <c r="F465" s="2"/>
      <c r="G465" s="2"/>
      <c r="H465" s="2"/>
      <c r="I465" s="2"/>
      <c r="J465" s="2"/>
      <c r="K465" s="2"/>
      <c r="L465" s="2"/>
      <c r="M465" s="2"/>
      <c r="N465" s="2"/>
      <c r="O465" s="2"/>
      <c r="P465" s="2"/>
      <c r="Q465" s="2"/>
      <c r="R465" s="2"/>
      <c r="S465" s="2"/>
      <c r="T465" s="2"/>
      <c r="U465" s="2"/>
    </row>
    <row r="466" spans="1:21" ht="15.75" customHeight="1">
      <c r="A466" s="1"/>
      <c r="B466" s="2"/>
      <c r="C466" s="2"/>
      <c r="D466" s="2"/>
      <c r="E466" s="2"/>
      <c r="F466" s="2"/>
      <c r="G466" s="2"/>
      <c r="H466" s="2"/>
      <c r="I466" s="2"/>
      <c r="J466" s="2"/>
      <c r="K466" s="2"/>
      <c r="L466" s="2"/>
      <c r="M466" s="2"/>
      <c r="N466" s="2"/>
      <c r="O466" s="2"/>
      <c r="P466" s="2"/>
      <c r="Q466" s="2"/>
      <c r="R466" s="2"/>
      <c r="S466" s="2"/>
      <c r="T466" s="2"/>
      <c r="U466" s="2"/>
    </row>
    <row r="467" spans="1:21" ht="15.75" customHeight="1">
      <c r="A467" s="1"/>
      <c r="B467" s="2"/>
      <c r="C467" s="2"/>
      <c r="D467" s="2"/>
      <c r="E467" s="2"/>
      <c r="F467" s="2"/>
      <c r="G467" s="2"/>
      <c r="H467" s="2"/>
      <c r="I467" s="2"/>
      <c r="J467" s="2"/>
      <c r="K467" s="2"/>
      <c r="L467" s="2"/>
      <c r="M467" s="2"/>
      <c r="N467" s="2"/>
      <c r="O467" s="2"/>
      <c r="P467" s="2"/>
      <c r="Q467" s="2"/>
      <c r="R467" s="2"/>
      <c r="S467" s="2"/>
      <c r="T467" s="2"/>
      <c r="U467" s="2"/>
    </row>
    <row r="468" spans="1:21" ht="15.75" customHeight="1">
      <c r="A468" s="1"/>
      <c r="B468" s="2"/>
      <c r="C468" s="2"/>
      <c r="D468" s="2"/>
      <c r="E468" s="2"/>
      <c r="F468" s="2"/>
      <c r="G468" s="2"/>
      <c r="H468" s="2"/>
      <c r="I468" s="2"/>
      <c r="J468" s="2"/>
      <c r="K468" s="2"/>
      <c r="L468" s="2"/>
      <c r="M468" s="2"/>
      <c r="N468" s="2"/>
      <c r="O468" s="2"/>
      <c r="P468" s="2"/>
      <c r="Q468" s="2"/>
      <c r="R468" s="2"/>
      <c r="S468" s="2"/>
      <c r="T468" s="2"/>
      <c r="U468" s="2"/>
    </row>
    <row r="469" spans="1:21" ht="15.75" customHeight="1">
      <c r="A469" s="1"/>
      <c r="B469" s="2"/>
      <c r="C469" s="2"/>
      <c r="D469" s="2"/>
      <c r="E469" s="2"/>
      <c r="F469" s="2"/>
      <c r="G469" s="2"/>
      <c r="H469" s="2"/>
      <c r="I469" s="2"/>
      <c r="J469" s="2"/>
      <c r="K469" s="2"/>
      <c r="L469" s="2"/>
      <c r="M469" s="2"/>
      <c r="N469" s="2"/>
      <c r="O469" s="2"/>
      <c r="P469" s="2"/>
      <c r="Q469" s="2"/>
      <c r="R469" s="2"/>
      <c r="S469" s="2"/>
      <c r="T469" s="2"/>
      <c r="U469" s="2"/>
    </row>
    <row r="470" spans="1:21" ht="15.75" customHeight="1">
      <c r="A470" s="1"/>
      <c r="B470" s="2"/>
      <c r="C470" s="2"/>
      <c r="D470" s="2"/>
      <c r="E470" s="2"/>
      <c r="F470" s="2"/>
      <c r="G470" s="2"/>
      <c r="H470" s="2"/>
      <c r="I470" s="2"/>
      <c r="J470" s="2"/>
      <c r="K470" s="2"/>
      <c r="L470" s="2"/>
      <c r="M470" s="2"/>
      <c r="N470" s="2"/>
      <c r="O470" s="2"/>
      <c r="P470" s="2"/>
      <c r="Q470" s="2"/>
      <c r="R470" s="2"/>
      <c r="S470" s="2"/>
      <c r="T470" s="2"/>
      <c r="U470" s="2"/>
    </row>
    <row r="471" spans="1:21" ht="15.75" customHeight="1">
      <c r="A471" s="1"/>
      <c r="B471" s="2"/>
      <c r="C471" s="2"/>
      <c r="D471" s="2"/>
      <c r="E471" s="2"/>
      <c r="F471" s="2"/>
      <c r="G471" s="2"/>
      <c r="H471" s="2"/>
      <c r="I471" s="2"/>
      <c r="J471" s="2"/>
      <c r="K471" s="2"/>
      <c r="L471" s="2"/>
      <c r="M471" s="2"/>
      <c r="N471" s="2"/>
      <c r="O471" s="2"/>
      <c r="P471" s="2"/>
      <c r="Q471" s="2"/>
      <c r="R471" s="2"/>
      <c r="S471" s="2"/>
      <c r="T471" s="2"/>
      <c r="U471" s="2"/>
    </row>
    <row r="472" spans="1:21" ht="15.75" customHeight="1">
      <c r="A472" s="1"/>
      <c r="B472" s="2"/>
      <c r="C472" s="2"/>
      <c r="D472" s="2"/>
      <c r="E472" s="2"/>
      <c r="F472" s="2"/>
      <c r="G472" s="2"/>
      <c r="H472" s="2"/>
      <c r="I472" s="2"/>
      <c r="J472" s="2"/>
      <c r="K472" s="2"/>
      <c r="L472" s="2"/>
      <c r="M472" s="2"/>
      <c r="N472" s="2"/>
      <c r="O472" s="2"/>
      <c r="P472" s="2"/>
      <c r="Q472" s="2"/>
      <c r="R472" s="2"/>
      <c r="S472" s="2"/>
      <c r="T472" s="2"/>
      <c r="U472" s="2"/>
    </row>
    <row r="473" spans="1:21" ht="15.75" customHeight="1">
      <c r="A473" s="1"/>
      <c r="B473" s="2"/>
      <c r="C473" s="2"/>
      <c r="D473" s="2"/>
      <c r="E473" s="2"/>
      <c r="F473" s="2"/>
      <c r="G473" s="2"/>
      <c r="H473" s="2"/>
      <c r="I473" s="2"/>
      <c r="J473" s="2"/>
      <c r="K473" s="2"/>
      <c r="L473" s="2"/>
      <c r="M473" s="2"/>
      <c r="N473" s="2"/>
      <c r="O473" s="2"/>
      <c r="P473" s="2"/>
      <c r="Q473" s="2"/>
      <c r="R473" s="2"/>
      <c r="S473" s="2"/>
      <c r="T473" s="2"/>
      <c r="U473" s="2"/>
    </row>
    <row r="474" spans="1:21" ht="15.75" customHeight="1">
      <c r="A474" s="1"/>
      <c r="B474" s="2"/>
      <c r="C474" s="2"/>
      <c r="D474" s="2"/>
      <c r="E474" s="2"/>
      <c r="F474" s="2"/>
      <c r="G474" s="2"/>
      <c r="H474" s="2"/>
      <c r="I474" s="2"/>
      <c r="J474" s="2"/>
      <c r="K474" s="2"/>
      <c r="L474" s="2"/>
      <c r="M474" s="2"/>
      <c r="N474" s="2"/>
      <c r="O474" s="2"/>
      <c r="P474" s="2"/>
      <c r="Q474" s="2"/>
      <c r="R474" s="2"/>
      <c r="S474" s="2"/>
      <c r="T474" s="2"/>
      <c r="U474" s="2"/>
    </row>
    <row r="475" spans="1:21" ht="15.75" customHeight="1">
      <c r="A475" s="1"/>
      <c r="B475" s="2"/>
      <c r="C475" s="2"/>
      <c r="D475" s="2"/>
      <c r="E475" s="2"/>
      <c r="F475" s="2"/>
      <c r="G475" s="2"/>
      <c r="H475" s="2"/>
      <c r="I475" s="2"/>
      <c r="J475" s="2"/>
      <c r="K475" s="2"/>
      <c r="L475" s="2"/>
      <c r="M475" s="2"/>
      <c r="N475" s="2"/>
      <c r="O475" s="2"/>
      <c r="P475" s="2"/>
      <c r="Q475" s="2"/>
      <c r="R475" s="2"/>
      <c r="S475" s="2"/>
      <c r="T475" s="2"/>
      <c r="U475" s="2"/>
    </row>
    <row r="476" spans="1:21" ht="15.75" customHeight="1">
      <c r="A476" s="1"/>
      <c r="B476" s="2"/>
      <c r="C476" s="2"/>
      <c r="D476" s="2"/>
      <c r="E476" s="2"/>
      <c r="F476" s="2"/>
      <c r="G476" s="2"/>
      <c r="H476" s="2"/>
      <c r="I476" s="2"/>
      <c r="J476" s="2"/>
      <c r="K476" s="2"/>
      <c r="L476" s="2"/>
      <c r="M476" s="2"/>
      <c r="N476" s="2"/>
      <c r="O476" s="2"/>
      <c r="P476" s="2"/>
      <c r="Q476" s="2"/>
      <c r="R476" s="2"/>
      <c r="S476" s="2"/>
      <c r="T476" s="2"/>
      <c r="U476" s="2"/>
    </row>
    <row r="477" spans="1:21" ht="15.75" customHeight="1">
      <c r="A477" s="1"/>
      <c r="B477" s="2"/>
      <c r="C477" s="2"/>
      <c r="D477" s="2"/>
      <c r="E477" s="2"/>
      <c r="F477" s="2"/>
      <c r="G477" s="2"/>
      <c r="H477" s="2"/>
      <c r="I477" s="2"/>
      <c r="J477" s="2"/>
      <c r="K477" s="2"/>
      <c r="L477" s="2"/>
      <c r="M477" s="2"/>
      <c r="N477" s="2"/>
      <c r="O477" s="2"/>
      <c r="P477" s="2"/>
      <c r="Q477" s="2"/>
      <c r="R477" s="2"/>
      <c r="S477" s="2"/>
      <c r="T477" s="2"/>
      <c r="U477" s="2"/>
    </row>
    <row r="478" spans="1:21" ht="15.75" customHeight="1">
      <c r="A478" s="1"/>
      <c r="B478" s="2"/>
      <c r="C478" s="2"/>
      <c r="D478" s="2"/>
      <c r="E478" s="2"/>
      <c r="F478" s="2"/>
      <c r="G478" s="2"/>
      <c r="H478" s="2"/>
      <c r="I478" s="2"/>
      <c r="J478" s="2"/>
      <c r="K478" s="2"/>
      <c r="L478" s="2"/>
      <c r="M478" s="2"/>
      <c r="N478" s="2"/>
      <c r="O478" s="2"/>
      <c r="P478" s="2"/>
      <c r="Q478" s="2"/>
      <c r="R478" s="2"/>
      <c r="S478" s="2"/>
      <c r="T478" s="2"/>
      <c r="U478" s="2"/>
    </row>
    <row r="479" spans="1:21" ht="15.75" customHeight="1">
      <c r="A479" s="1"/>
      <c r="B479" s="2"/>
      <c r="C479" s="2"/>
      <c r="D479" s="2"/>
      <c r="E479" s="2"/>
      <c r="F479" s="2"/>
      <c r="G479" s="2"/>
      <c r="H479" s="2"/>
      <c r="I479" s="2"/>
      <c r="J479" s="2"/>
      <c r="K479" s="2"/>
      <c r="L479" s="2"/>
      <c r="M479" s="2"/>
      <c r="N479" s="2"/>
      <c r="O479" s="2"/>
      <c r="P479" s="2"/>
      <c r="Q479" s="2"/>
      <c r="R479" s="2"/>
      <c r="S479" s="2"/>
      <c r="T479" s="2"/>
      <c r="U479" s="2"/>
    </row>
    <row r="480" spans="1:21" ht="15.75" customHeight="1">
      <c r="A480" s="1"/>
      <c r="B480" s="2"/>
      <c r="C480" s="2"/>
      <c r="D480" s="2"/>
      <c r="E480" s="2"/>
      <c r="F480" s="2"/>
      <c r="G480" s="2"/>
      <c r="H480" s="2"/>
      <c r="I480" s="2"/>
      <c r="J480" s="2"/>
      <c r="K480" s="2"/>
      <c r="L480" s="2"/>
      <c r="M480" s="2"/>
      <c r="N480" s="2"/>
      <c r="O480" s="2"/>
      <c r="P480" s="2"/>
      <c r="Q480" s="2"/>
      <c r="R480" s="2"/>
      <c r="S480" s="2"/>
      <c r="T480" s="2"/>
      <c r="U480" s="2"/>
    </row>
    <row r="481" spans="1:21" ht="15.75" customHeight="1">
      <c r="A481" s="1"/>
      <c r="B481" s="2"/>
      <c r="C481" s="2"/>
      <c r="D481" s="2"/>
      <c r="E481" s="2"/>
      <c r="F481" s="2"/>
      <c r="G481" s="2"/>
      <c r="H481" s="2"/>
      <c r="I481" s="2"/>
      <c r="J481" s="2"/>
      <c r="K481" s="2"/>
      <c r="L481" s="2"/>
      <c r="M481" s="2"/>
      <c r="N481" s="2"/>
      <c r="O481" s="2"/>
      <c r="P481" s="2"/>
      <c r="Q481" s="2"/>
      <c r="R481" s="2"/>
      <c r="S481" s="2"/>
      <c r="T481" s="2"/>
      <c r="U481" s="2"/>
    </row>
    <row r="482" spans="1:21" ht="15.75" customHeight="1">
      <c r="A482" s="1"/>
      <c r="B482" s="2"/>
      <c r="C482" s="2"/>
      <c r="D482" s="2"/>
      <c r="E482" s="2"/>
      <c r="F482" s="2"/>
      <c r="G482" s="2"/>
      <c r="H482" s="2"/>
      <c r="I482" s="2"/>
      <c r="J482" s="2"/>
      <c r="K482" s="2"/>
      <c r="L482" s="2"/>
      <c r="M482" s="2"/>
      <c r="N482" s="2"/>
      <c r="O482" s="2"/>
      <c r="P482" s="2"/>
      <c r="Q482" s="2"/>
      <c r="R482" s="2"/>
      <c r="S482" s="2"/>
      <c r="T482" s="2"/>
      <c r="U482" s="2"/>
    </row>
    <row r="483" spans="1:21" ht="15.75" customHeight="1">
      <c r="A483" s="1"/>
      <c r="B483" s="2"/>
      <c r="C483" s="2"/>
      <c r="D483" s="2"/>
      <c r="E483" s="2"/>
      <c r="F483" s="2"/>
      <c r="G483" s="2"/>
      <c r="H483" s="2"/>
      <c r="I483" s="2"/>
      <c r="J483" s="2"/>
      <c r="K483" s="2"/>
      <c r="L483" s="2"/>
      <c r="M483" s="2"/>
      <c r="N483" s="2"/>
      <c r="O483" s="2"/>
      <c r="P483" s="2"/>
      <c r="Q483" s="2"/>
      <c r="R483" s="2"/>
      <c r="S483" s="2"/>
      <c r="T483" s="2"/>
      <c r="U483" s="2"/>
    </row>
    <row r="484" spans="1:21" ht="15.75" customHeight="1">
      <c r="A484" s="1"/>
      <c r="B484" s="2"/>
      <c r="C484" s="2"/>
      <c r="D484" s="2"/>
      <c r="E484" s="2"/>
      <c r="F484" s="2"/>
      <c r="G484" s="2"/>
      <c r="H484" s="2"/>
      <c r="I484" s="2"/>
      <c r="J484" s="2"/>
      <c r="K484" s="2"/>
      <c r="L484" s="2"/>
      <c r="M484" s="2"/>
      <c r="N484" s="2"/>
      <c r="O484" s="2"/>
      <c r="P484" s="2"/>
      <c r="Q484" s="2"/>
      <c r="R484" s="2"/>
      <c r="S484" s="2"/>
      <c r="T484" s="2"/>
      <c r="U484" s="2"/>
    </row>
    <row r="485" spans="1:21" ht="15.75" customHeight="1">
      <c r="A485" s="1"/>
      <c r="B485" s="2"/>
      <c r="C485" s="2"/>
      <c r="D485" s="2"/>
      <c r="E485" s="2"/>
      <c r="F485" s="2"/>
      <c r="G485" s="2"/>
      <c r="H485" s="2"/>
      <c r="I485" s="2"/>
      <c r="J485" s="2"/>
      <c r="K485" s="2"/>
      <c r="L485" s="2"/>
      <c r="M485" s="2"/>
      <c r="N485" s="2"/>
      <c r="O485" s="2"/>
      <c r="P485" s="2"/>
      <c r="Q485" s="2"/>
      <c r="R485" s="2"/>
      <c r="S485" s="2"/>
      <c r="T485" s="2"/>
      <c r="U485" s="2"/>
    </row>
    <row r="486" spans="1:21" ht="15.75" customHeight="1">
      <c r="A486" s="1"/>
      <c r="B486" s="2"/>
      <c r="C486" s="2"/>
      <c r="D486" s="2"/>
      <c r="E486" s="2"/>
      <c r="F486" s="2"/>
      <c r="G486" s="2"/>
      <c r="H486" s="2"/>
      <c r="I486" s="2"/>
      <c r="J486" s="2"/>
      <c r="K486" s="2"/>
      <c r="L486" s="2"/>
      <c r="M486" s="2"/>
      <c r="N486" s="2"/>
      <c r="O486" s="2"/>
      <c r="P486" s="2"/>
      <c r="Q486" s="2"/>
      <c r="R486" s="2"/>
      <c r="S486" s="2"/>
      <c r="T486" s="2"/>
      <c r="U486" s="2"/>
    </row>
    <row r="487" spans="1:21" ht="15.75" customHeight="1">
      <c r="A487" s="1"/>
      <c r="B487" s="2"/>
      <c r="C487" s="2"/>
      <c r="D487" s="2"/>
      <c r="E487" s="2"/>
      <c r="F487" s="2"/>
      <c r="G487" s="2"/>
      <c r="H487" s="2"/>
      <c r="I487" s="2"/>
      <c r="J487" s="2"/>
      <c r="K487" s="2"/>
      <c r="L487" s="2"/>
      <c r="M487" s="2"/>
      <c r="N487" s="2"/>
      <c r="O487" s="2"/>
      <c r="P487" s="2"/>
      <c r="Q487" s="2"/>
      <c r="R487" s="2"/>
      <c r="S487" s="2"/>
      <c r="T487" s="2"/>
      <c r="U487" s="2"/>
    </row>
    <row r="488" spans="1:21" ht="15.75" customHeight="1">
      <c r="A488" s="1"/>
      <c r="B488" s="2"/>
      <c r="C488" s="2"/>
      <c r="D488" s="2"/>
      <c r="E488" s="2"/>
      <c r="F488" s="2"/>
      <c r="G488" s="2"/>
      <c r="H488" s="2"/>
      <c r="I488" s="2"/>
      <c r="J488" s="2"/>
      <c r="K488" s="2"/>
      <c r="L488" s="2"/>
      <c r="M488" s="2"/>
      <c r="N488" s="2"/>
      <c r="O488" s="2"/>
      <c r="P488" s="2"/>
      <c r="Q488" s="2"/>
      <c r="R488" s="2"/>
      <c r="S488" s="2"/>
      <c r="T488" s="2"/>
      <c r="U488" s="2"/>
    </row>
    <row r="489" spans="1:21" ht="15.75" customHeight="1">
      <c r="A489" s="1"/>
      <c r="B489" s="2"/>
      <c r="C489" s="2"/>
      <c r="D489" s="2"/>
      <c r="E489" s="2"/>
      <c r="F489" s="2"/>
      <c r="G489" s="2"/>
      <c r="H489" s="2"/>
      <c r="I489" s="2"/>
      <c r="J489" s="2"/>
      <c r="K489" s="2"/>
      <c r="L489" s="2"/>
      <c r="M489" s="2"/>
      <c r="N489" s="2"/>
      <c r="O489" s="2"/>
      <c r="P489" s="2"/>
      <c r="Q489" s="2"/>
      <c r="R489" s="2"/>
      <c r="S489" s="2"/>
      <c r="T489" s="2"/>
      <c r="U489" s="2"/>
    </row>
    <row r="490" spans="1:21" ht="15.75" customHeight="1">
      <c r="A490" s="1"/>
      <c r="B490" s="2"/>
      <c r="C490" s="2"/>
      <c r="D490" s="2"/>
      <c r="E490" s="2"/>
      <c r="F490" s="2"/>
      <c r="G490" s="2"/>
      <c r="H490" s="2"/>
      <c r="I490" s="2"/>
      <c r="J490" s="2"/>
      <c r="K490" s="2"/>
      <c r="L490" s="2"/>
      <c r="M490" s="2"/>
      <c r="N490" s="2"/>
      <c r="O490" s="2"/>
      <c r="P490" s="2"/>
      <c r="Q490" s="2"/>
      <c r="R490" s="2"/>
      <c r="S490" s="2"/>
      <c r="T490" s="2"/>
      <c r="U490" s="2"/>
    </row>
    <row r="491" spans="1:21" ht="15.75" customHeight="1">
      <c r="A491" s="1"/>
      <c r="B491" s="2"/>
      <c r="C491" s="2"/>
      <c r="D491" s="2"/>
      <c r="E491" s="2"/>
      <c r="F491" s="2"/>
      <c r="G491" s="2"/>
      <c r="H491" s="2"/>
      <c r="I491" s="2"/>
      <c r="J491" s="2"/>
      <c r="K491" s="2"/>
      <c r="L491" s="2"/>
      <c r="M491" s="2"/>
      <c r="N491" s="2"/>
      <c r="O491" s="2"/>
      <c r="P491" s="2"/>
      <c r="Q491" s="2"/>
      <c r="R491" s="2"/>
      <c r="S491" s="2"/>
      <c r="T491" s="2"/>
      <c r="U491" s="2"/>
    </row>
    <row r="492" spans="1:21" ht="15.75" customHeight="1">
      <c r="A492" s="1"/>
      <c r="B492" s="2"/>
      <c r="C492" s="2"/>
      <c r="D492" s="2"/>
      <c r="E492" s="2"/>
      <c r="F492" s="2"/>
      <c r="G492" s="2"/>
      <c r="H492" s="2"/>
      <c r="I492" s="2"/>
      <c r="J492" s="2"/>
      <c r="K492" s="2"/>
      <c r="L492" s="2"/>
      <c r="M492" s="2"/>
      <c r="N492" s="2"/>
      <c r="O492" s="2"/>
      <c r="P492" s="2"/>
      <c r="Q492" s="2"/>
      <c r="R492" s="2"/>
      <c r="S492" s="2"/>
      <c r="T492" s="2"/>
      <c r="U492" s="2"/>
    </row>
    <row r="493" spans="1:21" ht="15.75" customHeight="1">
      <c r="A493" s="1"/>
      <c r="B493" s="2"/>
      <c r="C493" s="2"/>
      <c r="D493" s="2"/>
      <c r="E493" s="2"/>
      <c r="F493" s="2"/>
      <c r="G493" s="2"/>
      <c r="H493" s="2"/>
      <c r="I493" s="2"/>
      <c r="J493" s="2"/>
      <c r="K493" s="2"/>
      <c r="L493" s="2"/>
      <c r="M493" s="2"/>
      <c r="N493" s="2"/>
      <c r="O493" s="2"/>
      <c r="P493" s="2"/>
      <c r="Q493" s="2"/>
      <c r="R493" s="2"/>
      <c r="S493" s="2"/>
      <c r="T493" s="2"/>
      <c r="U493" s="2"/>
    </row>
    <row r="494" spans="1:21" ht="15.75" customHeight="1">
      <c r="A494" s="1"/>
      <c r="B494" s="2"/>
      <c r="C494" s="2"/>
      <c r="D494" s="2"/>
      <c r="E494" s="2"/>
      <c r="F494" s="2"/>
      <c r="G494" s="2"/>
      <c r="H494" s="2"/>
      <c r="I494" s="2"/>
      <c r="J494" s="2"/>
      <c r="K494" s="2"/>
      <c r="L494" s="2"/>
      <c r="M494" s="2"/>
      <c r="N494" s="2"/>
      <c r="O494" s="2"/>
      <c r="P494" s="2"/>
      <c r="Q494" s="2"/>
      <c r="R494" s="2"/>
      <c r="S494" s="2"/>
      <c r="T494" s="2"/>
      <c r="U494" s="2"/>
    </row>
    <row r="495" spans="1:21" ht="15.75" customHeight="1">
      <c r="A495" s="1"/>
      <c r="B495" s="2"/>
      <c r="C495" s="2"/>
      <c r="D495" s="2"/>
      <c r="E495" s="2"/>
      <c r="F495" s="2"/>
      <c r="G495" s="2"/>
      <c r="H495" s="2"/>
      <c r="I495" s="2"/>
      <c r="J495" s="2"/>
      <c r="K495" s="2"/>
      <c r="L495" s="2"/>
      <c r="M495" s="2"/>
      <c r="N495" s="2"/>
      <c r="O495" s="2"/>
      <c r="P495" s="2"/>
      <c r="Q495" s="2"/>
      <c r="R495" s="2"/>
      <c r="S495" s="2"/>
      <c r="T495" s="2"/>
      <c r="U495" s="2"/>
    </row>
    <row r="496" spans="1:21" ht="15.75" customHeight="1">
      <c r="A496" s="1"/>
      <c r="B496" s="2"/>
      <c r="C496" s="2"/>
      <c r="D496" s="2"/>
      <c r="E496" s="2"/>
      <c r="F496" s="2"/>
      <c r="G496" s="2"/>
      <c r="H496" s="2"/>
      <c r="I496" s="2"/>
      <c r="J496" s="2"/>
      <c r="K496" s="2"/>
      <c r="L496" s="2"/>
      <c r="M496" s="2"/>
      <c r="N496" s="2"/>
      <c r="O496" s="2"/>
      <c r="P496" s="2"/>
      <c r="Q496" s="2"/>
      <c r="R496" s="2"/>
      <c r="S496" s="2"/>
      <c r="T496" s="2"/>
      <c r="U496" s="2"/>
    </row>
    <row r="497" spans="1:21" ht="15.75" customHeight="1">
      <c r="A497" s="1"/>
      <c r="B497" s="2"/>
      <c r="C497" s="2"/>
      <c r="D497" s="2"/>
      <c r="E497" s="2"/>
      <c r="F497" s="2"/>
      <c r="G497" s="2"/>
      <c r="H497" s="2"/>
      <c r="I497" s="2"/>
      <c r="J497" s="2"/>
      <c r="K497" s="2"/>
      <c r="L497" s="2"/>
      <c r="M497" s="2"/>
      <c r="N497" s="2"/>
      <c r="O497" s="2"/>
      <c r="P497" s="2"/>
      <c r="Q497" s="2"/>
      <c r="R497" s="2"/>
      <c r="S497" s="2"/>
      <c r="T497" s="2"/>
      <c r="U497" s="2"/>
    </row>
    <row r="498" spans="1:21" ht="15.75" customHeight="1">
      <c r="A498" s="1"/>
      <c r="B498" s="2"/>
      <c r="C498" s="2"/>
      <c r="D498" s="2"/>
      <c r="E498" s="2"/>
      <c r="F498" s="2"/>
      <c r="G498" s="2"/>
      <c r="H498" s="2"/>
      <c r="I498" s="2"/>
      <c r="J498" s="2"/>
      <c r="K498" s="2"/>
      <c r="L498" s="2"/>
      <c r="M498" s="2"/>
      <c r="N498" s="2"/>
      <c r="O498" s="2"/>
      <c r="P498" s="2"/>
      <c r="Q498" s="2"/>
      <c r="R498" s="2"/>
      <c r="S498" s="2"/>
      <c r="T498" s="2"/>
      <c r="U498" s="2"/>
    </row>
    <row r="499" spans="1:21" ht="15.75" customHeight="1">
      <c r="A499" s="1"/>
      <c r="B499" s="2"/>
      <c r="C499" s="2"/>
      <c r="D499" s="2"/>
      <c r="E499" s="2"/>
      <c r="F499" s="2"/>
      <c r="G499" s="2"/>
      <c r="H499" s="2"/>
      <c r="I499" s="2"/>
      <c r="J499" s="2"/>
      <c r="K499" s="2"/>
      <c r="L499" s="2"/>
      <c r="M499" s="2"/>
      <c r="N499" s="2"/>
      <c r="O499" s="2"/>
      <c r="P499" s="2"/>
      <c r="Q499" s="2"/>
      <c r="R499" s="2"/>
      <c r="S499" s="2"/>
      <c r="T499" s="2"/>
      <c r="U499" s="2"/>
    </row>
    <row r="500" spans="1:21" ht="15.75" customHeight="1">
      <c r="A500" s="1"/>
      <c r="B500" s="2"/>
      <c r="C500" s="2"/>
      <c r="D500" s="2"/>
      <c r="E500" s="2"/>
      <c r="F500" s="2"/>
      <c r="G500" s="2"/>
      <c r="H500" s="2"/>
      <c r="I500" s="2"/>
      <c r="J500" s="2"/>
      <c r="K500" s="2"/>
      <c r="L500" s="2"/>
      <c r="M500" s="2"/>
      <c r="N500" s="2"/>
      <c r="O500" s="2"/>
      <c r="P500" s="2"/>
      <c r="Q500" s="2"/>
      <c r="R500" s="2"/>
      <c r="S500" s="2"/>
      <c r="T500" s="2"/>
      <c r="U500" s="2"/>
    </row>
    <row r="501" spans="1:21" ht="15.75" customHeight="1">
      <c r="A501" s="1"/>
      <c r="B501" s="2"/>
      <c r="C501" s="2"/>
      <c r="D501" s="2"/>
      <c r="E501" s="2"/>
      <c r="F501" s="2"/>
      <c r="G501" s="2"/>
      <c r="H501" s="2"/>
      <c r="I501" s="2"/>
      <c r="J501" s="2"/>
      <c r="K501" s="2"/>
      <c r="L501" s="2"/>
      <c r="M501" s="2"/>
      <c r="N501" s="2"/>
      <c r="O501" s="2"/>
      <c r="P501" s="2"/>
      <c r="Q501" s="2"/>
      <c r="R501" s="2"/>
      <c r="S501" s="2"/>
      <c r="T501" s="2"/>
      <c r="U501" s="2"/>
    </row>
    <row r="502" spans="1:21" ht="15.75" customHeight="1">
      <c r="A502" s="1"/>
      <c r="B502" s="2"/>
      <c r="C502" s="2"/>
      <c r="D502" s="2"/>
      <c r="E502" s="2"/>
      <c r="F502" s="2"/>
      <c r="G502" s="2"/>
      <c r="H502" s="2"/>
      <c r="I502" s="2"/>
      <c r="J502" s="2"/>
      <c r="K502" s="2"/>
      <c r="L502" s="2"/>
      <c r="M502" s="2"/>
      <c r="N502" s="2"/>
      <c r="O502" s="2"/>
      <c r="P502" s="2"/>
      <c r="Q502" s="2"/>
      <c r="R502" s="2"/>
      <c r="S502" s="2"/>
      <c r="T502" s="2"/>
      <c r="U502" s="2"/>
    </row>
    <row r="503" spans="1:21" ht="15.75" customHeight="1">
      <c r="A503" s="1"/>
      <c r="B503" s="2"/>
      <c r="C503" s="2"/>
      <c r="D503" s="2"/>
      <c r="E503" s="2"/>
      <c r="F503" s="2"/>
      <c r="G503" s="2"/>
      <c r="H503" s="2"/>
      <c r="I503" s="2"/>
      <c r="J503" s="2"/>
      <c r="K503" s="2"/>
      <c r="L503" s="2"/>
      <c r="M503" s="2"/>
      <c r="N503" s="2"/>
      <c r="O503" s="2"/>
      <c r="P503" s="2"/>
      <c r="Q503" s="2"/>
      <c r="R503" s="2"/>
      <c r="S503" s="2"/>
      <c r="T503" s="2"/>
      <c r="U503" s="2"/>
    </row>
    <row r="504" spans="1:21" ht="15.75" customHeight="1">
      <c r="A504" s="1"/>
      <c r="B504" s="2"/>
      <c r="C504" s="2"/>
      <c r="D504" s="2"/>
      <c r="E504" s="2"/>
      <c r="F504" s="2"/>
      <c r="G504" s="2"/>
      <c r="H504" s="2"/>
      <c r="I504" s="2"/>
      <c r="J504" s="2"/>
      <c r="K504" s="2"/>
      <c r="L504" s="2"/>
      <c r="M504" s="2"/>
      <c r="N504" s="2"/>
      <c r="O504" s="2"/>
      <c r="P504" s="2"/>
      <c r="Q504" s="2"/>
      <c r="R504" s="2"/>
      <c r="S504" s="2"/>
      <c r="T504" s="2"/>
      <c r="U504" s="2"/>
    </row>
    <row r="505" spans="1:21" ht="15.75" customHeight="1">
      <c r="A505" s="1"/>
      <c r="B505" s="2"/>
      <c r="C505" s="2"/>
      <c r="D505" s="2"/>
      <c r="E505" s="2"/>
      <c r="F505" s="2"/>
      <c r="G505" s="2"/>
      <c r="H505" s="2"/>
      <c r="I505" s="2"/>
      <c r="J505" s="2"/>
      <c r="K505" s="2"/>
      <c r="L505" s="2"/>
      <c r="M505" s="2"/>
      <c r="N505" s="2"/>
      <c r="O505" s="2"/>
      <c r="P505" s="2"/>
      <c r="Q505" s="2"/>
      <c r="R505" s="2"/>
      <c r="S505" s="2"/>
      <c r="T505" s="2"/>
      <c r="U505" s="2"/>
    </row>
    <row r="506" spans="1:21" ht="15.75" customHeight="1">
      <c r="A506" s="1"/>
      <c r="B506" s="2"/>
      <c r="C506" s="2"/>
      <c r="D506" s="2"/>
      <c r="E506" s="2"/>
      <c r="F506" s="2"/>
      <c r="G506" s="2"/>
      <c r="H506" s="2"/>
      <c r="I506" s="2"/>
      <c r="J506" s="2"/>
      <c r="K506" s="2"/>
      <c r="L506" s="2"/>
      <c r="M506" s="2"/>
      <c r="N506" s="2"/>
      <c r="O506" s="2"/>
      <c r="P506" s="2"/>
      <c r="Q506" s="2"/>
      <c r="R506" s="2"/>
      <c r="S506" s="2"/>
      <c r="T506" s="2"/>
      <c r="U506" s="2"/>
    </row>
    <row r="507" spans="1:21" ht="15.75" customHeight="1">
      <c r="A507" s="1"/>
      <c r="B507" s="2"/>
      <c r="C507" s="2"/>
      <c r="D507" s="2"/>
      <c r="E507" s="2"/>
      <c r="F507" s="2"/>
      <c r="G507" s="2"/>
      <c r="H507" s="2"/>
      <c r="I507" s="2"/>
      <c r="J507" s="2"/>
      <c r="K507" s="2"/>
      <c r="L507" s="2"/>
      <c r="M507" s="2"/>
      <c r="N507" s="2"/>
      <c r="O507" s="2"/>
      <c r="P507" s="2"/>
      <c r="Q507" s="2"/>
      <c r="R507" s="2"/>
      <c r="S507" s="2"/>
      <c r="T507" s="2"/>
      <c r="U507" s="2"/>
    </row>
    <row r="508" spans="1:21" ht="15.75" customHeight="1">
      <c r="A508" s="1"/>
      <c r="B508" s="2"/>
      <c r="C508" s="2"/>
      <c r="D508" s="2"/>
      <c r="E508" s="2"/>
      <c r="F508" s="2"/>
      <c r="G508" s="2"/>
      <c r="H508" s="2"/>
      <c r="I508" s="2"/>
      <c r="J508" s="2"/>
      <c r="K508" s="2"/>
      <c r="L508" s="2"/>
      <c r="M508" s="2"/>
      <c r="N508" s="2"/>
      <c r="O508" s="2"/>
      <c r="P508" s="2"/>
      <c r="Q508" s="2"/>
      <c r="R508" s="2"/>
      <c r="S508" s="2"/>
      <c r="T508" s="2"/>
      <c r="U508" s="2"/>
    </row>
    <row r="509" spans="1:21" ht="15.75" customHeight="1">
      <c r="A509" s="1"/>
      <c r="B509" s="2"/>
      <c r="C509" s="2"/>
      <c r="D509" s="2"/>
      <c r="E509" s="2"/>
      <c r="F509" s="2"/>
      <c r="G509" s="2"/>
      <c r="H509" s="2"/>
      <c r="I509" s="2"/>
      <c r="J509" s="2"/>
      <c r="K509" s="2"/>
      <c r="L509" s="2"/>
      <c r="M509" s="2"/>
      <c r="N509" s="2"/>
      <c r="O509" s="2"/>
      <c r="P509" s="2"/>
      <c r="Q509" s="2"/>
      <c r="R509" s="2"/>
      <c r="S509" s="2"/>
      <c r="T509" s="2"/>
      <c r="U509" s="2"/>
    </row>
    <row r="510" spans="1:21" ht="15.75" customHeight="1">
      <c r="A510" s="1"/>
      <c r="B510" s="2"/>
      <c r="C510" s="2"/>
      <c r="D510" s="2"/>
      <c r="E510" s="2"/>
      <c r="F510" s="2"/>
      <c r="G510" s="2"/>
      <c r="H510" s="2"/>
      <c r="I510" s="2"/>
      <c r="J510" s="2"/>
      <c r="K510" s="2"/>
      <c r="L510" s="2"/>
      <c r="M510" s="2"/>
      <c r="N510" s="2"/>
      <c r="O510" s="2"/>
      <c r="P510" s="2"/>
      <c r="Q510" s="2"/>
      <c r="R510" s="2"/>
      <c r="S510" s="2"/>
      <c r="T510" s="2"/>
      <c r="U510" s="2"/>
    </row>
    <row r="511" spans="1:21" ht="15.75" customHeight="1">
      <c r="A511" s="1"/>
      <c r="B511" s="2"/>
      <c r="C511" s="2"/>
      <c r="D511" s="2"/>
      <c r="E511" s="2"/>
      <c r="F511" s="2"/>
      <c r="G511" s="2"/>
      <c r="H511" s="2"/>
      <c r="I511" s="2"/>
      <c r="J511" s="2"/>
      <c r="K511" s="2"/>
      <c r="L511" s="2"/>
      <c r="M511" s="2"/>
      <c r="N511" s="2"/>
      <c r="O511" s="2"/>
      <c r="P511" s="2"/>
      <c r="Q511" s="2"/>
      <c r="R511" s="2"/>
      <c r="S511" s="2"/>
      <c r="T511" s="2"/>
      <c r="U511" s="2"/>
    </row>
    <row r="512" spans="1:21" ht="15.75" customHeight="1">
      <c r="A512" s="1"/>
      <c r="B512" s="2"/>
      <c r="C512" s="2"/>
      <c r="D512" s="2"/>
      <c r="E512" s="2"/>
      <c r="F512" s="2"/>
      <c r="G512" s="2"/>
      <c r="H512" s="2"/>
      <c r="I512" s="2"/>
      <c r="J512" s="2"/>
      <c r="K512" s="2"/>
      <c r="L512" s="2"/>
      <c r="M512" s="2"/>
      <c r="N512" s="2"/>
      <c r="O512" s="2"/>
      <c r="P512" s="2"/>
      <c r="Q512" s="2"/>
      <c r="R512" s="2"/>
      <c r="S512" s="2"/>
      <c r="T512" s="2"/>
      <c r="U512" s="2"/>
    </row>
    <row r="513" spans="1:21" ht="15.75" customHeight="1">
      <c r="A513" s="1"/>
      <c r="B513" s="2"/>
      <c r="C513" s="2"/>
      <c r="D513" s="2"/>
      <c r="E513" s="2"/>
      <c r="F513" s="2"/>
      <c r="G513" s="2"/>
      <c r="H513" s="2"/>
      <c r="I513" s="2"/>
      <c r="J513" s="2"/>
      <c r="K513" s="2"/>
      <c r="L513" s="2"/>
      <c r="M513" s="2"/>
      <c r="N513" s="2"/>
      <c r="O513" s="2"/>
      <c r="P513" s="2"/>
      <c r="Q513" s="2"/>
      <c r="R513" s="2"/>
      <c r="S513" s="2"/>
      <c r="T513" s="2"/>
      <c r="U513" s="2"/>
    </row>
    <row r="514" spans="1:21" ht="15.75" customHeight="1">
      <c r="A514" s="1"/>
      <c r="B514" s="2"/>
      <c r="C514" s="2"/>
      <c r="D514" s="2"/>
      <c r="E514" s="2"/>
      <c r="F514" s="2"/>
      <c r="G514" s="2"/>
      <c r="H514" s="2"/>
      <c r="I514" s="2"/>
      <c r="J514" s="2"/>
      <c r="K514" s="2"/>
      <c r="L514" s="2"/>
      <c r="M514" s="2"/>
      <c r="N514" s="2"/>
      <c r="O514" s="2"/>
      <c r="P514" s="2"/>
      <c r="Q514" s="2"/>
      <c r="R514" s="2"/>
      <c r="S514" s="2"/>
      <c r="T514" s="2"/>
      <c r="U514" s="2"/>
    </row>
    <row r="515" spans="1:21" ht="15.75" customHeight="1">
      <c r="A515" s="1"/>
      <c r="B515" s="2"/>
      <c r="C515" s="2"/>
      <c r="D515" s="2"/>
      <c r="E515" s="2"/>
      <c r="F515" s="2"/>
      <c r="G515" s="2"/>
      <c r="H515" s="2"/>
      <c r="I515" s="2"/>
      <c r="J515" s="2"/>
      <c r="K515" s="2"/>
      <c r="L515" s="2"/>
      <c r="M515" s="2"/>
      <c r="N515" s="2"/>
      <c r="O515" s="2"/>
      <c r="P515" s="2"/>
      <c r="Q515" s="2"/>
      <c r="R515" s="2"/>
      <c r="S515" s="2"/>
      <c r="T515" s="2"/>
      <c r="U515" s="2"/>
    </row>
    <row r="516" spans="1:21" ht="15.75" customHeight="1">
      <c r="A516" s="1"/>
      <c r="B516" s="2"/>
      <c r="C516" s="2"/>
      <c r="D516" s="2"/>
      <c r="E516" s="2"/>
      <c r="F516" s="2"/>
      <c r="G516" s="2"/>
      <c r="H516" s="2"/>
      <c r="I516" s="2"/>
      <c r="J516" s="2"/>
      <c r="K516" s="2"/>
      <c r="L516" s="2"/>
      <c r="M516" s="2"/>
      <c r="N516" s="2"/>
      <c r="O516" s="2"/>
      <c r="P516" s="2"/>
      <c r="Q516" s="2"/>
      <c r="R516" s="2"/>
      <c r="S516" s="2"/>
      <c r="T516" s="2"/>
      <c r="U516" s="2"/>
    </row>
    <row r="517" spans="1:21" ht="15.75" customHeight="1">
      <c r="A517" s="1"/>
      <c r="B517" s="2"/>
      <c r="C517" s="2"/>
      <c r="D517" s="2"/>
      <c r="E517" s="2"/>
      <c r="F517" s="2"/>
      <c r="G517" s="2"/>
      <c r="H517" s="2"/>
      <c r="I517" s="2"/>
      <c r="J517" s="2"/>
      <c r="K517" s="2"/>
      <c r="L517" s="2"/>
      <c r="M517" s="2"/>
      <c r="N517" s="2"/>
      <c r="O517" s="2"/>
      <c r="P517" s="2"/>
      <c r="Q517" s="2"/>
      <c r="R517" s="2"/>
      <c r="S517" s="2"/>
      <c r="T517" s="2"/>
      <c r="U517" s="2"/>
    </row>
    <row r="518" spans="1:21" ht="15.75" customHeight="1">
      <c r="A518" s="1"/>
      <c r="B518" s="2"/>
      <c r="C518" s="2"/>
      <c r="D518" s="2"/>
      <c r="E518" s="2"/>
      <c r="F518" s="2"/>
      <c r="G518" s="2"/>
      <c r="H518" s="2"/>
      <c r="I518" s="2"/>
      <c r="J518" s="2"/>
      <c r="K518" s="2"/>
      <c r="L518" s="2"/>
      <c r="M518" s="2"/>
      <c r="N518" s="2"/>
      <c r="O518" s="2"/>
      <c r="P518" s="2"/>
      <c r="Q518" s="2"/>
      <c r="R518" s="2"/>
      <c r="S518" s="2"/>
      <c r="T518" s="2"/>
      <c r="U518" s="2"/>
    </row>
    <row r="519" spans="1:21" ht="15.75" customHeight="1">
      <c r="A519" s="1"/>
      <c r="B519" s="2"/>
      <c r="C519" s="2"/>
      <c r="D519" s="2"/>
      <c r="E519" s="2"/>
      <c r="F519" s="2"/>
      <c r="G519" s="2"/>
      <c r="H519" s="2"/>
      <c r="I519" s="2"/>
      <c r="J519" s="2"/>
      <c r="K519" s="2"/>
      <c r="L519" s="2"/>
      <c r="M519" s="2"/>
      <c r="N519" s="2"/>
      <c r="O519" s="2"/>
      <c r="P519" s="2"/>
      <c r="Q519" s="2"/>
      <c r="R519" s="2"/>
      <c r="S519" s="2"/>
      <c r="T519" s="2"/>
      <c r="U519" s="2"/>
    </row>
    <row r="520" spans="1:21" ht="15.75" customHeight="1">
      <c r="A520" s="1"/>
      <c r="B520" s="2"/>
      <c r="C520" s="2"/>
      <c r="D520" s="2"/>
      <c r="E520" s="2"/>
      <c r="F520" s="2"/>
      <c r="G520" s="2"/>
      <c r="H520" s="2"/>
      <c r="I520" s="2"/>
      <c r="J520" s="2"/>
      <c r="K520" s="2"/>
      <c r="L520" s="2"/>
      <c r="M520" s="2"/>
      <c r="N520" s="2"/>
      <c r="O520" s="2"/>
      <c r="P520" s="2"/>
      <c r="Q520" s="2"/>
      <c r="R520" s="2"/>
      <c r="S520" s="2"/>
      <c r="T520" s="2"/>
      <c r="U520" s="2"/>
    </row>
    <row r="521" spans="1:21" ht="15.75" customHeight="1">
      <c r="A521" s="1"/>
      <c r="B521" s="2"/>
      <c r="C521" s="2"/>
      <c r="D521" s="2"/>
      <c r="E521" s="2"/>
      <c r="F521" s="2"/>
      <c r="G521" s="2"/>
      <c r="H521" s="2"/>
      <c r="I521" s="2"/>
      <c r="J521" s="2"/>
      <c r="K521" s="2"/>
      <c r="L521" s="2"/>
      <c r="M521" s="2"/>
      <c r="N521" s="2"/>
      <c r="O521" s="2"/>
      <c r="P521" s="2"/>
      <c r="Q521" s="2"/>
      <c r="R521" s="2"/>
      <c r="S521" s="2"/>
      <c r="T521" s="2"/>
      <c r="U521" s="2"/>
    </row>
    <row r="522" spans="1:21" ht="15.75" customHeight="1">
      <c r="A522" s="1"/>
      <c r="B522" s="2"/>
      <c r="C522" s="2"/>
      <c r="D522" s="2"/>
      <c r="E522" s="2"/>
      <c r="F522" s="2"/>
      <c r="G522" s="2"/>
      <c r="H522" s="2"/>
      <c r="I522" s="2"/>
      <c r="J522" s="2"/>
      <c r="K522" s="2"/>
      <c r="L522" s="2"/>
      <c r="M522" s="2"/>
      <c r="N522" s="2"/>
      <c r="O522" s="2"/>
      <c r="P522" s="2"/>
      <c r="Q522" s="2"/>
      <c r="R522" s="2"/>
      <c r="S522" s="2"/>
      <c r="T522" s="2"/>
      <c r="U522" s="2"/>
    </row>
    <row r="523" spans="1:21" ht="15.75" customHeight="1">
      <c r="A523" s="1"/>
      <c r="B523" s="2"/>
      <c r="C523" s="2"/>
      <c r="D523" s="2"/>
      <c r="E523" s="2"/>
      <c r="F523" s="2"/>
      <c r="G523" s="2"/>
      <c r="H523" s="2"/>
      <c r="I523" s="2"/>
      <c r="J523" s="2"/>
      <c r="K523" s="2"/>
      <c r="L523" s="2"/>
      <c r="M523" s="2"/>
      <c r="N523" s="2"/>
      <c r="O523" s="2"/>
      <c r="P523" s="2"/>
      <c r="Q523" s="2"/>
      <c r="R523" s="2"/>
      <c r="S523" s="2"/>
      <c r="T523" s="2"/>
      <c r="U523" s="2"/>
    </row>
    <row r="524" spans="1:21" ht="15.75" customHeight="1">
      <c r="A524" s="1"/>
      <c r="B524" s="2"/>
      <c r="C524" s="2"/>
      <c r="D524" s="2"/>
      <c r="E524" s="2"/>
      <c r="F524" s="2"/>
      <c r="G524" s="2"/>
      <c r="H524" s="2"/>
      <c r="I524" s="2"/>
      <c r="J524" s="2"/>
      <c r="K524" s="2"/>
      <c r="L524" s="2"/>
      <c r="M524" s="2"/>
      <c r="N524" s="2"/>
      <c r="O524" s="2"/>
      <c r="P524" s="2"/>
      <c r="Q524" s="2"/>
      <c r="R524" s="2"/>
      <c r="S524" s="2"/>
      <c r="T524" s="2"/>
      <c r="U524" s="2"/>
    </row>
    <row r="525" spans="1:21" ht="15.75" customHeight="1">
      <c r="A525" s="1"/>
      <c r="B525" s="2"/>
      <c r="C525" s="2"/>
      <c r="D525" s="2"/>
      <c r="E525" s="2"/>
      <c r="F525" s="2"/>
      <c r="G525" s="2"/>
      <c r="H525" s="2"/>
      <c r="I525" s="2"/>
      <c r="J525" s="2"/>
      <c r="K525" s="2"/>
      <c r="L525" s="2"/>
      <c r="M525" s="2"/>
      <c r="N525" s="2"/>
      <c r="O525" s="2"/>
      <c r="P525" s="2"/>
      <c r="Q525" s="2"/>
      <c r="R525" s="2"/>
      <c r="S525" s="2"/>
      <c r="T525" s="2"/>
      <c r="U525" s="2"/>
    </row>
    <row r="526" spans="1:21" ht="15.75" customHeight="1">
      <c r="A526" s="1"/>
      <c r="B526" s="2"/>
      <c r="C526" s="2"/>
      <c r="D526" s="2"/>
      <c r="E526" s="2"/>
      <c r="F526" s="2"/>
      <c r="G526" s="2"/>
      <c r="H526" s="2"/>
      <c r="I526" s="2"/>
      <c r="J526" s="2"/>
      <c r="K526" s="2"/>
      <c r="L526" s="2"/>
      <c r="M526" s="2"/>
      <c r="N526" s="2"/>
      <c r="O526" s="2"/>
      <c r="P526" s="2"/>
      <c r="Q526" s="2"/>
      <c r="R526" s="2"/>
      <c r="S526" s="2"/>
      <c r="T526" s="2"/>
      <c r="U526" s="2"/>
    </row>
    <row r="527" spans="1:21" ht="15.75" customHeight="1">
      <c r="A527" s="1"/>
      <c r="B527" s="2"/>
      <c r="C527" s="2"/>
      <c r="D527" s="2"/>
      <c r="E527" s="2"/>
      <c r="F527" s="2"/>
      <c r="G527" s="2"/>
      <c r="H527" s="2"/>
      <c r="I527" s="2"/>
      <c r="J527" s="2"/>
      <c r="K527" s="2"/>
      <c r="L527" s="2"/>
      <c r="M527" s="2"/>
      <c r="N527" s="2"/>
      <c r="O527" s="2"/>
      <c r="P527" s="2"/>
      <c r="Q527" s="2"/>
      <c r="R527" s="2"/>
      <c r="S527" s="2"/>
      <c r="T527" s="2"/>
      <c r="U527" s="2"/>
    </row>
    <row r="528" spans="1:21" ht="15.75" customHeight="1">
      <c r="A528" s="1"/>
      <c r="B528" s="2"/>
      <c r="C528" s="2"/>
      <c r="D528" s="2"/>
      <c r="E528" s="2"/>
      <c r="F528" s="2"/>
      <c r="G528" s="2"/>
      <c r="H528" s="2"/>
      <c r="I528" s="2"/>
      <c r="J528" s="2"/>
      <c r="K528" s="2"/>
      <c r="L528" s="2"/>
      <c r="M528" s="2"/>
      <c r="N528" s="2"/>
      <c r="O528" s="2"/>
      <c r="P528" s="2"/>
      <c r="Q528" s="2"/>
      <c r="R528" s="2"/>
      <c r="S528" s="2"/>
      <c r="T528" s="2"/>
      <c r="U528" s="2"/>
    </row>
    <row r="529" spans="1:21" ht="15.75" customHeight="1">
      <c r="A529" s="1"/>
      <c r="B529" s="2"/>
      <c r="C529" s="2"/>
      <c r="D529" s="2"/>
      <c r="E529" s="2"/>
      <c r="F529" s="2"/>
      <c r="G529" s="2"/>
      <c r="H529" s="2"/>
      <c r="I529" s="2"/>
      <c r="J529" s="2"/>
      <c r="K529" s="2"/>
      <c r="L529" s="2"/>
      <c r="M529" s="2"/>
      <c r="N529" s="2"/>
      <c r="O529" s="2"/>
      <c r="P529" s="2"/>
      <c r="Q529" s="2"/>
      <c r="R529" s="2"/>
      <c r="S529" s="2"/>
      <c r="T529" s="2"/>
      <c r="U529" s="2"/>
    </row>
    <row r="530" spans="1:21" ht="15.75" customHeight="1">
      <c r="A530" s="1"/>
      <c r="B530" s="2"/>
      <c r="C530" s="2"/>
      <c r="D530" s="2"/>
      <c r="E530" s="2"/>
      <c r="F530" s="2"/>
      <c r="G530" s="2"/>
      <c r="H530" s="2"/>
      <c r="I530" s="2"/>
      <c r="J530" s="2"/>
      <c r="K530" s="2"/>
      <c r="L530" s="2"/>
      <c r="M530" s="2"/>
      <c r="N530" s="2"/>
      <c r="O530" s="2"/>
      <c r="P530" s="2"/>
      <c r="Q530" s="2"/>
      <c r="R530" s="2"/>
      <c r="S530" s="2"/>
      <c r="T530" s="2"/>
      <c r="U530" s="2"/>
    </row>
    <row r="531" spans="1:21" ht="15.75" customHeight="1">
      <c r="A531" s="1"/>
      <c r="B531" s="2"/>
      <c r="C531" s="2"/>
      <c r="D531" s="2"/>
      <c r="E531" s="2"/>
      <c r="F531" s="2"/>
      <c r="G531" s="2"/>
      <c r="H531" s="2"/>
      <c r="I531" s="2"/>
      <c r="J531" s="2"/>
      <c r="K531" s="2"/>
      <c r="L531" s="2"/>
      <c r="M531" s="2"/>
      <c r="N531" s="2"/>
      <c r="O531" s="2"/>
      <c r="P531" s="2"/>
      <c r="Q531" s="2"/>
      <c r="R531" s="2"/>
      <c r="S531" s="2"/>
      <c r="T531" s="2"/>
      <c r="U531" s="2"/>
    </row>
    <row r="532" spans="1:21" ht="15.75" customHeight="1">
      <c r="A532" s="1"/>
      <c r="B532" s="2"/>
      <c r="C532" s="2"/>
      <c r="D532" s="2"/>
      <c r="E532" s="2"/>
      <c r="F532" s="2"/>
      <c r="G532" s="2"/>
      <c r="H532" s="2"/>
      <c r="I532" s="2"/>
      <c r="J532" s="2"/>
      <c r="K532" s="2"/>
      <c r="L532" s="2"/>
      <c r="M532" s="2"/>
      <c r="N532" s="2"/>
      <c r="O532" s="2"/>
      <c r="P532" s="2"/>
      <c r="Q532" s="2"/>
      <c r="R532" s="2"/>
      <c r="S532" s="2"/>
      <c r="T532" s="2"/>
      <c r="U532" s="2"/>
    </row>
    <row r="533" spans="1:21" ht="15.75" customHeight="1">
      <c r="A533" s="1"/>
      <c r="B533" s="2"/>
      <c r="C533" s="2"/>
      <c r="D533" s="2"/>
      <c r="E533" s="2"/>
      <c r="F533" s="2"/>
      <c r="G533" s="2"/>
      <c r="H533" s="2"/>
      <c r="I533" s="2"/>
      <c r="J533" s="2"/>
      <c r="K533" s="2"/>
      <c r="L533" s="2"/>
      <c r="M533" s="2"/>
      <c r="N533" s="2"/>
      <c r="O533" s="2"/>
      <c r="P533" s="2"/>
      <c r="Q533" s="2"/>
      <c r="R533" s="2"/>
      <c r="S533" s="2"/>
      <c r="T533" s="2"/>
      <c r="U533" s="2"/>
    </row>
    <row r="534" spans="1:21" ht="15.75" customHeight="1">
      <c r="A534" s="1"/>
      <c r="B534" s="2"/>
      <c r="C534" s="2"/>
      <c r="D534" s="2"/>
      <c r="E534" s="2"/>
      <c r="F534" s="2"/>
      <c r="G534" s="2"/>
      <c r="H534" s="2"/>
      <c r="I534" s="2"/>
      <c r="J534" s="2"/>
      <c r="K534" s="2"/>
      <c r="L534" s="2"/>
      <c r="M534" s="2"/>
      <c r="N534" s="2"/>
      <c r="O534" s="2"/>
      <c r="P534" s="2"/>
      <c r="Q534" s="2"/>
      <c r="R534" s="2"/>
      <c r="S534" s="2"/>
      <c r="T534" s="2"/>
      <c r="U534" s="2"/>
    </row>
    <row r="535" spans="1:21" ht="15.75" customHeight="1">
      <c r="A535" s="1"/>
      <c r="B535" s="2"/>
      <c r="C535" s="2"/>
      <c r="D535" s="2"/>
      <c r="E535" s="2"/>
      <c r="F535" s="2"/>
      <c r="G535" s="2"/>
      <c r="H535" s="2"/>
      <c r="I535" s="2"/>
      <c r="J535" s="2"/>
      <c r="K535" s="2"/>
      <c r="L535" s="2"/>
      <c r="M535" s="2"/>
      <c r="N535" s="2"/>
      <c r="O535" s="2"/>
      <c r="P535" s="2"/>
      <c r="Q535" s="2"/>
      <c r="R535" s="2"/>
      <c r="S535" s="2"/>
      <c r="T535" s="2"/>
      <c r="U535" s="2"/>
    </row>
    <row r="536" spans="1:21" ht="15.75" customHeight="1">
      <c r="A536" s="1"/>
      <c r="B536" s="2"/>
      <c r="C536" s="2"/>
      <c r="D536" s="2"/>
      <c r="E536" s="2"/>
      <c r="F536" s="2"/>
      <c r="G536" s="2"/>
      <c r="H536" s="2"/>
      <c r="I536" s="2"/>
      <c r="J536" s="2"/>
      <c r="K536" s="2"/>
      <c r="L536" s="2"/>
      <c r="M536" s="2"/>
      <c r="N536" s="2"/>
      <c r="O536" s="2"/>
      <c r="P536" s="2"/>
      <c r="Q536" s="2"/>
      <c r="R536" s="2"/>
      <c r="S536" s="2"/>
      <c r="T536" s="2"/>
      <c r="U536" s="2"/>
    </row>
    <row r="537" spans="1:21" ht="15.75" customHeight="1">
      <c r="A537" s="1"/>
      <c r="B537" s="2"/>
      <c r="C537" s="2"/>
      <c r="D537" s="2"/>
      <c r="E537" s="2"/>
      <c r="F537" s="2"/>
      <c r="G537" s="2"/>
      <c r="H537" s="2"/>
      <c r="I537" s="2"/>
      <c r="J537" s="2"/>
      <c r="K537" s="2"/>
      <c r="L537" s="2"/>
      <c r="M537" s="2"/>
      <c r="N537" s="2"/>
      <c r="O537" s="2"/>
      <c r="P537" s="2"/>
      <c r="Q537" s="2"/>
      <c r="R537" s="2"/>
      <c r="S537" s="2"/>
      <c r="T537" s="2"/>
      <c r="U537" s="2"/>
    </row>
    <row r="538" spans="1:21" ht="15.75" customHeight="1">
      <c r="A538" s="1"/>
      <c r="B538" s="2"/>
      <c r="C538" s="2"/>
      <c r="D538" s="2"/>
      <c r="E538" s="2"/>
      <c r="F538" s="2"/>
      <c r="G538" s="2"/>
      <c r="H538" s="2"/>
      <c r="I538" s="2"/>
      <c r="J538" s="2"/>
      <c r="K538" s="2"/>
      <c r="L538" s="2"/>
      <c r="M538" s="2"/>
      <c r="N538" s="2"/>
      <c r="O538" s="2"/>
      <c r="P538" s="2"/>
      <c r="Q538" s="2"/>
      <c r="R538" s="2"/>
      <c r="S538" s="2"/>
      <c r="T538" s="2"/>
      <c r="U538" s="2"/>
    </row>
    <row r="539" spans="1:21" ht="15.75" customHeight="1">
      <c r="A539" s="1"/>
      <c r="B539" s="2"/>
      <c r="C539" s="2"/>
      <c r="D539" s="2"/>
      <c r="E539" s="2"/>
      <c r="F539" s="2"/>
      <c r="G539" s="2"/>
      <c r="H539" s="2"/>
      <c r="I539" s="2"/>
      <c r="J539" s="2"/>
      <c r="K539" s="2"/>
      <c r="L539" s="2"/>
      <c r="M539" s="2"/>
      <c r="N539" s="2"/>
      <c r="O539" s="2"/>
      <c r="P539" s="2"/>
      <c r="Q539" s="2"/>
      <c r="R539" s="2"/>
      <c r="S539" s="2"/>
      <c r="T539" s="2"/>
      <c r="U539" s="2"/>
    </row>
    <row r="540" spans="1:21" ht="15.75" customHeight="1">
      <c r="A540" s="1"/>
      <c r="B540" s="2"/>
      <c r="C540" s="2"/>
      <c r="D540" s="2"/>
      <c r="E540" s="2"/>
      <c r="F540" s="2"/>
      <c r="G540" s="2"/>
      <c r="H540" s="2"/>
      <c r="I540" s="2"/>
      <c r="J540" s="2"/>
      <c r="K540" s="2"/>
      <c r="L540" s="2"/>
      <c r="M540" s="2"/>
      <c r="N540" s="2"/>
      <c r="O540" s="2"/>
      <c r="P540" s="2"/>
      <c r="Q540" s="2"/>
      <c r="R540" s="2"/>
      <c r="S540" s="2"/>
      <c r="T540" s="2"/>
      <c r="U540" s="2"/>
    </row>
    <row r="541" spans="1:21" ht="15.75" customHeight="1">
      <c r="A541" s="1"/>
      <c r="B541" s="2"/>
      <c r="C541" s="2"/>
      <c r="D541" s="2"/>
      <c r="E541" s="2"/>
      <c r="F541" s="2"/>
      <c r="G541" s="2"/>
      <c r="H541" s="2"/>
      <c r="I541" s="2"/>
      <c r="J541" s="2"/>
      <c r="K541" s="2"/>
      <c r="L541" s="2"/>
      <c r="M541" s="2"/>
      <c r="N541" s="2"/>
      <c r="O541" s="2"/>
      <c r="P541" s="2"/>
      <c r="Q541" s="2"/>
      <c r="R541" s="2"/>
      <c r="S541" s="2"/>
      <c r="T541" s="2"/>
      <c r="U541" s="2"/>
    </row>
    <row r="542" spans="1:21" ht="15.75" customHeight="1">
      <c r="A542" s="1"/>
      <c r="B542" s="2"/>
      <c r="C542" s="2"/>
      <c r="D542" s="2"/>
      <c r="E542" s="2"/>
      <c r="F542" s="2"/>
      <c r="G542" s="2"/>
      <c r="H542" s="2"/>
      <c r="I542" s="2"/>
      <c r="J542" s="2"/>
      <c r="K542" s="2"/>
      <c r="L542" s="2"/>
      <c r="M542" s="2"/>
      <c r="N542" s="2"/>
      <c r="O542" s="2"/>
      <c r="P542" s="2"/>
      <c r="Q542" s="2"/>
      <c r="R542" s="2"/>
      <c r="S542" s="2"/>
      <c r="T542" s="2"/>
      <c r="U542" s="2"/>
    </row>
    <row r="543" spans="1:21" ht="15.75" customHeight="1">
      <c r="A543" s="1"/>
      <c r="B543" s="2"/>
      <c r="C543" s="2"/>
      <c r="D543" s="2"/>
      <c r="E543" s="2"/>
      <c r="F543" s="2"/>
      <c r="G543" s="2"/>
      <c r="H543" s="2"/>
      <c r="I543" s="2"/>
      <c r="J543" s="2"/>
      <c r="K543" s="2"/>
      <c r="L543" s="2"/>
      <c r="M543" s="2"/>
      <c r="N543" s="2"/>
      <c r="O543" s="2"/>
      <c r="P543" s="2"/>
      <c r="Q543" s="2"/>
      <c r="R543" s="2"/>
      <c r="S543" s="2"/>
      <c r="T543" s="2"/>
      <c r="U543" s="2"/>
    </row>
    <row r="544" spans="1:21" ht="15.75" customHeight="1">
      <c r="A544" s="1"/>
      <c r="B544" s="2"/>
      <c r="C544" s="2"/>
      <c r="D544" s="2"/>
      <c r="E544" s="2"/>
      <c r="F544" s="2"/>
      <c r="G544" s="2"/>
      <c r="H544" s="2"/>
      <c r="I544" s="2"/>
      <c r="J544" s="2"/>
      <c r="K544" s="2"/>
      <c r="L544" s="2"/>
      <c r="M544" s="2"/>
      <c r="N544" s="2"/>
      <c r="O544" s="2"/>
      <c r="P544" s="2"/>
      <c r="Q544" s="2"/>
      <c r="R544" s="2"/>
      <c r="S544" s="2"/>
      <c r="T544" s="2"/>
      <c r="U544" s="2"/>
    </row>
    <row r="545" spans="1:21" ht="15.75" customHeight="1">
      <c r="A545" s="1"/>
      <c r="B545" s="2"/>
      <c r="C545" s="2"/>
      <c r="D545" s="2"/>
      <c r="E545" s="2"/>
      <c r="F545" s="2"/>
      <c r="G545" s="2"/>
      <c r="H545" s="2"/>
      <c r="I545" s="2"/>
      <c r="J545" s="2"/>
      <c r="K545" s="2"/>
      <c r="L545" s="2"/>
      <c r="M545" s="2"/>
      <c r="N545" s="2"/>
      <c r="O545" s="2"/>
      <c r="P545" s="2"/>
      <c r="Q545" s="2"/>
      <c r="R545" s="2"/>
      <c r="S545" s="2"/>
      <c r="T545" s="2"/>
      <c r="U545" s="2"/>
    </row>
    <row r="546" spans="1:21" ht="15.75" customHeight="1">
      <c r="A546" s="1"/>
      <c r="B546" s="2"/>
      <c r="C546" s="2"/>
      <c r="D546" s="2"/>
      <c r="E546" s="2"/>
      <c r="F546" s="2"/>
      <c r="G546" s="2"/>
      <c r="H546" s="2"/>
      <c r="I546" s="2"/>
      <c r="J546" s="2"/>
      <c r="K546" s="2"/>
      <c r="L546" s="2"/>
      <c r="M546" s="2"/>
      <c r="N546" s="2"/>
      <c r="O546" s="2"/>
      <c r="P546" s="2"/>
      <c r="Q546" s="2"/>
      <c r="R546" s="2"/>
      <c r="S546" s="2"/>
      <c r="T546" s="2"/>
      <c r="U546" s="2"/>
    </row>
    <row r="547" spans="1:21" ht="15.75" customHeight="1">
      <c r="A547" s="1"/>
      <c r="B547" s="2"/>
      <c r="C547" s="2"/>
      <c r="D547" s="2"/>
      <c r="E547" s="2"/>
      <c r="F547" s="2"/>
      <c r="G547" s="2"/>
      <c r="H547" s="2"/>
      <c r="I547" s="2"/>
      <c r="J547" s="2"/>
      <c r="K547" s="2"/>
      <c r="L547" s="2"/>
      <c r="M547" s="2"/>
      <c r="N547" s="2"/>
      <c r="O547" s="2"/>
      <c r="P547" s="2"/>
      <c r="Q547" s="2"/>
      <c r="R547" s="2"/>
      <c r="S547" s="2"/>
      <c r="T547" s="2"/>
      <c r="U547" s="2"/>
    </row>
    <row r="548" spans="1:21" ht="15.75" customHeight="1">
      <c r="A548" s="1"/>
      <c r="B548" s="2"/>
      <c r="C548" s="2"/>
      <c r="D548" s="2"/>
      <c r="E548" s="2"/>
      <c r="F548" s="2"/>
      <c r="G548" s="2"/>
      <c r="H548" s="2"/>
      <c r="I548" s="2"/>
      <c r="J548" s="2"/>
      <c r="K548" s="2"/>
      <c r="L548" s="2"/>
      <c r="M548" s="2"/>
      <c r="N548" s="2"/>
      <c r="O548" s="2"/>
      <c r="P548" s="2"/>
      <c r="Q548" s="2"/>
      <c r="R548" s="2"/>
      <c r="S548" s="2"/>
      <c r="T548" s="2"/>
      <c r="U548" s="2"/>
    </row>
    <row r="549" spans="1:21" ht="15.75" customHeight="1">
      <c r="A549" s="1"/>
      <c r="B549" s="2"/>
      <c r="C549" s="2"/>
      <c r="D549" s="2"/>
      <c r="E549" s="2"/>
      <c r="F549" s="2"/>
      <c r="G549" s="2"/>
      <c r="H549" s="2"/>
      <c r="I549" s="2"/>
      <c r="J549" s="2"/>
      <c r="K549" s="2"/>
      <c r="L549" s="2"/>
      <c r="M549" s="2"/>
      <c r="N549" s="2"/>
      <c r="O549" s="2"/>
      <c r="P549" s="2"/>
      <c r="Q549" s="2"/>
      <c r="R549" s="2"/>
      <c r="S549" s="2"/>
      <c r="T549" s="2"/>
      <c r="U549" s="2"/>
    </row>
    <row r="550" spans="1:21" ht="15.75" customHeight="1">
      <c r="A550" s="1"/>
      <c r="B550" s="2"/>
      <c r="C550" s="2"/>
      <c r="D550" s="2"/>
      <c r="E550" s="2"/>
      <c r="F550" s="2"/>
      <c r="G550" s="2"/>
      <c r="H550" s="2"/>
      <c r="I550" s="2"/>
      <c r="J550" s="2"/>
      <c r="K550" s="2"/>
      <c r="L550" s="2"/>
      <c r="M550" s="2"/>
      <c r="N550" s="2"/>
      <c r="O550" s="2"/>
      <c r="P550" s="2"/>
      <c r="Q550" s="2"/>
      <c r="R550" s="2"/>
      <c r="S550" s="2"/>
      <c r="T550" s="2"/>
      <c r="U550" s="2"/>
    </row>
    <row r="551" spans="1:21" ht="15.75" customHeight="1">
      <c r="A551" s="1"/>
      <c r="B551" s="2"/>
      <c r="C551" s="2"/>
      <c r="D551" s="2"/>
      <c r="E551" s="2"/>
      <c r="F551" s="2"/>
      <c r="G551" s="2"/>
      <c r="H551" s="2"/>
      <c r="I551" s="2"/>
      <c r="J551" s="2"/>
      <c r="K551" s="2"/>
      <c r="L551" s="2"/>
      <c r="M551" s="2"/>
      <c r="N551" s="2"/>
      <c r="O551" s="2"/>
      <c r="P551" s="2"/>
      <c r="Q551" s="2"/>
      <c r="R551" s="2"/>
      <c r="S551" s="2"/>
      <c r="T551" s="2"/>
      <c r="U551" s="2"/>
    </row>
    <row r="552" spans="1:21" ht="15.75" customHeight="1">
      <c r="A552" s="1"/>
      <c r="B552" s="2"/>
      <c r="C552" s="2"/>
      <c r="D552" s="2"/>
      <c r="E552" s="2"/>
      <c r="F552" s="2"/>
      <c r="G552" s="2"/>
      <c r="H552" s="2"/>
      <c r="I552" s="2"/>
      <c r="J552" s="2"/>
      <c r="K552" s="2"/>
      <c r="L552" s="2"/>
      <c r="M552" s="2"/>
      <c r="N552" s="2"/>
      <c r="O552" s="2"/>
      <c r="P552" s="2"/>
      <c r="Q552" s="2"/>
      <c r="R552" s="2"/>
      <c r="S552" s="2"/>
      <c r="T552" s="2"/>
      <c r="U552" s="2"/>
    </row>
    <row r="553" spans="1:21" ht="15.75" customHeight="1">
      <c r="A553" s="1"/>
      <c r="B553" s="2"/>
      <c r="C553" s="2"/>
      <c r="D553" s="2"/>
      <c r="E553" s="2"/>
      <c r="F553" s="2"/>
      <c r="G553" s="2"/>
      <c r="H553" s="2"/>
      <c r="I553" s="2"/>
      <c r="J553" s="2"/>
      <c r="K553" s="2"/>
      <c r="L553" s="2"/>
      <c r="M553" s="2"/>
      <c r="N553" s="2"/>
      <c r="O553" s="2"/>
      <c r="P553" s="2"/>
      <c r="Q553" s="2"/>
      <c r="R553" s="2"/>
      <c r="S553" s="2"/>
      <c r="T553" s="2"/>
      <c r="U553" s="2"/>
    </row>
    <row r="554" spans="1:21" ht="15.75" customHeight="1">
      <c r="A554" s="1"/>
      <c r="B554" s="2"/>
      <c r="C554" s="2"/>
      <c r="D554" s="2"/>
      <c r="E554" s="2"/>
      <c r="F554" s="2"/>
      <c r="G554" s="2"/>
      <c r="H554" s="2"/>
      <c r="I554" s="2"/>
      <c r="J554" s="2"/>
      <c r="K554" s="2"/>
      <c r="L554" s="2"/>
      <c r="M554" s="2"/>
      <c r="N554" s="2"/>
      <c r="O554" s="2"/>
      <c r="P554" s="2"/>
      <c r="Q554" s="2"/>
      <c r="R554" s="2"/>
      <c r="S554" s="2"/>
      <c r="T554" s="2"/>
      <c r="U554" s="2"/>
    </row>
    <row r="555" spans="1:21" ht="15.75" customHeight="1">
      <c r="A555" s="1"/>
      <c r="B555" s="2"/>
      <c r="C555" s="2"/>
      <c r="D555" s="2"/>
      <c r="E555" s="2"/>
      <c r="F555" s="2"/>
      <c r="G555" s="2"/>
      <c r="H555" s="2"/>
      <c r="I555" s="2"/>
      <c r="J555" s="2"/>
      <c r="K555" s="2"/>
      <c r="L555" s="2"/>
      <c r="M555" s="2"/>
      <c r="N555" s="2"/>
      <c r="O555" s="2"/>
      <c r="P555" s="2"/>
      <c r="Q555" s="2"/>
      <c r="R555" s="2"/>
      <c r="S555" s="2"/>
      <c r="T555" s="2"/>
      <c r="U555" s="2"/>
    </row>
    <row r="556" spans="1:21" ht="15.75" customHeight="1">
      <c r="A556" s="1"/>
      <c r="B556" s="2"/>
      <c r="C556" s="2"/>
      <c r="D556" s="2"/>
      <c r="E556" s="2"/>
      <c r="F556" s="2"/>
      <c r="G556" s="2"/>
      <c r="H556" s="2"/>
      <c r="I556" s="2"/>
      <c r="J556" s="2"/>
      <c r="K556" s="2"/>
      <c r="L556" s="2"/>
      <c r="M556" s="2"/>
      <c r="N556" s="2"/>
      <c r="O556" s="2"/>
      <c r="P556" s="2"/>
      <c r="Q556" s="2"/>
      <c r="R556" s="2"/>
      <c r="S556" s="2"/>
      <c r="T556" s="2"/>
      <c r="U556" s="2"/>
    </row>
    <row r="557" spans="1:21" ht="15.75" customHeight="1">
      <c r="A557" s="1"/>
      <c r="B557" s="2"/>
      <c r="C557" s="2"/>
      <c r="D557" s="2"/>
      <c r="E557" s="2"/>
      <c r="F557" s="2"/>
      <c r="G557" s="2"/>
      <c r="H557" s="2"/>
      <c r="I557" s="2"/>
      <c r="J557" s="2"/>
      <c r="K557" s="2"/>
      <c r="L557" s="2"/>
      <c r="M557" s="2"/>
      <c r="N557" s="2"/>
      <c r="O557" s="2"/>
      <c r="P557" s="2"/>
      <c r="Q557" s="2"/>
      <c r="R557" s="2"/>
      <c r="S557" s="2"/>
      <c r="T557" s="2"/>
      <c r="U557" s="2"/>
    </row>
    <row r="558" spans="1:21" ht="15.75" customHeight="1">
      <c r="A558" s="1"/>
      <c r="B558" s="2"/>
      <c r="C558" s="2"/>
      <c r="D558" s="2"/>
      <c r="E558" s="2"/>
      <c r="F558" s="2"/>
      <c r="G558" s="2"/>
      <c r="H558" s="2"/>
      <c r="I558" s="2"/>
      <c r="J558" s="2"/>
      <c r="K558" s="2"/>
      <c r="L558" s="2"/>
      <c r="M558" s="2"/>
      <c r="N558" s="2"/>
      <c r="O558" s="2"/>
      <c r="P558" s="2"/>
      <c r="Q558" s="2"/>
      <c r="R558" s="2"/>
      <c r="S558" s="2"/>
      <c r="T558" s="2"/>
      <c r="U558" s="2"/>
    </row>
    <row r="559" spans="1:21" ht="15.75" customHeight="1">
      <c r="A559" s="1"/>
      <c r="B559" s="2"/>
      <c r="C559" s="2"/>
      <c r="D559" s="2"/>
      <c r="E559" s="2"/>
      <c r="F559" s="2"/>
      <c r="G559" s="2"/>
      <c r="H559" s="2"/>
      <c r="I559" s="2"/>
      <c r="J559" s="2"/>
      <c r="K559" s="2"/>
      <c r="L559" s="2"/>
      <c r="M559" s="2"/>
      <c r="N559" s="2"/>
      <c r="O559" s="2"/>
      <c r="P559" s="2"/>
      <c r="Q559" s="2"/>
      <c r="R559" s="2"/>
      <c r="S559" s="2"/>
      <c r="T559" s="2"/>
      <c r="U559" s="2"/>
    </row>
    <row r="560" spans="1:21" ht="15.75" customHeight="1">
      <c r="A560" s="1"/>
      <c r="B560" s="2"/>
      <c r="C560" s="2"/>
      <c r="D560" s="2"/>
      <c r="E560" s="2"/>
      <c r="F560" s="2"/>
      <c r="G560" s="2"/>
      <c r="H560" s="2"/>
      <c r="I560" s="2"/>
      <c r="J560" s="2"/>
      <c r="K560" s="2"/>
      <c r="L560" s="2"/>
      <c r="M560" s="2"/>
      <c r="N560" s="2"/>
      <c r="O560" s="2"/>
      <c r="P560" s="2"/>
      <c r="Q560" s="2"/>
      <c r="R560" s="2"/>
      <c r="S560" s="2"/>
      <c r="T560" s="2"/>
      <c r="U560" s="2"/>
    </row>
    <row r="561" spans="1:21" ht="15.75" customHeight="1">
      <c r="A561" s="1"/>
      <c r="B561" s="2"/>
      <c r="C561" s="2"/>
      <c r="D561" s="2"/>
      <c r="E561" s="2"/>
      <c r="F561" s="2"/>
      <c r="G561" s="2"/>
      <c r="H561" s="2"/>
      <c r="I561" s="2"/>
      <c r="J561" s="2"/>
      <c r="K561" s="2"/>
      <c r="L561" s="2"/>
      <c r="M561" s="2"/>
      <c r="N561" s="2"/>
      <c r="O561" s="2"/>
      <c r="P561" s="2"/>
      <c r="Q561" s="2"/>
      <c r="R561" s="2"/>
      <c r="S561" s="2"/>
      <c r="T561" s="2"/>
      <c r="U561" s="2"/>
    </row>
    <row r="562" spans="1:21" ht="15.75" customHeight="1">
      <c r="A562" s="1"/>
      <c r="B562" s="2"/>
      <c r="C562" s="2"/>
      <c r="D562" s="2"/>
      <c r="E562" s="2"/>
      <c r="F562" s="2"/>
      <c r="G562" s="2"/>
      <c r="H562" s="2"/>
      <c r="I562" s="2"/>
      <c r="J562" s="2"/>
      <c r="K562" s="2"/>
      <c r="L562" s="2"/>
      <c r="M562" s="2"/>
      <c r="N562" s="2"/>
      <c r="O562" s="2"/>
      <c r="P562" s="2"/>
      <c r="Q562" s="2"/>
      <c r="R562" s="2"/>
      <c r="S562" s="2"/>
      <c r="T562" s="2"/>
      <c r="U562" s="2"/>
    </row>
    <row r="563" spans="1:21" ht="15.75" customHeight="1">
      <c r="A563" s="1"/>
      <c r="B563" s="2"/>
      <c r="C563" s="2"/>
      <c r="D563" s="2"/>
      <c r="E563" s="2"/>
      <c r="F563" s="2"/>
      <c r="G563" s="2"/>
      <c r="H563" s="2"/>
      <c r="I563" s="2"/>
      <c r="J563" s="2"/>
      <c r="K563" s="2"/>
      <c r="L563" s="2"/>
      <c r="M563" s="2"/>
      <c r="N563" s="2"/>
      <c r="O563" s="2"/>
      <c r="P563" s="2"/>
      <c r="Q563" s="2"/>
      <c r="R563" s="2"/>
      <c r="S563" s="2"/>
      <c r="T563" s="2"/>
      <c r="U563" s="2"/>
    </row>
    <row r="564" spans="1:21" ht="15.75" customHeight="1">
      <c r="A564" s="1"/>
      <c r="B564" s="2"/>
      <c r="C564" s="2"/>
      <c r="D564" s="2"/>
      <c r="E564" s="2"/>
      <c r="F564" s="2"/>
      <c r="G564" s="2"/>
      <c r="H564" s="2"/>
      <c r="I564" s="2"/>
      <c r="J564" s="2"/>
      <c r="K564" s="2"/>
      <c r="L564" s="2"/>
      <c r="M564" s="2"/>
      <c r="N564" s="2"/>
      <c r="O564" s="2"/>
      <c r="P564" s="2"/>
      <c r="Q564" s="2"/>
      <c r="R564" s="2"/>
      <c r="S564" s="2"/>
      <c r="T564" s="2"/>
      <c r="U564" s="2"/>
    </row>
    <row r="565" spans="1:21" ht="15.75" customHeight="1">
      <c r="A565" s="1"/>
      <c r="B565" s="2"/>
      <c r="C565" s="2"/>
      <c r="D565" s="2"/>
      <c r="E565" s="2"/>
      <c r="F565" s="2"/>
      <c r="G565" s="2"/>
      <c r="H565" s="2"/>
      <c r="I565" s="2"/>
      <c r="J565" s="2"/>
      <c r="K565" s="2"/>
      <c r="L565" s="2"/>
      <c r="M565" s="2"/>
      <c r="N565" s="2"/>
      <c r="O565" s="2"/>
      <c r="P565" s="2"/>
      <c r="Q565" s="2"/>
      <c r="R565" s="2"/>
      <c r="S565" s="2"/>
      <c r="T565" s="2"/>
      <c r="U565" s="2"/>
    </row>
    <row r="566" spans="1:21" ht="15.75" customHeight="1">
      <c r="A566" s="1"/>
      <c r="B566" s="2"/>
      <c r="C566" s="2"/>
      <c r="D566" s="2"/>
      <c r="E566" s="2"/>
      <c r="F566" s="2"/>
      <c r="G566" s="2"/>
      <c r="H566" s="2"/>
      <c r="I566" s="2"/>
      <c r="J566" s="2"/>
      <c r="K566" s="2"/>
      <c r="L566" s="2"/>
      <c r="M566" s="2"/>
      <c r="N566" s="2"/>
      <c r="O566" s="2"/>
      <c r="P566" s="2"/>
      <c r="Q566" s="2"/>
      <c r="R566" s="2"/>
      <c r="S566" s="2"/>
      <c r="T566" s="2"/>
      <c r="U566" s="2"/>
    </row>
    <row r="567" spans="1:21" ht="15.75" customHeight="1">
      <c r="A567" s="1"/>
      <c r="B567" s="2"/>
      <c r="C567" s="2"/>
      <c r="D567" s="2"/>
      <c r="E567" s="2"/>
      <c r="F567" s="2"/>
      <c r="G567" s="2"/>
      <c r="H567" s="2"/>
      <c r="I567" s="2"/>
      <c r="J567" s="2"/>
      <c r="K567" s="2"/>
      <c r="L567" s="2"/>
      <c r="M567" s="2"/>
      <c r="N567" s="2"/>
      <c r="O567" s="2"/>
      <c r="P567" s="2"/>
      <c r="Q567" s="2"/>
      <c r="R567" s="2"/>
      <c r="S567" s="2"/>
      <c r="T567" s="2"/>
      <c r="U567" s="2"/>
    </row>
    <row r="568" spans="1:21" ht="15.75" customHeight="1">
      <c r="A568" s="1"/>
      <c r="B568" s="2"/>
      <c r="C568" s="2"/>
      <c r="D568" s="2"/>
      <c r="E568" s="2"/>
      <c r="F568" s="2"/>
      <c r="G568" s="2"/>
      <c r="H568" s="2"/>
      <c r="I568" s="2"/>
      <c r="J568" s="2"/>
      <c r="K568" s="2"/>
      <c r="L568" s="2"/>
      <c r="M568" s="2"/>
      <c r="N568" s="2"/>
      <c r="O568" s="2"/>
      <c r="P568" s="2"/>
      <c r="Q568" s="2"/>
      <c r="R568" s="2"/>
      <c r="S568" s="2"/>
      <c r="T568" s="2"/>
      <c r="U568" s="2"/>
    </row>
    <row r="569" spans="1:21" ht="15.75" customHeight="1">
      <c r="A569" s="1"/>
      <c r="B569" s="2"/>
      <c r="C569" s="2"/>
      <c r="D569" s="2"/>
      <c r="E569" s="2"/>
      <c r="F569" s="2"/>
      <c r="G569" s="2"/>
      <c r="H569" s="2"/>
      <c r="I569" s="2"/>
      <c r="J569" s="2"/>
      <c r="K569" s="2"/>
      <c r="L569" s="2"/>
      <c r="M569" s="2"/>
      <c r="N569" s="2"/>
      <c r="O569" s="2"/>
      <c r="P569" s="2"/>
      <c r="Q569" s="2"/>
      <c r="R569" s="2"/>
      <c r="S569" s="2"/>
      <c r="T569" s="2"/>
      <c r="U569" s="2"/>
    </row>
    <row r="570" spans="1:21" ht="15.75" customHeight="1">
      <c r="A570" s="1"/>
      <c r="B570" s="2"/>
      <c r="C570" s="2"/>
      <c r="D570" s="2"/>
      <c r="E570" s="2"/>
      <c r="F570" s="2"/>
      <c r="G570" s="2"/>
      <c r="H570" s="2"/>
      <c r="I570" s="2"/>
      <c r="J570" s="2"/>
      <c r="K570" s="2"/>
      <c r="L570" s="2"/>
      <c r="M570" s="2"/>
      <c r="N570" s="2"/>
      <c r="O570" s="2"/>
      <c r="P570" s="2"/>
      <c r="Q570" s="2"/>
      <c r="R570" s="2"/>
      <c r="S570" s="2"/>
      <c r="T570" s="2"/>
      <c r="U570" s="2"/>
    </row>
    <row r="571" spans="1:21" ht="15.75" customHeight="1">
      <c r="A571" s="1"/>
      <c r="B571" s="2"/>
      <c r="C571" s="2"/>
      <c r="D571" s="2"/>
      <c r="E571" s="2"/>
      <c r="F571" s="2"/>
      <c r="G571" s="2"/>
      <c r="H571" s="2"/>
      <c r="I571" s="2"/>
      <c r="J571" s="2"/>
      <c r="K571" s="2"/>
      <c r="L571" s="2"/>
      <c r="M571" s="2"/>
      <c r="N571" s="2"/>
      <c r="O571" s="2"/>
      <c r="P571" s="2"/>
      <c r="Q571" s="2"/>
      <c r="R571" s="2"/>
      <c r="S571" s="2"/>
      <c r="T571" s="2"/>
      <c r="U571" s="2"/>
    </row>
    <row r="572" spans="1:21" ht="15.75" customHeight="1">
      <c r="A572" s="1"/>
      <c r="B572" s="2"/>
      <c r="C572" s="2"/>
      <c r="D572" s="2"/>
      <c r="E572" s="2"/>
      <c r="F572" s="2"/>
      <c r="G572" s="2"/>
      <c r="H572" s="2"/>
      <c r="I572" s="2"/>
      <c r="J572" s="2"/>
      <c r="K572" s="2"/>
      <c r="L572" s="2"/>
      <c r="M572" s="2"/>
      <c r="N572" s="2"/>
      <c r="O572" s="2"/>
      <c r="P572" s="2"/>
      <c r="Q572" s="2"/>
      <c r="R572" s="2"/>
      <c r="S572" s="2"/>
      <c r="T572" s="2"/>
      <c r="U572" s="2"/>
    </row>
    <row r="573" spans="1:21" ht="15.75" customHeight="1">
      <c r="A573" s="1"/>
      <c r="B573" s="2"/>
      <c r="C573" s="2"/>
      <c r="D573" s="2"/>
      <c r="E573" s="2"/>
      <c r="F573" s="2"/>
      <c r="G573" s="2"/>
      <c r="H573" s="2"/>
      <c r="I573" s="2"/>
      <c r="J573" s="2"/>
      <c r="K573" s="2"/>
      <c r="L573" s="2"/>
      <c r="M573" s="2"/>
      <c r="N573" s="2"/>
      <c r="O573" s="2"/>
      <c r="P573" s="2"/>
      <c r="Q573" s="2"/>
      <c r="R573" s="2"/>
      <c r="S573" s="2"/>
      <c r="T573" s="2"/>
      <c r="U573" s="2"/>
    </row>
    <row r="574" spans="1:21" ht="15.75" customHeight="1">
      <c r="A574" s="1"/>
      <c r="B574" s="2"/>
      <c r="C574" s="2"/>
      <c r="D574" s="2"/>
      <c r="E574" s="2"/>
      <c r="F574" s="2"/>
      <c r="G574" s="2"/>
      <c r="H574" s="2"/>
      <c r="I574" s="2"/>
      <c r="J574" s="2"/>
      <c r="K574" s="2"/>
      <c r="L574" s="2"/>
      <c r="M574" s="2"/>
      <c r="N574" s="2"/>
      <c r="O574" s="2"/>
      <c r="P574" s="2"/>
      <c r="Q574" s="2"/>
      <c r="R574" s="2"/>
      <c r="S574" s="2"/>
      <c r="T574" s="2"/>
      <c r="U574" s="2"/>
    </row>
    <row r="575" spans="1:21" ht="15.75" customHeight="1">
      <c r="A575" s="1"/>
      <c r="B575" s="2"/>
      <c r="C575" s="2"/>
      <c r="D575" s="2"/>
      <c r="E575" s="2"/>
      <c r="F575" s="2"/>
      <c r="G575" s="2"/>
      <c r="H575" s="2"/>
      <c r="I575" s="2"/>
      <c r="J575" s="2"/>
      <c r="K575" s="2"/>
      <c r="L575" s="2"/>
      <c r="M575" s="2"/>
      <c r="N575" s="2"/>
      <c r="O575" s="2"/>
      <c r="P575" s="2"/>
      <c r="Q575" s="2"/>
      <c r="R575" s="2"/>
      <c r="S575" s="2"/>
      <c r="T575" s="2"/>
      <c r="U575" s="2"/>
    </row>
    <row r="576" spans="1:21" ht="15.75" customHeight="1">
      <c r="A576" s="1"/>
      <c r="B576" s="2"/>
      <c r="C576" s="2"/>
      <c r="D576" s="2"/>
      <c r="E576" s="2"/>
      <c r="F576" s="2"/>
      <c r="G576" s="2"/>
      <c r="H576" s="2"/>
      <c r="I576" s="2"/>
      <c r="J576" s="2"/>
      <c r="K576" s="2"/>
      <c r="L576" s="2"/>
      <c r="M576" s="2"/>
      <c r="N576" s="2"/>
      <c r="O576" s="2"/>
      <c r="P576" s="2"/>
      <c r="Q576" s="2"/>
      <c r="R576" s="2"/>
      <c r="S576" s="2"/>
      <c r="T576" s="2"/>
      <c r="U576" s="2"/>
    </row>
    <row r="577" spans="1:21" ht="15.75" customHeight="1">
      <c r="A577" s="1"/>
      <c r="B577" s="2"/>
      <c r="C577" s="2"/>
      <c r="D577" s="2"/>
      <c r="E577" s="2"/>
      <c r="F577" s="2"/>
      <c r="G577" s="2"/>
      <c r="H577" s="2"/>
      <c r="I577" s="2"/>
      <c r="J577" s="2"/>
      <c r="K577" s="2"/>
      <c r="L577" s="2"/>
      <c r="M577" s="2"/>
      <c r="N577" s="2"/>
      <c r="O577" s="2"/>
      <c r="P577" s="2"/>
      <c r="Q577" s="2"/>
      <c r="R577" s="2"/>
      <c r="S577" s="2"/>
      <c r="T577" s="2"/>
      <c r="U577" s="2"/>
    </row>
    <row r="578" spans="1:21" ht="15.75" customHeight="1">
      <c r="A578" s="1"/>
      <c r="B578" s="2"/>
      <c r="C578" s="2"/>
      <c r="D578" s="2"/>
      <c r="E578" s="2"/>
      <c r="F578" s="2"/>
      <c r="G578" s="2"/>
      <c r="H578" s="2"/>
      <c r="I578" s="2"/>
      <c r="J578" s="2"/>
      <c r="K578" s="2"/>
      <c r="L578" s="2"/>
      <c r="M578" s="2"/>
      <c r="N578" s="2"/>
      <c r="O578" s="2"/>
      <c r="P578" s="2"/>
      <c r="Q578" s="2"/>
      <c r="R578" s="2"/>
      <c r="S578" s="2"/>
      <c r="T578" s="2"/>
      <c r="U578" s="2"/>
    </row>
    <row r="579" spans="1:21" ht="15.75" customHeight="1">
      <c r="A579" s="1"/>
      <c r="B579" s="2"/>
      <c r="C579" s="2"/>
      <c r="D579" s="2"/>
      <c r="E579" s="2"/>
      <c r="F579" s="2"/>
      <c r="G579" s="2"/>
      <c r="H579" s="2"/>
      <c r="I579" s="2"/>
      <c r="J579" s="2"/>
      <c r="K579" s="2"/>
      <c r="L579" s="2"/>
      <c r="M579" s="2"/>
      <c r="N579" s="2"/>
      <c r="O579" s="2"/>
      <c r="P579" s="2"/>
      <c r="Q579" s="2"/>
      <c r="R579" s="2"/>
      <c r="S579" s="2"/>
      <c r="T579" s="2"/>
      <c r="U579" s="2"/>
    </row>
    <row r="580" spans="1:21" ht="15.75" customHeight="1">
      <c r="A580" s="1"/>
      <c r="B580" s="2"/>
      <c r="C580" s="2"/>
      <c r="D580" s="2"/>
      <c r="E580" s="2"/>
      <c r="F580" s="2"/>
      <c r="G580" s="2"/>
      <c r="H580" s="2"/>
      <c r="I580" s="2"/>
      <c r="J580" s="2"/>
      <c r="K580" s="2"/>
      <c r="L580" s="2"/>
      <c r="M580" s="2"/>
      <c r="N580" s="2"/>
      <c r="O580" s="2"/>
      <c r="P580" s="2"/>
      <c r="Q580" s="2"/>
      <c r="R580" s="2"/>
      <c r="S580" s="2"/>
      <c r="T580" s="2"/>
      <c r="U580" s="2"/>
    </row>
    <row r="581" spans="1:21" ht="15.75" customHeight="1">
      <c r="A581" s="1"/>
      <c r="B581" s="2"/>
      <c r="C581" s="2"/>
      <c r="D581" s="2"/>
      <c r="E581" s="2"/>
      <c r="F581" s="2"/>
      <c r="G581" s="2"/>
      <c r="H581" s="2"/>
      <c r="I581" s="2"/>
      <c r="J581" s="2"/>
      <c r="K581" s="2"/>
      <c r="L581" s="2"/>
      <c r="M581" s="2"/>
      <c r="N581" s="2"/>
      <c r="O581" s="2"/>
      <c r="P581" s="2"/>
      <c r="Q581" s="2"/>
      <c r="R581" s="2"/>
      <c r="S581" s="2"/>
      <c r="T581" s="2"/>
      <c r="U581" s="2"/>
    </row>
    <row r="582" spans="1:21" ht="15.75" customHeight="1">
      <c r="A582" s="1"/>
      <c r="B582" s="2"/>
      <c r="C582" s="2"/>
      <c r="D582" s="2"/>
      <c r="E582" s="2"/>
      <c r="F582" s="2"/>
      <c r="G582" s="2"/>
      <c r="H582" s="2"/>
      <c r="I582" s="2"/>
      <c r="J582" s="2"/>
      <c r="K582" s="2"/>
      <c r="L582" s="2"/>
      <c r="M582" s="2"/>
      <c r="N582" s="2"/>
      <c r="O582" s="2"/>
      <c r="P582" s="2"/>
      <c r="Q582" s="2"/>
      <c r="R582" s="2"/>
      <c r="S582" s="2"/>
      <c r="T582" s="2"/>
      <c r="U582" s="2"/>
    </row>
    <row r="583" spans="1:21" ht="15.75" customHeight="1">
      <c r="A583" s="1"/>
      <c r="B583" s="2"/>
      <c r="C583" s="2"/>
      <c r="D583" s="2"/>
      <c r="E583" s="2"/>
      <c r="F583" s="2"/>
      <c r="G583" s="2"/>
      <c r="H583" s="2"/>
      <c r="I583" s="2"/>
      <c r="J583" s="2"/>
      <c r="K583" s="2"/>
      <c r="L583" s="2"/>
      <c r="M583" s="2"/>
      <c r="N583" s="2"/>
      <c r="O583" s="2"/>
      <c r="P583" s="2"/>
      <c r="Q583" s="2"/>
      <c r="R583" s="2"/>
      <c r="S583" s="2"/>
      <c r="T583" s="2"/>
      <c r="U583" s="2"/>
    </row>
    <row r="584" spans="1:21" ht="15.75" customHeight="1">
      <c r="A584" s="1"/>
      <c r="B584" s="2"/>
      <c r="C584" s="2"/>
      <c r="D584" s="2"/>
      <c r="E584" s="2"/>
      <c r="F584" s="2"/>
      <c r="G584" s="2"/>
      <c r="H584" s="2"/>
      <c r="I584" s="2"/>
      <c r="J584" s="2"/>
      <c r="K584" s="2"/>
      <c r="L584" s="2"/>
      <c r="M584" s="2"/>
      <c r="N584" s="2"/>
      <c r="O584" s="2"/>
      <c r="P584" s="2"/>
      <c r="Q584" s="2"/>
      <c r="R584" s="2"/>
      <c r="S584" s="2"/>
      <c r="T584" s="2"/>
      <c r="U584" s="2"/>
    </row>
    <row r="585" spans="1:21" ht="15.75" customHeight="1">
      <c r="A585" s="1"/>
      <c r="B585" s="2"/>
      <c r="C585" s="2"/>
      <c r="D585" s="2"/>
      <c r="E585" s="2"/>
      <c r="F585" s="2"/>
      <c r="G585" s="2"/>
      <c r="H585" s="2"/>
      <c r="I585" s="2"/>
      <c r="J585" s="2"/>
      <c r="K585" s="2"/>
      <c r="L585" s="2"/>
      <c r="M585" s="2"/>
      <c r="N585" s="2"/>
      <c r="O585" s="2"/>
      <c r="P585" s="2"/>
      <c r="Q585" s="2"/>
      <c r="R585" s="2"/>
      <c r="S585" s="2"/>
      <c r="T585" s="2"/>
      <c r="U585" s="2"/>
    </row>
    <row r="586" spans="1:21" ht="15.75" customHeight="1">
      <c r="A586" s="1"/>
      <c r="B586" s="2"/>
      <c r="C586" s="2"/>
      <c r="D586" s="2"/>
      <c r="E586" s="2"/>
      <c r="F586" s="2"/>
      <c r="G586" s="2"/>
      <c r="H586" s="2"/>
      <c r="I586" s="2"/>
      <c r="J586" s="2"/>
      <c r="K586" s="2"/>
      <c r="L586" s="2"/>
      <c r="M586" s="2"/>
      <c r="N586" s="2"/>
      <c r="O586" s="2"/>
      <c r="P586" s="2"/>
      <c r="Q586" s="2"/>
      <c r="R586" s="2"/>
      <c r="S586" s="2"/>
      <c r="T586" s="2"/>
      <c r="U586" s="2"/>
    </row>
    <row r="587" spans="1:21" ht="15.75" customHeight="1">
      <c r="A587" s="1"/>
      <c r="B587" s="2"/>
      <c r="C587" s="2"/>
      <c r="D587" s="2"/>
      <c r="E587" s="2"/>
      <c r="F587" s="2"/>
      <c r="G587" s="2"/>
      <c r="H587" s="2"/>
      <c r="I587" s="2"/>
      <c r="J587" s="2"/>
      <c r="K587" s="2"/>
      <c r="L587" s="2"/>
      <c r="M587" s="2"/>
      <c r="N587" s="2"/>
      <c r="O587" s="2"/>
      <c r="P587" s="2"/>
      <c r="Q587" s="2"/>
      <c r="R587" s="2"/>
      <c r="S587" s="2"/>
      <c r="T587" s="2"/>
      <c r="U587" s="2"/>
    </row>
    <row r="588" spans="1:21" ht="15.75" customHeight="1">
      <c r="A588" s="1"/>
      <c r="B588" s="2"/>
      <c r="C588" s="2"/>
      <c r="D588" s="2"/>
      <c r="E588" s="2"/>
      <c r="F588" s="2"/>
      <c r="G588" s="2"/>
      <c r="H588" s="2"/>
      <c r="I588" s="2"/>
      <c r="J588" s="2"/>
      <c r="K588" s="2"/>
      <c r="L588" s="2"/>
      <c r="M588" s="2"/>
      <c r="N588" s="2"/>
      <c r="O588" s="2"/>
      <c r="P588" s="2"/>
      <c r="Q588" s="2"/>
      <c r="R588" s="2"/>
      <c r="S588" s="2"/>
      <c r="T588" s="2"/>
      <c r="U588" s="2"/>
    </row>
    <row r="589" spans="1:21" ht="15.75" customHeight="1">
      <c r="A589" s="1"/>
      <c r="B589" s="2"/>
      <c r="C589" s="2"/>
      <c r="D589" s="2"/>
      <c r="E589" s="2"/>
      <c r="F589" s="2"/>
      <c r="G589" s="2"/>
      <c r="H589" s="2"/>
      <c r="I589" s="2"/>
      <c r="J589" s="2"/>
      <c r="K589" s="2"/>
      <c r="L589" s="2"/>
      <c r="M589" s="2"/>
      <c r="N589" s="2"/>
      <c r="O589" s="2"/>
      <c r="P589" s="2"/>
      <c r="Q589" s="2"/>
      <c r="R589" s="2"/>
      <c r="S589" s="2"/>
      <c r="T589" s="2"/>
      <c r="U589" s="2"/>
    </row>
    <row r="590" spans="1:21" ht="15.75" customHeight="1">
      <c r="A590" s="1"/>
      <c r="B590" s="2"/>
      <c r="C590" s="2"/>
      <c r="D590" s="2"/>
      <c r="E590" s="2"/>
      <c r="F590" s="2"/>
      <c r="G590" s="2"/>
      <c r="H590" s="2"/>
      <c r="I590" s="2"/>
      <c r="J590" s="2"/>
      <c r="K590" s="2"/>
      <c r="L590" s="2"/>
      <c r="M590" s="2"/>
      <c r="N590" s="2"/>
      <c r="O590" s="2"/>
      <c r="P590" s="2"/>
      <c r="Q590" s="2"/>
      <c r="R590" s="2"/>
      <c r="S590" s="2"/>
      <c r="T590" s="2"/>
      <c r="U590" s="2"/>
    </row>
    <row r="591" spans="1:21" ht="15.75" customHeight="1">
      <c r="A591" s="1"/>
      <c r="B591" s="2"/>
      <c r="C591" s="2"/>
      <c r="D591" s="2"/>
      <c r="E591" s="2"/>
      <c r="F591" s="2"/>
      <c r="G591" s="2"/>
      <c r="H591" s="2"/>
      <c r="I591" s="2"/>
      <c r="J591" s="2"/>
      <c r="K591" s="2"/>
      <c r="L591" s="2"/>
      <c r="M591" s="2"/>
      <c r="N591" s="2"/>
      <c r="O591" s="2"/>
      <c r="P591" s="2"/>
      <c r="Q591" s="2"/>
      <c r="R591" s="2"/>
      <c r="S591" s="2"/>
      <c r="T591" s="2"/>
      <c r="U591" s="2"/>
    </row>
    <row r="592" spans="1:21" ht="15.75" customHeight="1">
      <c r="A592" s="1"/>
      <c r="B592" s="2"/>
      <c r="C592" s="2"/>
      <c r="D592" s="2"/>
      <c r="E592" s="2"/>
      <c r="F592" s="2"/>
      <c r="G592" s="2"/>
      <c r="H592" s="2"/>
      <c r="I592" s="2"/>
      <c r="J592" s="2"/>
      <c r="K592" s="2"/>
      <c r="L592" s="2"/>
      <c r="M592" s="2"/>
      <c r="N592" s="2"/>
      <c r="O592" s="2"/>
      <c r="P592" s="2"/>
      <c r="Q592" s="2"/>
      <c r="R592" s="2"/>
      <c r="S592" s="2"/>
      <c r="T592" s="2"/>
      <c r="U592" s="2"/>
    </row>
    <row r="593" spans="1:21" ht="15.75" customHeight="1">
      <c r="A593" s="1"/>
      <c r="B593" s="2"/>
      <c r="C593" s="2"/>
      <c r="D593" s="2"/>
      <c r="E593" s="2"/>
      <c r="F593" s="2"/>
      <c r="G593" s="2"/>
      <c r="H593" s="2"/>
      <c r="I593" s="2"/>
      <c r="J593" s="2"/>
      <c r="K593" s="2"/>
      <c r="L593" s="2"/>
      <c r="M593" s="2"/>
      <c r="N593" s="2"/>
      <c r="O593" s="2"/>
      <c r="P593" s="2"/>
      <c r="Q593" s="2"/>
      <c r="R593" s="2"/>
      <c r="S593" s="2"/>
      <c r="T593" s="2"/>
      <c r="U593" s="2"/>
    </row>
    <row r="594" spans="1:21" ht="15.75" customHeight="1">
      <c r="A594" s="1"/>
      <c r="B594" s="2"/>
      <c r="C594" s="2"/>
      <c r="D594" s="2"/>
      <c r="E594" s="2"/>
      <c r="F594" s="2"/>
      <c r="G594" s="2"/>
      <c r="H594" s="2"/>
      <c r="I594" s="2"/>
      <c r="J594" s="2"/>
      <c r="K594" s="2"/>
      <c r="L594" s="2"/>
      <c r="M594" s="2"/>
      <c r="N594" s="2"/>
      <c r="O594" s="2"/>
      <c r="P594" s="2"/>
      <c r="Q594" s="2"/>
      <c r="R594" s="2"/>
      <c r="S594" s="2"/>
      <c r="T594" s="2"/>
      <c r="U594" s="2"/>
    </row>
    <row r="595" spans="1:21" ht="15.75" customHeight="1">
      <c r="A595" s="1"/>
      <c r="B595" s="2"/>
      <c r="C595" s="2"/>
      <c r="D595" s="2"/>
      <c r="E595" s="2"/>
      <c r="F595" s="2"/>
      <c r="G595" s="2"/>
      <c r="H595" s="2"/>
      <c r="I595" s="2"/>
      <c r="J595" s="2"/>
      <c r="K595" s="2"/>
      <c r="L595" s="2"/>
      <c r="M595" s="2"/>
      <c r="N595" s="2"/>
      <c r="O595" s="2"/>
      <c r="P595" s="2"/>
      <c r="Q595" s="2"/>
      <c r="R595" s="2"/>
      <c r="S595" s="2"/>
      <c r="T595" s="2"/>
      <c r="U595" s="2"/>
    </row>
    <row r="596" spans="1:21" ht="15.75" customHeight="1">
      <c r="A596" s="1"/>
      <c r="B596" s="2"/>
      <c r="C596" s="2"/>
      <c r="D596" s="2"/>
      <c r="E596" s="2"/>
      <c r="F596" s="2"/>
      <c r="G596" s="2"/>
      <c r="H596" s="2"/>
      <c r="I596" s="2"/>
      <c r="J596" s="2"/>
      <c r="K596" s="2"/>
      <c r="L596" s="2"/>
      <c r="M596" s="2"/>
      <c r="N596" s="2"/>
      <c r="O596" s="2"/>
      <c r="P596" s="2"/>
      <c r="Q596" s="2"/>
      <c r="R596" s="2"/>
      <c r="S596" s="2"/>
      <c r="T596" s="2"/>
      <c r="U596" s="2"/>
    </row>
    <row r="597" spans="1:21" ht="15.75" customHeight="1">
      <c r="A597" s="1"/>
      <c r="B597" s="2"/>
      <c r="C597" s="2"/>
      <c r="D597" s="2"/>
      <c r="E597" s="2"/>
      <c r="F597" s="2"/>
      <c r="G597" s="2"/>
      <c r="H597" s="2"/>
      <c r="I597" s="2"/>
      <c r="J597" s="2"/>
      <c r="K597" s="2"/>
      <c r="L597" s="2"/>
      <c r="M597" s="2"/>
      <c r="N597" s="2"/>
      <c r="O597" s="2"/>
      <c r="P597" s="2"/>
      <c r="Q597" s="2"/>
      <c r="R597" s="2"/>
      <c r="S597" s="2"/>
      <c r="T597" s="2"/>
      <c r="U597" s="2"/>
    </row>
    <row r="598" spans="1:21" ht="15.75" customHeight="1">
      <c r="A598" s="1"/>
      <c r="B598" s="2"/>
      <c r="C598" s="2"/>
      <c r="D598" s="2"/>
      <c r="E598" s="2"/>
      <c r="F598" s="2"/>
      <c r="G598" s="2"/>
      <c r="H598" s="2"/>
      <c r="I598" s="2"/>
      <c r="J598" s="2"/>
      <c r="K598" s="2"/>
      <c r="L598" s="2"/>
      <c r="M598" s="2"/>
      <c r="N598" s="2"/>
      <c r="O598" s="2"/>
      <c r="P598" s="2"/>
      <c r="Q598" s="2"/>
      <c r="R598" s="2"/>
      <c r="S598" s="2"/>
      <c r="T598" s="2"/>
      <c r="U598" s="2"/>
    </row>
    <row r="599" spans="1:21" ht="15.75" customHeight="1">
      <c r="A599" s="1"/>
      <c r="B599" s="2"/>
      <c r="C599" s="2"/>
      <c r="D599" s="2"/>
      <c r="E599" s="2"/>
      <c r="F599" s="2"/>
      <c r="G599" s="2"/>
      <c r="H599" s="2"/>
      <c r="I599" s="2"/>
      <c r="J599" s="2"/>
      <c r="K599" s="2"/>
      <c r="L599" s="2"/>
      <c r="M599" s="2"/>
      <c r="N599" s="2"/>
      <c r="O599" s="2"/>
      <c r="P599" s="2"/>
      <c r="Q599" s="2"/>
      <c r="R599" s="2"/>
      <c r="S599" s="2"/>
      <c r="T599" s="2"/>
      <c r="U599" s="2"/>
    </row>
    <row r="600" spans="1:21" ht="15.75" customHeight="1">
      <c r="A600" s="1"/>
      <c r="B600" s="2"/>
      <c r="C600" s="2"/>
      <c r="D600" s="2"/>
      <c r="E600" s="2"/>
      <c r="F600" s="2"/>
      <c r="G600" s="2"/>
      <c r="H600" s="2"/>
      <c r="I600" s="2"/>
      <c r="J600" s="2"/>
      <c r="K600" s="2"/>
      <c r="L600" s="2"/>
      <c r="M600" s="2"/>
      <c r="N600" s="2"/>
      <c r="O600" s="2"/>
      <c r="P600" s="2"/>
      <c r="Q600" s="2"/>
      <c r="R600" s="2"/>
      <c r="S600" s="2"/>
      <c r="T600" s="2"/>
      <c r="U600" s="2"/>
    </row>
    <row r="601" spans="1:21" ht="15.75" customHeight="1">
      <c r="A601" s="1"/>
      <c r="B601" s="2"/>
      <c r="C601" s="2"/>
      <c r="D601" s="2"/>
      <c r="E601" s="2"/>
      <c r="F601" s="2"/>
      <c r="G601" s="2"/>
      <c r="H601" s="2"/>
      <c r="I601" s="2"/>
      <c r="J601" s="2"/>
      <c r="K601" s="2"/>
      <c r="L601" s="2"/>
      <c r="M601" s="2"/>
      <c r="N601" s="2"/>
      <c r="O601" s="2"/>
      <c r="P601" s="2"/>
      <c r="Q601" s="2"/>
      <c r="R601" s="2"/>
      <c r="S601" s="2"/>
      <c r="T601" s="2"/>
      <c r="U601" s="2"/>
    </row>
    <row r="602" spans="1:21" ht="15.75" customHeight="1">
      <c r="A602" s="1"/>
      <c r="B602" s="2"/>
      <c r="C602" s="2"/>
      <c r="D602" s="2"/>
      <c r="E602" s="2"/>
      <c r="F602" s="2"/>
      <c r="G602" s="2"/>
      <c r="H602" s="2"/>
      <c r="I602" s="2"/>
      <c r="J602" s="2"/>
      <c r="K602" s="2"/>
      <c r="L602" s="2"/>
      <c r="M602" s="2"/>
      <c r="N602" s="2"/>
      <c r="O602" s="2"/>
      <c r="P602" s="2"/>
      <c r="Q602" s="2"/>
      <c r="R602" s="2"/>
      <c r="S602" s="2"/>
      <c r="T602" s="2"/>
      <c r="U602" s="2"/>
    </row>
    <row r="603" spans="1:21" ht="15.75" customHeight="1">
      <c r="A603" s="1"/>
      <c r="B603" s="2"/>
      <c r="C603" s="2"/>
      <c r="D603" s="2"/>
      <c r="E603" s="2"/>
      <c r="F603" s="2"/>
      <c r="G603" s="2"/>
      <c r="H603" s="2"/>
      <c r="I603" s="2"/>
      <c r="J603" s="2"/>
      <c r="K603" s="2"/>
      <c r="L603" s="2"/>
      <c r="M603" s="2"/>
      <c r="N603" s="2"/>
      <c r="O603" s="2"/>
      <c r="P603" s="2"/>
      <c r="Q603" s="2"/>
      <c r="R603" s="2"/>
      <c r="S603" s="2"/>
      <c r="T603" s="2"/>
      <c r="U603" s="2"/>
    </row>
    <row r="604" spans="1:21" ht="15.75" customHeight="1">
      <c r="A604" s="1"/>
      <c r="B604" s="2"/>
      <c r="C604" s="2"/>
      <c r="D604" s="2"/>
      <c r="E604" s="2"/>
      <c r="F604" s="2"/>
      <c r="G604" s="2"/>
      <c r="H604" s="2"/>
      <c r="I604" s="2"/>
      <c r="J604" s="2"/>
      <c r="K604" s="2"/>
      <c r="L604" s="2"/>
      <c r="M604" s="2"/>
      <c r="N604" s="2"/>
      <c r="O604" s="2"/>
      <c r="P604" s="2"/>
      <c r="Q604" s="2"/>
      <c r="R604" s="2"/>
      <c r="S604" s="2"/>
      <c r="T604" s="2"/>
      <c r="U604" s="2"/>
    </row>
    <row r="605" spans="1:21" ht="15.75" customHeight="1">
      <c r="A605" s="1"/>
      <c r="B605" s="2"/>
      <c r="C605" s="2"/>
      <c r="D605" s="2"/>
      <c r="E605" s="2"/>
      <c r="F605" s="2"/>
      <c r="G605" s="2"/>
      <c r="H605" s="2"/>
      <c r="I605" s="2"/>
      <c r="J605" s="2"/>
      <c r="K605" s="2"/>
      <c r="L605" s="2"/>
      <c r="M605" s="2"/>
      <c r="N605" s="2"/>
      <c r="O605" s="2"/>
      <c r="P605" s="2"/>
      <c r="Q605" s="2"/>
      <c r="R605" s="2"/>
      <c r="S605" s="2"/>
      <c r="T605" s="2"/>
      <c r="U605" s="2"/>
    </row>
    <row r="606" spans="1:21" ht="15.75" customHeight="1">
      <c r="A606" s="1"/>
      <c r="B606" s="2"/>
      <c r="C606" s="2"/>
      <c r="D606" s="2"/>
      <c r="E606" s="2"/>
      <c r="F606" s="2"/>
      <c r="G606" s="2"/>
      <c r="H606" s="2"/>
      <c r="I606" s="2"/>
      <c r="J606" s="2"/>
      <c r="K606" s="2"/>
      <c r="L606" s="2"/>
      <c r="M606" s="2"/>
      <c r="N606" s="2"/>
      <c r="O606" s="2"/>
      <c r="P606" s="2"/>
      <c r="Q606" s="2"/>
      <c r="R606" s="2"/>
      <c r="S606" s="2"/>
      <c r="T606" s="2"/>
      <c r="U606" s="2"/>
    </row>
    <row r="607" spans="1:21" ht="15.75" customHeight="1">
      <c r="A607" s="1"/>
      <c r="B607" s="2"/>
      <c r="C607" s="2"/>
      <c r="D607" s="2"/>
      <c r="E607" s="2"/>
      <c r="F607" s="2"/>
      <c r="G607" s="2"/>
      <c r="H607" s="2"/>
      <c r="I607" s="2"/>
      <c r="J607" s="2"/>
      <c r="K607" s="2"/>
      <c r="L607" s="2"/>
      <c r="M607" s="2"/>
      <c r="N607" s="2"/>
      <c r="O607" s="2"/>
      <c r="P607" s="2"/>
      <c r="Q607" s="2"/>
      <c r="R607" s="2"/>
      <c r="S607" s="2"/>
      <c r="T607" s="2"/>
      <c r="U607" s="2"/>
    </row>
    <row r="608" spans="1:21" ht="15.75" customHeight="1">
      <c r="A608" s="1"/>
      <c r="B608" s="2"/>
      <c r="C608" s="2"/>
      <c r="D608" s="2"/>
      <c r="E608" s="2"/>
      <c r="F608" s="2"/>
      <c r="G608" s="2"/>
      <c r="H608" s="2"/>
      <c r="I608" s="2"/>
      <c r="J608" s="2"/>
      <c r="K608" s="2"/>
      <c r="L608" s="2"/>
      <c r="M608" s="2"/>
      <c r="N608" s="2"/>
      <c r="O608" s="2"/>
      <c r="P608" s="2"/>
      <c r="Q608" s="2"/>
      <c r="R608" s="2"/>
      <c r="S608" s="2"/>
      <c r="T608" s="2"/>
      <c r="U608" s="2"/>
    </row>
    <row r="609" spans="1:21" ht="15.75" customHeight="1">
      <c r="A609" s="1"/>
      <c r="B609" s="2"/>
      <c r="C609" s="2"/>
      <c r="D609" s="2"/>
      <c r="E609" s="2"/>
      <c r="F609" s="2"/>
      <c r="G609" s="2"/>
      <c r="H609" s="2"/>
      <c r="I609" s="2"/>
      <c r="J609" s="2"/>
      <c r="K609" s="2"/>
      <c r="L609" s="2"/>
      <c r="M609" s="2"/>
      <c r="N609" s="2"/>
      <c r="O609" s="2"/>
      <c r="P609" s="2"/>
      <c r="Q609" s="2"/>
      <c r="R609" s="2"/>
      <c r="S609" s="2"/>
      <c r="T609" s="2"/>
      <c r="U609" s="2"/>
    </row>
    <row r="610" spans="1:21" ht="15.75" customHeight="1">
      <c r="A610" s="1"/>
      <c r="B610" s="2"/>
      <c r="C610" s="2"/>
      <c r="D610" s="2"/>
      <c r="E610" s="2"/>
      <c r="F610" s="2"/>
      <c r="G610" s="2"/>
      <c r="H610" s="2"/>
      <c r="I610" s="2"/>
      <c r="J610" s="2"/>
      <c r="K610" s="2"/>
      <c r="L610" s="2"/>
      <c r="M610" s="2"/>
      <c r="N610" s="2"/>
      <c r="O610" s="2"/>
      <c r="P610" s="2"/>
      <c r="Q610" s="2"/>
      <c r="R610" s="2"/>
      <c r="S610" s="2"/>
      <c r="T610" s="2"/>
      <c r="U610" s="2"/>
    </row>
    <row r="611" spans="1:21" ht="15.75" customHeight="1">
      <c r="A611" s="1"/>
      <c r="B611" s="2"/>
      <c r="C611" s="2"/>
      <c r="D611" s="2"/>
      <c r="E611" s="2"/>
      <c r="F611" s="2"/>
      <c r="G611" s="2"/>
      <c r="H611" s="2"/>
      <c r="I611" s="2"/>
      <c r="J611" s="2"/>
      <c r="K611" s="2"/>
      <c r="L611" s="2"/>
      <c r="M611" s="2"/>
      <c r="N611" s="2"/>
      <c r="O611" s="2"/>
      <c r="P611" s="2"/>
      <c r="Q611" s="2"/>
      <c r="R611" s="2"/>
      <c r="S611" s="2"/>
      <c r="T611" s="2"/>
      <c r="U611" s="2"/>
    </row>
    <row r="612" spans="1:21" ht="15.75" customHeight="1">
      <c r="A612" s="1"/>
      <c r="B612" s="2"/>
      <c r="C612" s="2"/>
      <c r="D612" s="2"/>
      <c r="E612" s="2"/>
      <c r="F612" s="2"/>
      <c r="G612" s="2"/>
      <c r="H612" s="2"/>
      <c r="I612" s="2"/>
      <c r="J612" s="2"/>
      <c r="K612" s="2"/>
      <c r="L612" s="2"/>
      <c r="M612" s="2"/>
      <c r="N612" s="2"/>
      <c r="O612" s="2"/>
      <c r="P612" s="2"/>
      <c r="Q612" s="2"/>
      <c r="R612" s="2"/>
      <c r="S612" s="2"/>
      <c r="T612" s="2"/>
      <c r="U612" s="2"/>
    </row>
    <row r="613" spans="1:21" ht="15.75" customHeight="1">
      <c r="A613" s="1"/>
      <c r="B613" s="2"/>
      <c r="C613" s="2"/>
      <c r="D613" s="2"/>
      <c r="E613" s="2"/>
      <c r="F613" s="2"/>
      <c r="G613" s="2"/>
      <c r="H613" s="2"/>
      <c r="I613" s="2"/>
      <c r="J613" s="2"/>
      <c r="K613" s="2"/>
      <c r="L613" s="2"/>
      <c r="M613" s="2"/>
      <c r="N613" s="2"/>
      <c r="O613" s="2"/>
      <c r="P613" s="2"/>
      <c r="Q613" s="2"/>
      <c r="R613" s="2"/>
      <c r="S613" s="2"/>
      <c r="T613" s="2"/>
      <c r="U613" s="2"/>
    </row>
    <row r="614" spans="1:21" ht="15.75" customHeight="1">
      <c r="A614" s="1"/>
      <c r="B614" s="2"/>
      <c r="C614" s="2"/>
      <c r="D614" s="2"/>
      <c r="E614" s="2"/>
      <c r="F614" s="2"/>
      <c r="G614" s="2"/>
      <c r="H614" s="2"/>
      <c r="I614" s="2"/>
      <c r="J614" s="2"/>
      <c r="K614" s="2"/>
      <c r="L614" s="2"/>
      <c r="M614" s="2"/>
      <c r="N614" s="2"/>
      <c r="O614" s="2"/>
      <c r="P614" s="2"/>
      <c r="Q614" s="2"/>
      <c r="R614" s="2"/>
      <c r="S614" s="2"/>
      <c r="T614" s="2"/>
      <c r="U614" s="2"/>
    </row>
    <row r="615" spans="1:21" ht="15.75" customHeight="1">
      <c r="A615" s="1"/>
      <c r="B615" s="2"/>
      <c r="C615" s="2"/>
      <c r="D615" s="2"/>
      <c r="E615" s="2"/>
      <c r="F615" s="2"/>
      <c r="G615" s="2"/>
      <c r="H615" s="2"/>
      <c r="I615" s="2"/>
      <c r="J615" s="2"/>
      <c r="K615" s="2"/>
      <c r="L615" s="2"/>
      <c r="M615" s="2"/>
      <c r="N615" s="2"/>
      <c r="O615" s="2"/>
      <c r="P615" s="2"/>
      <c r="Q615" s="2"/>
      <c r="R615" s="2"/>
      <c r="S615" s="2"/>
      <c r="T615" s="2"/>
      <c r="U615" s="2"/>
    </row>
    <row r="616" spans="1:21" ht="15.75" customHeight="1">
      <c r="A616" s="1"/>
      <c r="B616" s="2"/>
      <c r="C616" s="2"/>
      <c r="D616" s="2"/>
      <c r="E616" s="2"/>
      <c r="F616" s="2"/>
      <c r="G616" s="2"/>
      <c r="H616" s="2"/>
      <c r="I616" s="2"/>
      <c r="J616" s="2"/>
      <c r="K616" s="2"/>
      <c r="L616" s="2"/>
      <c r="M616" s="2"/>
      <c r="N616" s="2"/>
      <c r="O616" s="2"/>
      <c r="P616" s="2"/>
      <c r="Q616" s="2"/>
      <c r="R616" s="2"/>
      <c r="S616" s="2"/>
      <c r="T616" s="2"/>
      <c r="U616" s="2"/>
    </row>
    <row r="617" spans="1:21" ht="15.75" customHeight="1">
      <c r="A617" s="1"/>
      <c r="B617" s="2"/>
      <c r="C617" s="2"/>
      <c r="D617" s="2"/>
      <c r="E617" s="2"/>
      <c r="F617" s="2"/>
      <c r="G617" s="2"/>
      <c r="H617" s="2"/>
      <c r="I617" s="2"/>
      <c r="J617" s="2"/>
      <c r="K617" s="2"/>
      <c r="L617" s="2"/>
      <c r="M617" s="2"/>
      <c r="N617" s="2"/>
      <c r="O617" s="2"/>
      <c r="P617" s="2"/>
      <c r="Q617" s="2"/>
      <c r="R617" s="2"/>
      <c r="S617" s="2"/>
      <c r="T617" s="2"/>
      <c r="U617" s="2"/>
    </row>
    <row r="618" spans="1:21" ht="15.75" customHeight="1">
      <c r="A618" s="1"/>
      <c r="B618" s="2"/>
      <c r="C618" s="2"/>
      <c r="D618" s="2"/>
      <c r="E618" s="2"/>
      <c r="F618" s="2"/>
      <c r="G618" s="2"/>
      <c r="H618" s="2"/>
      <c r="I618" s="2"/>
      <c r="J618" s="2"/>
      <c r="K618" s="2"/>
      <c r="L618" s="2"/>
      <c r="M618" s="2"/>
      <c r="N618" s="2"/>
      <c r="O618" s="2"/>
      <c r="P618" s="2"/>
      <c r="Q618" s="2"/>
      <c r="R618" s="2"/>
      <c r="S618" s="2"/>
      <c r="T618" s="2"/>
      <c r="U618" s="2"/>
    </row>
    <row r="619" spans="1:21" ht="15.75" customHeight="1">
      <c r="A619" s="1"/>
      <c r="B619" s="2"/>
      <c r="C619" s="2"/>
      <c r="D619" s="2"/>
      <c r="E619" s="2"/>
      <c r="F619" s="2"/>
      <c r="G619" s="2"/>
      <c r="H619" s="2"/>
      <c r="I619" s="2"/>
      <c r="J619" s="2"/>
      <c r="K619" s="2"/>
      <c r="L619" s="2"/>
      <c r="M619" s="2"/>
      <c r="N619" s="2"/>
      <c r="O619" s="2"/>
      <c r="P619" s="2"/>
      <c r="Q619" s="2"/>
      <c r="R619" s="2"/>
      <c r="S619" s="2"/>
      <c r="T619" s="2"/>
      <c r="U619" s="2"/>
    </row>
    <row r="620" spans="1:21" ht="15.75" customHeight="1">
      <c r="A620" s="1"/>
      <c r="B620" s="2"/>
      <c r="C620" s="2"/>
      <c r="D620" s="2"/>
      <c r="E620" s="2"/>
      <c r="F620" s="2"/>
      <c r="G620" s="2"/>
      <c r="H620" s="2"/>
      <c r="I620" s="2"/>
      <c r="J620" s="2"/>
      <c r="K620" s="2"/>
      <c r="L620" s="2"/>
      <c r="M620" s="2"/>
      <c r="N620" s="2"/>
      <c r="O620" s="2"/>
      <c r="P620" s="2"/>
      <c r="Q620" s="2"/>
      <c r="R620" s="2"/>
      <c r="S620" s="2"/>
      <c r="T620" s="2"/>
      <c r="U620" s="2"/>
    </row>
    <row r="621" spans="1:21" ht="15.75" customHeight="1">
      <c r="A621" s="1"/>
      <c r="B621" s="2"/>
      <c r="C621" s="2"/>
      <c r="D621" s="2"/>
      <c r="E621" s="2"/>
      <c r="F621" s="2"/>
      <c r="G621" s="2"/>
      <c r="H621" s="2"/>
      <c r="I621" s="2"/>
      <c r="J621" s="2"/>
      <c r="K621" s="2"/>
      <c r="L621" s="2"/>
      <c r="M621" s="2"/>
      <c r="N621" s="2"/>
      <c r="O621" s="2"/>
      <c r="P621" s="2"/>
      <c r="Q621" s="2"/>
      <c r="R621" s="2"/>
      <c r="S621" s="2"/>
      <c r="T621" s="2"/>
      <c r="U621" s="2"/>
    </row>
    <row r="622" spans="1:21" ht="15.75" customHeight="1">
      <c r="A622" s="1"/>
      <c r="B622" s="2"/>
      <c r="C622" s="2"/>
      <c r="D622" s="2"/>
      <c r="E622" s="2"/>
      <c r="F622" s="2"/>
      <c r="G622" s="2"/>
      <c r="H622" s="2"/>
      <c r="I622" s="2"/>
      <c r="J622" s="2"/>
      <c r="K622" s="2"/>
      <c r="L622" s="2"/>
      <c r="M622" s="2"/>
      <c r="N622" s="2"/>
      <c r="O622" s="2"/>
      <c r="P622" s="2"/>
      <c r="Q622" s="2"/>
      <c r="R622" s="2"/>
      <c r="S622" s="2"/>
      <c r="T622" s="2"/>
      <c r="U622" s="2"/>
    </row>
    <row r="623" spans="1:21" ht="15.75" customHeight="1">
      <c r="A623" s="1"/>
      <c r="B623" s="2"/>
      <c r="C623" s="2"/>
      <c r="D623" s="2"/>
      <c r="E623" s="2"/>
      <c r="F623" s="2"/>
      <c r="G623" s="2"/>
      <c r="H623" s="2"/>
      <c r="I623" s="2"/>
      <c r="J623" s="2"/>
      <c r="K623" s="2"/>
      <c r="L623" s="2"/>
      <c r="M623" s="2"/>
      <c r="N623" s="2"/>
      <c r="O623" s="2"/>
      <c r="P623" s="2"/>
      <c r="Q623" s="2"/>
      <c r="R623" s="2"/>
      <c r="S623" s="2"/>
      <c r="T623" s="2"/>
      <c r="U623" s="2"/>
    </row>
    <row r="624" spans="1:21" ht="15.75" customHeight="1">
      <c r="A624" s="1"/>
      <c r="B624" s="2"/>
      <c r="C624" s="2"/>
      <c r="D624" s="2"/>
      <c r="E624" s="2"/>
      <c r="F624" s="2"/>
      <c r="G624" s="2"/>
      <c r="H624" s="2"/>
      <c r="I624" s="2"/>
      <c r="J624" s="2"/>
      <c r="K624" s="2"/>
      <c r="L624" s="2"/>
      <c r="M624" s="2"/>
      <c r="N624" s="2"/>
      <c r="O624" s="2"/>
      <c r="P624" s="2"/>
      <c r="Q624" s="2"/>
      <c r="R624" s="2"/>
      <c r="S624" s="2"/>
      <c r="T624" s="2"/>
      <c r="U624" s="2"/>
    </row>
    <row r="625" spans="1:21" ht="15.75" customHeight="1">
      <c r="A625" s="1"/>
      <c r="B625" s="2"/>
      <c r="C625" s="2"/>
      <c r="D625" s="2"/>
      <c r="E625" s="2"/>
      <c r="F625" s="2"/>
      <c r="G625" s="2"/>
      <c r="H625" s="2"/>
      <c r="I625" s="2"/>
      <c r="J625" s="2"/>
      <c r="K625" s="2"/>
      <c r="L625" s="2"/>
      <c r="M625" s="2"/>
      <c r="N625" s="2"/>
      <c r="O625" s="2"/>
      <c r="P625" s="2"/>
      <c r="Q625" s="2"/>
      <c r="R625" s="2"/>
      <c r="S625" s="2"/>
      <c r="T625" s="2"/>
      <c r="U625" s="2"/>
    </row>
    <row r="626" spans="1:21" ht="15.75" customHeight="1">
      <c r="A626" s="1"/>
      <c r="B626" s="2"/>
      <c r="C626" s="2"/>
      <c r="D626" s="2"/>
      <c r="E626" s="2"/>
      <c r="F626" s="2"/>
      <c r="G626" s="2"/>
      <c r="H626" s="2"/>
      <c r="I626" s="2"/>
      <c r="J626" s="2"/>
      <c r="K626" s="2"/>
      <c r="L626" s="2"/>
      <c r="M626" s="2"/>
      <c r="N626" s="2"/>
      <c r="O626" s="2"/>
      <c r="P626" s="2"/>
      <c r="Q626" s="2"/>
      <c r="R626" s="2"/>
      <c r="S626" s="2"/>
      <c r="T626" s="2"/>
      <c r="U626" s="2"/>
    </row>
    <row r="627" spans="1:21" ht="15.75" customHeight="1">
      <c r="A627" s="1"/>
      <c r="B627" s="2"/>
      <c r="C627" s="2"/>
      <c r="D627" s="2"/>
      <c r="E627" s="2"/>
      <c r="F627" s="2"/>
      <c r="G627" s="2"/>
      <c r="H627" s="2"/>
      <c r="I627" s="2"/>
      <c r="J627" s="2"/>
      <c r="K627" s="2"/>
      <c r="L627" s="2"/>
      <c r="M627" s="2"/>
      <c r="N627" s="2"/>
      <c r="O627" s="2"/>
      <c r="P627" s="2"/>
      <c r="Q627" s="2"/>
      <c r="R627" s="2"/>
      <c r="S627" s="2"/>
      <c r="T627" s="2"/>
      <c r="U627" s="2"/>
    </row>
    <row r="628" spans="1:21" ht="15.75" customHeight="1">
      <c r="A628" s="1"/>
      <c r="B628" s="2"/>
      <c r="C628" s="2"/>
      <c r="D628" s="2"/>
      <c r="E628" s="2"/>
      <c r="F628" s="2"/>
      <c r="G628" s="2"/>
      <c r="H628" s="2"/>
      <c r="I628" s="2"/>
      <c r="J628" s="2"/>
      <c r="K628" s="2"/>
      <c r="L628" s="2"/>
      <c r="M628" s="2"/>
      <c r="N628" s="2"/>
      <c r="O628" s="2"/>
      <c r="P628" s="2"/>
      <c r="Q628" s="2"/>
      <c r="R628" s="2"/>
      <c r="S628" s="2"/>
      <c r="T628" s="2"/>
      <c r="U628" s="2"/>
    </row>
    <row r="629" spans="1:21" ht="15.75" customHeight="1">
      <c r="A629" s="1"/>
      <c r="B629" s="2"/>
      <c r="C629" s="2"/>
      <c r="D629" s="2"/>
      <c r="E629" s="2"/>
      <c r="F629" s="2"/>
      <c r="G629" s="2"/>
      <c r="H629" s="2"/>
      <c r="I629" s="2"/>
      <c r="J629" s="2"/>
      <c r="K629" s="2"/>
      <c r="L629" s="2"/>
      <c r="M629" s="2"/>
      <c r="N629" s="2"/>
      <c r="O629" s="2"/>
      <c r="P629" s="2"/>
      <c r="Q629" s="2"/>
      <c r="R629" s="2"/>
      <c r="S629" s="2"/>
      <c r="T629" s="2"/>
      <c r="U629" s="2"/>
    </row>
    <row r="630" spans="1:21" ht="15.75" customHeight="1">
      <c r="A630" s="1"/>
      <c r="B630" s="2"/>
      <c r="C630" s="2"/>
      <c r="D630" s="2"/>
      <c r="E630" s="2"/>
      <c r="F630" s="2"/>
      <c r="G630" s="2"/>
      <c r="H630" s="2"/>
      <c r="I630" s="2"/>
      <c r="J630" s="2"/>
      <c r="K630" s="2"/>
      <c r="L630" s="2"/>
      <c r="M630" s="2"/>
      <c r="N630" s="2"/>
      <c r="O630" s="2"/>
      <c r="P630" s="2"/>
      <c r="Q630" s="2"/>
      <c r="R630" s="2"/>
      <c r="S630" s="2"/>
      <c r="T630" s="2"/>
      <c r="U630" s="2"/>
    </row>
    <row r="631" spans="1:21" ht="15.75" customHeight="1">
      <c r="A631" s="1"/>
      <c r="B631" s="2"/>
      <c r="C631" s="2"/>
      <c r="D631" s="2"/>
      <c r="E631" s="2"/>
      <c r="F631" s="2"/>
      <c r="G631" s="2"/>
      <c r="H631" s="2"/>
      <c r="I631" s="2"/>
      <c r="J631" s="2"/>
      <c r="K631" s="2"/>
      <c r="L631" s="2"/>
      <c r="M631" s="2"/>
      <c r="N631" s="2"/>
      <c r="O631" s="2"/>
      <c r="P631" s="2"/>
      <c r="Q631" s="2"/>
      <c r="R631" s="2"/>
      <c r="S631" s="2"/>
      <c r="T631" s="2"/>
      <c r="U631" s="2"/>
    </row>
    <row r="632" spans="1:21" ht="15.75" customHeight="1">
      <c r="A632" s="1"/>
      <c r="B632" s="2"/>
      <c r="C632" s="2"/>
      <c r="D632" s="2"/>
      <c r="E632" s="2"/>
      <c r="F632" s="2"/>
      <c r="G632" s="2"/>
      <c r="H632" s="2"/>
      <c r="I632" s="2"/>
      <c r="J632" s="2"/>
      <c r="K632" s="2"/>
      <c r="L632" s="2"/>
      <c r="M632" s="2"/>
      <c r="N632" s="2"/>
      <c r="O632" s="2"/>
      <c r="P632" s="2"/>
      <c r="Q632" s="2"/>
      <c r="R632" s="2"/>
      <c r="S632" s="2"/>
      <c r="T632" s="2"/>
      <c r="U632" s="2"/>
    </row>
    <row r="633" spans="1:21" ht="15.75" customHeight="1">
      <c r="A633" s="1"/>
      <c r="B633" s="2"/>
      <c r="C633" s="2"/>
      <c r="D633" s="2"/>
      <c r="E633" s="2"/>
      <c r="F633" s="2"/>
      <c r="G633" s="2"/>
      <c r="H633" s="2"/>
      <c r="I633" s="2"/>
      <c r="J633" s="2"/>
      <c r="K633" s="2"/>
      <c r="L633" s="2"/>
      <c r="M633" s="2"/>
      <c r="N633" s="2"/>
      <c r="O633" s="2"/>
      <c r="P633" s="2"/>
      <c r="Q633" s="2"/>
      <c r="R633" s="2"/>
      <c r="S633" s="2"/>
      <c r="T633" s="2"/>
      <c r="U633" s="2"/>
    </row>
    <row r="634" spans="1:21" ht="15.75" customHeight="1">
      <c r="A634" s="1"/>
      <c r="B634" s="2"/>
      <c r="C634" s="2"/>
      <c r="D634" s="2"/>
      <c r="E634" s="2"/>
      <c r="F634" s="2"/>
      <c r="G634" s="2"/>
      <c r="H634" s="2"/>
      <c r="I634" s="2"/>
      <c r="J634" s="2"/>
      <c r="K634" s="2"/>
      <c r="L634" s="2"/>
      <c r="M634" s="2"/>
      <c r="N634" s="2"/>
      <c r="O634" s="2"/>
      <c r="P634" s="2"/>
      <c r="Q634" s="2"/>
      <c r="R634" s="2"/>
      <c r="S634" s="2"/>
      <c r="T634" s="2"/>
      <c r="U634" s="2"/>
    </row>
    <row r="635" spans="1:21" ht="15.75" customHeight="1">
      <c r="A635" s="1"/>
      <c r="B635" s="2"/>
      <c r="C635" s="2"/>
      <c r="D635" s="2"/>
      <c r="E635" s="2"/>
      <c r="F635" s="2"/>
      <c r="G635" s="2"/>
      <c r="H635" s="2"/>
      <c r="I635" s="2"/>
      <c r="J635" s="2"/>
      <c r="K635" s="2"/>
      <c r="L635" s="2"/>
      <c r="M635" s="2"/>
      <c r="N635" s="2"/>
      <c r="O635" s="2"/>
      <c r="P635" s="2"/>
      <c r="Q635" s="2"/>
      <c r="R635" s="2"/>
      <c r="S635" s="2"/>
      <c r="T635" s="2"/>
      <c r="U635" s="2"/>
    </row>
    <row r="636" spans="1:21" ht="15.75" customHeight="1">
      <c r="A636" s="1"/>
      <c r="B636" s="2"/>
      <c r="C636" s="2"/>
      <c r="D636" s="2"/>
      <c r="E636" s="2"/>
      <c r="F636" s="2"/>
      <c r="G636" s="2"/>
      <c r="H636" s="2"/>
      <c r="I636" s="2"/>
      <c r="J636" s="2"/>
      <c r="K636" s="2"/>
      <c r="L636" s="2"/>
      <c r="M636" s="2"/>
      <c r="N636" s="2"/>
      <c r="O636" s="2"/>
      <c r="P636" s="2"/>
      <c r="Q636" s="2"/>
      <c r="R636" s="2"/>
      <c r="S636" s="2"/>
      <c r="T636" s="2"/>
      <c r="U636" s="2"/>
    </row>
    <row r="637" spans="1:21" ht="15.75" customHeight="1">
      <c r="A637" s="1"/>
      <c r="B637" s="2"/>
      <c r="C637" s="2"/>
      <c r="D637" s="2"/>
      <c r="E637" s="2"/>
      <c r="F637" s="2"/>
      <c r="G637" s="2"/>
      <c r="H637" s="2"/>
      <c r="I637" s="2"/>
      <c r="J637" s="2"/>
      <c r="K637" s="2"/>
      <c r="L637" s="2"/>
      <c r="M637" s="2"/>
      <c r="N637" s="2"/>
      <c r="O637" s="2"/>
      <c r="P637" s="2"/>
      <c r="Q637" s="2"/>
      <c r="R637" s="2"/>
      <c r="S637" s="2"/>
      <c r="T637" s="2"/>
      <c r="U637" s="2"/>
    </row>
    <row r="638" spans="1:21" ht="15.75" customHeight="1">
      <c r="A638" s="1"/>
      <c r="B638" s="2"/>
      <c r="C638" s="2"/>
      <c r="D638" s="2"/>
      <c r="E638" s="2"/>
      <c r="F638" s="2"/>
      <c r="G638" s="2"/>
      <c r="H638" s="2"/>
      <c r="I638" s="2"/>
      <c r="J638" s="2"/>
      <c r="K638" s="2"/>
      <c r="L638" s="2"/>
      <c r="M638" s="2"/>
      <c r="N638" s="2"/>
      <c r="O638" s="2"/>
      <c r="P638" s="2"/>
      <c r="Q638" s="2"/>
      <c r="R638" s="2"/>
      <c r="S638" s="2"/>
      <c r="T638" s="2"/>
      <c r="U638" s="2"/>
    </row>
    <row r="639" spans="1:21" ht="15.75" customHeight="1">
      <c r="A639" s="1"/>
      <c r="B639" s="2"/>
      <c r="C639" s="2"/>
      <c r="D639" s="2"/>
      <c r="E639" s="2"/>
      <c r="F639" s="2"/>
      <c r="G639" s="2"/>
      <c r="H639" s="2"/>
      <c r="I639" s="2"/>
      <c r="J639" s="2"/>
      <c r="K639" s="2"/>
      <c r="L639" s="2"/>
      <c r="M639" s="2"/>
      <c r="N639" s="2"/>
      <c r="O639" s="2"/>
      <c r="P639" s="2"/>
      <c r="Q639" s="2"/>
      <c r="R639" s="2"/>
      <c r="S639" s="2"/>
      <c r="T639" s="2"/>
      <c r="U639" s="2"/>
    </row>
    <row r="640" spans="1:21" ht="15.75" customHeight="1">
      <c r="A640" s="1"/>
      <c r="B640" s="2"/>
      <c r="C640" s="2"/>
      <c r="D640" s="2"/>
      <c r="E640" s="2"/>
      <c r="F640" s="2"/>
      <c r="G640" s="2"/>
      <c r="H640" s="2"/>
      <c r="I640" s="2"/>
      <c r="J640" s="2"/>
      <c r="K640" s="2"/>
      <c r="L640" s="2"/>
      <c r="M640" s="2"/>
      <c r="N640" s="2"/>
      <c r="O640" s="2"/>
      <c r="P640" s="2"/>
      <c r="Q640" s="2"/>
      <c r="R640" s="2"/>
      <c r="S640" s="2"/>
      <c r="T640" s="2"/>
      <c r="U640" s="2"/>
    </row>
    <row r="641" spans="1:21" ht="15.75" customHeight="1">
      <c r="A641" s="1"/>
      <c r="B641" s="2"/>
      <c r="C641" s="2"/>
      <c r="D641" s="2"/>
      <c r="E641" s="2"/>
      <c r="F641" s="2"/>
      <c r="G641" s="2"/>
      <c r="H641" s="2"/>
      <c r="I641" s="2"/>
      <c r="J641" s="2"/>
      <c r="K641" s="2"/>
      <c r="L641" s="2"/>
      <c r="M641" s="2"/>
      <c r="N641" s="2"/>
      <c r="O641" s="2"/>
      <c r="P641" s="2"/>
      <c r="Q641" s="2"/>
      <c r="R641" s="2"/>
      <c r="S641" s="2"/>
      <c r="T641" s="2"/>
      <c r="U641" s="2"/>
    </row>
    <row r="642" spans="1:21" ht="15.75" customHeight="1">
      <c r="A642" s="1"/>
      <c r="B642" s="2"/>
      <c r="C642" s="2"/>
      <c r="D642" s="2"/>
      <c r="E642" s="2"/>
      <c r="F642" s="2"/>
      <c r="G642" s="2"/>
      <c r="H642" s="2"/>
      <c r="I642" s="2"/>
      <c r="J642" s="2"/>
      <c r="K642" s="2"/>
      <c r="L642" s="2"/>
      <c r="M642" s="2"/>
      <c r="N642" s="2"/>
      <c r="O642" s="2"/>
      <c r="P642" s="2"/>
      <c r="Q642" s="2"/>
      <c r="R642" s="2"/>
      <c r="S642" s="2"/>
      <c r="T642" s="2"/>
      <c r="U642" s="2"/>
    </row>
    <row r="643" spans="1:21" ht="15.75" customHeight="1">
      <c r="A643" s="1"/>
      <c r="B643" s="2"/>
      <c r="C643" s="2"/>
      <c r="D643" s="2"/>
      <c r="E643" s="2"/>
      <c r="F643" s="2"/>
      <c r="G643" s="2"/>
      <c r="H643" s="2"/>
      <c r="I643" s="2"/>
      <c r="J643" s="2"/>
      <c r="K643" s="2"/>
      <c r="L643" s="2"/>
      <c r="M643" s="2"/>
      <c r="N643" s="2"/>
      <c r="O643" s="2"/>
      <c r="P643" s="2"/>
      <c r="Q643" s="2"/>
      <c r="R643" s="2"/>
      <c r="S643" s="2"/>
      <c r="T643" s="2"/>
      <c r="U643" s="2"/>
    </row>
    <row r="644" spans="1:21" ht="15.75" customHeight="1">
      <c r="A644" s="1"/>
      <c r="B644" s="2"/>
      <c r="C644" s="2"/>
      <c r="D644" s="2"/>
      <c r="E644" s="2"/>
      <c r="F644" s="2"/>
      <c r="G644" s="2"/>
      <c r="H644" s="2"/>
      <c r="I644" s="2"/>
      <c r="J644" s="2"/>
      <c r="K644" s="2"/>
      <c r="L644" s="2"/>
      <c r="M644" s="2"/>
      <c r="N644" s="2"/>
      <c r="O644" s="2"/>
      <c r="P644" s="2"/>
      <c r="Q644" s="2"/>
      <c r="R644" s="2"/>
      <c r="S644" s="2"/>
      <c r="T644" s="2"/>
      <c r="U644" s="2"/>
    </row>
    <row r="645" spans="1:21" ht="15.75" customHeight="1">
      <c r="A645" s="1"/>
      <c r="B645" s="2"/>
      <c r="C645" s="2"/>
      <c r="D645" s="2"/>
      <c r="E645" s="2"/>
      <c r="F645" s="2"/>
      <c r="G645" s="2"/>
      <c r="H645" s="2"/>
      <c r="I645" s="2"/>
      <c r="J645" s="2"/>
      <c r="K645" s="2"/>
      <c r="L645" s="2"/>
      <c r="M645" s="2"/>
      <c r="N645" s="2"/>
      <c r="O645" s="2"/>
      <c r="P645" s="2"/>
      <c r="Q645" s="2"/>
      <c r="R645" s="2"/>
      <c r="S645" s="2"/>
      <c r="T645" s="2"/>
      <c r="U645" s="2"/>
    </row>
    <row r="646" spans="1:21" ht="15.75" customHeight="1">
      <c r="A646" s="1"/>
      <c r="B646" s="2"/>
      <c r="C646" s="2"/>
      <c r="D646" s="2"/>
      <c r="E646" s="2"/>
      <c r="F646" s="2"/>
      <c r="G646" s="2"/>
      <c r="H646" s="2"/>
      <c r="I646" s="2"/>
      <c r="J646" s="2"/>
      <c r="K646" s="2"/>
      <c r="L646" s="2"/>
      <c r="M646" s="2"/>
      <c r="N646" s="2"/>
      <c r="O646" s="2"/>
      <c r="P646" s="2"/>
      <c r="Q646" s="2"/>
      <c r="R646" s="2"/>
      <c r="S646" s="2"/>
      <c r="T646" s="2"/>
      <c r="U646" s="2"/>
    </row>
    <row r="647" spans="1:21" ht="15.75" customHeight="1">
      <c r="A647" s="1"/>
      <c r="B647" s="2"/>
      <c r="C647" s="2"/>
      <c r="D647" s="2"/>
      <c r="E647" s="2"/>
      <c r="F647" s="2"/>
      <c r="G647" s="2"/>
      <c r="H647" s="2"/>
      <c r="I647" s="2"/>
      <c r="J647" s="2"/>
      <c r="K647" s="2"/>
      <c r="L647" s="2"/>
      <c r="M647" s="2"/>
      <c r="N647" s="2"/>
      <c r="O647" s="2"/>
      <c r="P647" s="2"/>
      <c r="Q647" s="2"/>
      <c r="R647" s="2"/>
      <c r="S647" s="2"/>
      <c r="T647" s="2"/>
      <c r="U647" s="2"/>
    </row>
    <row r="648" spans="1:21" ht="15.75" customHeight="1">
      <c r="A648" s="1"/>
      <c r="B648" s="2"/>
      <c r="C648" s="2"/>
      <c r="D648" s="2"/>
      <c r="E648" s="2"/>
      <c r="F648" s="2"/>
      <c r="G648" s="2"/>
      <c r="H648" s="2"/>
      <c r="I648" s="2"/>
      <c r="J648" s="2"/>
      <c r="K648" s="2"/>
      <c r="L648" s="2"/>
      <c r="M648" s="2"/>
      <c r="N648" s="2"/>
      <c r="O648" s="2"/>
      <c r="P648" s="2"/>
      <c r="Q648" s="2"/>
      <c r="R648" s="2"/>
      <c r="S648" s="2"/>
      <c r="T648" s="2"/>
      <c r="U648" s="2"/>
    </row>
    <row r="649" spans="1:21" ht="15.75" customHeight="1">
      <c r="A649" s="1"/>
      <c r="B649" s="2"/>
      <c r="C649" s="2"/>
      <c r="D649" s="2"/>
      <c r="E649" s="2"/>
      <c r="F649" s="2"/>
      <c r="G649" s="2"/>
      <c r="H649" s="2"/>
      <c r="I649" s="2"/>
      <c r="J649" s="2"/>
      <c r="K649" s="2"/>
      <c r="L649" s="2"/>
      <c r="M649" s="2"/>
      <c r="N649" s="2"/>
      <c r="O649" s="2"/>
      <c r="P649" s="2"/>
      <c r="Q649" s="2"/>
      <c r="R649" s="2"/>
      <c r="S649" s="2"/>
      <c r="T649" s="2"/>
      <c r="U649" s="2"/>
    </row>
    <row r="650" spans="1:21" ht="15.75" customHeight="1">
      <c r="A650" s="1"/>
      <c r="B650" s="2"/>
      <c r="C650" s="2"/>
      <c r="D650" s="2"/>
      <c r="E650" s="2"/>
      <c r="F650" s="2"/>
      <c r="G650" s="2"/>
      <c r="H650" s="2"/>
      <c r="I650" s="2"/>
      <c r="J650" s="2"/>
      <c r="K650" s="2"/>
      <c r="L650" s="2"/>
      <c r="M650" s="2"/>
      <c r="N650" s="2"/>
      <c r="O650" s="2"/>
      <c r="P650" s="2"/>
      <c r="Q650" s="2"/>
      <c r="R650" s="2"/>
      <c r="S650" s="2"/>
      <c r="T650" s="2"/>
      <c r="U650" s="2"/>
    </row>
    <row r="651" spans="1:21" ht="15.75" customHeight="1">
      <c r="A651" s="1"/>
      <c r="B651" s="2"/>
      <c r="C651" s="2"/>
      <c r="D651" s="2"/>
      <c r="E651" s="2"/>
      <c r="F651" s="2"/>
      <c r="G651" s="2"/>
      <c r="H651" s="2"/>
      <c r="I651" s="2"/>
      <c r="J651" s="2"/>
      <c r="K651" s="2"/>
      <c r="L651" s="2"/>
      <c r="M651" s="2"/>
      <c r="N651" s="2"/>
      <c r="O651" s="2"/>
      <c r="P651" s="2"/>
      <c r="Q651" s="2"/>
      <c r="R651" s="2"/>
      <c r="S651" s="2"/>
      <c r="T651" s="2"/>
      <c r="U651" s="2"/>
    </row>
    <row r="652" spans="1:21" ht="15.75" customHeight="1">
      <c r="A652" s="1"/>
      <c r="B652" s="2"/>
      <c r="C652" s="2"/>
      <c r="D652" s="2"/>
      <c r="E652" s="2"/>
      <c r="F652" s="2"/>
      <c r="G652" s="2"/>
      <c r="H652" s="2"/>
      <c r="I652" s="2"/>
      <c r="J652" s="2"/>
      <c r="K652" s="2"/>
      <c r="L652" s="2"/>
      <c r="M652" s="2"/>
      <c r="N652" s="2"/>
      <c r="O652" s="2"/>
      <c r="P652" s="2"/>
      <c r="Q652" s="2"/>
      <c r="R652" s="2"/>
      <c r="S652" s="2"/>
      <c r="T652" s="2"/>
      <c r="U652" s="2"/>
    </row>
    <row r="653" spans="1:21" ht="15.75" customHeight="1">
      <c r="A653" s="1"/>
      <c r="B653" s="2"/>
      <c r="C653" s="2"/>
      <c r="D653" s="2"/>
      <c r="E653" s="2"/>
      <c r="F653" s="2"/>
      <c r="G653" s="2"/>
      <c r="H653" s="2"/>
      <c r="I653" s="2"/>
      <c r="J653" s="2"/>
      <c r="K653" s="2"/>
      <c r="L653" s="2"/>
      <c r="M653" s="2"/>
      <c r="N653" s="2"/>
      <c r="O653" s="2"/>
      <c r="P653" s="2"/>
      <c r="Q653" s="2"/>
      <c r="R653" s="2"/>
      <c r="S653" s="2"/>
      <c r="T653" s="2"/>
      <c r="U653" s="2"/>
    </row>
    <row r="654" spans="1:21" ht="15.75" customHeight="1">
      <c r="A654" s="1"/>
      <c r="B654" s="2"/>
      <c r="C654" s="2"/>
      <c r="D654" s="2"/>
      <c r="E654" s="2"/>
      <c r="F654" s="2"/>
      <c r="G654" s="2"/>
      <c r="H654" s="2"/>
      <c r="I654" s="2"/>
      <c r="J654" s="2"/>
      <c r="K654" s="2"/>
      <c r="L654" s="2"/>
      <c r="M654" s="2"/>
      <c r="N654" s="2"/>
      <c r="O654" s="2"/>
      <c r="P654" s="2"/>
      <c r="Q654" s="2"/>
      <c r="R654" s="2"/>
      <c r="S654" s="2"/>
      <c r="T654" s="2"/>
      <c r="U654" s="2"/>
    </row>
    <row r="655" spans="1:21" ht="15.75" customHeight="1">
      <c r="A655" s="1"/>
      <c r="B655" s="2"/>
      <c r="C655" s="2"/>
      <c r="D655" s="2"/>
      <c r="E655" s="2"/>
      <c r="F655" s="2"/>
      <c r="G655" s="2"/>
      <c r="H655" s="2"/>
      <c r="I655" s="2"/>
      <c r="J655" s="2"/>
      <c r="K655" s="2"/>
      <c r="L655" s="2"/>
      <c r="M655" s="2"/>
      <c r="N655" s="2"/>
      <c r="O655" s="2"/>
      <c r="P655" s="2"/>
      <c r="Q655" s="2"/>
      <c r="R655" s="2"/>
      <c r="S655" s="2"/>
      <c r="T655" s="2"/>
      <c r="U655" s="2"/>
    </row>
    <row r="656" spans="1:21" ht="15.75" customHeight="1">
      <c r="A656" s="1"/>
      <c r="B656" s="2"/>
      <c r="C656" s="2"/>
      <c r="D656" s="2"/>
      <c r="E656" s="2"/>
      <c r="F656" s="2"/>
      <c r="G656" s="2"/>
      <c r="H656" s="2"/>
      <c r="I656" s="2"/>
      <c r="J656" s="2"/>
      <c r="K656" s="2"/>
      <c r="L656" s="2"/>
      <c r="M656" s="2"/>
      <c r="N656" s="2"/>
      <c r="O656" s="2"/>
      <c r="P656" s="2"/>
      <c r="Q656" s="2"/>
      <c r="R656" s="2"/>
      <c r="S656" s="2"/>
      <c r="T656" s="2"/>
      <c r="U656" s="2"/>
    </row>
    <row r="657" spans="1:21" ht="15.75" customHeight="1">
      <c r="A657" s="1"/>
      <c r="B657" s="2"/>
      <c r="C657" s="2"/>
      <c r="D657" s="2"/>
      <c r="E657" s="2"/>
      <c r="F657" s="2"/>
      <c r="G657" s="2"/>
      <c r="H657" s="2"/>
      <c r="I657" s="2"/>
      <c r="J657" s="2"/>
      <c r="K657" s="2"/>
      <c r="L657" s="2"/>
      <c r="M657" s="2"/>
      <c r="N657" s="2"/>
      <c r="O657" s="2"/>
      <c r="P657" s="2"/>
      <c r="Q657" s="2"/>
      <c r="R657" s="2"/>
      <c r="S657" s="2"/>
      <c r="T657" s="2"/>
      <c r="U657" s="2"/>
    </row>
    <row r="658" spans="1:21" ht="15.75" customHeight="1">
      <c r="A658" s="1"/>
      <c r="B658" s="2"/>
      <c r="C658" s="2"/>
      <c r="D658" s="2"/>
      <c r="E658" s="2"/>
      <c r="F658" s="2"/>
      <c r="G658" s="2"/>
      <c r="H658" s="2"/>
      <c r="I658" s="2"/>
      <c r="J658" s="2"/>
      <c r="K658" s="2"/>
      <c r="L658" s="2"/>
      <c r="M658" s="2"/>
      <c r="N658" s="2"/>
      <c r="O658" s="2"/>
      <c r="P658" s="2"/>
      <c r="Q658" s="2"/>
      <c r="R658" s="2"/>
      <c r="S658" s="2"/>
      <c r="T658" s="2"/>
      <c r="U658" s="2"/>
    </row>
    <row r="659" spans="1:21" ht="15.75" customHeight="1">
      <c r="A659" s="1"/>
      <c r="B659" s="2"/>
      <c r="C659" s="2"/>
      <c r="D659" s="2"/>
      <c r="E659" s="2"/>
      <c r="F659" s="2"/>
      <c r="G659" s="2"/>
      <c r="H659" s="2"/>
      <c r="I659" s="2"/>
      <c r="J659" s="2"/>
      <c r="K659" s="2"/>
      <c r="L659" s="2"/>
      <c r="M659" s="2"/>
      <c r="N659" s="2"/>
      <c r="O659" s="2"/>
      <c r="P659" s="2"/>
      <c r="Q659" s="2"/>
      <c r="R659" s="2"/>
      <c r="S659" s="2"/>
      <c r="T659" s="2"/>
      <c r="U659" s="2"/>
    </row>
    <row r="660" spans="1:21" ht="15.75" customHeight="1">
      <c r="A660" s="1"/>
      <c r="B660" s="2"/>
      <c r="C660" s="2"/>
      <c r="D660" s="2"/>
      <c r="E660" s="2"/>
      <c r="F660" s="2"/>
      <c r="G660" s="2"/>
      <c r="H660" s="2"/>
      <c r="I660" s="2"/>
      <c r="J660" s="2"/>
      <c r="K660" s="2"/>
      <c r="L660" s="2"/>
      <c r="M660" s="2"/>
      <c r="N660" s="2"/>
      <c r="O660" s="2"/>
      <c r="P660" s="2"/>
      <c r="Q660" s="2"/>
      <c r="R660" s="2"/>
      <c r="S660" s="2"/>
      <c r="T660" s="2"/>
      <c r="U660" s="2"/>
    </row>
    <row r="661" spans="1:21" ht="15.75" customHeight="1">
      <c r="A661" s="1"/>
      <c r="B661" s="2"/>
      <c r="C661" s="2"/>
      <c r="D661" s="2"/>
      <c r="E661" s="2"/>
      <c r="F661" s="2"/>
      <c r="G661" s="2"/>
      <c r="H661" s="2"/>
      <c r="I661" s="2"/>
      <c r="J661" s="2"/>
      <c r="K661" s="2"/>
      <c r="L661" s="2"/>
      <c r="M661" s="2"/>
      <c r="N661" s="2"/>
      <c r="O661" s="2"/>
      <c r="P661" s="2"/>
      <c r="Q661" s="2"/>
      <c r="R661" s="2"/>
      <c r="S661" s="2"/>
      <c r="T661" s="2"/>
      <c r="U661" s="2"/>
    </row>
    <row r="662" spans="1:21" ht="15.75" customHeight="1">
      <c r="A662" s="1"/>
      <c r="B662" s="2"/>
      <c r="C662" s="2"/>
      <c r="D662" s="2"/>
      <c r="E662" s="2"/>
      <c r="F662" s="2"/>
      <c r="G662" s="2"/>
      <c r="H662" s="2"/>
      <c r="I662" s="2"/>
      <c r="J662" s="2"/>
      <c r="K662" s="2"/>
      <c r="L662" s="2"/>
      <c r="M662" s="2"/>
      <c r="N662" s="2"/>
      <c r="O662" s="2"/>
      <c r="P662" s="2"/>
      <c r="Q662" s="2"/>
      <c r="R662" s="2"/>
      <c r="S662" s="2"/>
      <c r="T662" s="2"/>
      <c r="U662" s="2"/>
    </row>
    <row r="663" spans="1:21" ht="15.75" customHeight="1">
      <c r="A663" s="1"/>
      <c r="B663" s="2"/>
      <c r="C663" s="2"/>
      <c r="D663" s="2"/>
      <c r="E663" s="2"/>
      <c r="F663" s="2"/>
      <c r="G663" s="2"/>
      <c r="H663" s="2"/>
      <c r="I663" s="2"/>
      <c r="J663" s="2"/>
      <c r="K663" s="2"/>
      <c r="L663" s="2"/>
      <c r="M663" s="2"/>
      <c r="N663" s="2"/>
      <c r="O663" s="2"/>
      <c r="P663" s="2"/>
      <c r="Q663" s="2"/>
      <c r="R663" s="2"/>
      <c r="S663" s="2"/>
      <c r="T663" s="2"/>
      <c r="U663" s="2"/>
    </row>
    <row r="664" spans="1:21" ht="15.75" customHeight="1">
      <c r="A664" s="1"/>
      <c r="B664" s="2"/>
      <c r="C664" s="2"/>
      <c r="D664" s="2"/>
      <c r="E664" s="2"/>
      <c r="F664" s="2"/>
      <c r="G664" s="2"/>
      <c r="H664" s="2"/>
      <c r="I664" s="2"/>
      <c r="J664" s="2"/>
      <c r="K664" s="2"/>
      <c r="L664" s="2"/>
      <c r="M664" s="2"/>
      <c r="N664" s="2"/>
      <c r="O664" s="2"/>
      <c r="P664" s="2"/>
      <c r="Q664" s="2"/>
      <c r="R664" s="2"/>
      <c r="S664" s="2"/>
      <c r="T664" s="2"/>
      <c r="U664" s="2"/>
    </row>
    <row r="665" spans="1:21" ht="15.75" customHeight="1">
      <c r="A665" s="1"/>
      <c r="B665" s="2"/>
      <c r="C665" s="2"/>
      <c r="D665" s="2"/>
      <c r="E665" s="2"/>
      <c r="F665" s="2"/>
      <c r="G665" s="2"/>
      <c r="H665" s="2"/>
      <c r="I665" s="2"/>
      <c r="J665" s="2"/>
      <c r="K665" s="2"/>
      <c r="L665" s="2"/>
      <c r="M665" s="2"/>
      <c r="N665" s="2"/>
      <c r="O665" s="2"/>
      <c r="P665" s="2"/>
      <c r="Q665" s="2"/>
      <c r="R665" s="2"/>
      <c r="S665" s="2"/>
      <c r="T665" s="2"/>
      <c r="U665" s="2"/>
    </row>
    <row r="666" spans="1:21" ht="15.75" customHeight="1">
      <c r="A666" s="1"/>
      <c r="B666" s="2"/>
      <c r="C666" s="2"/>
      <c r="D666" s="2"/>
      <c r="E666" s="2"/>
      <c r="F666" s="2"/>
      <c r="G666" s="2"/>
      <c r="H666" s="2"/>
      <c r="I666" s="2"/>
      <c r="J666" s="2"/>
      <c r="K666" s="2"/>
      <c r="L666" s="2"/>
      <c r="M666" s="2"/>
      <c r="N666" s="2"/>
      <c r="O666" s="2"/>
      <c r="P666" s="2"/>
      <c r="Q666" s="2"/>
      <c r="R666" s="2"/>
      <c r="S666" s="2"/>
      <c r="T666" s="2"/>
      <c r="U666" s="2"/>
    </row>
    <row r="667" spans="1:21" ht="15.75" customHeight="1">
      <c r="A667" s="1"/>
      <c r="B667" s="2"/>
      <c r="C667" s="2"/>
      <c r="D667" s="2"/>
      <c r="E667" s="2"/>
      <c r="F667" s="2"/>
      <c r="G667" s="2"/>
      <c r="H667" s="2"/>
      <c r="I667" s="2"/>
      <c r="J667" s="2"/>
      <c r="K667" s="2"/>
      <c r="L667" s="2"/>
      <c r="M667" s="2"/>
      <c r="N667" s="2"/>
      <c r="O667" s="2"/>
      <c r="P667" s="2"/>
      <c r="Q667" s="2"/>
      <c r="R667" s="2"/>
      <c r="S667" s="2"/>
      <c r="T667" s="2"/>
      <c r="U667" s="2"/>
    </row>
    <row r="668" spans="1:21" ht="15.75" customHeight="1">
      <c r="A668" s="1"/>
      <c r="B668" s="2"/>
      <c r="C668" s="2"/>
      <c r="D668" s="2"/>
      <c r="E668" s="2"/>
      <c r="F668" s="2"/>
      <c r="G668" s="2"/>
      <c r="H668" s="2"/>
      <c r="I668" s="2"/>
      <c r="J668" s="2"/>
      <c r="K668" s="2"/>
      <c r="L668" s="2"/>
      <c r="M668" s="2"/>
      <c r="N668" s="2"/>
      <c r="O668" s="2"/>
      <c r="P668" s="2"/>
      <c r="Q668" s="2"/>
      <c r="R668" s="2"/>
      <c r="S668" s="2"/>
      <c r="T668" s="2"/>
      <c r="U668" s="2"/>
    </row>
    <row r="669" spans="1:21" ht="15.75" customHeight="1">
      <c r="A669" s="1"/>
      <c r="B669" s="2"/>
      <c r="C669" s="2"/>
      <c r="D669" s="2"/>
      <c r="E669" s="2"/>
      <c r="F669" s="2"/>
      <c r="G669" s="2"/>
      <c r="H669" s="2"/>
      <c r="I669" s="2"/>
      <c r="J669" s="2"/>
      <c r="K669" s="2"/>
      <c r="L669" s="2"/>
      <c r="M669" s="2"/>
      <c r="N669" s="2"/>
      <c r="O669" s="2"/>
      <c r="P669" s="2"/>
      <c r="Q669" s="2"/>
      <c r="R669" s="2"/>
      <c r="S669" s="2"/>
      <c r="T669" s="2"/>
      <c r="U669" s="2"/>
    </row>
    <row r="670" spans="1:21" ht="15.75" customHeight="1">
      <c r="A670" s="1"/>
      <c r="B670" s="2"/>
      <c r="C670" s="2"/>
      <c r="D670" s="2"/>
      <c r="E670" s="2"/>
      <c r="F670" s="2"/>
      <c r="G670" s="2"/>
      <c r="H670" s="2"/>
      <c r="I670" s="2"/>
      <c r="J670" s="2"/>
      <c r="K670" s="2"/>
      <c r="L670" s="2"/>
      <c r="M670" s="2"/>
      <c r="N670" s="2"/>
      <c r="O670" s="2"/>
      <c r="P670" s="2"/>
      <c r="Q670" s="2"/>
      <c r="R670" s="2"/>
      <c r="S670" s="2"/>
      <c r="T670" s="2"/>
      <c r="U670" s="2"/>
    </row>
    <row r="671" spans="1:21" ht="15.75" customHeight="1">
      <c r="A671" s="1"/>
      <c r="B671" s="2"/>
      <c r="C671" s="2"/>
      <c r="D671" s="2"/>
      <c r="E671" s="2"/>
      <c r="F671" s="2"/>
      <c r="G671" s="2"/>
      <c r="H671" s="2"/>
      <c r="I671" s="2"/>
      <c r="J671" s="2"/>
      <c r="K671" s="2"/>
      <c r="L671" s="2"/>
      <c r="M671" s="2"/>
      <c r="N671" s="2"/>
      <c r="O671" s="2"/>
      <c r="P671" s="2"/>
      <c r="Q671" s="2"/>
      <c r="R671" s="2"/>
      <c r="S671" s="2"/>
      <c r="T671" s="2"/>
      <c r="U671" s="2"/>
    </row>
    <row r="672" spans="1:21" ht="15.75" customHeight="1">
      <c r="A672" s="1"/>
      <c r="B672" s="2"/>
      <c r="C672" s="2"/>
      <c r="D672" s="2"/>
      <c r="E672" s="2"/>
      <c r="F672" s="2"/>
      <c r="G672" s="2"/>
      <c r="H672" s="2"/>
      <c r="I672" s="2"/>
      <c r="J672" s="2"/>
      <c r="K672" s="2"/>
      <c r="L672" s="2"/>
      <c r="M672" s="2"/>
      <c r="N672" s="2"/>
      <c r="O672" s="2"/>
      <c r="P672" s="2"/>
      <c r="Q672" s="2"/>
      <c r="R672" s="2"/>
      <c r="S672" s="2"/>
      <c r="T672" s="2"/>
      <c r="U672" s="2"/>
    </row>
    <row r="673" spans="1:21" ht="15.75" customHeight="1">
      <c r="A673" s="1"/>
      <c r="B673" s="2"/>
      <c r="C673" s="2"/>
      <c r="D673" s="2"/>
      <c r="E673" s="2"/>
      <c r="F673" s="2"/>
      <c r="G673" s="2"/>
      <c r="H673" s="2"/>
      <c r="I673" s="2"/>
      <c r="J673" s="2"/>
      <c r="K673" s="2"/>
      <c r="L673" s="2"/>
      <c r="M673" s="2"/>
      <c r="N673" s="2"/>
      <c r="O673" s="2"/>
      <c r="P673" s="2"/>
      <c r="Q673" s="2"/>
      <c r="R673" s="2"/>
      <c r="S673" s="2"/>
      <c r="T673" s="2"/>
      <c r="U673" s="2"/>
    </row>
    <row r="674" spans="1:21" ht="15.75" customHeight="1">
      <c r="A674" s="1"/>
      <c r="B674" s="2"/>
      <c r="C674" s="2"/>
      <c r="D674" s="2"/>
      <c r="E674" s="2"/>
      <c r="F674" s="2"/>
      <c r="G674" s="2"/>
      <c r="H674" s="2"/>
      <c r="I674" s="2"/>
      <c r="J674" s="2"/>
      <c r="K674" s="2"/>
      <c r="L674" s="2"/>
      <c r="M674" s="2"/>
      <c r="N674" s="2"/>
      <c r="O674" s="2"/>
      <c r="P674" s="2"/>
      <c r="Q674" s="2"/>
      <c r="R674" s="2"/>
      <c r="S674" s="2"/>
      <c r="T674" s="2"/>
      <c r="U674" s="2"/>
    </row>
    <row r="675" spans="1:21" ht="15.75" customHeight="1">
      <c r="A675" s="1"/>
      <c r="B675" s="2"/>
      <c r="C675" s="2"/>
      <c r="D675" s="2"/>
      <c r="E675" s="2"/>
      <c r="F675" s="2"/>
      <c r="G675" s="2"/>
      <c r="H675" s="2"/>
      <c r="I675" s="2"/>
      <c r="J675" s="2"/>
      <c r="K675" s="2"/>
      <c r="L675" s="2"/>
      <c r="M675" s="2"/>
      <c r="N675" s="2"/>
      <c r="O675" s="2"/>
      <c r="P675" s="2"/>
      <c r="Q675" s="2"/>
      <c r="R675" s="2"/>
      <c r="S675" s="2"/>
      <c r="T675" s="2"/>
      <c r="U675" s="2"/>
    </row>
    <row r="676" spans="1:21" ht="15.75" customHeight="1">
      <c r="A676" s="1"/>
      <c r="B676" s="2"/>
      <c r="C676" s="2"/>
      <c r="D676" s="2"/>
      <c r="E676" s="2"/>
      <c r="F676" s="2"/>
      <c r="G676" s="2"/>
      <c r="H676" s="2"/>
      <c r="I676" s="2"/>
      <c r="J676" s="2"/>
      <c r="K676" s="2"/>
      <c r="L676" s="2"/>
      <c r="M676" s="2"/>
      <c r="N676" s="2"/>
      <c r="O676" s="2"/>
      <c r="P676" s="2"/>
      <c r="Q676" s="2"/>
      <c r="R676" s="2"/>
      <c r="S676" s="2"/>
      <c r="T676" s="2"/>
      <c r="U676" s="2"/>
    </row>
    <row r="677" spans="1:21" ht="15.75" customHeight="1">
      <c r="A677" s="1"/>
      <c r="B677" s="2"/>
      <c r="C677" s="2"/>
      <c r="D677" s="2"/>
      <c r="E677" s="2"/>
      <c r="F677" s="2"/>
      <c r="G677" s="2"/>
      <c r="H677" s="2"/>
      <c r="I677" s="2"/>
      <c r="J677" s="2"/>
      <c r="K677" s="2"/>
      <c r="L677" s="2"/>
      <c r="M677" s="2"/>
      <c r="N677" s="2"/>
      <c r="O677" s="2"/>
      <c r="P677" s="2"/>
      <c r="Q677" s="2"/>
      <c r="R677" s="2"/>
      <c r="S677" s="2"/>
      <c r="T677" s="2"/>
      <c r="U677" s="2"/>
    </row>
    <row r="678" spans="1:21" ht="15.75" customHeight="1">
      <c r="A678" s="1"/>
      <c r="B678" s="2"/>
      <c r="C678" s="2"/>
      <c r="D678" s="2"/>
      <c r="E678" s="2"/>
      <c r="F678" s="2"/>
      <c r="G678" s="2"/>
      <c r="H678" s="2"/>
      <c r="I678" s="2"/>
      <c r="J678" s="2"/>
      <c r="K678" s="2"/>
      <c r="L678" s="2"/>
      <c r="M678" s="2"/>
      <c r="N678" s="2"/>
      <c r="O678" s="2"/>
      <c r="P678" s="2"/>
      <c r="Q678" s="2"/>
      <c r="R678" s="2"/>
      <c r="S678" s="2"/>
      <c r="T678" s="2"/>
      <c r="U678" s="2"/>
    </row>
    <row r="679" spans="1:21" ht="15.75" customHeight="1">
      <c r="A679" s="1"/>
      <c r="B679" s="2"/>
      <c r="C679" s="2"/>
      <c r="D679" s="2"/>
      <c r="E679" s="2"/>
      <c r="F679" s="2"/>
      <c r="G679" s="2"/>
      <c r="H679" s="2"/>
      <c r="I679" s="2"/>
      <c r="J679" s="2"/>
      <c r="K679" s="2"/>
      <c r="L679" s="2"/>
      <c r="M679" s="2"/>
      <c r="N679" s="2"/>
      <c r="O679" s="2"/>
      <c r="P679" s="2"/>
      <c r="Q679" s="2"/>
      <c r="R679" s="2"/>
      <c r="S679" s="2"/>
      <c r="T679" s="2"/>
      <c r="U679" s="2"/>
    </row>
    <row r="680" spans="1:21" ht="15.75" customHeight="1">
      <c r="A680" s="1"/>
      <c r="B680" s="2"/>
      <c r="C680" s="2"/>
      <c r="D680" s="2"/>
      <c r="E680" s="2"/>
      <c r="F680" s="2"/>
      <c r="G680" s="2"/>
      <c r="H680" s="2"/>
      <c r="I680" s="2"/>
      <c r="J680" s="2"/>
      <c r="K680" s="2"/>
      <c r="L680" s="2"/>
      <c r="M680" s="2"/>
      <c r="N680" s="2"/>
      <c r="O680" s="2"/>
      <c r="P680" s="2"/>
      <c r="Q680" s="2"/>
      <c r="R680" s="2"/>
      <c r="S680" s="2"/>
      <c r="T680" s="2"/>
      <c r="U680" s="2"/>
    </row>
    <row r="681" spans="1:21" ht="15.75" customHeight="1">
      <c r="A681" s="1"/>
      <c r="B681" s="2"/>
      <c r="C681" s="2"/>
      <c r="D681" s="2"/>
      <c r="E681" s="2"/>
      <c r="F681" s="2"/>
      <c r="G681" s="2"/>
      <c r="H681" s="2"/>
      <c r="I681" s="2"/>
      <c r="J681" s="2"/>
      <c r="K681" s="2"/>
      <c r="L681" s="2"/>
      <c r="M681" s="2"/>
      <c r="N681" s="2"/>
      <c r="O681" s="2"/>
      <c r="P681" s="2"/>
      <c r="Q681" s="2"/>
      <c r="R681" s="2"/>
      <c r="S681" s="2"/>
      <c r="T681" s="2"/>
      <c r="U681" s="2"/>
    </row>
    <row r="682" spans="1:21" ht="15.75" customHeight="1">
      <c r="A682" s="1"/>
      <c r="B682" s="2"/>
      <c r="C682" s="2"/>
      <c r="D682" s="2"/>
      <c r="E682" s="2"/>
      <c r="F682" s="2"/>
      <c r="G682" s="2"/>
      <c r="H682" s="2"/>
      <c r="I682" s="2"/>
      <c r="J682" s="2"/>
      <c r="K682" s="2"/>
      <c r="L682" s="2"/>
      <c r="M682" s="2"/>
      <c r="N682" s="2"/>
      <c r="O682" s="2"/>
      <c r="P682" s="2"/>
      <c r="Q682" s="2"/>
      <c r="R682" s="2"/>
      <c r="S682" s="2"/>
      <c r="T682" s="2"/>
      <c r="U682" s="2"/>
    </row>
    <row r="683" spans="1:21" ht="15.75" customHeight="1">
      <c r="A683" s="1"/>
      <c r="B683" s="2"/>
      <c r="C683" s="2"/>
      <c r="D683" s="2"/>
      <c r="E683" s="2"/>
      <c r="F683" s="2"/>
      <c r="G683" s="2"/>
      <c r="H683" s="2"/>
      <c r="I683" s="2"/>
      <c r="J683" s="2"/>
      <c r="K683" s="2"/>
      <c r="L683" s="2"/>
      <c r="M683" s="2"/>
      <c r="N683" s="2"/>
      <c r="O683" s="2"/>
      <c r="P683" s="2"/>
      <c r="Q683" s="2"/>
      <c r="R683" s="2"/>
      <c r="S683" s="2"/>
      <c r="T683" s="2"/>
      <c r="U683" s="2"/>
    </row>
    <row r="684" spans="1:21" ht="15.75" customHeight="1">
      <c r="A684" s="1"/>
      <c r="B684" s="2"/>
      <c r="C684" s="2"/>
      <c r="D684" s="2"/>
      <c r="E684" s="2"/>
      <c r="F684" s="2"/>
      <c r="G684" s="2"/>
      <c r="H684" s="2"/>
      <c r="I684" s="2"/>
      <c r="J684" s="2"/>
      <c r="K684" s="2"/>
      <c r="L684" s="2"/>
      <c r="M684" s="2"/>
      <c r="N684" s="2"/>
      <c r="O684" s="2"/>
      <c r="P684" s="2"/>
      <c r="Q684" s="2"/>
      <c r="R684" s="2"/>
      <c r="S684" s="2"/>
      <c r="T684" s="2"/>
      <c r="U684" s="2"/>
    </row>
    <row r="685" spans="1:21" ht="15.75" customHeight="1">
      <c r="A685" s="1"/>
      <c r="B685" s="2"/>
      <c r="C685" s="2"/>
      <c r="D685" s="2"/>
      <c r="E685" s="2"/>
      <c r="F685" s="2"/>
      <c r="G685" s="2"/>
      <c r="H685" s="2"/>
      <c r="I685" s="2"/>
      <c r="J685" s="2"/>
      <c r="K685" s="2"/>
      <c r="L685" s="2"/>
      <c r="M685" s="2"/>
      <c r="N685" s="2"/>
      <c r="O685" s="2"/>
      <c r="P685" s="2"/>
      <c r="Q685" s="2"/>
      <c r="R685" s="2"/>
      <c r="S685" s="2"/>
      <c r="T685" s="2"/>
      <c r="U685" s="2"/>
    </row>
    <row r="686" spans="1:21" ht="15.75" customHeight="1">
      <c r="A686" s="1"/>
      <c r="B686" s="2"/>
      <c r="C686" s="2"/>
      <c r="D686" s="2"/>
      <c r="E686" s="2"/>
      <c r="F686" s="2"/>
      <c r="G686" s="2"/>
      <c r="H686" s="2"/>
      <c r="I686" s="2"/>
      <c r="J686" s="2"/>
      <c r="K686" s="2"/>
      <c r="L686" s="2"/>
      <c r="M686" s="2"/>
      <c r="N686" s="2"/>
      <c r="O686" s="2"/>
      <c r="P686" s="2"/>
      <c r="Q686" s="2"/>
      <c r="R686" s="2"/>
      <c r="S686" s="2"/>
      <c r="T686" s="2"/>
      <c r="U686" s="2"/>
    </row>
    <row r="687" spans="1:21" ht="15.75" customHeight="1">
      <c r="A687" s="1"/>
      <c r="B687" s="2"/>
      <c r="C687" s="2"/>
      <c r="D687" s="2"/>
      <c r="E687" s="2"/>
      <c r="F687" s="2"/>
      <c r="G687" s="2"/>
      <c r="H687" s="2"/>
      <c r="I687" s="2"/>
      <c r="J687" s="2"/>
      <c r="K687" s="2"/>
      <c r="L687" s="2"/>
      <c r="M687" s="2"/>
      <c r="N687" s="2"/>
      <c r="O687" s="2"/>
      <c r="P687" s="2"/>
      <c r="Q687" s="2"/>
      <c r="R687" s="2"/>
      <c r="S687" s="2"/>
      <c r="T687" s="2"/>
      <c r="U687" s="2"/>
    </row>
    <row r="688" spans="1:21" ht="15.75" customHeight="1">
      <c r="A688" s="1"/>
      <c r="B688" s="2"/>
      <c r="C688" s="2"/>
      <c r="D688" s="2"/>
      <c r="E688" s="2"/>
      <c r="F688" s="2"/>
      <c r="G688" s="2"/>
      <c r="H688" s="2"/>
      <c r="I688" s="2"/>
      <c r="J688" s="2"/>
      <c r="K688" s="2"/>
      <c r="L688" s="2"/>
      <c r="M688" s="2"/>
      <c r="N688" s="2"/>
      <c r="O688" s="2"/>
      <c r="P688" s="2"/>
      <c r="Q688" s="2"/>
      <c r="R688" s="2"/>
      <c r="S688" s="2"/>
      <c r="T688" s="2"/>
      <c r="U688" s="2"/>
    </row>
    <row r="689" spans="1:21" ht="15.75" customHeight="1">
      <c r="A689" s="1"/>
      <c r="B689" s="2"/>
      <c r="C689" s="2"/>
      <c r="D689" s="2"/>
      <c r="E689" s="2"/>
      <c r="F689" s="2"/>
      <c r="G689" s="2"/>
      <c r="H689" s="2"/>
      <c r="I689" s="2"/>
      <c r="J689" s="2"/>
      <c r="K689" s="2"/>
      <c r="L689" s="2"/>
      <c r="M689" s="2"/>
      <c r="N689" s="2"/>
      <c r="O689" s="2"/>
      <c r="P689" s="2"/>
      <c r="Q689" s="2"/>
      <c r="R689" s="2"/>
      <c r="S689" s="2"/>
      <c r="T689" s="2"/>
      <c r="U689" s="2"/>
    </row>
    <row r="690" spans="1:21" ht="15.75" customHeight="1">
      <c r="A690" s="1"/>
      <c r="B690" s="2"/>
      <c r="C690" s="2"/>
      <c r="D690" s="2"/>
      <c r="E690" s="2"/>
      <c r="F690" s="2"/>
      <c r="G690" s="2"/>
      <c r="H690" s="2"/>
      <c r="I690" s="2"/>
      <c r="J690" s="2"/>
      <c r="K690" s="2"/>
      <c r="L690" s="2"/>
      <c r="M690" s="2"/>
      <c r="N690" s="2"/>
      <c r="O690" s="2"/>
      <c r="P690" s="2"/>
      <c r="Q690" s="2"/>
      <c r="R690" s="2"/>
      <c r="S690" s="2"/>
      <c r="T690" s="2"/>
      <c r="U690" s="2"/>
    </row>
    <row r="691" spans="1:21" ht="15.75" customHeight="1">
      <c r="A691" s="1"/>
      <c r="B691" s="2"/>
      <c r="C691" s="2"/>
      <c r="D691" s="2"/>
      <c r="E691" s="2"/>
      <c r="F691" s="2"/>
      <c r="G691" s="2"/>
      <c r="H691" s="2"/>
      <c r="I691" s="2"/>
      <c r="J691" s="2"/>
      <c r="K691" s="2"/>
      <c r="L691" s="2"/>
      <c r="M691" s="2"/>
      <c r="N691" s="2"/>
      <c r="O691" s="2"/>
      <c r="P691" s="2"/>
      <c r="Q691" s="2"/>
      <c r="R691" s="2"/>
      <c r="S691" s="2"/>
      <c r="T691" s="2"/>
      <c r="U691" s="2"/>
    </row>
    <row r="692" spans="1:21" ht="15.75" customHeight="1">
      <c r="A692" s="1"/>
      <c r="B692" s="2"/>
      <c r="C692" s="2"/>
      <c r="D692" s="2"/>
      <c r="E692" s="2"/>
      <c r="F692" s="2"/>
      <c r="G692" s="2"/>
      <c r="H692" s="2"/>
      <c r="I692" s="2"/>
      <c r="J692" s="2"/>
      <c r="K692" s="2"/>
      <c r="L692" s="2"/>
      <c r="M692" s="2"/>
      <c r="N692" s="2"/>
      <c r="O692" s="2"/>
      <c r="P692" s="2"/>
      <c r="Q692" s="2"/>
      <c r="R692" s="2"/>
      <c r="S692" s="2"/>
      <c r="T692" s="2"/>
      <c r="U692" s="2"/>
    </row>
    <row r="693" spans="1:21" ht="15.75" customHeight="1">
      <c r="A693" s="1"/>
      <c r="B693" s="2"/>
      <c r="C693" s="2"/>
      <c r="D693" s="2"/>
      <c r="E693" s="2"/>
      <c r="F693" s="2"/>
      <c r="G693" s="2"/>
      <c r="H693" s="2"/>
      <c r="I693" s="2"/>
      <c r="J693" s="2"/>
      <c r="K693" s="2"/>
      <c r="L693" s="2"/>
      <c r="M693" s="2"/>
      <c r="N693" s="2"/>
      <c r="O693" s="2"/>
      <c r="P693" s="2"/>
      <c r="Q693" s="2"/>
      <c r="R693" s="2"/>
      <c r="S693" s="2"/>
      <c r="T693" s="2"/>
      <c r="U693" s="2"/>
    </row>
    <row r="694" spans="1:21" ht="15.75" customHeight="1">
      <c r="A694" s="1"/>
      <c r="B694" s="2"/>
      <c r="C694" s="2"/>
      <c r="D694" s="2"/>
      <c r="E694" s="2"/>
      <c r="F694" s="2"/>
      <c r="G694" s="2"/>
      <c r="H694" s="2"/>
      <c r="I694" s="2"/>
      <c r="J694" s="2"/>
      <c r="K694" s="2"/>
      <c r="L694" s="2"/>
      <c r="M694" s="2"/>
      <c r="N694" s="2"/>
      <c r="O694" s="2"/>
      <c r="P694" s="2"/>
      <c r="Q694" s="2"/>
      <c r="R694" s="2"/>
      <c r="S694" s="2"/>
      <c r="T694" s="2"/>
      <c r="U694" s="2"/>
    </row>
    <row r="695" spans="1:21" ht="15.75" customHeight="1">
      <c r="A695" s="1"/>
      <c r="B695" s="2"/>
      <c r="C695" s="2"/>
      <c r="D695" s="2"/>
      <c r="E695" s="2"/>
      <c r="F695" s="2"/>
      <c r="G695" s="2"/>
      <c r="H695" s="2"/>
      <c r="I695" s="2"/>
      <c r="J695" s="2"/>
      <c r="K695" s="2"/>
      <c r="L695" s="2"/>
      <c r="M695" s="2"/>
      <c r="N695" s="2"/>
      <c r="O695" s="2"/>
      <c r="P695" s="2"/>
      <c r="Q695" s="2"/>
      <c r="R695" s="2"/>
      <c r="S695" s="2"/>
      <c r="T695" s="2"/>
      <c r="U695" s="2"/>
    </row>
    <row r="696" spans="1:21" ht="15.75" customHeight="1">
      <c r="A696" s="1"/>
      <c r="B696" s="2"/>
      <c r="C696" s="2"/>
      <c r="D696" s="2"/>
      <c r="E696" s="2"/>
      <c r="F696" s="2"/>
      <c r="G696" s="2"/>
      <c r="H696" s="2"/>
      <c r="I696" s="2"/>
      <c r="J696" s="2"/>
      <c r="K696" s="2"/>
      <c r="L696" s="2"/>
      <c r="M696" s="2"/>
      <c r="N696" s="2"/>
      <c r="O696" s="2"/>
      <c r="P696" s="2"/>
      <c r="Q696" s="2"/>
      <c r="R696" s="2"/>
      <c r="S696" s="2"/>
      <c r="T696" s="2"/>
      <c r="U696" s="2"/>
    </row>
    <row r="697" spans="1:21" ht="15.75" customHeight="1">
      <c r="A697" s="1"/>
      <c r="B697" s="2"/>
      <c r="C697" s="2"/>
      <c r="D697" s="2"/>
      <c r="E697" s="2"/>
      <c r="F697" s="2"/>
      <c r="G697" s="2"/>
      <c r="H697" s="2"/>
      <c r="I697" s="2"/>
      <c r="J697" s="2"/>
      <c r="K697" s="2"/>
      <c r="L697" s="2"/>
      <c r="M697" s="2"/>
      <c r="N697" s="2"/>
      <c r="O697" s="2"/>
      <c r="P697" s="2"/>
      <c r="Q697" s="2"/>
      <c r="R697" s="2"/>
      <c r="S697" s="2"/>
      <c r="T697" s="2"/>
      <c r="U697" s="2"/>
    </row>
    <row r="698" spans="1:21" ht="15.75" customHeight="1">
      <c r="A698" s="1"/>
      <c r="B698" s="2"/>
      <c r="C698" s="2"/>
      <c r="D698" s="2"/>
      <c r="E698" s="2"/>
      <c r="F698" s="2"/>
      <c r="G698" s="2"/>
      <c r="H698" s="2"/>
      <c r="I698" s="2"/>
      <c r="J698" s="2"/>
      <c r="K698" s="2"/>
      <c r="L698" s="2"/>
      <c r="M698" s="2"/>
      <c r="N698" s="2"/>
      <c r="O698" s="2"/>
      <c r="P698" s="2"/>
      <c r="Q698" s="2"/>
      <c r="R698" s="2"/>
      <c r="S698" s="2"/>
      <c r="T698" s="2"/>
      <c r="U698" s="2"/>
    </row>
    <row r="699" spans="1:21" ht="15.75" customHeight="1">
      <c r="A699" s="1"/>
      <c r="B699" s="2"/>
      <c r="C699" s="2"/>
      <c r="D699" s="2"/>
      <c r="E699" s="2"/>
      <c r="F699" s="2"/>
      <c r="G699" s="2"/>
      <c r="H699" s="2"/>
      <c r="I699" s="2"/>
      <c r="J699" s="2"/>
      <c r="K699" s="2"/>
      <c r="L699" s="2"/>
      <c r="M699" s="2"/>
      <c r="N699" s="2"/>
      <c r="O699" s="2"/>
      <c r="P699" s="2"/>
      <c r="Q699" s="2"/>
      <c r="R699" s="2"/>
      <c r="S699" s="2"/>
      <c r="T699" s="2"/>
      <c r="U699" s="2"/>
    </row>
    <row r="700" spans="1:21" ht="15.75" customHeight="1">
      <c r="A700" s="1"/>
      <c r="B700" s="2"/>
      <c r="C700" s="2"/>
      <c r="D700" s="2"/>
      <c r="E700" s="2"/>
      <c r="F700" s="2"/>
      <c r="G700" s="2"/>
      <c r="H700" s="2"/>
      <c r="I700" s="2"/>
      <c r="J700" s="2"/>
      <c r="K700" s="2"/>
      <c r="L700" s="2"/>
      <c r="M700" s="2"/>
      <c r="N700" s="2"/>
      <c r="O700" s="2"/>
      <c r="P700" s="2"/>
      <c r="Q700" s="2"/>
      <c r="R700" s="2"/>
      <c r="S700" s="2"/>
      <c r="T700" s="2"/>
      <c r="U700" s="2"/>
    </row>
    <row r="701" spans="1:21" ht="15.75" customHeight="1">
      <c r="A701" s="1"/>
      <c r="B701" s="2"/>
      <c r="C701" s="2"/>
      <c r="D701" s="2"/>
      <c r="E701" s="2"/>
      <c r="F701" s="2"/>
      <c r="G701" s="2"/>
      <c r="H701" s="2"/>
      <c r="I701" s="2"/>
      <c r="J701" s="2"/>
      <c r="K701" s="2"/>
      <c r="L701" s="2"/>
      <c r="M701" s="2"/>
      <c r="N701" s="2"/>
      <c r="O701" s="2"/>
      <c r="P701" s="2"/>
      <c r="Q701" s="2"/>
      <c r="R701" s="2"/>
      <c r="S701" s="2"/>
      <c r="T701" s="2"/>
      <c r="U701" s="2"/>
    </row>
    <row r="702" spans="1:21" ht="15.75" customHeight="1">
      <c r="A702" s="1"/>
      <c r="B702" s="2"/>
      <c r="C702" s="2"/>
      <c r="D702" s="2"/>
      <c r="E702" s="2"/>
      <c r="F702" s="2"/>
      <c r="G702" s="2"/>
      <c r="H702" s="2"/>
      <c r="I702" s="2"/>
      <c r="J702" s="2"/>
      <c r="K702" s="2"/>
      <c r="L702" s="2"/>
      <c r="M702" s="2"/>
      <c r="N702" s="2"/>
      <c r="O702" s="2"/>
      <c r="P702" s="2"/>
      <c r="Q702" s="2"/>
      <c r="R702" s="2"/>
      <c r="S702" s="2"/>
      <c r="T702" s="2"/>
      <c r="U702" s="2"/>
    </row>
    <row r="703" spans="1:21" ht="15.75" customHeight="1">
      <c r="A703" s="1"/>
      <c r="B703" s="2"/>
      <c r="C703" s="2"/>
      <c r="D703" s="2"/>
      <c r="E703" s="2"/>
      <c r="F703" s="2"/>
      <c r="G703" s="2"/>
      <c r="H703" s="2"/>
      <c r="I703" s="2"/>
      <c r="J703" s="2"/>
      <c r="K703" s="2"/>
      <c r="L703" s="2"/>
      <c r="M703" s="2"/>
      <c r="N703" s="2"/>
      <c r="O703" s="2"/>
      <c r="P703" s="2"/>
      <c r="Q703" s="2"/>
      <c r="R703" s="2"/>
      <c r="S703" s="2"/>
      <c r="T703" s="2"/>
      <c r="U703" s="2"/>
    </row>
    <row r="704" spans="1:21" ht="15.75" customHeight="1">
      <c r="A704" s="1"/>
      <c r="B704" s="2"/>
      <c r="C704" s="2"/>
      <c r="D704" s="2"/>
      <c r="E704" s="2"/>
      <c r="F704" s="2"/>
      <c r="G704" s="2"/>
      <c r="H704" s="2"/>
      <c r="I704" s="2"/>
      <c r="J704" s="2"/>
      <c r="K704" s="2"/>
      <c r="L704" s="2"/>
      <c r="M704" s="2"/>
      <c r="N704" s="2"/>
      <c r="O704" s="2"/>
      <c r="P704" s="2"/>
      <c r="Q704" s="2"/>
      <c r="R704" s="2"/>
      <c r="S704" s="2"/>
      <c r="T704" s="2"/>
      <c r="U704" s="2"/>
    </row>
    <row r="705" spans="1:21" ht="15.75" customHeight="1">
      <c r="A705" s="1"/>
      <c r="B705" s="2"/>
      <c r="C705" s="2"/>
      <c r="D705" s="2"/>
      <c r="E705" s="2"/>
      <c r="F705" s="2"/>
      <c r="G705" s="2"/>
      <c r="H705" s="2"/>
      <c r="I705" s="2"/>
      <c r="J705" s="2"/>
      <c r="K705" s="2"/>
      <c r="L705" s="2"/>
      <c r="M705" s="2"/>
      <c r="N705" s="2"/>
      <c r="O705" s="2"/>
      <c r="P705" s="2"/>
      <c r="Q705" s="2"/>
      <c r="R705" s="2"/>
      <c r="S705" s="2"/>
      <c r="T705" s="2"/>
      <c r="U705" s="2"/>
    </row>
    <row r="706" spans="1:21" ht="15.75" customHeight="1">
      <c r="A706" s="1"/>
      <c r="B706" s="2"/>
      <c r="C706" s="2"/>
      <c r="D706" s="2"/>
      <c r="E706" s="2"/>
      <c r="F706" s="2"/>
      <c r="G706" s="2"/>
      <c r="H706" s="2"/>
      <c r="I706" s="2"/>
      <c r="J706" s="2"/>
      <c r="K706" s="2"/>
      <c r="L706" s="2"/>
      <c r="M706" s="2"/>
      <c r="N706" s="2"/>
      <c r="O706" s="2"/>
      <c r="P706" s="2"/>
      <c r="Q706" s="2"/>
      <c r="R706" s="2"/>
      <c r="S706" s="2"/>
      <c r="T706" s="2"/>
      <c r="U706" s="2"/>
    </row>
    <row r="707" spans="1:21" ht="15.75" customHeight="1">
      <c r="A707" s="1"/>
      <c r="B707" s="2"/>
      <c r="C707" s="2"/>
      <c r="D707" s="2"/>
      <c r="E707" s="2"/>
      <c r="F707" s="2"/>
      <c r="G707" s="2"/>
      <c r="H707" s="2"/>
      <c r="I707" s="2"/>
      <c r="J707" s="2"/>
      <c r="K707" s="2"/>
      <c r="L707" s="2"/>
      <c r="M707" s="2"/>
      <c r="N707" s="2"/>
      <c r="O707" s="2"/>
      <c r="P707" s="2"/>
      <c r="Q707" s="2"/>
      <c r="R707" s="2"/>
      <c r="S707" s="2"/>
      <c r="T707" s="2"/>
      <c r="U707" s="2"/>
    </row>
    <row r="708" spans="1:21" ht="15.75" customHeight="1">
      <c r="A708" s="1"/>
      <c r="B708" s="2"/>
      <c r="C708" s="2"/>
      <c r="D708" s="2"/>
      <c r="E708" s="2"/>
      <c r="F708" s="2"/>
      <c r="G708" s="2"/>
      <c r="H708" s="2"/>
      <c r="I708" s="2"/>
      <c r="J708" s="2"/>
      <c r="K708" s="2"/>
      <c r="L708" s="2"/>
      <c r="M708" s="2"/>
      <c r="N708" s="2"/>
      <c r="O708" s="2"/>
      <c r="P708" s="2"/>
      <c r="Q708" s="2"/>
      <c r="R708" s="2"/>
      <c r="S708" s="2"/>
      <c r="T708" s="2"/>
      <c r="U708" s="2"/>
    </row>
    <row r="709" spans="1:21" ht="15.75" customHeight="1">
      <c r="A709" s="1"/>
      <c r="B709" s="2"/>
      <c r="C709" s="2"/>
      <c r="D709" s="2"/>
      <c r="E709" s="2"/>
      <c r="F709" s="2"/>
      <c r="G709" s="2"/>
      <c r="H709" s="2"/>
      <c r="I709" s="2"/>
      <c r="J709" s="2"/>
      <c r="K709" s="2"/>
      <c r="L709" s="2"/>
      <c r="M709" s="2"/>
      <c r="N709" s="2"/>
      <c r="O709" s="2"/>
      <c r="P709" s="2"/>
      <c r="Q709" s="2"/>
      <c r="R709" s="2"/>
      <c r="S709" s="2"/>
      <c r="T709" s="2"/>
      <c r="U709" s="2"/>
    </row>
    <row r="710" spans="1:21" ht="15.75" customHeight="1">
      <c r="A710" s="1"/>
      <c r="B710" s="2"/>
      <c r="C710" s="2"/>
      <c r="D710" s="2"/>
      <c r="E710" s="2"/>
      <c r="F710" s="2"/>
      <c r="G710" s="2"/>
      <c r="H710" s="2"/>
      <c r="I710" s="2"/>
      <c r="J710" s="2"/>
      <c r="K710" s="2"/>
      <c r="L710" s="2"/>
      <c r="M710" s="2"/>
      <c r="N710" s="2"/>
      <c r="O710" s="2"/>
      <c r="P710" s="2"/>
      <c r="Q710" s="2"/>
      <c r="R710" s="2"/>
      <c r="S710" s="2"/>
      <c r="T710" s="2"/>
      <c r="U710" s="2"/>
    </row>
    <row r="711" spans="1:21" ht="15.75" customHeight="1">
      <c r="A711" s="1"/>
      <c r="B711" s="2"/>
      <c r="C711" s="2"/>
      <c r="D711" s="2"/>
      <c r="E711" s="2"/>
      <c r="F711" s="2"/>
      <c r="G711" s="2"/>
      <c r="H711" s="2"/>
      <c r="I711" s="2"/>
      <c r="J711" s="2"/>
      <c r="K711" s="2"/>
      <c r="L711" s="2"/>
      <c r="M711" s="2"/>
      <c r="N711" s="2"/>
      <c r="O711" s="2"/>
      <c r="P711" s="2"/>
      <c r="Q711" s="2"/>
      <c r="R711" s="2"/>
      <c r="S711" s="2"/>
      <c r="T711" s="2"/>
      <c r="U711" s="2"/>
    </row>
    <row r="712" spans="1:21" ht="15.75" customHeight="1">
      <c r="A712" s="1"/>
      <c r="B712" s="2"/>
      <c r="C712" s="2"/>
      <c r="D712" s="2"/>
      <c r="E712" s="2"/>
      <c r="F712" s="2"/>
      <c r="G712" s="2"/>
      <c r="H712" s="2"/>
      <c r="I712" s="2"/>
      <c r="J712" s="2"/>
      <c r="K712" s="2"/>
      <c r="L712" s="2"/>
      <c r="M712" s="2"/>
      <c r="N712" s="2"/>
      <c r="O712" s="2"/>
      <c r="P712" s="2"/>
      <c r="Q712" s="2"/>
      <c r="R712" s="2"/>
      <c r="S712" s="2"/>
      <c r="T712" s="2"/>
      <c r="U712" s="2"/>
    </row>
    <row r="713" spans="1:21" ht="15.75" customHeight="1">
      <c r="A713" s="1"/>
      <c r="B713" s="2"/>
      <c r="C713" s="2"/>
      <c r="D713" s="2"/>
      <c r="E713" s="2"/>
      <c r="F713" s="2"/>
      <c r="G713" s="2"/>
      <c r="H713" s="2"/>
      <c r="I713" s="2"/>
      <c r="J713" s="2"/>
      <c r="K713" s="2"/>
      <c r="L713" s="2"/>
      <c r="M713" s="2"/>
      <c r="N713" s="2"/>
      <c r="O713" s="2"/>
      <c r="P713" s="2"/>
      <c r="Q713" s="2"/>
      <c r="R713" s="2"/>
      <c r="S713" s="2"/>
      <c r="T713" s="2"/>
      <c r="U713" s="2"/>
    </row>
    <row r="714" spans="1:21" ht="15.75" customHeight="1">
      <c r="A714" s="1"/>
      <c r="B714" s="2"/>
      <c r="C714" s="2"/>
      <c r="D714" s="2"/>
      <c r="E714" s="2"/>
      <c r="F714" s="2"/>
      <c r="G714" s="2"/>
      <c r="H714" s="2"/>
      <c r="I714" s="2"/>
      <c r="J714" s="2"/>
      <c r="K714" s="2"/>
      <c r="L714" s="2"/>
      <c r="M714" s="2"/>
      <c r="N714" s="2"/>
      <c r="O714" s="2"/>
      <c r="P714" s="2"/>
      <c r="Q714" s="2"/>
      <c r="R714" s="2"/>
      <c r="S714" s="2"/>
      <c r="T714" s="2"/>
      <c r="U714" s="2"/>
    </row>
    <row r="715" spans="1:21" ht="15.75" customHeight="1">
      <c r="A715" s="1"/>
      <c r="B715" s="2"/>
      <c r="C715" s="2"/>
      <c r="D715" s="2"/>
      <c r="E715" s="2"/>
      <c r="F715" s="2"/>
      <c r="G715" s="2"/>
      <c r="H715" s="2"/>
      <c r="I715" s="2"/>
      <c r="J715" s="2"/>
      <c r="K715" s="2"/>
      <c r="L715" s="2"/>
      <c r="M715" s="2"/>
      <c r="N715" s="2"/>
      <c r="O715" s="2"/>
      <c r="P715" s="2"/>
      <c r="Q715" s="2"/>
      <c r="R715" s="2"/>
      <c r="S715" s="2"/>
      <c r="T715" s="2"/>
      <c r="U715" s="2"/>
    </row>
    <row r="716" spans="1:21" ht="15.75" customHeight="1">
      <c r="A716" s="1"/>
      <c r="B716" s="2"/>
      <c r="C716" s="2"/>
      <c r="D716" s="2"/>
      <c r="E716" s="2"/>
      <c r="F716" s="2"/>
      <c r="G716" s="2"/>
      <c r="H716" s="2"/>
      <c r="I716" s="2"/>
      <c r="J716" s="2"/>
      <c r="K716" s="2"/>
      <c r="L716" s="2"/>
      <c r="M716" s="2"/>
      <c r="N716" s="2"/>
      <c r="O716" s="2"/>
      <c r="P716" s="2"/>
      <c r="Q716" s="2"/>
      <c r="R716" s="2"/>
      <c r="S716" s="2"/>
      <c r="T716" s="2"/>
      <c r="U716" s="2"/>
    </row>
    <row r="717" spans="1:21" ht="15.75" customHeight="1">
      <c r="A717" s="1"/>
      <c r="B717" s="2"/>
      <c r="C717" s="2"/>
      <c r="D717" s="2"/>
      <c r="E717" s="2"/>
      <c r="F717" s="2"/>
      <c r="G717" s="2"/>
      <c r="H717" s="2"/>
      <c r="I717" s="2"/>
      <c r="J717" s="2"/>
      <c r="K717" s="2"/>
      <c r="L717" s="2"/>
      <c r="M717" s="2"/>
      <c r="N717" s="2"/>
      <c r="O717" s="2"/>
      <c r="P717" s="2"/>
      <c r="Q717" s="2"/>
      <c r="R717" s="2"/>
      <c r="S717" s="2"/>
      <c r="T717" s="2"/>
      <c r="U717" s="2"/>
    </row>
    <row r="718" spans="1:21" ht="15.75" customHeight="1">
      <c r="A718" s="1"/>
      <c r="B718" s="2"/>
      <c r="C718" s="2"/>
      <c r="D718" s="2"/>
      <c r="E718" s="2"/>
      <c r="F718" s="2"/>
      <c r="G718" s="2"/>
      <c r="H718" s="2"/>
      <c r="I718" s="2"/>
      <c r="J718" s="2"/>
      <c r="K718" s="2"/>
      <c r="L718" s="2"/>
      <c r="M718" s="2"/>
      <c r="N718" s="2"/>
      <c r="O718" s="2"/>
      <c r="P718" s="2"/>
      <c r="Q718" s="2"/>
      <c r="R718" s="2"/>
      <c r="S718" s="2"/>
      <c r="T718" s="2"/>
      <c r="U718" s="2"/>
    </row>
    <row r="719" spans="1:21" ht="15.75" customHeight="1">
      <c r="A719" s="1"/>
      <c r="B719" s="2"/>
      <c r="C719" s="2"/>
      <c r="D719" s="2"/>
      <c r="E719" s="2"/>
      <c r="F719" s="2"/>
      <c r="G719" s="2"/>
      <c r="H719" s="2"/>
      <c r="I719" s="2"/>
      <c r="J719" s="2"/>
      <c r="K719" s="2"/>
      <c r="L719" s="2"/>
      <c r="M719" s="2"/>
      <c r="N719" s="2"/>
      <c r="O719" s="2"/>
      <c r="P719" s="2"/>
      <c r="Q719" s="2"/>
      <c r="R719" s="2"/>
      <c r="S719" s="2"/>
      <c r="T719" s="2"/>
      <c r="U719" s="2"/>
    </row>
    <row r="720" spans="1:21" ht="15.75" customHeight="1">
      <c r="A720" s="1"/>
      <c r="B720" s="2"/>
      <c r="C720" s="2"/>
      <c r="D720" s="2"/>
      <c r="E720" s="2"/>
      <c r="F720" s="2"/>
      <c r="G720" s="2"/>
      <c r="H720" s="2"/>
      <c r="I720" s="2"/>
      <c r="J720" s="2"/>
      <c r="K720" s="2"/>
      <c r="L720" s="2"/>
      <c r="M720" s="2"/>
      <c r="N720" s="2"/>
      <c r="O720" s="2"/>
      <c r="P720" s="2"/>
      <c r="Q720" s="2"/>
      <c r="R720" s="2"/>
      <c r="S720" s="2"/>
      <c r="T720" s="2"/>
      <c r="U720" s="2"/>
    </row>
    <row r="721" spans="1:21" ht="15.75" customHeight="1">
      <c r="A721" s="1"/>
      <c r="B721" s="2"/>
      <c r="C721" s="2"/>
      <c r="D721" s="2"/>
      <c r="E721" s="2"/>
      <c r="F721" s="2"/>
      <c r="G721" s="2"/>
      <c r="H721" s="2"/>
      <c r="I721" s="2"/>
      <c r="J721" s="2"/>
      <c r="K721" s="2"/>
      <c r="L721" s="2"/>
      <c r="M721" s="2"/>
      <c r="N721" s="2"/>
      <c r="O721" s="2"/>
      <c r="P721" s="2"/>
      <c r="Q721" s="2"/>
      <c r="R721" s="2"/>
      <c r="S721" s="2"/>
      <c r="T721" s="2"/>
      <c r="U721" s="2"/>
    </row>
    <row r="722" spans="1:21" ht="15.75" customHeight="1">
      <c r="A722" s="1"/>
      <c r="B722" s="2"/>
      <c r="C722" s="2"/>
      <c r="D722" s="2"/>
      <c r="E722" s="2"/>
      <c r="F722" s="2"/>
      <c r="G722" s="2"/>
      <c r="H722" s="2"/>
      <c r="I722" s="2"/>
      <c r="J722" s="2"/>
      <c r="K722" s="2"/>
      <c r="L722" s="2"/>
      <c r="M722" s="2"/>
      <c r="N722" s="2"/>
      <c r="O722" s="2"/>
      <c r="P722" s="2"/>
      <c r="Q722" s="2"/>
      <c r="R722" s="2"/>
      <c r="S722" s="2"/>
      <c r="T722" s="2"/>
      <c r="U722" s="2"/>
    </row>
    <row r="723" spans="1:21" ht="15.75" customHeight="1">
      <c r="A723" s="1"/>
      <c r="B723" s="2"/>
      <c r="C723" s="2"/>
      <c r="D723" s="2"/>
      <c r="E723" s="2"/>
      <c r="F723" s="2"/>
      <c r="G723" s="2"/>
      <c r="H723" s="2"/>
      <c r="I723" s="2"/>
      <c r="J723" s="2"/>
      <c r="K723" s="2"/>
      <c r="L723" s="2"/>
      <c r="M723" s="2"/>
      <c r="N723" s="2"/>
      <c r="O723" s="2"/>
      <c r="P723" s="2"/>
      <c r="Q723" s="2"/>
      <c r="R723" s="2"/>
      <c r="S723" s="2"/>
      <c r="T723" s="2"/>
      <c r="U723" s="2"/>
    </row>
    <row r="724" spans="1:21" ht="15.75" customHeight="1">
      <c r="A724" s="1"/>
      <c r="B724" s="2"/>
      <c r="C724" s="2"/>
      <c r="D724" s="2"/>
      <c r="E724" s="2"/>
      <c r="F724" s="2"/>
      <c r="G724" s="2"/>
      <c r="H724" s="2"/>
      <c r="I724" s="2"/>
      <c r="J724" s="2"/>
      <c r="K724" s="2"/>
      <c r="L724" s="2"/>
      <c r="M724" s="2"/>
      <c r="N724" s="2"/>
      <c r="O724" s="2"/>
      <c r="P724" s="2"/>
      <c r="Q724" s="2"/>
      <c r="R724" s="2"/>
      <c r="S724" s="2"/>
      <c r="T724" s="2"/>
      <c r="U724" s="2"/>
    </row>
    <row r="725" spans="1:21" ht="15.75" customHeight="1">
      <c r="A725" s="1"/>
      <c r="B725" s="2"/>
      <c r="C725" s="2"/>
      <c r="D725" s="2"/>
      <c r="E725" s="2"/>
      <c r="F725" s="2"/>
      <c r="G725" s="2"/>
      <c r="H725" s="2"/>
      <c r="I725" s="2"/>
      <c r="J725" s="2"/>
      <c r="K725" s="2"/>
      <c r="L725" s="2"/>
      <c r="M725" s="2"/>
      <c r="N725" s="2"/>
      <c r="O725" s="2"/>
      <c r="P725" s="2"/>
      <c r="Q725" s="2"/>
      <c r="R725" s="2"/>
      <c r="S725" s="2"/>
      <c r="T725" s="2"/>
      <c r="U725" s="2"/>
    </row>
    <row r="726" spans="1:21" ht="15.75" customHeight="1">
      <c r="A726" s="1"/>
      <c r="B726" s="2"/>
      <c r="C726" s="2"/>
      <c r="D726" s="2"/>
      <c r="E726" s="2"/>
      <c r="F726" s="2"/>
      <c r="G726" s="2"/>
      <c r="H726" s="2"/>
      <c r="I726" s="2"/>
      <c r="J726" s="2"/>
      <c r="K726" s="2"/>
      <c r="L726" s="2"/>
      <c r="M726" s="2"/>
      <c r="N726" s="2"/>
      <c r="O726" s="2"/>
      <c r="P726" s="2"/>
      <c r="Q726" s="2"/>
      <c r="R726" s="2"/>
      <c r="S726" s="2"/>
      <c r="T726" s="2"/>
      <c r="U726" s="2"/>
    </row>
    <row r="727" spans="1:21" ht="15.75" customHeight="1">
      <c r="A727" s="1"/>
      <c r="B727" s="2"/>
      <c r="C727" s="2"/>
      <c r="D727" s="2"/>
      <c r="E727" s="2"/>
      <c r="F727" s="2"/>
      <c r="G727" s="2"/>
      <c r="H727" s="2"/>
      <c r="I727" s="2"/>
      <c r="J727" s="2"/>
      <c r="K727" s="2"/>
      <c r="L727" s="2"/>
      <c r="M727" s="2"/>
      <c r="N727" s="2"/>
      <c r="O727" s="2"/>
      <c r="P727" s="2"/>
      <c r="Q727" s="2"/>
      <c r="R727" s="2"/>
      <c r="S727" s="2"/>
      <c r="T727" s="2"/>
      <c r="U727" s="2"/>
    </row>
    <row r="728" spans="1:21" ht="15.75" customHeight="1">
      <c r="A728" s="1"/>
      <c r="B728" s="2"/>
      <c r="C728" s="2"/>
      <c r="D728" s="2"/>
      <c r="E728" s="2"/>
      <c r="F728" s="2"/>
      <c r="G728" s="2"/>
      <c r="H728" s="2"/>
      <c r="I728" s="2"/>
      <c r="J728" s="2"/>
      <c r="K728" s="2"/>
      <c r="L728" s="2"/>
      <c r="M728" s="2"/>
      <c r="N728" s="2"/>
      <c r="O728" s="2"/>
      <c r="P728" s="2"/>
      <c r="Q728" s="2"/>
      <c r="R728" s="2"/>
      <c r="S728" s="2"/>
      <c r="T728" s="2"/>
      <c r="U728" s="2"/>
    </row>
    <row r="729" spans="1:21" ht="15.75" customHeight="1">
      <c r="A729" s="1"/>
      <c r="B729" s="2"/>
      <c r="C729" s="2"/>
      <c r="D729" s="2"/>
      <c r="E729" s="2"/>
      <c r="F729" s="2"/>
      <c r="G729" s="2"/>
      <c r="H729" s="2"/>
      <c r="I729" s="2"/>
      <c r="J729" s="2"/>
      <c r="K729" s="2"/>
      <c r="L729" s="2"/>
      <c r="M729" s="2"/>
      <c r="N729" s="2"/>
      <c r="O729" s="2"/>
      <c r="P729" s="2"/>
      <c r="Q729" s="2"/>
      <c r="R729" s="2"/>
      <c r="S729" s="2"/>
      <c r="T729" s="2"/>
      <c r="U729" s="2"/>
    </row>
    <row r="730" spans="1:21" ht="15.75" customHeight="1">
      <c r="A730" s="1"/>
      <c r="B730" s="2"/>
      <c r="C730" s="2"/>
      <c r="D730" s="2"/>
      <c r="E730" s="2"/>
      <c r="F730" s="2"/>
      <c r="G730" s="2"/>
      <c r="H730" s="2"/>
      <c r="I730" s="2"/>
      <c r="J730" s="2"/>
      <c r="K730" s="2"/>
      <c r="L730" s="2"/>
      <c r="M730" s="2"/>
      <c r="N730" s="2"/>
      <c r="O730" s="2"/>
      <c r="P730" s="2"/>
      <c r="Q730" s="2"/>
      <c r="R730" s="2"/>
      <c r="S730" s="2"/>
      <c r="T730" s="2"/>
      <c r="U730" s="2"/>
    </row>
    <row r="731" spans="1:21" ht="15.75" customHeight="1">
      <c r="A731" s="1"/>
      <c r="B731" s="2"/>
      <c r="C731" s="2"/>
      <c r="D731" s="2"/>
      <c r="E731" s="2"/>
      <c r="F731" s="2"/>
      <c r="G731" s="2"/>
      <c r="H731" s="2"/>
      <c r="I731" s="2"/>
      <c r="J731" s="2"/>
      <c r="K731" s="2"/>
      <c r="L731" s="2"/>
      <c r="M731" s="2"/>
      <c r="N731" s="2"/>
      <c r="O731" s="2"/>
      <c r="P731" s="2"/>
      <c r="Q731" s="2"/>
      <c r="R731" s="2"/>
      <c r="S731" s="2"/>
      <c r="T731" s="2"/>
      <c r="U731" s="2"/>
    </row>
    <row r="732" spans="1:21" ht="15.75" customHeight="1">
      <c r="A732" s="1"/>
      <c r="B732" s="2"/>
      <c r="C732" s="2"/>
      <c r="D732" s="2"/>
      <c r="E732" s="2"/>
      <c r="F732" s="2"/>
      <c r="G732" s="2"/>
      <c r="H732" s="2"/>
      <c r="I732" s="2"/>
      <c r="J732" s="2"/>
      <c r="K732" s="2"/>
      <c r="L732" s="2"/>
      <c r="M732" s="2"/>
      <c r="N732" s="2"/>
      <c r="O732" s="2"/>
      <c r="P732" s="2"/>
      <c r="Q732" s="2"/>
      <c r="R732" s="2"/>
      <c r="S732" s="2"/>
      <c r="T732" s="2"/>
      <c r="U732" s="2"/>
    </row>
    <row r="733" spans="1:21" ht="15.75" customHeight="1">
      <c r="A733" s="1"/>
      <c r="B733" s="2"/>
      <c r="C733" s="2"/>
      <c r="D733" s="2"/>
      <c r="E733" s="2"/>
      <c r="F733" s="2"/>
      <c r="G733" s="2"/>
      <c r="H733" s="2"/>
      <c r="I733" s="2"/>
      <c r="J733" s="2"/>
      <c r="K733" s="2"/>
      <c r="L733" s="2"/>
      <c r="M733" s="2"/>
      <c r="N733" s="2"/>
      <c r="O733" s="2"/>
      <c r="P733" s="2"/>
      <c r="Q733" s="2"/>
      <c r="R733" s="2"/>
      <c r="S733" s="2"/>
      <c r="T733" s="2"/>
      <c r="U733" s="2"/>
    </row>
    <row r="734" spans="1:21" ht="15.75" customHeight="1">
      <c r="A734" s="1"/>
      <c r="B734" s="2"/>
      <c r="C734" s="2"/>
      <c r="D734" s="2"/>
      <c r="E734" s="2"/>
      <c r="F734" s="2"/>
      <c r="G734" s="2"/>
      <c r="H734" s="2"/>
      <c r="I734" s="2"/>
      <c r="J734" s="2"/>
      <c r="K734" s="2"/>
      <c r="L734" s="2"/>
      <c r="M734" s="2"/>
      <c r="N734" s="2"/>
      <c r="O734" s="2"/>
      <c r="P734" s="2"/>
      <c r="Q734" s="2"/>
      <c r="R734" s="2"/>
      <c r="S734" s="2"/>
      <c r="T734" s="2"/>
      <c r="U734" s="2"/>
    </row>
    <row r="735" spans="1:21" ht="15.75" customHeight="1">
      <c r="A735" s="1"/>
      <c r="B735" s="2"/>
      <c r="C735" s="2"/>
      <c r="D735" s="2"/>
      <c r="E735" s="2"/>
      <c r="F735" s="2"/>
      <c r="G735" s="2"/>
      <c r="H735" s="2"/>
      <c r="I735" s="2"/>
      <c r="J735" s="2"/>
      <c r="K735" s="2"/>
      <c r="L735" s="2"/>
      <c r="M735" s="2"/>
      <c r="N735" s="2"/>
      <c r="O735" s="2"/>
      <c r="P735" s="2"/>
      <c r="Q735" s="2"/>
      <c r="R735" s="2"/>
      <c r="S735" s="2"/>
      <c r="T735" s="2"/>
      <c r="U735" s="2"/>
    </row>
    <row r="736" spans="1:21" ht="15.75" customHeight="1">
      <c r="A736" s="1"/>
      <c r="B736" s="2"/>
      <c r="C736" s="2"/>
      <c r="D736" s="2"/>
      <c r="E736" s="2"/>
      <c r="F736" s="2"/>
      <c r="G736" s="2"/>
      <c r="H736" s="2"/>
      <c r="I736" s="2"/>
      <c r="J736" s="2"/>
      <c r="K736" s="2"/>
      <c r="L736" s="2"/>
      <c r="M736" s="2"/>
      <c r="N736" s="2"/>
      <c r="O736" s="2"/>
      <c r="P736" s="2"/>
      <c r="Q736" s="2"/>
      <c r="R736" s="2"/>
      <c r="S736" s="2"/>
      <c r="T736" s="2"/>
      <c r="U736" s="2"/>
    </row>
    <row r="737" spans="1:21" ht="15.75" customHeight="1">
      <c r="A737" s="1"/>
      <c r="B737" s="2"/>
      <c r="C737" s="2"/>
      <c r="D737" s="2"/>
      <c r="E737" s="2"/>
      <c r="F737" s="2"/>
      <c r="G737" s="2"/>
      <c r="H737" s="2"/>
      <c r="I737" s="2"/>
      <c r="J737" s="2"/>
      <c r="K737" s="2"/>
      <c r="L737" s="2"/>
      <c r="M737" s="2"/>
      <c r="N737" s="2"/>
      <c r="O737" s="2"/>
      <c r="P737" s="2"/>
      <c r="Q737" s="2"/>
      <c r="R737" s="2"/>
      <c r="S737" s="2"/>
      <c r="T737" s="2"/>
      <c r="U737" s="2"/>
    </row>
    <row r="738" spans="1:21" ht="15.75" customHeight="1">
      <c r="A738" s="1"/>
      <c r="B738" s="2"/>
      <c r="C738" s="2"/>
      <c r="D738" s="2"/>
      <c r="E738" s="2"/>
      <c r="F738" s="2"/>
      <c r="G738" s="2"/>
      <c r="H738" s="2"/>
      <c r="I738" s="2"/>
      <c r="J738" s="2"/>
      <c r="K738" s="2"/>
      <c r="L738" s="2"/>
      <c r="M738" s="2"/>
      <c r="N738" s="2"/>
      <c r="O738" s="2"/>
      <c r="P738" s="2"/>
      <c r="Q738" s="2"/>
      <c r="R738" s="2"/>
      <c r="S738" s="2"/>
      <c r="T738" s="2"/>
      <c r="U738" s="2"/>
    </row>
    <row r="739" spans="1:21" ht="15.75" customHeight="1">
      <c r="A739" s="1"/>
      <c r="B739" s="2"/>
      <c r="C739" s="2"/>
      <c r="D739" s="2"/>
      <c r="E739" s="2"/>
      <c r="F739" s="2"/>
      <c r="G739" s="2"/>
      <c r="H739" s="2"/>
      <c r="I739" s="2"/>
      <c r="J739" s="2"/>
      <c r="K739" s="2"/>
      <c r="L739" s="2"/>
      <c r="M739" s="2"/>
      <c r="N739" s="2"/>
      <c r="O739" s="2"/>
      <c r="P739" s="2"/>
      <c r="Q739" s="2"/>
      <c r="R739" s="2"/>
      <c r="S739" s="2"/>
      <c r="T739" s="2"/>
      <c r="U739" s="2"/>
    </row>
    <row r="740" spans="1:21" ht="15.75" customHeight="1">
      <c r="A740" s="1"/>
      <c r="B740" s="2"/>
      <c r="C740" s="2"/>
      <c r="D740" s="2"/>
      <c r="E740" s="2"/>
      <c r="F740" s="2"/>
      <c r="G740" s="2"/>
      <c r="H740" s="2"/>
      <c r="I740" s="2"/>
      <c r="J740" s="2"/>
      <c r="K740" s="2"/>
      <c r="L740" s="2"/>
      <c r="M740" s="2"/>
      <c r="N740" s="2"/>
      <c r="O740" s="2"/>
      <c r="P740" s="2"/>
      <c r="Q740" s="2"/>
      <c r="R740" s="2"/>
      <c r="S740" s="2"/>
      <c r="T740" s="2"/>
      <c r="U740" s="2"/>
    </row>
    <row r="741" spans="1:21" ht="15.75" customHeight="1">
      <c r="A741" s="1"/>
      <c r="B741" s="2"/>
      <c r="C741" s="2"/>
      <c r="D741" s="2"/>
      <c r="E741" s="2"/>
      <c r="F741" s="2"/>
      <c r="G741" s="2"/>
      <c r="H741" s="2"/>
      <c r="I741" s="2"/>
      <c r="J741" s="2"/>
      <c r="K741" s="2"/>
      <c r="L741" s="2"/>
      <c r="M741" s="2"/>
      <c r="N741" s="2"/>
      <c r="O741" s="2"/>
      <c r="P741" s="2"/>
      <c r="Q741" s="2"/>
      <c r="R741" s="2"/>
      <c r="S741" s="2"/>
      <c r="T741" s="2"/>
      <c r="U741" s="2"/>
    </row>
    <row r="742" spans="1:21" ht="15.75" customHeight="1">
      <c r="A742" s="1"/>
      <c r="B742" s="2"/>
      <c r="C742" s="2"/>
      <c r="D742" s="2"/>
      <c r="E742" s="2"/>
      <c r="F742" s="2"/>
      <c r="G742" s="2"/>
      <c r="H742" s="2"/>
      <c r="I742" s="2"/>
      <c r="J742" s="2"/>
      <c r="K742" s="2"/>
      <c r="L742" s="2"/>
      <c r="M742" s="2"/>
      <c r="N742" s="2"/>
      <c r="O742" s="2"/>
      <c r="P742" s="2"/>
      <c r="Q742" s="2"/>
      <c r="R742" s="2"/>
      <c r="S742" s="2"/>
      <c r="T742" s="2"/>
      <c r="U742" s="2"/>
    </row>
    <row r="743" spans="1:21" ht="15.75" customHeight="1">
      <c r="A743" s="1"/>
      <c r="B743" s="2"/>
      <c r="C743" s="2"/>
      <c r="D743" s="2"/>
      <c r="E743" s="2"/>
      <c r="F743" s="2"/>
      <c r="G743" s="2"/>
      <c r="H743" s="2"/>
      <c r="I743" s="2"/>
      <c r="J743" s="2"/>
      <c r="K743" s="2"/>
      <c r="L743" s="2"/>
      <c r="M743" s="2"/>
      <c r="N743" s="2"/>
      <c r="O743" s="2"/>
      <c r="P743" s="2"/>
      <c r="Q743" s="2"/>
      <c r="R743" s="2"/>
      <c r="S743" s="2"/>
      <c r="T743" s="2"/>
      <c r="U743" s="2"/>
    </row>
    <row r="744" spans="1:21" ht="15.75" customHeight="1">
      <c r="A744" s="1"/>
      <c r="B744" s="2"/>
      <c r="C744" s="2"/>
      <c r="D744" s="2"/>
      <c r="E744" s="2"/>
      <c r="F744" s="2"/>
      <c r="G744" s="2"/>
      <c r="H744" s="2"/>
      <c r="I744" s="2"/>
      <c r="J744" s="2"/>
      <c r="K744" s="2"/>
      <c r="L744" s="2"/>
      <c r="M744" s="2"/>
      <c r="N744" s="2"/>
      <c r="O744" s="2"/>
      <c r="P744" s="2"/>
      <c r="Q744" s="2"/>
      <c r="R744" s="2"/>
      <c r="S744" s="2"/>
      <c r="T744" s="2"/>
      <c r="U744" s="2"/>
    </row>
    <row r="745" spans="1:21" ht="15.75" customHeight="1">
      <c r="A745" s="1"/>
      <c r="B745" s="2"/>
      <c r="C745" s="2"/>
      <c r="D745" s="2"/>
      <c r="E745" s="2"/>
      <c r="F745" s="2"/>
      <c r="G745" s="2"/>
      <c r="H745" s="2"/>
      <c r="I745" s="2"/>
      <c r="J745" s="2"/>
      <c r="K745" s="2"/>
      <c r="L745" s="2"/>
      <c r="M745" s="2"/>
      <c r="N745" s="2"/>
      <c r="O745" s="2"/>
      <c r="P745" s="2"/>
      <c r="Q745" s="2"/>
      <c r="R745" s="2"/>
      <c r="S745" s="2"/>
      <c r="T745" s="2"/>
      <c r="U745" s="2"/>
    </row>
    <row r="746" spans="1:21" ht="15.75" customHeight="1">
      <c r="A746" s="1"/>
      <c r="B746" s="2"/>
      <c r="C746" s="2"/>
      <c r="D746" s="2"/>
      <c r="E746" s="2"/>
      <c r="F746" s="2"/>
      <c r="G746" s="2"/>
      <c r="H746" s="2"/>
      <c r="I746" s="2"/>
      <c r="J746" s="2"/>
      <c r="K746" s="2"/>
      <c r="L746" s="2"/>
      <c r="M746" s="2"/>
      <c r="N746" s="2"/>
      <c r="O746" s="2"/>
      <c r="P746" s="2"/>
      <c r="Q746" s="2"/>
      <c r="R746" s="2"/>
      <c r="S746" s="2"/>
      <c r="T746" s="2"/>
      <c r="U746" s="2"/>
    </row>
    <row r="747" spans="1:21" ht="15.75" customHeight="1">
      <c r="A747" s="1"/>
      <c r="B747" s="2"/>
      <c r="C747" s="2"/>
      <c r="D747" s="2"/>
      <c r="E747" s="2"/>
      <c r="F747" s="2"/>
      <c r="G747" s="2"/>
      <c r="H747" s="2"/>
      <c r="I747" s="2"/>
      <c r="J747" s="2"/>
      <c r="K747" s="2"/>
      <c r="L747" s="2"/>
      <c r="M747" s="2"/>
      <c r="N747" s="2"/>
      <c r="O747" s="2"/>
      <c r="P747" s="2"/>
      <c r="Q747" s="2"/>
      <c r="R747" s="2"/>
      <c r="S747" s="2"/>
      <c r="T747" s="2"/>
      <c r="U747" s="2"/>
    </row>
    <row r="748" spans="1:21" ht="15.75" customHeight="1">
      <c r="A748" s="1"/>
      <c r="B748" s="2"/>
      <c r="C748" s="2"/>
      <c r="D748" s="2"/>
      <c r="E748" s="2"/>
      <c r="F748" s="2"/>
      <c r="G748" s="2"/>
      <c r="H748" s="2"/>
      <c r="I748" s="2"/>
      <c r="J748" s="2"/>
      <c r="K748" s="2"/>
      <c r="L748" s="2"/>
      <c r="M748" s="2"/>
      <c r="N748" s="2"/>
      <c r="O748" s="2"/>
      <c r="P748" s="2"/>
      <c r="Q748" s="2"/>
      <c r="R748" s="2"/>
      <c r="S748" s="2"/>
      <c r="T748" s="2"/>
      <c r="U748" s="2"/>
    </row>
    <row r="749" spans="1:21" ht="15.75" customHeight="1">
      <c r="A749" s="1"/>
      <c r="B749" s="2"/>
      <c r="C749" s="2"/>
      <c r="D749" s="2"/>
      <c r="E749" s="2"/>
      <c r="F749" s="2"/>
      <c r="G749" s="2"/>
      <c r="H749" s="2"/>
      <c r="I749" s="2"/>
      <c r="J749" s="2"/>
      <c r="K749" s="2"/>
      <c r="L749" s="2"/>
      <c r="M749" s="2"/>
      <c r="N749" s="2"/>
      <c r="O749" s="2"/>
      <c r="P749" s="2"/>
      <c r="Q749" s="2"/>
      <c r="R749" s="2"/>
      <c r="S749" s="2"/>
      <c r="T749" s="2"/>
      <c r="U749" s="2"/>
    </row>
    <row r="750" spans="1:21" ht="15.75" customHeight="1">
      <c r="A750" s="1"/>
      <c r="B750" s="2"/>
      <c r="C750" s="2"/>
      <c r="D750" s="2"/>
      <c r="E750" s="2"/>
      <c r="F750" s="2"/>
      <c r="G750" s="2"/>
      <c r="H750" s="2"/>
      <c r="I750" s="2"/>
      <c r="J750" s="2"/>
      <c r="K750" s="2"/>
      <c r="L750" s="2"/>
      <c r="M750" s="2"/>
      <c r="N750" s="2"/>
      <c r="O750" s="2"/>
      <c r="P750" s="2"/>
      <c r="Q750" s="2"/>
      <c r="R750" s="2"/>
      <c r="S750" s="2"/>
      <c r="T750" s="2"/>
      <c r="U750" s="2"/>
    </row>
    <row r="751" spans="1:21" ht="15.75" customHeight="1">
      <c r="A751" s="1"/>
      <c r="B751" s="2"/>
      <c r="C751" s="2"/>
      <c r="D751" s="2"/>
      <c r="E751" s="2"/>
      <c r="F751" s="2"/>
      <c r="G751" s="2"/>
      <c r="H751" s="2"/>
      <c r="I751" s="2"/>
      <c r="J751" s="2"/>
      <c r="K751" s="2"/>
      <c r="L751" s="2"/>
      <c r="M751" s="2"/>
      <c r="N751" s="2"/>
      <c r="O751" s="2"/>
      <c r="P751" s="2"/>
      <c r="Q751" s="2"/>
      <c r="R751" s="2"/>
      <c r="S751" s="2"/>
      <c r="T751" s="2"/>
      <c r="U751" s="2"/>
    </row>
    <row r="752" spans="1:21" ht="15.75" customHeight="1">
      <c r="A752" s="1"/>
      <c r="B752" s="2"/>
      <c r="C752" s="2"/>
      <c r="D752" s="2"/>
      <c r="E752" s="2"/>
      <c r="F752" s="2"/>
      <c r="G752" s="2"/>
      <c r="H752" s="2"/>
      <c r="I752" s="2"/>
      <c r="J752" s="2"/>
      <c r="K752" s="2"/>
      <c r="L752" s="2"/>
      <c r="M752" s="2"/>
      <c r="N752" s="2"/>
      <c r="O752" s="2"/>
      <c r="P752" s="2"/>
      <c r="Q752" s="2"/>
      <c r="R752" s="2"/>
      <c r="S752" s="2"/>
      <c r="T752" s="2"/>
      <c r="U752" s="2"/>
    </row>
    <row r="753" spans="1:21" ht="15.75" customHeight="1">
      <c r="A753" s="1"/>
      <c r="B753" s="2"/>
      <c r="C753" s="2"/>
      <c r="D753" s="2"/>
      <c r="E753" s="2"/>
      <c r="F753" s="2"/>
      <c r="G753" s="2"/>
      <c r="H753" s="2"/>
      <c r="I753" s="2"/>
      <c r="J753" s="2"/>
      <c r="K753" s="2"/>
      <c r="L753" s="2"/>
      <c r="M753" s="2"/>
      <c r="N753" s="2"/>
      <c r="O753" s="2"/>
      <c r="P753" s="2"/>
      <c r="Q753" s="2"/>
      <c r="R753" s="2"/>
      <c r="S753" s="2"/>
      <c r="T753" s="2"/>
      <c r="U753" s="2"/>
    </row>
    <row r="754" spans="1:21" ht="15.75" customHeight="1">
      <c r="A754" s="1"/>
      <c r="B754" s="2"/>
      <c r="C754" s="2"/>
      <c r="D754" s="2"/>
      <c r="E754" s="2"/>
      <c r="F754" s="2"/>
      <c r="G754" s="2"/>
      <c r="H754" s="2"/>
      <c r="I754" s="2"/>
      <c r="J754" s="2"/>
      <c r="K754" s="2"/>
      <c r="L754" s="2"/>
      <c r="M754" s="2"/>
      <c r="N754" s="2"/>
      <c r="O754" s="2"/>
      <c r="P754" s="2"/>
      <c r="Q754" s="2"/>
      <c r="R754" s="2"/>
      <c r="S754" s="2"/>
      <c r="T754" s="2"/>
      <c r="U754" s="2"/>
    </row>
    <row r="755" spans="1:21" ht="15.75" customHeight="1">
      <c r="A755" s="1"/>
      <c r="B755" s="2"/>
      <c r="C755" s="2"/>
      <c r="D755" s="2"/>
      <c r="E755" s="2"/>
      <c r="F755" s="2"/>
      <c r="G755" s="2"/>
      <c r="H755" s="2"/>
      <c r="I755" s="2"/>
      <c r="J755" s="2"/>
      <c r="K755" s="2"/>
      <c r="L755" s="2"/>
      <c r="M755" s="2"/>
      <c r="N755" s="2"/>
      <c r="O755" s="2"/>
      <c r="P755" s="2"/>
      <c r="Q755" s="2"/>
      <c r="R755" s="2"/>
      <c r="S755" s="2"/>
      <c r="T755" s="2"/>
      <c r="U755" s="2"/>
    </row>
    <row r="756" spans="1:21" ht="15.75" customHeight="1">
      <c r="A756" s="1"/>
      <c r="B756" s="2"/>
      <c r="C756" s="2"/>
      <c r="D756" s="2"/>
      <c r="E756" s="2"/>
      <c r="F756" s="2"/>
      <c r="G756" s="2"/>
      <c r="H756" s="2"/>
      <c r="I756" s="2"/>
      <c r="J756" s="2"/>
      <c r="K756" s="2"/>
      <c r="L756" s="2"/>
      <c r="M756" s="2"/>
      <c r="N756" s="2"/>
      <c r="O756" s="2"/>
      <c r="P756" s="2"/>
      <c r="Q756" s="2"/>
      <c r="R756" s="2"/>
      <c r="S756" s="2"/>
      <c r="T756" s="2"/>
      <c r="U756" s="2"/>
    </row>
    <row r="757" spans="1:21" ht="15.75" customHeight="1">
      <c r="A757" s="1"/>
      <c r="B757" s="2"/>
      <c r="C757" s="2"/>
      <c r="D757" s="2"/>
      <c r="E757" s="2"/>
      <c r="F757" s="2"/>
      <c r="G757" s="2"/>
      <c r="H757" s="2"/>
      <c r="I757" s="2"/>
      <c r="J757" s="2"/>
      <c r="K757" s="2"/>
      <c r="L757" s="2"/>
      <c r="M757" s="2"/>
      <c r="N757" s="2"/>
      <c r="O757" s="2"/>
      <c r="P757" s="2"/>
      <c r="Q757" s="2"/>
      <c r="R757" s="2"/>
      <c r="S757" s="2"/>
      <c r="T757" s="2"/>
      <c r="U757" s="2"/>
    </row>
    <row r="758" spans="1:21" ht="15.75" customHeight="1">
      <c r="A758" s="1"/>
      <c r="B758" s="2"/>
      <c r="C758" s="2"/>
      <c r="D758" s="2"/>
      <c r="E758" s="2"/>
      <c r="F758" s="2"/>
      <c r="G758" s="2"/>
      <c r="H758" s="2"/>
      <c r="I758" s="2"/>
      <c r="J758" s="2"/>
      <c r="K758" s="2"/>
      <c r="L758" s="2"/>
      <c r="M758" s="2"/>
      <c r="N758" s="2"/>
      <c r="O758" s="2"/>
      <c r="P758" s="2"/>
      <c r="Q758" s="2"/>
      <c r="R758" s="2"/>
      <c r="S758" s="2"/>
      <c r="T758" s="2"/>
      <c r="U758" s="2"/>
    </row>
    <row r="759" spans="1:21" ht="15.75" customHeight="1">
      <c r="A759" s="1"/>
      <c r="B759" s="2"/>
      <c r="C759" s="2"/>
      <c r="D759" s="2"/>
      <c r="E759" s="2"/>
      <c r="F759" s="2"/>
      <c r="G759" s="2"/>
      <c r="H759" s="2"/>
      <c r="I759" s="2"/>
      <c r="J759" s="2"/>
      <c r="K759" s="2"/>
      <c r="L759" s="2"/>
      <c r="M759" s="2"/>
      <c r="N759" s="2"/>
      <c r="O759" s="2"/>
      <c r="P759" s="2"/>
      <c r="Q759" s="2"/>
      <c r="R759" s="2"/>
      <c r="S759" s="2"/>
      <c r="T759" s="2"/>
      <c r="U759" s="2"/>
    </row>
    <row r="760" spans="1:21" ht="15.75" customHeight="1">
      <c r="A760" s="1"/>
      <c r="B760" s="2"/>
      <c r="C760" s="2"/>
      <c r="D760" s="2"/>
      <c r="E760" s="2"/>
      <c r="F760" s="2"/>
      <c r="G760" s="2"/>
      <c r="H760" s="2"/>
      <c r="I760" s="2"/>
      <c r="J760" s="2"/>
      <c r="K760" s="2"/>
      <c r="L760" s="2"/>
      <c r="M760" s="2"/>
      <c r="N760" s="2"/>
      <c r="O760" s="2"/>
      <c r="P760" s="2"/>
      <c r="Q760" s="2"/>
      <c r="R760" s="2"/>
      <c r="S760" s="2"/>
      <c r="T760" s="2"/>
      <c r="U760" s="2"/>
    </row>
    <row r="761" spans="1:21" ht="15.75" customHeight="1">
      <c r="A761" s="1"/>
      <c r="B761" s="2"/>
      <c r="C761" s="2"/>
      <c r="D761" s="2"/>
      <c r="E761" s="2"/>
      <c r="F761" s="2"/>
      <c r="G761" s="2"/>
      <c r="H761" s="2"/>
      <c r="I761" s="2"/>
      <c r="J761" s="2"/>
      <c r="K761" s="2"/>
      <c r="L761" s="2"/>
      <c r="M761" s="2"/>
      <c r="N761" s="2"/>
      <c r="O761" s="2"/>
      <c r="P761" s="2"/>
      <c r="Q761" s="2"/>
      <c r="R761" s="2"/>
      <c r="S761" s="2"/>
      <c r="T761" s="2"/>
      <c r="U761" s="2"/>
    </row>
    <row r="762" spans="1:21" ht="15.75" customHeight="1">
      <c r="A762" s="1"/>
      <c r="B762" s="2"/>
      <c r="C762" s="2"/>
      <c r="D762" s="2"/>
      <c r="E762" s="2"/>
      <c r="F762" s="2"/>
      <c r="G762" s="2"/>
      <c r="H762" s="2"/>
      <c r="I762" s="2"/>
      <c r="J762" s="2"/>
      <c r="K762" s="2"/>
      <c r="L762" s="2"/>
      <c r="M762" s="2"/>
      <c r="N762" s="2"/>
      <c r="O762" s="2"/>
      <c r="P762" s="2"/>
      <c r="Q762" s="2"/>
      <c r="R762" s="2"/>
      <c r="S762" s="2"/>
      <c r="T762" s="2"/>
      <c r="U762" s="2"/>
    </row>
    <row r="763" spans="1:21" ht="15.75" customHeight="1">
      <c r="A763" s="1"/>
      <c r="B763" s="2"/>
      <c r="C763" s="2"/>
      <c r="D763" s="2"/>
      <c r="E763" s="2"/>
      <c r="F763" s="2"/>
      <c r="G763" s="2"/>
      <c r="H763" s="2"/>
      <c r="I763" s="2"/>
      <c r="J763" s="2"/>
      <c r="K763" s="2"/>
      <c r="L763" s="2"/>
      <c r="M763" s="2"/>
      <c r="N763" s="2"/>
      <c r="O763" s="2"/>
      <c r="P763" s="2"/>
      <c r="Q763" s="2"/>
      <c r="R763" s="2"/>
      <c r="S763" s="2"/>
      <c r="T763" s="2"/>
      <c r="U763" s="2"/>
    </row>
    <row r="764" spans="1:21" ht="15.75" customHeight="1">
      <c r="A764" s="1"/>
      <c r="B764" s="2"/>
      <c r="C764" s="2"/>
      <c r="D764" s="2"/>
      <c r="E764" s="2"/>
      <c r="F764" s="2"/>
      <c r="G764" s="2"/>
      <c r="H764" s="2"/>
      <c r="I764" s="2"/>
      <c r="J764" s="2"/>
      <c r="K764" s="2"/>
      <c r="L764" s="2"/>
      <c r="M764" s="2"/>
      <c r="N764" s="2"/>
      <c r="O764" s="2"/>
      <c r="P764" s="2"/>
      <c r="Q764" s="2"/>
      <c r="R764" s="2"/>
      <c r="S764" s="2"/>
      <c r="T764" s="2"/>
      <c r="U764" s="2"/>
    </row>
    <row r="765" spans="1:21" ht="15.75" customHeight="1">
      <c r="A765" s="1"/>
      <c r="B765" s="2"/>
      <c r="C765" s="2"/>
      <c r="D765" s="2"/>
      <c r="E765" s="2"/>
      <c r="F765" s="2"/>
      <c r="G765" s="2"/>
      <c r="H765" s="2"/>
      <c r="I765" s="2"/>
      <c r="J765" s="2"/>
      <c r="K765" s="2"/>
      <c r="L765" s="2"/>
      <c r="M765" s="2"/>
      <c r="N765" s="2"/>
      <c r="O765" s="2"/>
      <c r="P765" s="2"/>
      <c r="Q765" s="2"/>
      <c r="R765" s="2"/>
      <c r="S765" s="2"/>
      <c r="T765" s="2"/>
      <c r="U765" s="2"/>
    </row>
    <row r="766" spans="1:21" ht="15.75" customHeight="1">
      <c r="A766" s="1"/>
      <c r="B766" s="2"/>
      <c r="C766" s="2"/>
      <c r="D766" s="2"/>
      <c r="E766" s="2"/>
      <c r="F766" s="2"/>
      <c r="G766" s="2"/>
      <c r="H766" s="2"/>
      <c r="I766" s="2"/>
      <c r="J766" s="2"/>
      <c r="K766" s="2"/>
      <c r="L766" s="2"/>
      <c r="M766" s="2"/>
      <c r="N766" s="2"/>
      <c r="O766" s="2"/>
      <c r="P766" s="2"/>
      <c r="Q766" s="2"/>
      <c r="R766" s="2"/>
      <c r="S766" s="2"/>
      <c r="T766" s="2"/>
      <c r="U766" s="2"/>
    </row>
    <row r="767" spans="1:21" ht="15.75" customHeight="1">
      <c r="A767" s="1"/>
      <c r="B767" s="2"/>
      <c r="C767" s="2"/>
      <c r="D767" s="2"/>
      <c r="E767" s="2"/>
      <c r="F767" s="2"/>
      <c r="G767" s="2"/>
      <c r="H767" s="2"/>
      <c r="I767" s="2"/>
      <c r="J767" s="2"/>
      <c r="K767" s="2"/>
      <c r="L767" s="2"/>
      <c r="M767" s="2"/>
      <c r="N767" s="2"/>
      <c r="O767" s="2"/>
      <c r="P767" s="2"/>
      <c r="Q767" s="2"/>
      <c r="R767" s="2"/>
      <c r="S767" s="2"/>
      <c r="T767" s="2"/>
      <c r="U767" s="2"/>
    </row>
    <row r="768" spans="1:21" ht="15.75" customHeight="1">
      <c r="A768" s="1"/>
      <c r="B768" s="2"/>
      <c r="C768" s="2"/>
      <c r="D768" s="2"/>
      <c r="E768" s="2"/>
      <c r="F768" s="2"/>
      <c r="G768" s="2"/>
      <c r="H768" s="2"/>
      <c r="I768" s="2"/>
      <c r="J768" s="2"/>
      <c r="K768" s="2"/>
      <c r="L768" s="2"/>
      <c r="M768" s="2"/>
      <c r="N768" s="2"/>
      <c r="O768" s="2"/>
      <c r="P768" s="2"/>
      <c r="Q768" s="2"/>
      <c r="R768" s="2"/>
      <c r="S768" s="2"/>
      <c r="T768" s="2"/>
      <c r="U768" s="2"/>
    </row>
    <row r="769" spans="1:21" ht="15.75" customHeight="1">
      <c r="A769" s="1"/>
      <c r="B769" s="2"/>
      <c r="C769" s="2"/>
      <c r="D769" s="2"/>
      <c r="E769" s="2"/>
      <c r="F769" s="2"/>
      <c r="G769" s="2"/>
      <c r="H769" s="2"/>
      <c r="I769" s="2"/>
      <c r="J769" s="2"/>
      <c r="K769" s="2"/>
      <c r="L769" s="2"/>
      <c r="M769" s="2"/>
      <c r="N769" s="2"/>
      <c r="O769" s="2"/>
      <c r="P769" s="2"/>
      <c r="Q769" s="2"/>
      <c r="R769" s="2"/>
      <c r="S769" s="2"/>
      <c r="T769" s="2"/>
      <c r="U769" s="2"/>
    </row>
    <row r="770" spans="1:21" ht="15.75" customHeight="1">
      <c r="A770" s="1"/>
      <c r="B770" s="2"/>
      <c r="C770" s="2"/>
      <c r="D770" s="2"/>
      <c r="E770" s="2"/>
      <c r="F770" s="2"/>
      <c r="G770" s="2"/>
      <c r="H770" s="2"/>
      <c r="I770" s="2"/>
      <c r="J770" s="2"/>
      <c r="K770" s="2"/>
      <c r="L770" s="2"/>
      <c r="M770" s="2"/>
      <c r="N770" s="2"/>
      <c r="O770" s="2"/>
      <c r="P770" s="2"/>
      <c r="Q770" s="2"/>
      <c r="R770" s="2"/>
      <c r="S770" s="2"/>
      <c r="T770" s="2"/>
      <c r="U770" s="2"/>
    </row>
    <row r="771" spans="1:21" ht="15.75" customHeight="1">
      <c r="A771" s="1"/>
      <c r="B771" s="2"/>
      <c r="C771" s="2"/>
      <c r="D771" s="2"/>
      <c r="E771" s="2"/>
      <c r="F771" s="2"/>
      <c r="G771" s="2"/>
      <c r="H771" s="2"/>
      <c r="I771" s="2"/>
      <c r="J771" s="2"/>
      <c r="K771" s="2"/>
      <c r="L771" s="2"/>
      <c r="M771" s="2"/>
      <c r="N771" s="2"/>
      <c r="O771" s="2"/>
      <c r="P771" s="2"/>
      <c r="Q771" s="2"/>
      <c r="R771" s="2"/>
      <c r="S771" s="2"/>
      <c r="T771" s="2"/>
      <c r="U771" s="2"/>
    </row>
    <row r="772" spans="1:21" ht="15.75" customHeight="1">
      <c r="A772" s="1"/>
      <c r="B772" s="2"/>
      <c r="C772" s="2"/>
      <c r="D772" s="2"/>
      <c r="E772" s="2"/>
      <c r="F772" s="2"/>
      <c r="G772" s="2"/>
      <c r="H772" s="2"/>
      <c r="I772" s="2"/>
      <c r="J772" s="2"/>
      <c r="K772" s="2"/>
      <c r="L772" s="2"/>
      <c r="M772" s="2"/>
      <c r="N772" s="2"/>
      <c r="O772" s="2"/>
      <c r="P772" s="2"/>
      <c r="Q772" s="2"/>
      <c r="R772" s="2"/>
      <c r="S772" s="2"/>
      <c r="T772" s="2"/>
      <c r="U772" s="2"/>
    </row>
    <row r="773" spans="1:21" ht="15.75" customHeight="1">
      <c r="A773" s="1"/>
      <c r="B773" s="2"/>
      <c r="C773" s="2"/>
      <c r="D773" s="2"/>
      <c r="E773" s="2"/>
      <c r="F773" s="2"/>
      <c r="G773" s="2"/>
      <c r="H773" s="2"/>
      <c r="I773" s="2"/>
      <c r="J773" s="2"/>
      <c r="K773" s="2"/>
      <c r="L773" s="2"/>
      <c r="M773" s="2"/>
      <c r="N773" s="2"/>
      <c r="O773" s="2"/>
      <c r="P773" s="2"/>
      <c r="Q773" s="2"/>
      <c r="R773" s="2"/>
      <c r="S773" s="2"/>
      <c r="T773" s="2"/>
      <c r="U773" s="2"/>
    </row>
    <row r="774" spans="1:21" ht="15.75" customHeight="1">
      <c r="A774" s="1"/>
      <c r="B774" s="2"/>
      <c r="C774" s="2"/>
      <c r="D774" s="2"/>
      <c r="E774" s="2"/>
      <c r="F774" s="2"/>
      <c r="G774" s="2"/>
      <c r="H774" s="2"/>
      <c r="I774" s="2"/>
      <c r="J774" s="2"/>
      <c r="K774" s="2"/>
      <c r="L774" s="2"/>
      <c r="M774" s="2"/>
      <c r="N774" s="2"/>
      <c r="O774" s="2"/>
      <c r="P774" s="2"/>
      <c r="Q774" s="2"/>
      <c r="R774" s="2"/>
      <c r="S774" s="2"/>
      <c r="T774" s="2"/>
      <c r="U774" s="2"/>
    </row>
    <row r="775" spans="1:21" ht="15.75" customHeight="1">
      <c r="A775" s="1"/>
      <c r="B775" s="2"/>
      <c r="C775" s="2"/>
      <c r="D775" s="2"/>
      <c r="E775" s="2"/>
      <c r="F775" s="2"/>
      <c r="G775" s="2"/>
      <c r="H775" s="2"/>
      <c r="I775" s="2"/>
      <c r="J775" s="2"/>
      <c r="K775" s="2"/>
      <c r="L775" s="2"/>
      <c r="M775" s="2"/>
      <c r="N775" s="2"/>
      <c r="O775" s="2"/>
      <c r="P775" s="2"/>
      <c r="Q775" s="2"/>
      <c r="R775" s="2"/>
      <c r="S775" s="2"/>
      <c r="T775" s="2"/>
      <c r="U775" s="2"/>
    </row>
    <row r="776" spans="1:21" ht="15.75" customHeight="1">
      <c r="A776" s="1"/>
      <c r="B776" s="2"/>
      <c r="C776" s="2"/>
      <c r="D776" s="2"/>
      <c r="E776" s="2"/>
      <c r="F776" s="2"/>
      <c r="G776" s="2"/>
      <c r="H776" s="2"/>
      <c r="I776" s="2"/>
      <c r="J776" s="2"/>
      <c r="K776" s="2"/>
      <c r="L776" s="2"/>
      <c r="M776" s="2"/>
      <c r="N776" s="2"/>
      <c r="O776" s="2"/>
      <c r="P776" s="2"/>
      <c r="Q776" s="2"/>
      <c r="R776" s="2"/>
      <c r="S776" s="2"/>
      <c r="T776" s="2"/>
      <c r="U776" s="2"/>
    </row>
    <row r="777" spans="1:21" ht="15.75" customHeight="1">
      <c r="A777" s="1"/>
      <c r="B777" s="2"/>
      <c r="C777" s="2"/>
      <c r="D777" s="2"/>
      <c r="E777" s="2"/>
      <c r="F777" s="2"/>
      <c r="G777" s="2"/>
      <c r="H777" s="2"/>
      <c r="I777" s="2"/>
      <c r="J777" s="2"/>
      <c r="K777" s="2"/>
      <c r="L777" s="2"/>
      <c r="M777" s="2"/>
      <c r="N777" s="2"/>
      <c r="O777" s="2"/>
      <c r="P777" s="2"/>
      <c r="Q777" s="2"/>
      <c r="R777" s="2"/>
      <c r="S777" s="2"/>
      <c r="T777" s="2"/>
      <c r="U777" s="2"/>
    </row>
    <row r="778" spans="1:21" ht="15.75" customHeight="1">
      <c r="A778" s="1"/>
      <c r="B778" s="2"/>
      <c r="C778" s="2"/>
      <c r="D778" s="2"/>
      <c r="E778" s="2"/>
      <c r="F778" s="2"/>
      <c r="G778" s="2"/>
      <c r="H778" s="2"/>
      <c r="I778" s="2"/>
      <c r="J778" s="2"/>
      <c r="K778" s="2"/>
      <c r="L778" s="2"/>
      <c r="M778" s="2"/>
      <c r="N778" s="2"/>
      <c r="O778" s="2"/>
      <c r="P778" s="2"/>
      <c r="Q778" s="2"/>
      <c r="R778" s="2"/>
      <c r="S778" s="2"/>
      <c r="T778" s="2"/>
      <c r="U778" s="2"/>
    </row>
    <row r="779" spans="1:21" ht="15.75" customHeight="1">
      <c r="A779" s="1"/>
      <c r="B779" s="2"/>
      <c r="C779" s="2"/>
      <c r="D779" s="2"/>
      <c r="E779" s="2"/>
      <c r="F779" s="2"/>
      <c r="G779" s="2"/>
      <c r="H779" s="2"/>
      <c r="I779" s="2"/>
      <c r="J779" s="2"/>
      <c r="K779" s="2"/>
      <c r="L779" s="2"/>
      <c r="M779" s="2"/>
      <c r="N779" s="2"/>
      <c r="O779" s="2"/>
      <c r="P779" s="2"/>
      <c r="Q779" s="2"/>
      <c r="R779" s="2"/>
      <c r="S779" s="2"/>
      <c r="T779" s="2"/>
      <c r="U779" s="2"/>
    </row>
    <row r="780" spans="1:21" ht="15.75" customHeight="1">
      <c r="A780" s="1"/>
      <c r="B780" s="2"/>
      <c r="C780" s="2"/>
      <c r="D780" s="2"/>
      <c r="E780" s="2"/>
      <c r="F780" s="2"/>
      <c r="G780" s="2"/>
      <c r="H780" s="2"/>
      <c r="I780" s="2"/>
      <c r="J780" s="2"/>
      <c r="K780" s="2"/>
      <c r="L780" s="2"/>
      <c r="M780" s="2"/>
      <c r="N780" s="2"/>
      <c r="O780" s="2"/>
      <c r="P780" s="2"/>
      <c r="Q780" s="2"/>
      <c r="R780" s="2"/>
      <c r="S780" s="2"/>
      <c r="T780" s="2"/>
      <c r="U780" s="2"/>
    </row>
    <row r="781" spans="1:21" ht="15.75" customHeight="1">
      <c r="A781" s="1"/>
      <c r="B781" s="2"/>
      <c r="C781" s="2"/>
      <c r="D781" s="2"/>
      <c r="E781" s="2"/>
      <c r="F781" s="2"/>
      <c r="G781" s="2"/>
      <c r="H781" s="2"/>
      <c r="I781" s="2"/>
      <c r="J781" s="2"/>
      <c r="K781" s="2"/>
      <c r="L781" s="2"/>
      <c r="M781" s="2"/>
      <c r="N781" s="2"/>
      <c r="O781" s="2"/>
      <c r="P781" s="2"/>
      <c r="Q781" s="2"/>
      <c r="R781" s="2"/>
      <c r="S781" s="2"/>
      <c r="T781" s="2"/>
      <c r="U781" s="2"/>
    </row>
    <row r="782" spans="1:21" ht="15.75" customHeight="1">
      <c r="A782" s="1"/>
      <c r="B782" s="2"/>
      <c r="C782" s="2"/>
      <c r="D782" s="2"/>
      <c r="E782" s="2"/>
      <c r="F782" s="2"/>
      <c r="G782" s="2"/>
      <c r="H782" s="2"/>
      <c r="I782" s="2"/>
      <c r="J782" s="2"/>
      <c r="K782" s="2"/>
      <c r="L782" s="2"/>
      <c r="M782" s="2"/>
      <c r="N782" s="2"/>
      <c r="O782" s="2"/>
      <c r="P782" s="2"/>
      <c r="Q782" s="2"/>
      <c r="R782" s="2"/>
      <c r="S782" s="2"/>
      <c r="T782" s="2"/>
      <c r="U782" s="2"/>
    </row>
    <row r="783" spans="1:21" ht="15.75" customHeight="1">
      <c r="A783" s="1"/>
      <c r="B783" s="2"/>
      <c r="C783" s="2"/>
      <c r="D783" s="2"/>
      <c r="E783" s="2"/>
      <c r="F783" s="2"/>
      <c r="G783" s="2"/>
      <c r="H783" s="2"/>
      <c r="I783" s="2"/>
      <c r="J783" s="2"/>
      <c r="K783" s="2"/>
      <c r="L783" s="2"/>
      <c r="M783" s="2"/>
      <c r="N783" s="2"/>
      <c r="O783" s="2"/>
      <c r="P783" s="2"/>
      <c r="Q783" s="2"/>
      <c r="R783" s="2"/>
      <c r="S783" s="2"/>
      <c r="T783" s="2"/>
      <c r="U783" s="2"/>
    </row>
    <row r="784" spans="1:21" ht="15.75" customHeight="1">
      <c r="A784" s="1"/>
      <c r="B784" s="2"/>
      <c r="C784" s="2"/>
      <c r="D784" s="2"/>
      <c r="E784" s="2"/>
      <c r="F784" s="2"/>
      <c r="G784" s="2"/>
      <c r="H784" s="2"/>
      <c r="I784" s="2"/>
      <c r="J784" s="2"/>
      <c r="K784" s="2"/>
      <c r="L784" s="2"/>
      <c r="M784" s="2"/>
      <c r="N784" s="2"/>
      <c r="O784" s="2"/>
      <c r="P784" s="2"/>
      <c r="Q784" s="2"/>
      <c r="R784" s="2"/>
      <c r="S784" s="2"/>
      <c r="T784" s="2"/>
      <c r="U784" s="2"/>
    </row>
    <row r="785" spans="1:21" ht="15.75" customHeight="1">
      <c r="A785" s="1"/>
      <c r="B785" s="2"/>
      <c r="C785" s="2"/>
      <c r="D785" s="2"/>
      <c r="E785" s="2"/>
      <c r="F785" s="2"/>
      <c r="G785" s="2"/>
      <c r="H785" s="2"/>
      <c r="I785" s="2"/>
      <c r="J785" s="2"/>
      <c r="K785" s="2"/>
      <c r="L785" s="2"/>
      <c r="M785" s="2"/>
      <c r="N785" s="2"/>
      <c r="O785" s="2"/>
      <c r="P785" s="2"/>
      <c r="Q785" s="2"/>
      <c r="R785" s="2"/>
      <c r="S785" s="2"/>
      <c r="T785" s="2"/>
      <c r="U785" s="2"/>
    </row>
    <row r="786" spans="1:21" ht="15.75" customHeight="1">
      <c r="A786" s="1"/>
      <c r="B786" s="2"/>
      <c r="C786" s="2"/>
      <c r="D786" s="2"/>
      <c r="E786" s="2"/>
      <c r="F786" s="2"/>
      <c r="G786" s="2"/>
      <c r="H786" s="2"/>
      <c r="I786" s="2"/>
      <c r="J786" s="2"/>
      <c r="K786" s="2"/>
      <c r="L786" s="2"/>
      <c r="M786" s="2"/>
      <c r="N786" s="2"/>
      <c r="O786" s="2"/>
      <c r="P786" s="2"/>
      <c r="Q786" s="2"/>
      <c r="R786" s="2"/>
      <c r="S786" s="2"/>
      <c r="T786" s="2"/>
      <c r="U786" s="2"/>
    </row>
    <row r="787" spans="1:21" ht="15.75" customHeight="1">
      <c r="A787" s="1"/>
      <c r="B787" s="2"/>
      <c r="C787" s="2"/>
      <c r="D787" s="2"/>
      <c r="E787" s="2"/>
      <c r="F787" s="2"/>
      <c r="G787" s="2"/>
      <c r="H787" s="2"/>
      <c r="I787" s="2"/>
      <c r="J787" s="2"/>
      <c r="K787" s="2"/>
      <c r="L787" s="2"/>
      <c r="M787" s="2"/>
      <c r="N787" s="2"/>
      <c r="O787" s="2"/>
      <c r="P787" s="2"/>
      <c r="Q787" s="2"/>
      <c r="R787" s="2"/>
      <c r="S787" s="2"/>
      <c r="T787" s="2"/>
      <c r="U787" s="2"/>
    </row>
    <row r="788" spans="1:21" ht="15.75" customHeight="1">
      <c r="A788" s="1"/>
      <c r="B788" s="2"/>
      <c r="C788" s="2"/>
      <c r="D788" s="2"/>
      <c r="E788" s="2"/>
      <c r="F788" s="2"/>
      <c r="G788" s="2"/>
      <c r="H788" s="2"/>
      <c r="I788" s="2"/>
      <c r="J788" s="2"/>
      <c r="K788" s="2"/>
      <c r="L788" s="2"/>
      <c r="M788" s="2"/>
      <c r="N788" s="2"/>
      <c r="O788" s="2"/>
      <c r="P788" s="2"/>
      <c r="Q788" s="2"/>
      <c r="R788" s="2"/>
      <c r="S788" s="2"/>
      <c r="T788" s="2"/>
      <c r="U788" s="2"/>
    </row>
    <row r="789" spans="1:21" ht="15.75" customHeight="1">
      <c r="A789" s="1"/>
      <c r="B789" s="2"/>
      <c r="C789" s="2"/>
      <c r="D789" s="2"/>
      <c r="E789" s="2"/>
      <c r="F789" s="2"/>
      <c r="G789" s="2"/>
      <c r="H789" s="2"/>
      <c r="I789" s="2"/>
      <c r="J789" s="2"/>
      <c r="K789" s="2"/>
      <c r="L789" s="2"/>
      <c r="M789" s="2"/>
      <c r="N789" s="2"/>
      <c r="O789" s="2"/>
      <c r="P789" s="2"/>
      <c r="Q789" s="2"/>
      <c r="R789" s="2"/>
      <c r="S789" s="2"/>
      <c r="T789" s="2"/>
      <c r="U789" s="2"/>
    </row>
    <row r="790" spans="1:21" ht="15.75" customHeight="1">
      <c r="A790" s="1"/>
      <c r="B790" s="2"/>
      <c r="C790" s="2"/>
      <c r="D790" s="2"/>
      <c r="E790" s="2"/>
      <c r="F790" s="2"/>
      <c r="G790" s="2"/>
      <c r="H790" s="2"/>
      <c r="I790" s="2"/>
      <c r="J790" s="2"/>
      <c r="K790" s="2"/>
      <c r="L790" s="2"/>
      <c r="M790" s="2"/>
      <c r="N790" s="2"/>
      <c r="O790" s="2"/>
      <c r="P790" s="2"/>
      <c r="Q790" s="2"/>
      <c r="R790" s="2"/>
      <c r="S790" s="2"/>
      <c r="T790" s="2"/>
      <c r="U790" s="2"/>
    </row>
    <row r="791" spans="1:21" ht="15.75" customHeight="1">
      <c r="A791" s="1"/>
      <c r="B791" s="2"/>
      <c r="C791" s="2"/>
      <c r="D791" s="2"/>
      <c r="E791" s="2"/>
      <c r="F791" s="2"/>
      <c r="G791" s="2"/>
      <c r="H791" s="2"/>
      <c r="I791" s="2"/>
      <c r="J791" s="2"/>
      <c r="K791" s="2"/>
      <c r="L791" s="2"/>
      <c r="M791" s="2"/>
      <c r="N791" s="2"/>
      <c r="O791" s="2"/>
      <c r="P791" s="2"/>
      <c r="Q791" s="2"/>
      <c r="R791" s="2"/>
      <c r="S791" s="2"/>
      <c r="T791" s="2"/>
      <c r="U791" s="2"/>
    </row>
    <row r="792" spans="1:21" ht="15.75" customHeight="1">
      <c r="A792" s="1"/>
      <c r="B792" s="2"/>
      <c r="C792" s="2"/>
      <c r="D792" s="2"/>
      <c r="E792" s="2"/>
      <c r="F792" s="2"/>
      <c r="G792" s="2"/>
      <c r="H792" s="2"/>
      <c r="I792" s="2"/>
      <c r="J792" s="2"/>
      <c r="K792" s="2"/>
      <c r="L792" s="2"/>
      <c r="M792" s="2"/>
      <c r="N792" s="2"/>
      <c r="O792" s="2"/>
      <c r="P792" s="2"/>
      <c r="Q792" s="2"/>
      <c r="R792" s="2"/>
      <c r="S792" s="2"/>
      <c r="T792" s="2"/>
      <c r="U792" s="2"/>
    </row>
    <row r="793" spans="1:21" ht="15.75" customHeight="1">
      <c r="A793" s="1"/>
      <c r="B793" s="2"/>
      <c r="C793" s="2"/>
      <c r="D793" s="2"/>
      <c r="E793" s="2"/>
      <c r="F793" s="2"/>
      <c r="G793" s="2"/>
      <c r="H793" s="2"/>
      <c r="I793" s="2"/>
      <c r="J793" s="2"/>
      <c r="K793" s="2"/>
      <c r="L793" s="2"/>
      <c r="M793" s="2"/>
      <c r="N793" s="2"/>
      <c r="O793" s="2"/>
      <c r="P793" s="2"/>
      <c r="Q793" s="2"/>
      <c r="R793" s="2"/>
      <c r="S793" s="2"/>
      <c r="T793" s="2"/>
      <c r="U793" s="2"/>
    </row>
    <row r="794" spans="1:21" ht="15.75" customHeight="1">
      <c r="A794" s="1"/>
      <c r="B794" s="2"/>
      <c r="C794" s="2"/>
      <c r="D794" s="2"/>
      <c r="E794" s="2"/>
      <c r="F794" s="2"/>
      <c r="G794" s="2"/>
      <c r="H794" s="2"/>
      <c r="I794" s="2"/>
      <c r="J794" s="2"/>
      <c r="K794" s="2"/>
      <c r="L794" s="2"/>
      <c r="M794" s="2"/>
      <c r="N794" s="2"/>
      <c r="O794" s="2"/>
      <c r="P794" s="2"/>
      <c r="Q794" s="2"/>
      <c r="R794" s="2"/>
      <c r="S794" s="2"/>
      <c r="T794" s="2"/>
      <c r="U794" s="2"/>
    </row>
    <row r="795" spans="1:21" ht="15.75" customHeight="1">
      <c r="A795" s="1"/>
      <c r="B795" s="2"/>
      <c r="C795" s="2"/>
      <c r="D795" s="2"/>
      <c r="E795" s="2"/>
      <c r="F795" s="2"/>
      <c r="G795" s="2"/>
      <c r="H795" s="2"/>
      <c r="I795" s="2"/>
      <c r="J795" s="2"/>
      <c r="K795" s="2"/>
      <c r="L795" s="2"/>
      <c r="M795" s="2"/>
      <c r="N795" s="2"/>
      <c r="O795" s="2"/>
      <c r="P795" s="2"/>
      <c r="Q795" s="2"/>
      <c r="R795" s="2"/>
      <c r="S795" s="2"/>
      <c r="T795" s="2"/>
      <c r="U795" s="2"/>
    </row>
    <row r="796" spans="1:21" ht="15.75" customHeight="1">
      <c r="A796" s="1"/>
      <c r="B796" s="2"/>
      <c r="C796" s="2"/>
      <c r="D796" s="2"/>
      <c r="E796" s="2"/>
      <c r="F796" s="2"/>
      <c r="G796" s="2"/>
      <c r="H796" s="2"/>
      <c r="I796" s="2"/>
      <c r="J796" s="2"/>
      <c r="K796" s="2"/>
      <c r="L796" s="2"/>
      <c r="M796" s="2"/>
      <c r="N796" s="2"/>
      <c r="O796" s="2"/>
      <c r="P796" s="2"/>
      <c r="Q796" s="2"/>
      <c r="R796" s="2"/>
      <c r="S796" s="2"/>
      <c r="T796" s="2"/>
      <c r="U796" s="2"/>
    </row>
    <row r="797" spans="1:21" ht="15.75" customHeight="1">
      <c r="A797" s="1"/>
      <c r="B797" s="2"/>
      <c r="C797" s="2"/>
      <c r="D797" s="2"/>
      <c r="E797" s="2"/>
      <c r="F797" s="2"/>
      <c r="G797" s="2"/>
      <c r="H797" s="2"/>
      <c r="I797" s="2"/>
      <c r="J797" s="2"/>
      <c r="K797" s="2"/>
      <c r="L797" s="2"/>
      <c r="M797" s="2"/>
      <c r="N797" s="2"/>
      <c r="O797" s="2"/>
      <c r="P797" s="2"/>
      <c r="Q797" s="2"/>
      <c r="R797" s="2"/>
      <c r="S797" s="2"/>
      <c r="T797" s="2"/>
      <c r="U797" s="2"/>
    </row>
    <row r="798" spans="1:21" ht="15.75" customHeight="1">
      <c r="A798" s="1"/>
      <c r="B798" s="2"/>
      <c r="C798" s="2"/>
      <c r="D798" s="2"/>
      <c r="E798" s="2"/>
      <c r="F798" s="2"/>
      <c r="G798" s="2"/>
      <c r="H798" s="2"/>
      <c r="I798" s="2"/>
      <c r="J798" s="2"/>
      <c r="K798" s="2"/>
      <c r="L798" s="2"/>
      <c r="M798" s="2"/>
      <c r="N798" s="2"/>
      <c r="O798" s="2"/>
      <c r="P798" s="2"/>
      <c r="Q798" s="2"/>
      <c r="R798" s="2"/>
      <c r="S798" s="2"/>
      <c r="T798" s="2"/>
      <c r="U798" s="2"/>
    </row>
    <row r="799" spans="1:21" ht="15.75" customHeight="1">
      <c r="A799" s="1"/>
      <c r="B799" s="2"/>
      <c r="C799" s="2"/>
      <c r="D799" s="2"/>
      <c r="E799" s="2"/>
      <c r="F799" s="2"/>
      <c r="G799" s="2"/>
      <c r="H799" s="2"/>
      <c r="I799" s="2"/>
      <c r="J799" s="2"/>
      <c r="K799" s="2"/>
      <c r="L799" s="2"/>
      <c r="M799" s="2"/>
      <c r="N799" s="2"/>
      <c r="O799" s="2"/>
      <c r="P799" s="2"/>
      <c r="Q799" s="2"/>
      <c r="R799" s="2"/>
      <c r="S799" s="2"/>
      <c r="T799" s="2"/>
      <c r="U799" s="2"/>
    </row>
    <row r="800" spans="1:21" ht="15.75" customHeight="1">
      <c r="A800" s="1"/>
      <c r="B800" s="2"/>
      <c r="C800" s="2"/>
      <c r="D800" s="2"/>
      <c r="E800" s="2"/>
      <c r="F800" s="2"/>
      <c r="G800" s="2"/>
      <c r="H800" s="2"/>
      <c r="I800" s="2"/>
      <c r="J800" s="2"/>
      <c r="K800" s="2"/>
      <c r="L800" s="2"/>
      <c r="M800" s="2"/>
      <c r="N800" s="2"/>
      <c r="O800" s="2"/>
      <c r="P800" s="2"/>
      <c r="Q800" s="2"/>
      <c r="R800" s="2"/>
      <c r="S800" s="2"/>
      <c r="T800" s="2"/>
      <c r="U800" s="2"/>
    </row>
    <row r="801" spans="1:21" ht="15.75" customHeight="1">
      <c r="A801" s="1"/>
      <c r="B801" s="2"/>
      <c r="C801" s="2"/>
      <c r="D801" s="2"/>
      <c r="E801" s="2"/>
      <c r="F801" s="2"/>
      <c r="G801" s="2"/>
      <c r="H801" s="2"/>
      <c r="I801" s="2"/>
      <c r="J801" s="2"/>
      <c r="K801" s="2"/>
      <c r="L801" s="2"/>
      <c r="M801" s="2"/>
      <c r="N801" s="2"/>
      <c r="O801" s="2"/>
      <c r="P801" s="2"/>
      <c r="Q801" s="2"/>
      <c r="R801" s="2"/>
      <c r="S801" s="2"/>
      <c r="T801" s="2"/>
      <c r="U801" s="2"/>
    </row>
    <row r="802" spans="1:21" ht="15.75" customHeight="1">
      <c r="A802" s="1"/>
      <c r="B802" s="2"/>
      <c r="C802" s="2"/>
      <c r="D802" s="2"/>
      <c r="E802" s="2"/>
      <c r="F802" s="2"/>
      <c r="G802" s="2"/>
      <c r="H802" s="2"/>
      <c r="I802" s="2"/>
      <c r="J802" s="2"/>
      <c r="K802" s="2"/>
      <c r="L802" s="2"/>
      <c r="M802" s="2"/>
      <c r="N802" s="2"/>
      <c r="O802" s="2"/>
      <c r="P802" s="2"/>
      <c r="Q802" s="2"/>
      <c r="R802" s="2"/>
      <c r="S802" s="2"/>
      <c r="T802" s="2"/>
      <c r="U802" s="2"/>
    </row>
    <row r="803" spans="1:21" ht="15.75" customHeight="1">
      <c r="A803" s="1"/>
      <c r="B803" s="2"/>
      <c r="C803" s="2"/>
      <c r="D803" s="2"/>
      <c r="E803" s="2"/>
      <c r="F803" s="2"/>
      <c r="G803" s="2"/>
      <c r="H803" s="2"/>
      <c r="I803" s="2"/>
      <c r="J803" s="2"/>
      <c r="K803" s="2"/>
      <c r="L803" s="2"/>
      <c r="M803" s="2"/>
      <c r="N803" s="2"/>
      <c r="O803" s="2"/>
      <c r="P803" s="2"/>
      <c r="Q803" s="2"/>
      <c r="R803" s="2"/>
      <c r="S803" s="2"/>
      <c r="T803" s="2"/>
      <c r="U803" s="2"/>
    </row>
    <row r="804" spans="1:21" ht="15.75" customHeight="1">
      <c r="A804" s="1"/>
      <c r="B804" s="2"/>
      <c r="C804" s="2"/>
      <c r="D804" s="2"/>
      <c r="E804" s="2"/>
      <c r="F804" s="2"/>
      <c r="G804" s="2"/>
      <c r="H804" s="2"/>
      <c r="I804" s="2"/>
      <c r="J804" s="2"/>
      <c r="K804" s="2"/>
      <c r="L804" s="2"/>
      <c r="M804" s="2"/>
      <c r="N804" s="2"/>
      <c r="O804" s="2"/>
      <c r="P804" s="2"/>
      <c r="Q804" s="2"/>
      <c r="R804" s="2"/>
      <c r="S804" s="2"/>
      <c r="T804" s="2"/>
      <c r="U804" s="2"/>
    </row>
    <row r="805" spans="1:21" ht="15.75" customHeight="1">
      <c r="A805" s="1"/>
      <c r="B805" s="2"/>
      <c r="C805" s="2"/>
      <c r="D805" s="2"/>
      <c r="E805" s="2"/>
      <c r="F805" s="2"/>
      <c r="G805" s="2"/>
      <c r="H805" s="2"/>
      <c r="I805" s="2"/>
      <c r="J805" s="2"/>
      <c r="K805" s="2"/>
      <c r="L805" s="2"/>
      <c r="M805" s="2"/>
      <c r="N805" s="2"/>
      <c r="O805" s="2"/>
      <c r="P805" s="2"/>
      <c r="Q805" s="2"/>
      <c r="R805" s="2"/>
      <c r="S805" s="2"/>
      <c r="T805" s="2"/>
      <c r="U805" s="2"/>
    </row>
    <row r="806" spans="1:21" ht="15.75" customHeight="1">
      <c r="A806" s="1"/>
      <c r="B806" s="2"/>
      <c r="C806" s="2"/>
      <c r="D806" s="2"/>
      <c r="E806" s="2"/>
      <c r="F806" s="2"/>
      <c r="G806" s="2"/>
      <c r="H806" s="2"/>
      <c r="I806" s="2"/>
      <c r="J806" s="2"/>
      <c r="K806" s="2"/>
      <c r="L806" s="2"/>
      <c r="M806" s="2"/>
      <c r="N806" s="2"/>
      <c r="O806" s="2"/>
      <c r="P806" s="2"/>
      <c r="Q806" s="2"/>
      <c r="R806" s="2"/>
      <c r="S806" s="2"/>
      <c r="T806" s="2"/>
      <c r="U806" s="2"/>
    </row>
    <row r="807" spans="1:21" ht="15.75" customHeight="1">
      <c r="A807" s="1"/>
      <c r="B807" s="2"/>
      <c r="C807" s="2"/>
      <c r="D807" s="2"/>
      <c r="E807" s="2"/>
      <c r="F807" s="2"/>
      <c r="G807" s="2"/>
      <c r="H807" s="2"/>
      <c r="I807" s="2"/>
      <c r="J807" s="2"/>
      <c r="K807" s="2"/>
      <c r="L807" s="2"/>
      <c r="M807" s="2"/>
      <c r="N807" s="2"/>
      <c r="O807" s="2"/>
      <c r="P807" s="2"/>
      <c r="Q807" s="2"/>
      <c r="R807" s="2"/>
      <c r="S807" s="2"/>
      <c r="T807" s="2"/>
      <c r="U807" s="2"/>
    </row>
    <row r="808" spans="1:21" ht="15.75" customHeight="1">
      <c r="A808" s="1"/>
      <c r="B808" s="2"/>
      <c r="C808" s="2"/>
      <c r="D808" s="2"/>
      <c r="E808" s="2"/>
      <c r="F808" s="2"/>
      <c r="G808" s="2"/>
      <c r="H808" s="2"/>
      <c r="I808" s="2"/>
      <c r="J808" s="2"/>
      <c r="K808" s="2"/>
      <c r="L808" s="2"/>
      <c r="M808" s="2"/>
      <c r="N808" s="2"/>
      <c r="O808" s="2"/>
      <c r="P808" s="2"/>
      <c r="Q808" s="2"/>
      <c r="R808" s="2"/>
      <c r="S808" s="2"/>
      <c r="T808" s="2"/>
      <c r="U808" s="2"/>
    </row>
    <row r="809" spans="1:21" ht="15.75" customHeight="1">
      <c r="A809" s="1"/>
      <c r="B809" s="2"/>
      <c r="C809" s="2"/>
      <c r="D809" s="2"/>
      <c r="E809" s="2"/>
      <c r="F809" s="2"/>
      <c r="G809" s="2"/>
      <c r="H809" s="2"/>
      <c r="I809" s="2"/>
      <c r="J809" s="2"/>
      <c r="K809" s="2"/>
      <c r="L809" s="2"/>
      <c r="M809" s="2"/>
      <c r="N809" s="2"/>
      <c r="O809" s="2"/>
      <c r="P809" s="2"/>
      <c r="Q809" s="2"/>
      <c r="R809" s="2"/>
      <c r="S809" s="2"/>
      <c r="T809" s="2"/>
      <c r="U809" s="2"/>
    </row>
    <row r="810" spans="1:21" ht="15.75" customHeight="1">
      <c r="A810" s="1"/>
      <c r="B810" s="2"/>
      <c r="C810" s="2"/>
      <c r="D810" s="2"/>
      <c r="E810" s="2"/>
      <c r="F810" s="2"/>
      <c r="G810" s="2"/>
      <c r="H810" s="2"/>
      <c r="I810" s="2"/>
      <c r="J810" s="2"/>
      <c r="K810" s="2"/>
      <c r="L810" s="2"/>
      <c r="M810" s="2"/>
      <c r="N810" s="2"/>
      <c r="O810" s="2"/>
      <c r="P810" s="2"/>
      <c r="Q810" s="2"/>
      <c r="R810" s="2"/>
      <c r="S810" s="2"/>
      <c r="T810" s="2"/>
      <c r="U810" s="2"/>
    </row>
    <row r="811" spans="1:21" ht="15.75" customHeight="1">
      <c r="A811" s="1"/>
      <c r="B811" s="2"/>
      <c r="C811" s="2"/>
      <c r="D811" s="2"/>
      <c r="E811" s="2"/>
      <c r="F811" s="2"/>
      <c r="G811" s="2"/>
      <c r="H811" s="2"/>
      <c r="I811" s="2"/>
      <c r="J811" s="2"/>
      <c r="K811" s="2"/>
      <c r="L811" s="2"/>
      <c r="M811" s="2"/>
      <c r="N811" s="2"/>
      <c r="O811" s="2"/>
      <c r="P811" s="2"/>
      <c r="Q811" s="2"/>
      <c r="R811" s="2"/>
      <c r="S811" s="2"/>
      <c r="T811" s="2"/>
      <c r="U811" s="2"/>
    </row>
    <row r="812" spans="1:21" ht="15.75" customHeight="1">
      <c r="A812" s="1"/>
      <c r="B812" s="2"/>
      <c r="C812" s="2"/>
      <c r="D812" s="2"/>
      <c r="E812" s="2"/>
      <c r="F812" s="2"/>
      <c r="G812" s="2"/>
      <c r="H812" s="2"/>
      <c r="I812" s="2"/>
      <c r="J812" s="2"/>
      <c r="K812" s="2"/>
      <c r="L812" s="2"/>
      <c r="M812" s="2"/>
      <c r="N812" s="2"/>
      <c r="O812" s="2"/>
      <c r="P812" s="2"/>
      <c r="Q812" s="2"/>
      <c r="R812" s="2"/>
      <c r="S812" s="2"/>
      <c r="T812" s="2"/>
      <c r="U812" s="2"/>
    </row>
    <row r="813" spans="1:21" ht="15.75" customHeight="1">
      <c r="A813" s="1"/>
      <c r="B813" s="2"/>
      <c r="C813" s="2"/>
      <c r="D813" s="2"/>
      <c r="E813" s="2"/>
      <c r="F813" s="2"/>
      <c r="G813" s="2"/>
      <c r="H813" s="2"/>
      <c r="I813" s="2"/>
      <c r="J813" s="2"/>
      <c r="K813" s="2"/>
      <c r="L813" s="2"/>
      <c r="M813" s="2"/>
      <c r="N813" s="2"/>
      <c r="O813" s="2"/>
      <c r="P813" s="2"/>
      <c r="Q813" s="2"/>
      <c r="R813" s="2"/>
      <c r="S813" s="2"/>
      <c r="T813" s="2"/>
      <c r="U813" s="2"/>
    </row>
    <row r="814" spans="1:21" ht="15.75" customHeight="1">
      <c r="A814" s="1"/>
      <c r="B814" s="2"/>
      <c r="C814" s="2"/>
      <c r="D814" s="2"/>
      <c r="E814" s="2"/>
      <c r="F814" s="2"/>
      <c r="G814" s="2"/>
      <c r="H814" s="2"/>
      <c r="I814" s="2"/>
      <c r="J814" s="2"/>
      <c r="K814" s="2"/>
      <c r="L814" s="2"/>
      <c r="M814" s="2"/>
      <c r="N814" s="2"/>
      <c r="O814" s="2"/>
      <c r="P814" s="2"/>
      <c r="Q814" s="2"/>
      <c r="R814" s="2"/>
      <c r="S814" s="2"/>
      <c r="T814" s="2"/>
      <c r="U814" s="2"/>
    </row>
    <row r="815" spans="1:21" ht="15.75" customHeight="1">
      <c r="A815" s="1"/>
      <c r="B815" s="2"/>
      <c r="C815" s="2"/>
      <c r="D815" s="2"/>
      <c r="E815" s="2"/>
      <c r="F815" s="2"/>
      <c r="G815" s="2"/>
      <c r="H815" s="2"/>
      <c r="I815" s="2"/>
      <c r="J815" s="2"/>
      <c r="K815" s="2"/>
      <c r="L815" s="2"/>
      <c r="M815" s="2"/>
      <c r="N815" s="2"/>
      <c r="O815" s="2"/>
      <c r="P815" s="2"/>
      <c r="Q815" s="2"/>
      <c r="R815" s="2"/>
      <c r="S815" s="2"/>
      <c r="T815" s="2"/>
      <c r="U815" s="2"/>
    </row>
    <row r="816" spans="1:21" ht="15.75" customHeight="1">
      <c r="A816" s="1"/>
      <c r="B816" s="2"/>
      <c r="C816" s="2"/>
      <c r="D816" s="2"/>
      <c r="E816" s="2"/>
      <c r="F816" s="2"/>
      <c r="G816" s="2"/>
      <c r="H816" s="2"/>
      <c r="I816" s="2"/>
      <c r="J816" s="2"/>
      <c r="K816" s="2"/>
      <c r="L816" s="2"/>
      <c r="M816" s="2"/>
      <c r="N816" s="2"/>
      <c r="O816" s="2"/>
      <c r="P816" s="2"/>
      <c r="Q816" s="2"/>
      <c r="R816" s="2"/>
      <c r="S816" s="2"/>
      <c r="T816" s="2"/>
      <c r="U816" s="2"/>
    </row>
    <row r="817" spans="1:21" ht="15.75" customHeight="1">
      <c r="A817" s="1"/>
      <c r="B817" s="2"/>
      <c r="C817" s="2"/>
      <c r="D817" s="2"/>
      <c r="E817" s="2"/>
      <c r="F817" s="2"/>
      <c r="G817" s="2"/>
      <c r="H817" s="2"/>
      <c r="I817" s="2"/>
      <c r="J817" s="2"/>
      <c r="K817" s="2"/>
      <c r="L817" s="2"/>
      <c r="M817" s="2"/>
      <c r="N817" s="2"/>
      <c r="O817" s="2"/>
      <c r="P817" s="2"/>
      <c r="Q817" s="2"/>
      <c r="R817" s="2"/>
      <c r="S817" s="2"/>
      <c r="T817" s="2"/>
      <c r="U817" s="2"/>
    </row>
    <row r="818" spans="1:21" ht="15.75" customHeight="1">
      <c r="A818" s="1"/>
      <c r="B818" s="2"/>
      <c r="C818" s="2"/>
      <c r="D818" s="2"/>
      <c r="E818" s="2"/>
      <c r="F818" s="2"/>
      <c r="G818" s="2"/>
      <c r="H818" s="2"/>
      <c r="I818" s="2"/>
      <c r="J818" s="2"/>
      <c r="K818" s="2"/>
      <c r="L818" s="2"/>
      <c r="M818" s="2"/>
      <c r="N818" s="2"/>
      <c r="O818" s="2"/>
      <c r="P818" s="2"/>
      <c r="Q818" s="2"/>
      <c r="R818" s="2"/>
      <c r="S818" s="2"/>
      <c r="T818" s="2"/>
      <c r="U818" s="2"/>
    </row>
    <row r="819" spans="1:21" ht="15.75" customHeight="1">
      <c r="A819" s="1"/>
      <c r="B819" s="2"/>
      <c r="C819" s="2"/>
      <c r="D819" s="2"/>
      <c r="E819" s="2"/>
      <c r="F819" s="2"/>
      <c r="G819" s="2"/>
      <c r="H819" s="2"/>
      <c r="I819" s="2"/>
      <c r="J819" s="2"/>
      <c r="K819" s="2"/>
      <c r="L819" s="2"/>
      <c r="M819" s="2"/>
      <c r="N819" s="2"/>
      <c r="O819" s="2"/>
      <c r="P819" s="2"/>
      <c r="Q819" s="2"/>
      <c r="R819" s="2"/>
      <c r="S819" s="2"/>
      <c r="T819" s="2"/>
      <c r="U819" s="2"/>
    </row>
    <row r="820" spans="1:21" ht="15.75" customHeight="1">
      <c r="A820" s="1"/>
      <c r="B820" s="2"/>
      <c r="C820" s="2"/>
      <c r="D820" s="2"/>
      <c r="E820" s="2"/>
      <c r="F820" s="2"/>
      <c r="G820" s="2"/>
      <c r="H820" s="2"/>
      <c r="I820" s="2"/>
      <c r="J820" s="2"/>
      <c r="K820" s="2"/>
      <c r="L820" s="2"/>
      <c r="M820" s="2"/>
      <c r="N820" s="2"/>
      <c r="O820" s="2"/>
      <c r="P820" s="2"/>
      <c r="Q820" s="2"/>
      <c r="R820" s="2"/>
      <c r="S820" s="2"/>
      <c r="T820" s="2"/>
      <c r="U820" s="2"/>
    </row>
    <row r="821" spans="1:21" ht="15.75" customHeight="1">
      <c r="A821" s="1"/>
      <c r="B821" s="2"/>
      <c r="C821" s="2"/>
      <c r="D821" s="2"/>
      <c r="E821" s="2"/>
      <c r="F821" s="2"/>
      <c r="G821" s="2"/>
      <c r="H821" s="2"/>
      <c r="I821" s="2"/>
      <c r="J821" s="2"/>
      <c r="K821" s="2"/>
      <c r="L821" s="2"/>
      <c r="M821" s="2"/>
      <c r="N821" s="2"/>
      <c r="O821" s="2"/>
      <c r="P821" s="2"/>
      <c r="Q821" s="2"/>
      <c r="R821" s="2"/>
      <c r="S821" s="2"/>
      <c r="T821" s="2"/>
      <c r="U821" s="2"/>
    </row>
    <row r="822" spans="1:21" ht="15.75" customHeight="1">
      <c r="A822" s="1"/>
      <c r="B822" s="2"/>
      <c r="C822" s="2"/>
      <c r="D822" s="2"/>
      <c r="E822" s="2"/>
      <c r="F822" s="2"/>
      <c r="G822" s="2"/>
      <c r="H822" s="2"/>
      <c r="I822" s="2"/>
      <c r="J822" s="2"/>
      <c r="K822" s="2"/>
      <c r="L822" s="2"/>
      <c r="M822" s="2"/>
      <c r="N822" s="2"/>
      <c r="O822" s="2"/>
      <c r="P822" s="2"/>
      <c r="Q822" s="2"/>
      <c r="R822" s="2"/>
      <c r="S822" s="2"/>
      <c r="T822" s="2"/>
      <c r="U822" s="2"/>
    </row>
    <row r="823" spans="1:21" ht="15.75" customHeight="1">
      <c r="A823" s="1"/>
      <c r="B823" s="2"/>
      <c r="C823" s="2"/>
      <c r="D823" s="2"/>
      <c r="E823" s="2"/>
      <c r="F823" s="2"/>
      <c r="G823" s="2"/>
      <c r="H823" s="2"/>
      <c r="I823" s="2"/>
      <c r="J823" s="2"/>
      <c r="K823" s="2"/>
      <c r="L823" s="2"/>
      <c r="M823" s="2"/>
      <c r="N823" s="2"/>
      <c r="O823" s="2"/>
      <c r="P823" s="2"/>
      <c r="Q823" s="2"/>
      <c r="R823" s="2"/>
      <c r="S823" s="2"/>
      <c r="T823" s="2"/>
      <c r="U823" s="2"/>
    </row>
    <row r="824" spans="1:21" ht="15.75" customHeight="1">
      <c r="A824" s="1"/>
      <c r="B824" s="2"/>
      <c r="C824" s="2"/>
      <c r="D824" s="2"/>
      <c r="E824" s="2"/>
      <c r="F824" s="2"/>
      <c r="G824" s="2"/>
      <c r="H824" s="2"/>
      <c r="I824" s="2"/>
      <c r="J824" s="2"/>
      <c r="K824" s="2"/>
      <c r="L824" s="2"/>
      <c r="M824" s="2"/>
      <c r="N824" s="2"/>
      <c r="O824" s="2"/>
      <c r="P824" s="2"/>
      <c r="Q824" s="2"/>
      <c r="R824" s="2"/>
      <c r="S824" s="2"/>
      <c r="T824" s="2"/>
      <c r="U824" s="2"/>
    </row>
    <row r="825" spans="1:21" ht="15.75" customHeight="1">
      <c r="A825" s="1"/>
      <c r="B825" s="2"/>
      <c r="C825" s="2"/>
      <c r="D825" s="2"/>
      <c r="E825" s="2"/>
      <c r="F825" s="2"/>
      <c r="G825" s="2"/>
      <c r="H825" s="2"/>
      <c r="I825" s="2"/>
      <c r="J825" s="2"/>
      <c r="K825" s="2"/>
      <c r="L825" s="2"/>
      <c r="M825" s="2"/>
      <c r="N825" s="2"/>
      <c r="O825" s="2"/>
      <c r="P825" s="2"/>
      <c r="Q825" s="2"/>
      <c r="R825" s="2"/>
      <c r="S825" s="2"/>
      <c r="T825" s="2"/>
      <c r="U825" s="2"/>
    </row>
    <row r="826" spans="1:21" ht="15.75" customHeight="1">
      <c r="A826" s="1"/>
      <c r="B826" s="2"/>
      <c r="C826" s="2"/>
      <c r="D826" s="2"/>
      <c r="E826" s="2"/>
      <c r="F826" s="2"/>
      <c r="G826" s="2"/>
      <c r="H826" s="2"/>
      <c r="I826" s="2"/>
      <c r="J826" s="2"/>
      <c r="K826" s="2"/>
      <c r="L826" s="2"/>
      <c r="M826" s="2"/>
      <c r="N826" s="2"/>
      <c r="O826" s="2"/>
      <c r="P826" s="2"/>
      <c r="Q826" s="2"/>
      <c r="R826" s="2"/>
      <c r="S826" s="2"/>
      <c r="T826" s="2"/>
      <c r="U826" s="2"/>
    </row>
    <row r="827" spans="1:21" ht="15.75" customHeight="1">
      <c r="A827" s="1"/>
      <c r="B827" s="2"/>
      <c r="C827" s="2"/>
      <c r="D827" s="2"/>
      <c r="E827" s="2"/>
      <c r="F827" s="2"/>
      <c r="G827" s="2"/>
      <c r="H827" s="2"/>
      <c r="I827" s="2"/>
      <c r="J827" s="2"/>
      <c r="K827" s="2"/>
      <c r="L827" s="2"/>
      <c r="M827" s="2"/>
      <c r="N827" s="2"/>
      <c r="O827" s="2"/>
      <c r="P827" s="2"/>
      <c r="Q827" s="2"/>
      <c r="R827" s="2"/>
      <c r="S827" s="2"/>
      <c r="T827" s="2"/>
      <c r="U827" s="2"/>
    </row>
    <row r="828" spans="1:21" ht="15.75" customHeight="1">
      <c r="A828" s="1"/>
      <c r="B828" s="2"/>
      <c r="C828" s="2"/>
      <c r="D828" s="2"/>
      <c r="E828" s="2"/>
      <c r="F828" s="2"/>
      <c r="G828" s="2"/>
      <c r="H828" s="2"/>
      <c r="I828" s="2"/>
      <c r="J828" s="2"/>
      <c r="K828" s="2"/>
      <c r="L828" s="2"/>
      <c r="M828" s="2"/>
      <c r="N828" s="2"/>
      <c r="O828" s="2"/>
      <c r="P828" s="2"/>
      <c r="Q828" s="2"/>
      <c r="R828" s="2"/>
      <c r="S828" s="2"/>
      <c r="T828" s="2"/>
      <c r="U828" s="2"/>
    </row>
    <row r="829" spans="1:21" ht="15.75" customHeight="1">
      <c r="A829" s="1"/>
      <c r="B829" s="2"/>
      <c r="C829" s="2"/>
      <c r="D829" s="2"/>
      <c r="E829" s="2"/>
      <c r="F829" s="2"/>
      <c r="G829" s="2"/>
      <c r="H829" s="2"/>
      <c r="I829" s="2"/>
      <c r="J829" s="2"/>
      <c r="K829" s="2"/>
      <c r="L829" s="2"/>
      <c r="M829" s="2"/>
      <c r="N829" s="2"/>
      <c r="O829" s="2"/>
      <c r="P829" s="2"/>
      <c r="Q829" s="2"/>
      <c r="R829" s="2"/>
      <c r="S829" s="2"/>
      <c r="T829" s="2"/>
      <c r="U829" s="2"/>
    </row>
    <row r="830" spans="1:21" ht="15.75" customHeight="1">
      <c r="A830" s="1"/>
      <c r="B830" s="2"/>
      <c r="C830" s="2"/>
      <c r="D830" s="2"/>
      <c r="E830" s="2"/>
      <c r="F830" s="2"/>
      <c r="G830" s="2"/>
      <c r="H830" s="2"/>
      <c r="I830" s="2"/>
      <c r="J830" s="2"/>
      <c r="K830" s="2"/>
      <c r="L830" s="2"/>
      <c r="M830" s="2"/>
      <c r="N830" s="2"/>
      <c r="O830" s="2"/>
      <c r="P830" s="2"/>
      <c r="Q830" s="2"/>
      <c r="R830" s="2"/>
      <c r="S830" s="2"/>
      <c r="T830" s="2"/>
      <c r="U830" s="2"/>
    </row>
    <row r="831" spans="1:21" ht="15.75" customHeight="1">
      <c r="A831" s="1"/>
      <c r="B831" s="2"/>
      <c r="C831" s="2"/>
      <c r="D831" s="2"/>
      <c r="E831" s="2"/>
      <c r="F831" s="2"/>
      <c r="G831" s="2"/>
      <c r="H831" s="2"/>
      <c r="I831" s="2"/>
      <c r="J831" s="2"/>
      <c r="K831" s="2"/>
      <c r="L831" s="2"/>
      <c r="M831" s="2"/>
      <c r="N831" s="2"/>
      <c r="O831" s="2"/>
      <c r="P831" s="2"/>
      <c r="Q831" s="2"/>
      <c r="R831" s="2"/>
      <c r="S831" s="2"/>
      <c r="T831" s="2"/>
      <c r="U831" s="2"/>
    </row>
    <row r="832" spans="1:21" ht="15.75" customHeight="1">
      <c r="A832" s="1"/>
      <c r="B832" s="2"/>
      <c r="C832" s="2"/>
      <c r="D832" s="2"/>
      <c r="E832" s="2"/>
      <c r="F832" s="2"/>
      <c r="G832" s="2"/>
      <c r="H832" s="2"/>
      <c r="I832" s="2"/>
      <c r="J832" s="2"/>
      <c r="K832" s="2"/>
      <c r="L832" s="2"/>
      <c r="M832" s="2"/>
      <c r="N832" s="2"/>
      <c r="O832" s="2"/>
      <c r="P832" s="2"/>
      <c r="Q832" s="2"/>
      <c r="R832" s="2"/>
      <c r="S832" s="2"/>
      <c r="T832" s="2"/>
      <c r="U832" s="2"/>
    </row>
    <row r="833" spans="1:21" ht="15.75" customHeight="1">
      <c r="A833" s="1"/>
      <c r="B833" s="2"/>
      <c r="C833" s="2"/>
      <c r="D833" s="2"/>
      <c r="E833" s="2"/>
      <c r="F833" s="2"/>
      <c r="G833" s="2"/>
      <c r="H833" s="2"/>
      <c r="I833" s="2"/>
      <c r="J833" s="2"/>
      <c r="K833" s="2"/>
      <c r="L833" s="2"/>
      <c r="M833" s="2"/>
      <c r="N833" s="2"/>
      <c r="O833" s="2"/>
      <c r="P833" s="2"/>
      <c r="Q833" s="2"/>
      <c r="R833" s="2"/>
      <c r="S833" s="2"/>
      <c r="T833" s="2"/>
      <c r="U833" s="2"/>
    </row>
    <row r="834" spans="1:21" ht="15.75" customHeight="1">
      <c r="A834" s="1"/>
      <c r="B834" s="2"/>
      <c r="C834" s="2"/>
      <c r="D834" s="2"/>
      <c r="E834" s="2"/>
      <c r="F834" s="2"/>
      <c r="G834" s="2"/>
      <c r="H834" s="2"/>
      <c r="I834" s="2"/>
      <c r="J834" s="2"/>
      <c r="K834" s="2"/>
      <c r="L834" s="2"/>
      <c r="M834" s="2"/>
      <c r="N834" s="2"/>
      <c r="O834" s="2"/>
      <c r="P834" s="2"/>
      <c r="Q834" s="2"/>
      <c r="R834" s="2"/>
      <c r="S834" s="2"/>
      <c r="T834" s="2"/>
      <c r="U834" s="2"/>
    </row>
    <row r="835" spans="1:21" ht="15.75" customHeight="1">
      <c r="A835" s="1"/>
      <c r="B835" s="2"/>
      <c r="C835" s="2"/>
      <c r="D835" s="2"/>
      <c r="E835" s="2"/>
      <c r="F835" s="2"/>
      <c r="G835" s="2"/>
      <c r="H835" s="2"/>
      <c r="I835" s="2"/>
      <c r="J835" s="2"/>
      <c r="K835" s="2"/>
      <c r="L835" s="2"/>
      <c r="M835" s="2"/>
      <c r="N835" s="2"/>
      <c r="O835" s="2"/>
      <c r="P835" s="2"/>
      <c r="Q835" s="2"/>
      <c r="R835" s="2"/>
      <c r="S835" s="2"/>
      <c r="T835" s="2"/>
      <c r="U835" s="2"/>
    </row>
    <row r="836" spans="1:21" ht="15.75" customHeight="1">
      <c r="A836" s="1"/>
      <c r="B836" s="2"/>
      <c r="C836" s="2"/>
      <c r="D836" s="2"/>
      <c r="E836" s="2"/>
      <c r="F836" s="2"/>
      <c r="G836" s="2"/>
      <c r="H836" s="2"/>
      <c r="I836" s="2"/>
      <c r="J836" s="2"/>
      <c r="K836" s="2"/>
      <c r="L836" s="2"/>
      <c r="M836" s="2"/>
      <c r="N836" s="2"/>
      <c r="O836" s="2"/>
      <c r="P836" s="2"/>
      <c r="Q836" s="2"/>
      <c r="R836" s="2"/>
      <c r="S836" s="2"/>
      <c r="T836" s="2"/>
      <c r="U836" s="2"/>
    </row>
    <row r="837" spans="1:21" ht="15.75" customHeight="1">
      <c r="A837" s="1"/>
      <c r="B837" s="2"/>
      <c r="C837" s="2"/>
      <c r="D837" s="2"/>
      <c r="E837" s="2"/>
      <c r="F837" s="2"/>
      <c r="G837" s="2"/>
      <c r="H837" s="2"/>
      <c r="I837" s="2"/>
      <c r="J837" s="2"/>
      <c r="K837" s="2"/>
      <c r="L837" s="2"/>
      <c r="M837" s="2"/>
      <c r="N837" s="2"/>
      <c r="O837" s="2"/>
      <c r="P837" s="2"/>
      <c r="Q837" s="2"/>
      <c r="R837" s="2"/>
      <c r="S837" s="2"/>
      <c r="T837" s="2"/>
      <c r="U837" s="2"/>
    </row>
    <row r="838" spans="1:21" ht="15.75" customHeight="1">
      <c r="A838" s="1"/>
      <c r="B838" s="2"/>
      <c r="C838" s="2"/>
      <c r="D838" s="2"/>
      <c r="E838" s="2"/>
      <c r="F838" s="2"/>
      <c r="G838" s="2"/>
      <c r="H838" s="2"/>
      <c r="I838" s="2"/>
      <c r="J838" s="2"/>
      <c r="K838" s="2"/>
      <c r="L838" s="2"/>
      <c r="M838" s="2"/>
      <c r="N838" s="2"/>
      <c r="O838" s="2"/>
      <c r="P838" s="2"/>
      <c r="Q838" s="2"/>
      <c r="R838" s="2"/>
      <c r="S838" s="2"/>
      <c r="T838" s="2"/>
      <c r="U838" s="2"/>
    </row>
    <row r="839" spans="1:21" ht="15.75" customHeight="1">
      <c r="A839" s="1"/>
      <c r="B839" s="2"/>
      <c r="C839" s="2"/>
      <c r="D839" s="2"/>
      <c r="E839" s="2"/>
      <c r="F839" s="2"/>
      <c r="G839" s="2"/>
      <c r="H839" s="2"/>
      <c r="I839" s="2"/>
      <c r="J839" s="2"/>
      <c r="K839" s="2"/>
      <c r="L839" s="2"/>
      <c r="M839" s="2"/>
      <c r="N839" s="2"/>
      <c r="O839" s="2"/>
      <c r="P839" s="2"/>
      <c r="Q839" s="2"/>
      <c r="R839" s="2"/>
      <c r="S839" s="2"/>
      <c r="T839" s="2"/>
      <c r="U839" s="2"/>
    </row>
    <row r="840" spans="1:21" ht="15.75" customHeight="1">
      <c r="A840" s="1"/>
      <c r="B840" s="2"/>
      <c r="C840" s="2"/>
      <c r="D840" s="2"/>
      <c r="E840" s="2"/>
      <c r="F840" s="2"/>
      <c r="G840" s="2"/>
      <c r="H840" s="2"/>
      <c r="I840" s="2"/>
      <c r="J840" s="2"/>
      <c r="K840" s="2"/>
      <c r="L840" s="2"/>
      <c r="M840" s="2"/>
      <c r="N840" s="2"/>
      <c r="O840" s="2"/>
      <c r="P840" s="2"/>
      <c r="Q840" s="2"/>
      <c r="R840" s="2"/>
      <c r="S840" s="2"/>
      <c r="T840" s="2"/>
      <c r="U840" s="2"/>
    </row>
    <row r="841" spans="1:21" ht="15.75" customHeight="1">
      <c r="A841" s="1"/>
      <c r="B841" s="2"/>
      <c r="C841" s="2"/>
      <c r="D841" s="2"/>
      <c r="E841" s="2"/>
      <c r="F841" s="2"/>
      <c r="G841" s="2"/>
      <c r="H841" s="2"/>
      <c r="I841" s="2"/>
      <c r="J841" s="2"/>
      <c r="K841" s="2"/>
      <c r="L841" s="2"/>
      <c r="M841" s="2"/>
      <c r="N841" s="2"/>
      <c r="O841" s="2"/>
      <c r="P841" s="2"/>
      <c r="Q841" s="2"/>
      <c r="R841" s="2"/>
      <c r="S841" s="2"/>
      <c r="T841" s="2"/>
      <c r="U841" s="2"/>
    </row>
    <row r="842" spans="1:21" ht="15.75" customHeight="1">
      <c r="A842" s="1"/>
      <c r="B842" s="2"/>
      <c r="C842" s="2"/>
      <c r="D842" s="2"/>
      <c r="E842" s="2"/>
      <c r="F842" s="2"/>
      <c r="G842" s="2"/>
      <c r="H842" s="2"/>
      <c r="I842" s="2"/>
      <c r="J842" s="2"/>
      <c r="K842" s="2"/>
      <c r="L842" s="2"/>
      <c r="M842" s="2"/>
      <c r="N842" s="2"/>
      <c r="O842" s="2"/>
      <c r="P842" s="2"/>
      <c r="Q842" s="2"/>
      <c r="R842" s="2"/>
      <c r="S842" s="2"/>
      <c r="T842" s="2"/>
      <c r="U842" s="2"/>
    </row>
    <row r="843" spans="1:21" ht="15.75" customHeight="1">
      <c r="A843" s="1"/>
      <c r="B843" s="2"/>
      <c r="C843" s="2"/>
      <c r="D843" s="2"/>
      <c r="E843" s="2"/>
      <c r="F843" s="2"/>
      <c r="G843" s="2"/>
      <c r="H843" s="2"/>
      <c r="I843" s="2"/>
      <c r="J843" s="2"/>
      <c r="K843" s="2"/>
      <c r="L843" s="2"/>
      <c r="M843" s="2"/>
      <c r="N843" s="2"/>
      <c r="O843" s="2"/>
      <c r="P843" s="2"/>
      <c r="Q843" s="2"/>
      <c r="R843" s="2"/>
      <c r="S843" s="2"/>
      <c r="T843" s="2"/>
      <c r="U843" s="2"/>
    </row>
    <row r="844" spans="1:21" ht="15.75" customHeight="1">
      <c r="A844" s="1"/>
      <c r="B844" s="2"/>
      <c r="C844" s="2"/>
      <c r="D844" s="2"/>
      <c r="E844" s="2"/>
      <c r="F844" s="2"/>
      <c r="G844" s="2"/>
      <c r="H844" s="2"/>
      <c r="I844" s="2"/>
      <c r="J844" s="2"/>
      <c r="K844" s="2"/>
      <c r="L844" s="2"/>
      <c r="M844" s="2"/>
      <c r="N844" s="2"/>
      <c r="O844" s="2"/>
      <c r="P844" s="2"/>
      <c r="Q844" s="2"/>
      <c r="R844" s="2"/>
      <c r="S844" s="2"/>
      <c r="T844" s="2"/>
      <c r="U844" s="2"/>
    </row>
    <row r="845" spans="1:21" ht="15.75" customHeight="1">
      <c r="A845" s="1"/>
      <c r="B845" s="2"/>
      <c r="C845" s="2"/>
      <c r="D845" s="2"/>
      <c r="E845" s="2"/>
      <c r="F845" s="2"/>
      <c r="G845" s="2"/>
      <c r="H845" s="2"/>
      <c r="I845" s="2"/>
      <c r="J845" s="2"/>
      <c r="K845" s="2"/>
      <c r="L845" s="2"/>
      <c r="M845" s="2"/>
      <c r="N845" s="2"/>
      <c r="O845" s="2"/>
      <c r="P845" s="2"/>
      <c r="Q845" s="2"/>
      <c r="R845" s="2"/>
      <c r="S845" s="2"/>
      <c r="T845" s="2"/>
      <c r="U845" s="2"/>
    </row>
    <row r="846" spans="1:21" ht="15.75" customHeight="1">
      <c r="A846" s="1"/>
      <c r="B846" s="2"/>
      <c r="C846" s="2"/>
      <c r="D846" s="2"/>
      <c r="E846" s="2"/>
      <c r="F846" s="2"/>
      <c r="G846" s="2"/>
      <c r="H846" s="2"/>
      <c r="I846" s="2"/>
      <c r="J846" s="2"/>
      <c r="K846" s="2"/>
      <c r="L846" s="2"/>
      <c r="M846" s="2"/>
      <c r="N846" s="2"/>
      <c r="O846" s="2"/>
      <c r="P846" s="2"/>
      <c r="Q846" s="2"/>
      <c r="R846" s="2"/>
      <c r="S846" s="2"/>
      <c r="T846" s="2"/>
      <c r="U846" s="2"/>
    </row>
    <row r="847" spans="1:21" ht="15.75" customHeight="1">
      <c r="A847" s="1"/>
      <c r="B847" s="2"/>
      <c r="C847" s="2"/>
      <c r="D847" s="2"/>
      <c r="E847" s="2"/>
      <c r="F847" s="2"/>
      <c r="G847" s="2"/>
      <c r="H847" s="2"/>
      <c r="I847" s="2"/>
      <c r="J847" s="2"/>
      <c r="K847" s="2"/>
      <c r="L847" s="2"/>
      <c r="M847" s="2"/>
      <c r="N847" s="2"/>
      <c r="O847" s="2"/>
      <c r="P847" s="2"/>
      <c r="Q847" s="2"/>
      <c r="R847" s="2"/>
      <c r="S847" s="2"/>
      <c r="T847" s="2"/>
      <c r="U847" s="2"/>
    </row>
    <row r="848" spans="1:21" ht="15.75" customHeight="1">
      <c r="A848" s="1"/>
      <c r="B848" s="2"/>
      <c r="C848" s="2"/>
      <c r="D848" s="2"/>
      <c r="E848" s="2"/>
      <c r="F848" s="2"/>
      <c r="G848" s="2"/>
      <c r="H848" s="2"/>
      <c r="I848" s="2"/>
      <c r="J848" s="2"/>
      <c r="K848" s="2"/>
      <c r="L848" s="2"/>
      <c r="M848" s="2"/>
      <c r="N848" s="2"/>
      <c r="O848" s="2"/>
      <c r="P848" s="2"/>
      <c r="Q848" s="2"/>
      <c r="R848" s="2"/>
      <c r="S848" s="2"/>
      <c r="T848" s="2"/>
      <c r="U848" s="2"/>
    </row>
    <row r="849" spans="1:21" ht="15.75" customHeight="1">
      <c r="A849" s="1"/>
      <c r="B849" s="2"/>
      <c r="C849" s="2"/>
      <c r="D849" s="2"/>
      <c r="E849" s="2"/>
      <c r="F849" s="2"/>
      <c r="G849" s="2"/>
      <c r="H849" s="2"/>
      <c r="I849" s="2"/>
      <c r="J849" s="2"/>
      <c r="K849" s="2"/>
      <c r="L849" s="2"/>
      <c r="M849" s="2"/>
      <c r="N849" s="2"/>
      <c r="O849" s="2"/>
      <c r="P849" s="2"/>
      <c r="Q849" s="2"/>
      <c r="R849" s="2"/>
      <c r="S849" s="2"/>
      <c r="T849" s="2"/>
      <c r="U849" s="2"/>
    </row>
    <row r="850" spans="1:21" ht="15.75" customHeight="1">
      <c r="A850" s="1"/>
      <c r="B850" s="2"/>
      <c r="C850" s="2"/>
      <c r="D850" s="2"/>
      <c r="E850" s="2"/>
      <c r="F850" s="2"/>
      <c r="G850" s="2"/>
      <c r="H850" s="2"/>
      <c r="I850" s="2"/>
      <c r="J850" s="2"/>
      <c r="K850" s="2"/>
      <c r="L850" s="2"/>
      <c r="M850" s="2"/>
      <c r="N850" s="2"/>
      <c r="O850" s="2"/>
      <c r="P850" s="2"/>
      <c r="Q850" s="2"/>
      <c r="R850" s="2"/>
      <c r="S850" s="2"/>
      <c r="T850" s="2"/>
      <c r="U850" s="2"/>
    </row>
    <row r="851" spans="1:21" ht="15.75" customHeight="1">
      <c r="A851" s="1"/>
      <c r="B851" s="2"/>
      <c r="C851" s="2"/>
      <c r="D851" s="2"/>
      <c r="E851" s="2"/>
      <c r="F851" s="2"/>
      <c r="G851" s="2"/>
      <c r="H851" s="2"/>
      <c r="I851" s="2"/>
      <c r="J851" s="2"/>
      <c r="K851" s="2"/>
      <c r="L851" s="2"/>
      <c r="M851" s="2"/>
      <c r="N851" s="2"/>
      <c r="O851" s="2"/>
      <c r="P851" s="2"/>
      <c r="Q851" s="2"/>
      <c r="R851" s="2"/>
      <c r="S851" s="2"/>
      <c r="T851" s="2"/>
      <c r="U851" s="2"/>
    </row>
    <row r="852" spans="1:21" ht="15.75" customHeight="1">
      <c r="A852" s="1"/>
      <c r="B852" s="2"/>
      <c r="C852" s="2"/>
      <c r="D852" s="2"/>
      <c r="E852" s="2"/>
      <c r="F852" s="2"/>
      <c r="G852" s="2"/>
      <c r="H852" s="2"/>
      <c r="I852" s="2"/>
      <c r="J852" s="2"/>
      <c r="K852" s="2"/>
      <c r="L852" s="2"/>
      <c r="M852" s="2"/>
      <c r="N852" s="2"/>
      <c r="O852" s="2"/>
      <c r="P852" s="2"/>
      <c r="Q852" s="2"/>
      <c r="R852" s="2"/>
      <c r="S852" s="2"/>
      <c r="T852" s="2"/>
      <c r="U852" s="2"/>
    </row>
    <row r="853" spans="1:21" ht="15.75" customHeight="1">
      <c r="A853" s="1"/>
      <c r="B853" s="2"/>
      <c r="C853" s="2"/>
      <c r="D853" s="2"/>
      <c r="E853" s="2"/>
      <c r="F853" s="2"/>
      <c r="G853" s="2"/>
      <c r="H853" s="2"/>
      <c r="I853" s="2"/>
      <c r="J853" s="2"/>
      <c r="K853" s="2"/>
      <c r="L853" s="2"/>
      <c r="M853" s="2"/>
      <c r="N853" s="2"/>
      <c r="O853" s="2"/>
      <c r="P853" s="2"/>
      <c r="Q853" s="2"/>
      <c r="R853" s="2"/>
      <c r="S853" s="2"/>
      <c r="T853" s="2"/>
      <c r="U853" s="2"/>
    </row>
    <row r="854" spans="1:21" ht="15.75" customHeight="1">
      <c r="A854" s="1"/>
      <c r="B854" s="2"/>
      <c r="C854" s="2"/>
      <c r="D854" s="2"/>
      <c r="E854" s="2"/>
      <c r="F854" s="2"/>
      <c r="G854" s="2"/>
      <c r="H854" s="2"/>
      <c r="I854" s="2"/>
      <c r="J854" s="2"/>
      <c r="K854" s="2"/>
      <c r="L854" s="2"/>
      <c r="M854" s="2"/>
      <c r="N854" s="2"/>
      <c r="O854" s="2"/>
      <c r="P854" s="2"/>
      <c r="Q854" s="2"/>
      <c r="R854" s="2"/>
      <c r="S854" s="2"/>
      <c r="T854" s="2"/>
      <c r="U854" s="2"/>
    </row>
    <row r="855" spans="1:21" ht="15.75" customHeight="1">
      <c r="A855" s="1"/>
      <c r="B855" s="2"/>
      <c r="C855" s="2"/>
      <c r="D855" s="2"/>
      <c r="E855" s="2"/>
      <c r="F855" s="2"/>
      <c r="G855" s="2"/>
      <c r="H855" s="2"/>
      <c r="I855" s="2"/>
      <c r="J855" s="2"/>
      <c r="K855" s="2"/>
      <c r="L855" s="2"/>
      <c r="M855" s="2"/>
      <c r="N855" s="2"/>
      <c r="O855" s="2"/>
      <c r="P855" s="2"/>
      <c r="Q855" s="2"/>
      <c r="R855" s="2"/>
      <c r="S855" s="2"/>
      <c r="T855" s="2"/>
      <c r="U855" s="2"/>
    </row>
    <row r="856" spans="1:21" ht="15.75" customHeight="1">
      <c r="A856" s="1"/>
      <c r="B856" s="2"/>
      <c r="C856" s="2"/>
      <c r="D856" s="2"/>
      <c r="E856" s="2"/>
      <c r="F856" s="2"/>
      <c r="G856" s="2"/>
      <c r="H856" s="2"/>
      <c r="I856" s="2"/>
      <c r="J856" s="2"/>
      <c r="K856" s="2"/>
      <c r="L856" s="2"/>
      <c r="M856" s="2"/>
      <c r="N856" s="2"/>
      <c r="O856" s="2"/>
      <c r="P856" s="2"/>
      <c r="Q856" s="2"/>
      <c r="R856" s="2"/>
      <c r="S856" s="2"/>
      <c r="T856" s="2"/>
      <c r="U856" s="2"/>
    </row>
    <row r="857" spans="1:21" ht="15.75" customHeight="1">
      <c r="A857" s="1"/>
      <c r="B857" s="2"/>
      <c r="C857" s="2"/>
      <c r="D857" s="2"/>
      <c r="E857" s="2"/>
      <c r="F857" s="2"/>
      <c r="G857" s="2"/>
      <c r="H857" s="2"/>
      <c r="I857" s="2"/>
      <c r="J857" s="2"/>
      <c r="K857" s="2"/>
      <c r="L857" s="2"/>
      <c r="M857" s="2"/>
      <c r="N857" s="2"/>
      <c r="O857" s="2"/>
      <c r="P857" s="2"/>
      <c r="Q857" s="2"/>
      <c r="R857" s="2"/>
      <c r="S857" s="2"/>
      <c r="T857" s="2"/>
      <c r="U857" s="2"/>
    </row>
    <row r="858" spans="1:21" ht="15.75" customHeight="1">
      <c r="A858" s="1"/>
      <c r="B858" s="2"/>
      <c r="C858" s="2"/>
      <c r="D858" s="2"/>
      <c r="E858" s="2"/>
      <c r="F858" s="2"/>
      <c r="G858" s="2"/>
      <c r="H858" s="2"/>
      <c r="I858" s="2"/>
      <c r="J858" s="2"/>
      <c r="K858" s="2"/>
      <c r="L858" s="2"/>
      <c r="M858" s="2"/>
      <c r="N858" s="2"/>
      <c r="O858" s="2"/>
      <c r="P858" s="2"/>
      <c r="Q858" s="2"/>
      <c r="R858" s="2"/>
      <c r="S858" s="2"/>
      <c r="T858" s="2"/>
      <c r="U858" s="2"/>
    </row>
    <row r="859" spans="1:21" ht="15.75" customHeight="1">
      <c r="A859" s="1"/>
      <c r="B859" s="2"/>
      <c r="C859" s="2"/>
      <c r="D859" s="2"/>
      <c r="E859" s="2"/>
      <c r="F859" s="2"/>
      <c r="G859" s="2"/>
      <c r="H859" s="2"/>
      <c r="I859" s="2"/>
      <c r="J859" s="2"/>
      <c r="K859" s="2"/>
      <c r="L859" s="2"/>
      <c r="M859" s="2"/>
      <c r="N859" s="2"/>
      <c r="O859" s="2"/>
      <c r="P859" s="2"/>
      <c r="Q859" s="2"/>
      <c r="R859" s="2"/>
      <c r="S859" s="2"/>
      <c r="T859" s="2"/>
      <c r="U859" s="2"/>
    </row>
    <row r="860" spans="1:21" ht="15.75" customHeight="1">
      <c r="A860" s="1"/>
      <c r="B860" s="2"/>
      <c r="C860" s="2"/>
      <c r="D860" s="2"/>
      <c r="E860" s="2"/>
      <c r="F860" s="2"/>
      <c r="G860" s="2"/>
      <c r="H860" s="2"/>
      <c r="I860" s="2"/>
      <c r="J860" s="2"/>
      <c r="K860" s="2"/>
      <c r="L860" s="2"/>
      <c r="M860" s="2"/>
      <c r="N860" s="2"/>
      <c r="O860" s="2"/>
      <c r="P860" s="2"/>
      <c r="Q860" s="2"/>
      <c r="R860" s="2"/>
      <c r="S860" s="2"/>
      <c r="T860" s="2"/>
      <c r="U860" s="2"/>
    </row>
    <row r="861" spans="1:21" ht="15.75" customHeight="1">
      <c r="A861" s="1"/>
      <c r="B861" s="2"/>
      <c r="C861" s="2"/>
      <c r="D861" s="2"/>
      <c r="E861" s="2"/>
      <c r="F861" s="2"/>
      <c r="G861" s="2"/>
      <c r="H861" s="2"/>
      <c r="I861" s="2"/>
      <c r="J861" s="2"/>
      <c r="K861" s="2"/>
      <c r="L861" s="2"/>
      <c r="M861" s="2"/>
      <c r="N861" s="2"/>
      <c r="O861" s="2"/>
      <c r="P861" s="2"/>
      <c r="Q861" s="2"/>
      <c r="R861" s="2"/>
      <c r="S861" s="2"/>
      <c r="T861" s="2"/>
      <c r="U861" s="2"/>
    </row>
    <row r="862" spans="1:21" ht="15.75" customHeight="1">
      <c r="A862" s="1"/>
      <c r="B862" s="2"/>
      <c r="C862" s="2"/>
      <c r="D862" s="2"/>
      <c r="E862" s="2"/>
      <c r="F862" s="2"/>
      <c r="G862" s="2"/>
      <c r="H862" s="2"/>
      <c r="I862" s="2"/>
      <c r="J862" s="2"/>
      <c r="K862" s="2"/>
      <c r="L862" s="2"/>
      <c r="M862" s="2"/>
      <c r="N862" s="2"/>
      <c r="O862" s="2"/>
      <c r="P862" s="2"/>
      <c r="Q862" s="2"/>
      <c r="R862" s="2"/>
      <c r="S862" s="2"/>
      <c r="T862" s="2"/>
      <c r="U862" s="2"/>
    </row>
    <row r="863" spans="1:21" ht="15.75" customHeight="1">
      <c r="A863" s="1"/>
      <c r="B863" s="2"/>
      <c r="C863" s="2"/>
      <c r="D863" s="2"/>
      <c r="E863" s="2"/>
      <c r="F863" s="2"/>
      <c r="G863" s="2"/>
      <c r="H863" s="2"/>
      <c r="I863" s="2"/>
      <c r="J863" s="2"/>
      <c r="K863" s="2"/>
      <c r="L863" s="2"/>
      <c r="M863" s="2"/>
      <c r="N863" s="2"/>
      <c r="O863" s="2"/>
      <c r="P863" s="2"/>
      <c r="Q863" s="2"/>
      <c r="R863" s="2"/>
      <c r="S863" s="2"/>
      <c r="T863" s="2"/>
      <c r="U863" s="2"/>
    </row>
    <row r="864" spans="1:21" ht="15.75" customHeight="1">
      <c r="A864" s="1"/>
      <c r="B864" s="2"/>
      <c r="C864" s="2"/>
      <c r="D864" s="2"/>
      <c r="E864" s="2"/>
      <c r="F864" s="2"/>
      <c r="G864" s="2"/>
      <c r="H864" s="2"/>
      <c r="I864" s="2"/>
      <c r="J864" s="2"/>
      <c r="K864" s="2"/>
      <c r="L864" s="2"/>
      <c r="M864" s="2"/>
      <c r="N864" s="2"/>
      <c r="O864" s="2"/>
      <c r="P864" s="2"/>
      <c r="Q864" s="2"/>
      <c r="R864" s="2"/>
      <c r="S864" s="2"/>
      <c r="T864" s="2"/>
      <c r="U864" s="2"/>
    </row>
    <row r="865" spans="1:21" ht="15.75" customHeight="1">
      <c r="A865" s="1"/>
      <c r="B865" s="2"/>
      <c r="C865" s="2"/>
      <c r="D865" s="2"/>
      <c r="E865" s="2"/>
      <c r="F865" s="2"/>
      <c r="G865" s="2"/>
      <c r="H865" s="2"/>
      <c r="I865" s="2"/>
      <c r="J865" s="2"/>
      <c r="K865" s="2"/>
      <c r="L865" s="2"/>
      <c r="M865" s="2"/>
      <c r="N865" s="2"/>
      <c r="O865" s="2"/>
      <c r="P865" s="2"/>
      <c r="Q865" s="2"/>
      <c r="R865" s="2"/>
      <c r="S865" s="2"/>
      <c r="T865" s="2"/>
      <c r="U865" s="2"/>
    </row>
    <row r="866" spans="1:21" ht="15.75" customHeight="1">
      <c r="A866" s="1"/>
      <c r="B866" s="2"/>
      <c r="C866" s="2"/>
      <c r="D866" s="2"/>
      <c r="E866" s="2"/>
      <c r="F866" s="2"/>
      <c r="G866" s="2"/>
      <c r="H866" s="2"/>
      <c r="I866" s="2"/>
      <c r="J866" s="2"/>
      <c r="K866" s="2"/>
      <c r="L866" s="2"/>
      <c r="M866" s="2"/>
      <c r="N866" s="2"/>
      <c r="O866" s="2"/>
      <c r="P866" s="2"/>
      <c r="Q866" s="2"/>
      <c r="R866" s="2"/>
      <c r="S866" s="2"/>
      <c r="T866" s="2"/>
      <c r="U866" s="2"/>
    </row>
    <row r="867" spans="1:21" ht="15.75" customHeight="1">
      <c r="A867" s="1"/>
      <c r="B867" s="2"/>
      <c r="C867" s="2"/>
      <c r="D867" s="2"/>
      <c r="E867" s="2"/>
      <c r="F867" s="2"/>
      <c r="G867" s="2"/>
      <c r="H867" s="2"/>
      <c r="I867" s="2"/>
      <c r="J867" s="2"/>
      <c r="K867" s="2"/>
      <c r="L867" s="2"/>
      <c r="M867" s="2"/>
      <c r="N867" s="2"/>
      <c r="O867" s="2"/>
      <c r="P867" s="2"/>
      <c r="Q867" s="2"/>
      <c r="R867" s="2"/>
      <c r="S867" s="2"/>
      <c r="T867" s="2"/>
      <c r="U867" s="2"/>
    </row>
    <row r="868" spans="1:21" ht="15.75" customHeight="1">
      <c r="A868" s="1"/>
      <c r="B868" s="2"/>
      <c r="C868" s="2"/>
      <c r="D868" s="2"/>
      <c r="E868" s="2"/>
      <c r="F868" s="2"/>
      <c r="G868" s="2"/>
      <c r="H868" s="2"/>
      <c r="I868" s="2"/>
      <c r="J868" s="2"/>
      <c r="K868" s="2"/>
      <c r="L868" s="2"/>
      <c r="M868" s="2"/>
      <c r="N868" s="2"/>
      <c r="O868" s="2"/>
      <c r="P868" s="2"/>
      <c r="Q868" s="2"/>
      <c r="R868" s="2"/>
      <c r="S868" s="2"/>
      <c r="T868" s="2"/>
      <c r="U868" s="2"/>
    </row>
    <row r="869" spans="1:21" ht="15.75" customHeight="1">
      <c r="A869" s="1"/>
      <c r="B869" s="2"/>
      <c r="C869" s="2"/>
      <c r="D869" s="2"/>
      <c r="E869" s="2"/>
      <c r="F869" s="2"/>
      <c r="G869" s="2"/>
      <c r="H869" s="2"/>
      <c r="I869" s="2"/>
      <c r="J869" s="2"/>
      <c r="K869" s="2"/>
      <c r="L869" s="2"/>
      <c r="M869" s="2"/>
      <c r="N869" s="2"/>
      <c r="O869" s="2"/>
      <c r="P869" s="2"/>
      <c r="Q869" s="2"/>
      <c r="R869" s="2"/>
      <c r="S869" s="2"/>
      <c r="T869" s="2"/>
      <c r="U869" s="2"/>
    </row>
    <row r="870" spans="1:21" ht="15.75" customHeight="1">
      <c r="A870" s="1"/>
      <c r="B870" s="2"/>
      <c r="C870" s="2"/>
      <c r="D870" s="2"/>
      <c r="E870" s="2"/>
      <c r="F870" s="2"/>
      <c r="G870" s="2"/>
      <c r="H870" s="2"/>
      <c r="I870" s="2"/>
      <c r="J870" s="2"/>
      <c r="K870" s="2"/>
      <c r="L870" s="2"/>
      <c r="M870" s="2"/>
      <c r="N870" s="2"/>
      <c r="O870" s="2"/>
      <c r="P870" s="2"/>
      <c r="Q870" s="2"/>
      <c r="R870" s="2"/>
      <c r="S870" s="2"/>
      <c r="T870" s="2"/>
      <c r="U870" s="2"/>
    </row>
    <row r="871" spans="1:21" ht="15.75" customHeight="1">
      <c r="A871" s="1"/>
      <c r="B871" s="2"/>
      <c r="C871" s="2"/>
      <c r="D871" s="2"/>
      <c r="E871" s="2"/>
      <c r="F871" s="2"/>
      <c r="G871" s="2"/>
      <c r="H871" s="2"/>
      <c r="I871" s="2"/>
      <c r="J871" s="2"/>
      <c r="K871" s="2"/>
      <c r="L871" s="2"/>
      <c r="M871" s="2"/>
      <c r="N871" s="2"/>
      <c r="O871" s="2"/>
      <c r="P871" s="2"/>
      <c r="Q871" s="2"/>
      <c r="R871" s="2"/>
      <c r="S871" s="2"/>
      <c r="T871" s="2"/>
      <c r="U871" s="2"/>
    </row>
    <row r="872" spans="1:21" ht="15.75" customHeight="1">
      <c r="A872" s="1"/>
      <c r="B872" s="2"/>
      <c r="C872" s="2"/>
      <c r="D872" s="2"/>
      <c r="E872" s="2"/>
      <c r="F872" s="2"/>
      <c r="G872" s="2"/>
      <c r="H872" s="2"/>
      <c r="I872" s="2"/>
      <c r="J872" s="2"/>
      <c r="K872" s="2"/>
      <c r="L872" s="2"/>
      <c r="M872" s="2"/>
      <c r="N872" s="2"/>
      <c r="O872" s="2"/>
      <c r="P872" s="2"/>
      <c r="Q872" s="2"/>
      <c r="R872" s="2"/>
      <c r="S872" s="2"/>
      <c r="T872" s="2"/>
      <c r="U872" s="2"/>
    </row>
    <row r="873" spans="1:21" ht="15.75" customHeight="1">
      <c r="A873" s="1"/>
      <c r="B873" s="2"/>
      <c r="C873" s="2"/>
      <c r="D873" s="2"/>
      <c r="E873" s="2"/>
      <c r="F873" s="2"/>
      <c r="G873" s="2"/>
      <c r="H873" s="2"/>
      <c r="I873" s="2"/>
      <c r="J873" s="2"/>
      <c r="K873" s="2"/>
      <c r="L873" s="2"/>
      <c r="M873" s="2"/>
      <c r="N873" s="2"/>
      <c r="O873" s="2"/>
      <c r="P873" s="2"/>
      <c r="Q873" s="2"/>
      <c r="R873" s="2"/>
      <c r="S873" s="2"/>
      <c r="T873" s="2"/>
      <c r="U873" s="2"/>
    </row>
    <row r="874" spans="1:21" ht="15.75" customHeight="1">
      <c r="A874" s="1"/>
      <c r="B874" s="2"/>
      <c r="C874" s="2"/>
      <c r="D874" s="2"/>
      <c r="E874" s="2"/>
      <c r="F874" s="2"/>
      <c r="G874" s="2"/>
      <c r="H874" s="2"/>
      <c r="I874" s="2"/>
      <c r="J874" s="2"/>
      <c r="K874" s="2"/>
      <c r="L874" s="2"/>
      <c r="M874" s="2"/>
      <c r="N874" s="2"/>
      <c r="O874" s="2"/>
      <c r="P874" s="2"/>
      <c r="Q874" s="2"/>
      <c r="R874" s="2"/>
      <c r="S874" s="2"/>
      <c r="T874" s="2"/>
      <c r="U874" s="2"/>
    </row>
    <row r="875" spans="1:21" ht="15.75" customHeight="1">
      <c r="A875" s="1"/>
      <c r="B875" s="2"/>
      <c r="C875" s="2"/>
      <c r="D875" s="2"/>
      <c r="E875" s="2"/>
      <c r="F875" s="2"/>
      <c r="G875" s="2"/>
      <c r="H875" s="2"/>
      <c r="I875" s="2"/>
      <c r="J875" s="2"/>
      <c r="K875" s="2"/>
      <c r="L875" s="2"/>
      <c r="M875" s="2"/>
      <c r="N875" s="2"/>
      <c r="O875" s="2"/>
      <c r="P875" s="2"/>
      <c r="Q875" s="2"/>
      <c r="R875" s="2"/>
      <c r="S875" s="2"/>
      <c r="T875" s="2"/>
      <c r="U875" s="2"/>
    </row>
    <row r="876" spans="1:21" ht="15.75" customHeight="1">
      <c r="A876" s="1"/>
      <c r="B876" s="2"/>
      <c r="C876" s="2"/>
      <c r="D876" s="2"/>
      <c r="E876" s="2"/>
      <c r="F876" s="2"/>
      <c r="G876" s="2"/>
      <c r="H876" s="2"/>
      <c r="I876" s="2"/>
      <c r="J876" s="2"/>
      <c r="K876" s="2"/>
      <c r="L876" s="2"/>
      <c r="M876" s="2"/>
      <c r="N876" s="2"/>
      <c r="O876" s="2"/>
      <c r="P876" s="2"/>
      <c r="Q876" s="2"/>
      <c r="R876" s="2"/>
      <c r="S876" s="2"/>
      <c r="T876" s="2"/>
      <c r="U876" s="2"/>
    </row>
    <row r="877" spans="1:21" ht="15.75" customHeight="1">
      <c r="A877" s="1"/>
      <c r="B877" s="2"/>
      <c r="C877" s="2"/>
      <c r="D877" s="2"/>
      <c r="E877" s="2"/>
      <c r="F877" s="2"/>
      <c r="G877" s="2"/>
      <c r="H877" s="2"/>
      <c r="I877" s="2"/>
      <c r="J877" s="2"/>
      <c r="K877" s="2"/>
      <c r="L877" s="2"/>
      <c r="M877" s="2"/>
      <c r="N877" s="2"/>
      <c r="O877" s="2"/>
      <c r="P877" s="2"/>
      <c r="Q877" s="2"/>
      <c r="R877" s="2"/>
      <c r="S877" s="2"/>
      <c r="T877" s="2"/>
      <c r="U877" s="2"/>
    </row>
    <row r="878" spans="1:21" ht="15.75" customHeight="1">
      <c r="A878" s="1"/>
      <c r="B878" s="2"/>
      <c r="C878" s="2"/>
      <c r="D878" s="2"/>
      <c r="E878" s="2"/>
      <c r="F878" s="2"/>
      <c r="G878" s="2"/>
      <c r="H878" s="2"/>
      <c r="I878" s="2"/>
      <c r="J878" s="2"/>
      <c r="K878" s="2"/>
      <c r="L878" s="2"/>
      <c r="M878" s="2"/>
      <c r="N878" s="2"/>
      <c r="O878" s="2"/>
      <c r="P878" s="2"/>
      <c r="Q878" s="2"/>
      <c r="R878" s="2"/>
      <c r="S878" s="2"/>
      <c r="T878" s="2"/>
      <c r="U878" s="2"/>
    </row>
    <row r="879" spans="1:21" ht="15.75" customHeight="1">
      <c r="A879" s="1"/>
      <c r="B879" s="2"/>
      <c r="C879" s="2"/>
      <c r="D879" s="2"/>
      <c r="E879" s="2"/>
      <c r="F879" s="2"/>
      <c r="G879" s="2"/>
      <c r="H879" s="2"/>
      <c r="I879" s="2"/>
      <c r="J879" s="2"/>
      <c r="K879" s="2"/>
      <c r="L879" s="2"/>
      <c r="M879" s="2"/>
      <c r="N879" s="2"/>
      <c r="O879" s="2"/>
      <c r="P879" s="2"/>
      <c r="Q879" s="2"/>
      <c r="R879" s="2"/>
      <c r="S879" s="2"/>
      <c r="T879" s="2"/>
      <c r="U879" s="2"/>
    </row>
    <row r="880" spans="1:21" ht="15.75" customHeight="1">
      <c r="A880" s="1"/>
      <c r="B880" s="2"/>
      <c r="C880" s="2"/>
      <c r="D880" s="2"/>
      <c r="E880" s="2"/>
      <c r="F880" s="2"/>
      <c r="G880" s="2"/>
      <c r="H880" s="2"/>
      <c r="I880" s="2"/>
      <c r="J880" s="2"/>
      <c r="K880" s="2"/>
      <c r="L880" s="2"/>
      <c r="M880" s="2"/>
      <c r="N880" s="2"/>
      <c r="O880" s="2"/>
      <c r="P880" s="2"/>
      <c r="Q880" s="2"/>
      <c r="R880" s="2"/>
      <c r="S880" s="2"/>
      <c r="T880" s="2"/>
      <c r="U880" s="2"/>
    </row>
    <row r="881" spans="1:21" ht="15.75" customHeight="1">
      <c r="A881" s="1"/>
      <c r="B881" s="2"/>
      <c r="C881" s="2"/>
      <c r="D881" s="2"/>
      <c r="E881" s="2"/>
      <c r="F881" s="2"/>
      <c r="G881" s="2"/>
      <c r="H881" s="2"/>
      <c r="I881" s="2"/>
      <c r="J881" s="2"/>
      <c r="K881" s="2"/>
      <c r="L881" s="2"/>
      <c r="M881" s="2"/>
      <c r="N881" s="2"/>
      <c r="O881" s="2"/>
      <c r="P881" s="2"/>
      <c r="Q881" s="2"/>
      <c r="R881" s="2"/>
      <c r="S881" s="2"/>
      <c r="T881" s="2"/>
      <c r="U881" s="2"/>
    </row>
    <row r="882" spans="1:21" ht="15.75" customHeight="1">
      <c r="A882" s="1"/>
      <c r="B882" s="2"/>
      <c r="C882" s="2"/>
      <c r="D882" s="2"/>
      <c r="E882" s="2"/>
      <c r="F882" s="2"/>
      <c r="G882" s="2"/>
      <c r="H882" s="2"/>
      <c r="I882" s="2"/>
      <c r="J882" s="2"/>
      <c r="K882" s="2"/>
      <c r="L882" s="2"/>
      <c r="M882" s="2"/>
      <c r="N882" s="2"/>
      <c r="O882" s="2"/>
      <c r="P882" s="2"/>
      <c r="Q882" s="2"/>
      <c r="R882" s="2"/>
      <c r="S882" s="2"/>
      <c r="T882" s="2"/>
      <c r="U882" s="2"/>
    </row>
    <row r="883" spans="1:21" ht="15.75" customHeight="1">
      <c r="A883" s="1"/>
      <c r="B883" s="2"/>
      <c r="C883" s="2"/>
      <c r="D883" s="2"/>
      <c r="E883" s="2"/>
      <c r="F883" s="2"/>
      <c r="G883" s="2"/>
      <c r="H883" s="2"/>
      <c r="I883" s="2"/>
      <c r="J883" s="2"/>
      <c r="K883" s="2"/>
      <c r="L883" s="2"/>
      <c r="M883" s="2"/>
      <c r="N883" s="2"/>
      <c r="O883" s="2"/>
      <c r="P883" s="2"/>
      <c r="Q883" s="2"/>
      <c r="R883" s="2"/>
      <c r="S883" s="2"/>
      <c r="T883" s="2"/>
      <c r="U883" s="2"/>
    </row>
    <row r="884" spans="1:21" ht="15.75" customHeight="1">
      <c r="A884" s="1"/>
      <c r="B884" s="2"/>
      <c r="C884" s="2"/>
      <c r="D884" s="2"/>
      <c r="E884" s="2"/>
      <c r="F884" s="2"/>
      <c r="G884" s="2"/>
      <c r="H884" s="2"/>
      <c r="I884" s="2"/>
      <c r="J884" s="2"/>
      <c r="K884" s="2"/>
      <c r="L884" s="2"/>
      <c r="M884" s="2"/>
      <c r="N884" s="2"/>
      <c r="O884" s="2"/>
      <c r="P884" s="2"/>
      <c r="Q884" s="2"/>
      <c r="R884" s="2"/>
      <c r="S884" s="2"/>
      <c r="T884" s="2"/>
      <c r="U884" s="2"/>
    </row>
    <row r="885" spans="1:21" ht="15.75" customHeight="1">
      <c r="A885" s="1"/>
      <c r="B885" s="2"/>
      <c r="C885" s="2"/>
      <c r="D885" s="2"/>
      <c r="E885" s="2"/>
      <c r="F885" s="2"/>
      <c r="G885" s="2"/>
      <c r="H885" s="2"/>
      <c r="I885" s="2"/>
      <c r="J885" s="2"/>
      <c r="K885" s="2"/>
      <c r="L885" s="2"/>
      <c r="M885" s="2"/>
      <c r="N885" s="2"/>
      <c r="O885" s="2"/>
      <c r="P885" s="2"/>
      <c r="Q885" s="2"/>
      <c r="R885" s="2"/>
      <c r="S885" s="2"/>
      <c r="T885" s="2"/>
      <c r="U885" s="2"/>
    </row>
    <row r="886" spans="1:21" ht="15.75" customHeight="1">
      <c r="A886" s="1"/>
      <c r="B886" s="2"/>
      <c r="C886" s="2"/>
      <c r="D886" s="2"/>
      <c r="E886" s="2"/>
      <c r="F886" s="2"/>
      <c r="G886" s="2"/>
      <c r="H886" s="2"/>
      <c r="I886" s="2"/>
      <c r="J886" s="2"/>
      <c r="K886" s="2"/>
      <c r="L886" s="2"/>
      <c r="M886" s="2"/>
      <c r="N886" s="2"/>
      <c r="O886" s="2"/>
      <c r="P886" s="2"/>
      <c r="Q886" s="2"/>
      <c r="R886" s="2"/>
      <c r="S886" s="2"/>
      <c r="T886" s="2"/>
      <c r="U886" s="2"/>
    </row>
    <row r="887" spans="1:21" ht="15.75" customHeight="1">
      <c r="A887" s="1"/>
      <c r="B887" s="2"/>
      <c r="C887" s="2"/>
      <c r="D887" s="2"/>
      <c r="E887" s="2"/>
      <c r="F887" s="2"/>
      <c r="G887" s="2"/>
      <c r="H887" s="2"/>
      <c r="I887" s="2"/>
      <c r="J887" s="2"/>
      <c r="K887" s="2"/>
      <c r="L887" s="2"/>
      <c r="M887" s="2"/>
      <c r="N887" s="2"/>
      <c r="O887" s="2"/>
      <c r="P887" s="2"/>
      <c r="Q887" s="2"/>
      <c r="R887" s="2"/>
      <c r="S887" s="2"/>
      <c r="T887" s="2"/>
      <c r="U887" s="2"/>
    </row>
    <row r="888" spans="1:21" ht="15.75" customHeight="1">
      <c r="A888" s="1"/>
      <c r="B888" s="2"/>
      <c r="C888" s="2"/>
      <c r="D888" s="2"/>
      <c r="E888" s="2"/>
      <c r="F888" s="2"/>
      <c r="G888" s="2"/>
      <c r="H888" s="2"/>
      <c r="I888" s="2"/>
      <c r="J888" s="2"/>
      <c r="K888" s="2"/>
      <c r="L888" s="2"/>
      <c r="M888" s="2"/>
      <c r="N888" s="2"/>
      <c r="O888" s="2"/>
      <c r="P888" s="2"/>
      <c r="Q888" s="2"/>
      <c r="R888" s="2"/>
      <c r="S888" s="2"/>
      <c r="T888" s="2"/>
      <c r="U888" s="2"/>
    </row>
    <row r="889" spans="1:21" ht="15.75" customHeight="1">
      <c r="A889" s="1"/>
      <c r="B889" s="2"/>
      <c r="C889" s="2"/>
      <c r="D889" s="2"/>
      <c r="E889" s="2"/>
      <c r="F889" s="2"/>
      <c r="G889" s="2"/>
      <c r="H889" s="2"/>
      <c r="I889" s="2"/>
      <c r="J889" s="2"/>
      <c r="K889" s="2"/>
      <c r="L889" s="2"/>
      <c r="M889" s="2"/>
      <c r="N889" s="2"/>
      <c r="O889" s="2"/>
      <c r="P889" s="2"/>
      <c r="Q889" s="2"/>
      <c r="R889" s="2"/>
      <c r="S889" s="2"/>
      <c r="T889" s="2"/>
      <c r="U889" s="2"/>
    </row>
    <row r="890" spans="1:21" ht="15.75" customHeight="1">
      <c r="A890" s="1"/>
      <c r="B890" s="2"/>
      <c r="C890" s="2"/>
      <c r="D890" s="2"/>
      <c r="E890" s="2"/>
      <c r="F890" s="2"/>
      <c r="G890" s="2"/>
      <c r="H890" s="2"/>
      <c r="I890" s="2"/>
      <c r="J890" s="2"/>
      <c r="K890" s="2"/>
      <c r="L890" s="2"/>
      <c r="M890" s="2"/>
      <c r="N890" s="2"/>
      <c r="O890" s="2"/>
      <c r="P890" s="2"/>
      <c r="Q890" s="2"/>
      <c r="R890" s="2"/>
      <c r="S890" s="2"/>
      <c r="T890" s="2"/>
      <c r="U890" s="2"/>
    </row>
    <row r="891" spans="1:21" ht="15.75" customHeight="1">
      <c r="A891" s="1"/>
      <c r="B891" s="2"/>
      <c r="C891" s="2"/>
      <c r="D891" s="2"/>
      <c r="E891" s="2"/>
      <c r="F891" s="2"/>
      <c r="G891" s="2"/>
      <c r="H891" s="2"/>
      <c r="I891" s="2"/>
      <c r="J891" s="2"/>
      <c r="K891" s="2"/>
      <c r="L891" s="2"/>
      <c r="M891" s="2"/>
      <c r="N891" s="2"/>
      <c r="O891" s="2"/>
      <c r="P891" s="2"/>
      <c r="Q891" s="2"/>
      <c r="R891" s="2"/>
      <c r="S891" s="2"/>
      <c r="T891" s="2"/>
      <c r="U891" s="2"/>
    </row>
    <row r="892" spans="1:21" ht="15.75" customHeight="1">
      <c r="A892" s="1"/>
      <c r="B892" s="2"/>
      <c r="C892" s="2"/>
      <c r="D892" s="2"/>
      <c r="E892" s="2"/>
      <c r="F892" s="2"/>
      <c r="G892" s="2"/>
      <c r="H892" s="2"/>
      <c r="I892" s="2"/>
      <c r="J892" s="2"/>
      <c r="K892" s="2"/>
      <c r="L892" s="2"/>
      <c r="M892" s="2"/>
      <c r="N892" s="2"/>
      <c r="O892" s="2"/>
      <c r="P892" s="2"/>
      <c r="Q892" s="2"/>
      <c r="R892" s="2"/>
      <c r="S892" s="2"/>
      <c r="T892" s="2"/>
      <c r="U892" s="2"/>
    </row>
    <row r="893" spans="1:21" ht="15.75" customHeight="1">
      <c r="A893" s="1"/>
      <c r="B893" s="2"/>
      <c r="C893" s="2"/>
      <c r="D893" s="2"/>
      <c r="E893" s="2"/>
      <c r="F893" s="2"/>
      <c r="G893" s="2"/>
      <c r="H893" s="2"/>
      <c r="I893" s="2"/>
      <c r="J893" s="2"/>
      <c r="K893" s="2"/>
      <c r="L893" s="2"/>
      <c r="M893" s="2"/>
      <c r="N893" s="2"/>
      <c r="O893" s="2"/>
      <c r="P893" s="2"/>
      <c r="Q893" s="2"/>
      <c r="R893" s="2"/>
      <c r="S893" s="2"/>
      <c r="T893" s="2"/>
      <c r="U893" s="2"/>
    </row>
    <row r="894" spans="1:21" ht="15.75" customHeight="1">
      <c r="A894" s="1"/>
      <c r="B894" s="2"/>
      <c r="C894" s="2"/>
      <c r="D894" s="2"/>
      <c r="E894" s="2"/>
      <c r="F894" s="2"/>
      <c r="G894" s="2"/>
      <c r="H894" s="2"/>
      <c r="I894" s="2"/>
      <c r="J894" s="2"/>
      <c r="K894" s="2"/>
      <c r="L894" s="2"/>
      <c r="M894" s="2"/>
      <c r="N894" s="2"/>
      <c r="O894" s="2"/>
      <c r="P894" s="2"/>
      <c r="Q894" s="2"/>
      <c r="R894" s="2"/>
      <c r="S894" s="2"/>
      <c r="T894" s="2"/>
      <c r="U894" s="2"/>
    </row>
    <row r="895" spans="1:21" ht="15.75" customHeight="1">
      <c r="A895" s="1"/>
      <c r="B895" s="2"/>
      <c r="C895" s="2"/>
      <c r="D895" s="2"/>
      <c r="E895" s="2"/>
      <c r="F895" s="2"/>
      <c r="G895" s="2"/>
      <c r="H895" s="2"/>
      <c r="I895" s="2"/>
      <c r="J895" s="2"/>
      <c r="K895" s="2"/>
      <c r="L895" s="2"/>
      <c r="M895" s="2"/>
      <c r="N895" s="2"/>
      <c r="O895" s="2"/>
      <c r="P895" s="2"/>
      <c r="Q895" s="2"/>
      <c r="R895" s="2"/>
      <c r="S895" s="2"/>
      <c r="T895" s="2"/>
      <c r="U895" s="2"/>
    </row>
    <row r="896" spans="1:21" ht="15.75" customHeight="1">
      <c r="A896" s="1"/>
      <c r="B896" s="2"/>
      <c r="C896" s="2"/>
      <c r="D896" s="2"/>
      <c r="E896" s="2"/>
      <c r="F896" s="2"/>
      <c r="G896" s="2"/>
      <c r="H896" s="2"/>
      <c r="I896" s="2"/>
      <c r="J896" s="2"/>
      <c r="K896" s="2"/>
      <c r="L896" s="2"/>
      <c r="M896" s="2"/>
      <c r="N896" s="2"/>
      <c r="O896" s="2"/>
      <c r="P896" s="2"/>
      <c r="Q896" s="2"/>
      <c r="R896" s="2"/>
      <c r="S896" s="2"/>
      <c r="T896" s="2"/>
      <c r="U896" s="2"/>
    </row>
    <row r="897" spans="1:21" ht="15.75" customHeight="1">
      <c r="A897" s="1"/>
      <c r="B897" s="2"/>
      <c r="C897" s="2"/>
      <c r="D897" s="2"/>
      <c r="E897" s="2"/>
      <c r="F897" s="2"/>
      <c r="G897" s="2"/>
      <c r="H897" s="2"/>
      <c r="I897" s="2"/>
      <c r="J897" s="2"/>
      <c r="K897" s="2"/>
      <c r="L897" s="2"/>
      <c r="M897" s="2"/>
      <c r="N897" s="2"/>
      <c r="O897" s="2"/>
      <c r="P897" s="2"/>
      <c r="Q897" s="2"/>
      <c r="R897" s="2"/>
      <c r="S897" s="2"/>
      <c r="T897" s="2"/>
      <c r="U897" s="2"/>
    </row>
    <row r="898" spans="1:21" ht="15.75" customHeight="1">
      <c r="A898" s="1"/>
      <c r="B898" s="2"/>
      <c r="C898" s="2"/>
      <c r="D898" s="2"/>
      <c r="E898" s="2"/>
      <c r="F898" s="2"/>
      <c r="G898" s="2"/>
      <c r="H898" s="2"/>
      <c r="I898" s="2"/>
      <c r="J898" s="2"/>
      <c r="K898" s="2"/>
      <c r="L898" s="2"/>
      <c r="M898" s="2"/>
      <c r="N898" s="2"/>
      <c r="O898" s="2"/>
      <c r="P898" s="2"/>
      <c r="Q898" s="2"/>
      <c r="R898" s="2"/>
      <c r="S898" s="2"/>
      <c r="T898" s="2"/>
      <c r="U898" s="2"/>
    </row>
    <row r="899" spans="1:21" ht="15.75" customHeight="1">
      <c r="A899" s="1"/>
      <c r="B899" s="2"/>
      <c r="C899" s="2"/>
      <c r="D899" s="2"/>
      <c r="E899" s="2"/>
      <c r="F899" s="2"/>
      <c r="G899" s="2"/>
      <c r="H899" s="2"/>
      <c r="I899" s="2"/>
      <c r="J899" s="2"/>
      <c r="K899" s="2"/>
      <c r="L899" s="2"/>
      <c r="M899" s="2"/>
      <c r="N899" s="2"/>
      <c r="O899" s="2"/>
      <c r="P899" s="2"/>
      <c r="Q899" s="2"/>
      <c r="R899" s="2"/>
      <c r="S899" s="2"/>
      <c r="T899" s="2"/>
      <c r="U899" s="2"/>
    </row>
    <row r="900" spans="1:21" ht="15.75" customHeight="1">
      <c r="A900" s="1"/>
      <c r="B900" s="2"/>
      <c r="C900" s="2"/>
      <c r="D900" s="2"/>
      <c r="E900" s="2"/>
      <c r="F900" s="2"/>
      <c r="G900" s="2"/>
      <c r="H900" s="2"/>
      <c r="I900" s="2"/>
      <c r="J900" s="2"/>
      <c r="K900" s="2"/>
      <c r="L900" s="2"/>
      <c r="M900" s="2"/>
      <c r="N900" s="2"/>
      <c r="O900" s="2"/>
      <c r="P900" s="2"/>
      <c r="Q900" s="2"/>
      <c r="R900" s="2"/>
      <c r="S900" s="2"/>
      <c r="T900" s="2"/>
      <c r="U900" s="2"/>
    </row>
    <row r="901" spans="1:21" ht="15.75" customHeight="1">
      <c r="A901" s="1"/>
      <c r="B901" s="2"/>
      <c r="C901" s="2"/>
      <c r="D901" s="2"/>
      <c r="E901" s="2"/>
      <c r="F901" s="2"/>
      <c r="G901" s="2"/>
      <c r="H901" s="2"/>
      <c r="I901" s="2"/>
      <c r="J901" s="2"/>
      <c r="K901" s="2"/>
      <c r="L901" s="2"/>
      <c r="M901" s="2"/>
      <c r="N901" s="2"/>
      <c r="O901" s="2"/>
      <c r="P901" s="2"/>
      <c r="Q901" s="2"/>
      <c r="R901" s="2"/>
      <c r="S901" s="2"/>
      <c r="T901" s="2"/>
      <c r="U901" s="2"/>
    </row>
    <row r="902" spans="1:21" ht="15.75" customHeight="1">
      <c r="A902" s="1"/>
      <c r="B902" s="2"/>
      <c r="C902" s="2"/>
      <c r="D902" s="2"/>
      <c r="E902" s="2"/>
      <c r="F902" s="2"/>
      <c r="G902" s="2"/>
      <c r="H902" s="2"/>
      <c r="I902" s="2"/>
      <c r="J902" s="2"/>
      <c r="K902" s="2"/>
      <c r="L902" s="2"/>
      <c r="M902" s="2"/>
      <c r="N902" s="2"/>
      <c r="O902" s="2"/>
      <c r="P902" s="2"/>
      <c r="Q902" s="2"/>
      <c r="R902" s="2"/>
      <c r="S902" s="2"/>
      <c r="T902" s="2"/>
      <c r="U902" s="2"/>
    </row>
    <row r="903" spans="1:21" ht="15.75" customHeight="1">
      <c r="A903" s="1"/>
      <c r="B903" s="2"/>
      <c r="C903" s="2"/>
      <c r="D903" s="2"/>
      <c r="E903" s="2"/>
      <c r="F903" s="2"/>
      <c r="G903" s="2"/>
      <c r="H903" s="2"/>
      <c r="I903" s="2"/>
      <c r="J903" s="2"/>
      <c r="K903" s="2"/>
      <c r="L903" s="2"/>
      <c r="M903" s="2"/>
      <c r="N903" s="2"/>
      <c r="O903" s="2"/>
      <c r="P903" s="2"/>
      <c r="Q903" s="2"/>
      <c r="R903" s="2"/>
      <c r="S903" s="2"/>
      <c r="T903" s="2"/>
      <c r="U903" s="2"/>
    </row>
    <row r="904" spans="1:21" ht="15.75" customHeight="1">
      <c r="A904" s="1"/>
      <c r="B904" s="2"/>
      <c r="C904" s="2"/>
      <c r="D904" s="2"/>
      <c r="E904" s="2"/>
      <c r="F904" s="2"/>
      <c r="G904" s="2"/>
      <c r="H904" s="2"/>
      <c r="I904" s="2"/>
      <c r="J904" s="2"/>
      <c r="K904" s="2"/>
      <c r="L904" s="2"/>
      <c r="M904" s="2"/>
      <c r="N904" s="2"/>
      <c r="O904" s="2"/>
      <c r="P904" s="2"/>
      <c r="Q904" s="2"/>
      <c r="R904" s="2"/>
      <c r="S904" s="2"/>
      <c r="T904" s="2"/>
      <c r="U904" s="2"/>
    </row>
    <row r="905" spans="1:21" ht="15.75" customHeight="1">
      <c r="A905" s="1"/>
      <c r="B905" s="2"/>
      <c r="C905" s="2"/>
      <c r="D905" s="2"/>
      <c r="E905" s="2"/>
      <c r="F905" s="2"/>
      <c r="G905" s="2"/>
      <c r="H905" s="2"/>
      <c r="I905" s="2"/>
      <c r="J905" s="2"/>
      <c r="K905" s="2"/>
      <c r="L905" s="2"/>
      <c r="M905" s="2"/>
      <c r="N905" s="2"/>
      <c r="O905" s="2"/>
      <c r="P905" s="2"/>
      <c r="Q905" s="2"/>
      <c r="R905" s="2"/>
      <c r="S905" s="2"/>
      <c r="T905" s="2"/>
      <c r="U905" s="2"/>
    </row>
    <row r="906" spans="1:21" ht="15.75" customHeight="1">
      <c r="A906" s="1"/>
      <c r="B906" s="2"/>
      <c r="C906" s="2"/>
      <c r="D906" s="2"/>
      <c r="E906" s="2"/>
      <c r="F906" s="2"/>
      <c r="G906" s="2"/>
      <c r="H906" s="2"/>
      <c r="I906" s="2"/>
      <c r="J906" s="2"/>
      <c r="K906" s="2"/>
      <c r="L906" s="2"/>
      <c r="M906" s="2"/>
      <c r="N906" s="2"/>
      <c r="O906" s="2"/>
      <c r="P906" s="2"/>
      <c r="Q906" s="2"/>
      <c r="R906" s="2"/>
      <c r="S906" s="2"/>
      <c r="T906" s="2"/>
      <c r="U906" s="2"/>
    </row>
    <row r="907" spans="1:21" ht="15.75" customHeight="1">
      <c r="A907" s="1"/>
      <c r="B907" s="2"/>
      <c r="C907" s="2"/>
      <c r="D907" s="2"/>
      <c r="E907" s="2"/>
      <c r="F907" s="2"/>
      <c r="G907" s="2"/>
      <c r="H907" s="2"/>
      <c r="I907" s="2"/>
      <c r="J907" s="2"/>
      <c r="K907" s="2"/>
      <c r="L907" s="2"/>
      <c r="M907" s="2"/>
      <c r="N907" s="2"/>
      <c r="O907" s="2"/>
      <c r="P907" s="2"/>
      <c r="Q907" s="2"/>
      <c r="R907" s="2"/>
      <c r="S907" s="2"/>
      <c r="T907" s="2"/>
      <c r="U907" s="2"/>
    </row>
    <row r="908" spans="1:21" ht="15.75" customHeight="1">
      <c r="A908" s="1"/>
      <c r="B908" s="2"/>
      <c r="C908" s="2"/>
      <c r="D908" s="2"/>
      <c r="E908" s="2"/>
      <c r="F908" s="2"/>
      <c r="G908" s="2"/>
      <c r="H908" s="2"/>
      <c r="I908" s="2"/>
      <c r="J908" s="2"/>
      <c r="K908" s="2"/>
      <c r="L908" s="2"/>
      <c r="M908" s="2"/>
      <c r="N908" s="2"/>
      <c r="O908" s="2"/>
      <c r="P908" s="2"/>
      <c r="Q908" s="2"/>
      <c r="R908" s="2"/>
      <c r="S908" s="2"/>
      <c r="T908" s="2"/>
      <c r="U908" s="2"/>
    </row>
    <row r="909" spans="1:21" ht="15.75" customHeight="1">
      <c r="A909" s="1"/>
      <c r="B909" s="2"/>
      <c r="C909" s="2"/>
      <c r="D909" s="2"/>
      <c r="E909" s="2"/>
      <c r="F909" s="2"/>
      <c r="G909" s="2"/>
      <c r="H909" s="2"/>
      <c r="I909" s="2"/>
      <c r="J909" s="2"/>
      <c r="K909" s="2"/>
      <c r="L909" s="2"/>
      <c r="M909" s="2"/>
      <c r="N909" s="2"/>
      <c r="O909" s="2"/>
      <c r="P909" s="2"/>
      <c r="Q909" s="2"/>
      <c r="R909" s="2"/>
      <c r="S909" s="2"/>
      <c r="T909" s="2"/>
      <c r="U909" s="2"/>
    </row>
    <row r="910" spans="1:21" ht="15.75" customHeight="1">
      <c r="A910" s="1"/>
      <c r="B910" s="2"/>
      <c r="C910" s="2"/>
      <c r="D910" s="2"/>
      <c r="E910" s="2"/>
      <c r="F910" s="2"/>
      <c r="G910" s="2"/>
      <c r="H910" s="2"/>
      <c r="I910" s="2"/>
      <c r="J910" s="2"/>
      <c r="K910" s="2"/>
      <c r="L910" s="2"/>
      <c r="M910" s="2"/>
      <c r="N910" s="2"/>
      <c r="O910" s="2"/>
      <c r="P910" s="2"/>
      <c r="Q910" s="2"/>
      <c r="R910" s="2"/>
      <c r="S910" s="2"/>
      <c r="T910" s="2"/>
      <c r="U910" s="2"/>
    </row>
    <row r="911" spans="1:21" ht="15.75" customHeight="1">
      <c r="A911" s="1"/>
      <c r="B911" s="2"/>
      <c r="C911" s="2"/>
      <c r="D911" s="2"/>
      <c r="E911" s="2"/>
      <c r="F911" s="2"/>
      <c r="G911" s="2"/>
      <c r="H911" s="2"/>
      <c r="I911" s="2"/>
      <c r="J911" s="2"/>
      <c r="K911" s="2"/>
      <c r="L911" s="2"/>
      <c r="M911" s="2"/>
      <c r="N911" s="2"/>
      <c r="O911" s="2"/>
      <c r="P911" s="2"/>
      <c r="Q911" s="2"/>
      <c r="R911" s="2"/>
      <c r="S911" s="2"/>
      <c r="T911" s="2"/>
      <c r="U911" s="2"/>
    </row>
    <row r="912" spans="1:21" ht="15.75" customHeight="1">
      <c r="A912" s="1"/>
      <c r="B912" s="2"/>
      <c r="C912" s="2"/>
      <c r="D912" s="2"/>
      <c r="E912" s="2"/>
      <c r="F912" s="2"/>
      <c r="G912" s="2"/>
      <c r="H912" s="2"/>
      <c r="I912" s="2"/>
      <c r="J912" s="2"/>
      <c r="K912" s="2"/>
      <c r="L912" s="2"/>
      <c r="M912" s="2"/>
      <c r="N912" s="2"/>
      <c r="O912" s="2"/>
      <c r="P912" s="2"/>
      <c r="Q912" s="2"/>
      <c r="R912" s="2"/>
      <c r="S912" s="2"/>
      <c r="T912" s="2"/>
      <c r="U912" s="2"/>
    </row>
    <row r="913" spans="1:21" ht="15.75" customHeight="1">
      <c r="A913" s="1"/>
      <c r="B913" s="2"/>
      <c r="C913" s="2"/>
      <c r="D913" s="2"/>
      <c r="E913" s="2"/>
      <c r="F913" s="2"/>
      <c r="G913" s="2"/>
      <c r="H913" s="2"/>
      <c r="I913" s="2"/>
      <c r="J913" s="2"/>
      <c r="K913" s="2"/>
      <c r="L913" s="2"/>
      <c r="M913" s="2"/>
      <c r="N913" s="2"/>
      <c r="O913" s="2"/>
      <c r="P913" s="2"/>
      <c r="Q913" s="2"/>
      <c r="R913" s="2"/>
      <c r="S913" s="2"/>
      <c r="T913" s="2"/>
      <c r="U913" s="2"/>
    </row>
    <row r="914" spans="1:21" ht="15.75" customHeight="1">
      <c r="A914" s="1"/>
      <c r="B914" s="2"/>
      <c r="C914" s="2"/>
      <c r="D914" s="2"/>
      <c r="E914" s="2"/>
      <c r="F914" s="2"/>
      <c r="G914" s="2"/>
      <c r="H914" s="2"/>
      <c r="I914" s="2"/>
      <c r="J914" s="2"/>
      <c r="K914" s="2"/>
      <c r="L914" s="2"/>
      <c r="M914" s="2"/>
      <c r="N914" s="2"/>
      <c r="O914" s="2"/>
      <c r="P914" s="2"/>
      <c r="Q914" s="2"/>
      <c r="R914" s="2"/>
      <c r="S914" s="2"/>
      <c r="T914" s="2"/>
      <c r="U914" s="2"/>
    </row>
    <row r="915" spans="1:21" ht="15.75" customHeight="1">
      <c r="A915" s="1"/>
      <c r="B915" s="2"/>
      <c r="C915" s="2"/>
      <c r="D915" s="2"/>
      <c r="E915" s="2"/>
      <c r="F915" s="2"/>
      <c r="G915" s="2"/>
      <c r="H915" s="2"/>
      <c r="I915" s="2"/>
      <c r="J915" s="2"/>
      <c r="K915" s="2"/>
      <c r="L915" s="2"/>
      <c r="M915" s="2"/>
      <c r="N915" s="2"/>
      <c r="O915" s="2"/>
      <c r="P915" s="2"/>
      <c r="Q915" s="2"/>
      <c r="R915" s="2"/>
      <c r="S915" s="2"/>
      <c r="T915" s="2"/>
      <c r="U915" s="2"/>
    </row>
    <row r="916" spans="1:21" ht="15.75" customHeight="1">
      <c r="A916" s="1"/>
      <c r="B916" s="2"/>
      <c r="C916" s="2"/>
      <c r="D916" s="2"/>
      <c r="E916" s="2"/>
      <c r="F916" s="2"/>
      <c r="G916" s="2"/>
      <c r="H916" s="2"/>
      <c r="I916" s="2"/>
      <c r="J916" s="2"/>
      <c r="K916" s="2"/>
      <c r="L916" s="2"/>
      <c r="M916" s="2"/>
      <c r="N916" s="2"/>
      <c r="O916" s="2"/>
      <c r="P916" s="2"/>
      <c r="Q916" s="2"/>
      <c r="R916" s="2"/>
      <c r="S916" s="2"/>
      <c r="T916" s="2"/>
      <c r="U916" s="2"/>
    </row>
    <row r="917" spans="1:21" ht="15.75" customHeight="1">
      <c r="A917" s="1"/>
      <c r="B917" s="2"/>
      <c r="C917" s="2"/>
      <c r="D917" s="2"/>
      <c r="E917" s="2"/>
      <c r="F917" s="2"/>
      <c r="G917" s="2"/>
      <c r="H917" s="2"/>
      <c r="I917" s="2"/>
      <c r="J917" s="2"/>
      <c r="K917" s="2"/>
      <c r="L917" s="2"/>
      <c r="M917" s="2"/>
      <c r="N917" s="2"/>
      <c r="O917" s="2"/>
      <c r="P917" s="2"/>
      <c r="Q917" s="2"/>
      <c r="R917" s="2"/>
      <c r="S917" s="2"/>
      <c r="T917" s="2"/>
      <c r="U917" s="2"/>
    </row>
    <row r="918" spans="1:21" ht="15.75" customHeight="1">
      <c r="A918" s="1"/>
      <c r="B918" s="2"/>
      <c r="C918" s="2"/>
      <c r="D918" s="2"/>
      <c r="E918" s="2"/>
      <c r="F918" s="2"/>
      <c r="G918" s="2"/>
      <c r="H918" s="2"/>
      <c r="I918" s="2"/>
      <c r="J918" s="2"/>
      <c r="K918" s="2"/>
      <c r="L918" s="2"/>
      <c r="M918" s="2"/>
      <c r="N918" s="2"/>
      <c r="O918" s="2"/>
      <c r="P918" s="2"/>
      <c r="Q918" s="2"/>
      <c r="R918" s="2"/>
      <c r="S918" s="2"/>
      <c r="T918" s="2"/>
      <c r="U918" s="2"/>
    </row>
    <row r="919" spans="1:21" ht="15.75" customHeight="1">
      <c r="A919" s="1"/>
      <c r="B919" s="2"/>
      <c r="C919" s="2"/>
      <c r="D919" s="2"/>
      <c r="E919" s="2"/>
      <c r="F919" s="2"/>
      <c r="G919" s="2"/>
      <c r="H919" s="2"/>
      <c r="I919" s="2"/>
      <c r="J919" s="2"/>
      <c r="K919" s="2"/>
      <c r="L919" s="2"/>
      <c r="M919" s="2"/>
      <c r="N919" s="2"/>
      <c r="O919" s="2"/>
      <c r="P919" s="2"/>
      <c r="Q919" s="2"/>
      <c r="R919" s="2"/>
      <c r="S919" s="2"/>
      <c r="T919" s="2"/>
      <c r="U919" s="2"/>
    </row>
    <row r="920" spans="1:21" ht="15.75" customHeight="1">
      <c r="A920" s="1"/>
      <c r="B920" s="2"/>
      <c r="C920" s="2"/>
      <c r="D920" s="2"/>
      <c r="E920" s="2"/>
      <c r="F920" s="2"/>
      <c r="G920" s="2"/>
      <c r="H920" s="2"/>
      <c r="I920" s="2"/>
      <c r="J920" s="2"/>
      <c r="K920" s="2"/>
      <c r="L920" s="2"/>
      <c r="M920" s="2"/>
      <c r="N920" s="2"/>
      <c r="O920" s="2"/>
      <c r="P920" s="2"/>
      <c r="Q920" s="2"/>
      <c r="R920" s="2"/>
      <c r="S920" s="2"/>
      <c r="T920" s="2"/>
      <c r="U920" s="2"/>
    </row>
    <row r="921" spans="1:21" ht="15.75" customHeight="1">
      <c r="A921" s="1"/>
      <c r="B921" s="2"/>
      <c r="C921" s="2"/>
      <c r="D921" s="2"/>
      <c r="E921" s="2"/>
      <c r="F921" s="2"/>
      <c r="G921" s="2"/>
      <c r="H921" s="2"/>
      <c r="I921" s="2"/>
      <c r="J921" s="2"/>
      <c r="K921" s="2"/>
      <c r="L921" s="2"/>
      <c r="M921" s="2"/>
      <c r="N921" s="2"/>
      <c r="O921" s="2"/>
      <c r="P921" s="2"/>
      <c r="Q921" s="2"/>
      <c r="R921" s="2"/>
      <c r="S921" s="2"/>
      <c r="T921" s="2"/>
      <c r="U921" s="2"/>
    </row>
    <row r="922" spans="1:21" ht="15.75" customHeight="1">
      <c r="A922" s="1"/>
      <c r="B922" s="2"/>
      <c r="C922" s="2"/>
      <c r="D922" s="2"/>
      <c r="E922" s="2"/>
      <c r="F922" s="2"/>
      <c r="G922" s="2"/>
      <c r="H922" s="2"/>
      <c r="I922" s="2"/>
      <c r="J922" s="2"/>
      <c r="K922" s="2"/>
      <c r="L922" s="2"/>
      <c r="M922" s="2"/>
      <c r="N922" s="2"/>
      <c r="O922" s="2"/>
      <c r="P922" s="2"/>
      <c r="Q922" s="2"/>
      <c r="R922" s="2"/>
      <c r="S922" s="2"/>
      <c r="T922" s="2"/>
      <c r="U922" s="2"/>
    </row>
    <row r="923" spans="1:21" ht="15.75" customHeight="1">
      <c r="A923" s="1"/>
      <c r="B923" s="2"/>
      <c r="C923" s="2"/>
      <c r="D923" s="2"/>
      <c r="E923" s="2"/>
      <c r="F923" s="2"/>
      <c r="G923" s="2"/>
      <c r="H923" s="2"/>
      <c r="I923" s="2"/>
      <c r="J923" s="2"/>
      <c r="K923" s="2"/>
      <c r="L923" s="2"/>
      <c r="M923" s="2"/>
      <c r="N923" s="2"/>
      <c r="O923" s="2"/>
      <c r="P923" s="2"/>
      <c r="Q923" s="2"/>
      <c r="R923" s="2"/>
      <c r="S923" s="2"/>
      <c r="T923" s="2"/>
      <c r="U923" s="2"/>
    </row>
    <row r="924" spans="1:21" ht="15.75" customHeight="1">
      <c r="A924" s="1"/>
      <c r="B924" s="2"/>
      <c r="C924" s="2"/>
      <c r="D924" s="2"/>
      <c r="E924" s="2"/>
      <c r="F924" s="2"/>
      <c r="G924" s="2"/>
      <c r="H924" s="2"/>
      <c r="I924" s="2"/>
      <c r="J924" s="2"/>
      <c r="K924" s="2"/>
      <c r="L924" s="2"/>
      <c r="M924" s="2"/>
      <c r="N924" s="2"/>
      <c r="O924" s="2"/>
      <c r="P924" s="2"/>
      <c r="Q924" s="2"/>
      <c r="R924" s="2"/>
      <c r="S924" s="2"/>
      <c r="T924" s="2"/>
      <c r="U924" s="2"/>
    </row>
    <row r="925" spans="1:21" ht="15.75" customHeight="1">
      <c r="A925" s="1"/>
      <c r="B925" s="2"/>
      <c r="C925" s="2"/>
      <c r="D925" s="2"/>
      <c r="E925" s="2"/>
      <c r="F925" s="2"/>
      <c r="G925" s="2"/>
      <c r="H925" s="2"/>
      <c r="I925" s="2"/>
      <c r="J925" s="2"/>
      <c r="K925" s="2"/>
      <c r="L925" s="2"/>
      <c r="M925" s="2"/>
      <c r="N925" s="2"/>
      <c r="O925" s="2"/>
      <c r="P925" s="2"/>
      <c r="Q925" s="2"/>
      <c r="R925" s="2"/>
      <c r="S925" s="2"/>
      <c r="T925" s="2"/>
      <c r="U925" s="2"/>
    </row>
    <row r="926" spans="1:21" ht="15.75" customHeight="1">
      <c r="A926" s="1"/>
      <c r="B926" s="2"/>
      <c r="C926" s="2"/>
      <c r="D926" s="2"/>
      <c r="E926" s="2"/>
      <c r="F926" s="2"/>
      <c r="G926" s="2"/>
      <c r="H926" s="2"/>
      <c r="I926" s="2"/>
      <c r="J926" s="2"/>
      <c r="K926" s="2"/>
      <c r="L926" s="2"/>
      <c r="M926" s="2"/>
      <c r="N926" s="2"/>
      <c r="O926" s="2"/>
      <c r="P926" s="2"/>
      <c r="Q926" s="2"/>
      <c r="R926" s="2"/>
      <c r="S926" s="2"/>
      <c r="T926" s="2"/>
      <c r="U926" s="2"/>
    </row>
    <row r="927" spans="1:21" ht="15.75" customHeight="1">
      <c r="A927" s="1"/>
      <c r="B927" s="2"/>
      <c r="C927" s="2"/>
      <c r="D927" s="2"/>
      <c r="E927" s="2"/>
      <c r="F927" s="2"/>
      <c r="G927" s="2"/>
      <c r="H927" s="2"/>
      <c r="I927" s="2"/>
      <c r="J927" s="2"/>
      <c r="K927" s="2"/>
      <c r="L927" s="2"/>
      <c r="M927" s="2"/>
      <c r="N927" s="2"/>
      <c r="O927" s="2"/>
      <c r="P927" s="2"/>
      <c r="Q927" s="2"/>
      <c r="R927" s="2"/>
      <c r="S927" s="2"/>
      <c r="T927" s="2"/>
      <c r="U927" s="2"/>
    </row>
    <row r="928" spans="1:21" ht="15.75" customHeight="1">
      <c r="A928" s="1"/>
      <c r="B928" s="2"/>
      <c r="C928" s="2"/>
      <c r="D928" s="2"/>
      <c r="E928" s="2"/>
      <c r="F928" s="2"/>
      <c r="G928" s="2"/>
      <c r="H928" s="2"/>
      <c r="I928" s="2"/>
      <c r="J928" s="2"/>
      <c r="K928" s="2"/>
      <c r="L928" s="2"/>
      <c r="M928" s="2"/>
      <c r="N928" s="2"/>
      <c r="O928" s="2"/>
      <c r="P928" s="2"/>
      <c r="Q928" s="2"/>
      <c r="R928" s="2"/>
      <c r="S928" s="2"/>
      <c r="T928" s="2"/>
      <c r="U928" s="2"/>
    </row>
    <row r="929" spans="1:21" ht="15.75" customHeight="1">
      <c r="A929" s="1"/>
      <c r="B929" s="2"/>
      <c r="C929" s="2"/>
      <c r="D929" s="2"/>
      <c r="E929" s="2"/>
      <c r="F929" s="2"/>
      <c r="G929" s="2"/>
      <c r="H929" s="2"/>
      <c r="I929" s="2"/>
      <c r="J929" s="2"/>
      <c r="K929" s="2"/>
      <c r="L929" s="2"/>
      <c r="M929" s="2"/>
      <c r="N929" s="2"/>
      <c r="O929" s="2"/>
      <c r="P929" s="2"/>
      <c r="Q929" s="2"/>
      <c r="R929" s="2"/>
      <c r="S929" s="2"/>
      <c r="T929" s="2"/>
      <c r="U929" s="2"/>
    </row>
    <row r="930" spans="1:21" ht="15.75" customHeight="1">
      <c r="A930" s="1"/>
      <c r="B930" s="2"/>
      <c r="C930" s="2"/>
      <c r="D930" s="2"/>
      <c r="E930" s="2"/>
      <c r="F930" s="2"/>
      <c r="G930" s="2"/>
      <c r="H930" s="2"/>
      <c r="I930" s="2"/>
      <c r="J930" s="2"/>
      <c r="K930" s="2"/>
      <c r="L930" s="2"/>
      <c r="M930" s="2"/>
      <c r="N930" s="2"/>
      <c r="O930" s="2"/>
      <c r="P930" s="2"/>
      <c r="Q930" s="2"/>
      <c r="R930" s="2"/>
      <c r="S930" s="2"/>
      <c r="T930" s="2"/>
      <c r="U930" s="2"/>
    </row>
    <row r="931" spans="1:21" ht="15.75" customHeight="1">
      <c r="A931" s="1"/>
      <c r="B931" s="2"/>
      <c r="C931" s="2"/>
      <c r="D931" s="2"/>
      <c r="E931" s="2"/>
      <c r="F931" s="2"/>
      <c r="G931" s="2"/>
      <c r="H931" s="2"/>
      <c r="I931" s="2"/>
      <c r="J931" s="2"/>
      <c r="K931" s="2"/>
      <c r="L931" s="2"/>
      <c r="M931" s="2"/>
      <c r="N931" s="2"/>
      <c r="O931" s="2"/>
      <c r="P931" s="2"/>
      <c r="Q931" s="2"/>
      <c r="R931" s="2"/>
      <c r="S931" s="2"/>
      <c r="T931" s="2"/>
      <c r="U931" s="2"/>
    </row>
    <row r="932" spans="1:21" ht="15.75" customHeight="1">
      <c r="A932" s="1"/>
      <c r="B932" s="2"/>
      <c r="C932" s="2"/>
      <c r="D932" s="2"/>
      <c r="E932" s="2"/>
      <c r="F932" s="2"/>
      <c r="G932" s="2"/>
      <c r="H932" s="2"/>
      <c r="I932" s="2"/>
      <c r="J932" s="2"/>
      <c r="K932" s="2"/>
      <c r="L932" s="2"/>
      <c r="M932" s="2"/>
      <c r="N932" s="2"/>
      <c r="O932" s="2"/>
      <c r="P932" s="2"/>
      <c r="Q932" s="2"/>
      <c r="R932" s="2"/>
      <c r="S932" s="2"/>
      <c r="T932" s="2"/>
      <c r="U932" s="2"/>
    </row>
    <row r="933" spans="1:21" ht="15.75" customHeight="1">
      <c r="A933" s="1"/>
      <c r="B933" s="2"/>
      <c r="C933" s="2"/>
      <c r="D933" s="2"/>
      <c r="E933" s="2"/>
      <c r="F933" s="2"/>
      <c r="G933" s="2"/>
      <c r="H933" s="2"/>
      <c r="I933" s="2"/>
      <c r="J933" s="2"/>
      <c r="K933" s="2"/>
      <c r="L933" s="2"/>
      <c r="M933" s="2"/>
      <c r="N933" s="2"/>
      <c r="O933" s="2"/>
      <c r="P933" s="2"/>
      <c r="Q933" s="2"/>
      <c r="R933" s="2"/>
      <c r="S933" s="2"/>
      <c r="T933" s="2"/>
      <c r="U933" s="2"/>
    </row>
    <row r="934" spans="1:21" ht="15.75" customHeight="1">
      <c r="A934" s="1"/>
      <c r="B934" s="2"/>
      <c r="C934" s="2"/>
      <c r="D934" s="2"/>
      <c r="E934" s="2"/>
      <c r="F934" s="2"/>
      <c r="G934" s="2"/>
      <c r="H934" s="2"/>
      <c r="I934" s="2"/>
      <c r="J934" s="2"/>
      <c r="K934" s="2"/>
      <c r="L934" s="2"/>
      <c r="M934" s="2"/>
      <c r="N934" s="2"/>
      <c r="O934" s="2"/>
      <c r="P934" s="2"/>
      <c r="Q934" s="2"/>
      <c r="R934" s="2"/>
      <c r="S934" s="2"/>
      <c r="T934" s="2"/>
      <c r="U934" s="2"/>
    </row>
    <row r="935" spans="1:21" ht="15.75" customHeight="1">
      <c r="A935" s="1"/>
      <c r="B935" s="2"/>
      <c r="C935" s="2"/>
      <c r="D935" s="2"/>
      <c r="E935" s="2"/>
      <c r="F935" s="2"/>
      <c r="G935" s="2"/>
      <c r="H935" s="2"/>
      <c r="I935" s="2"/>
      <c r="J935" s="2"/>
      <c r="K935" s="2"/>
      <c r="L935" s="2"/>
      <c r="M935" s="2"/>
      <c r="N935" s="2"/>
      <c r="O935" s="2"/>
      <c r="P935" s="2"/>
      <c r="Q935" s="2"/>
      <c r="R935" s="2"/>
      <c r="S935" s="2"/>
      <c r="T935" s="2"/>
      <c r="U935" s="2"/>
    </row>
    <row r="936" spans="1:21" ht="15.75" customHeight="1">
      <c r="A936" s="1"/>
      <c r="B936" s="2"/>
      <c r="C936" s="2"/>
      <c r="D936" s="2"/>
      <c r="E936" s="2"/>
      <c r="F936" s="2"/>
      <c r="G936" s="2"/>
      <c r="H936" s="2"/>
      <c r="I936" s="2"/>
      <c r="J936" s="2"/>
      <c r="K936" s="2"/>
      <c r="L936" s="2"/>
      <c r="M936" s="2"/>
      <c r="N936" s="2"/>
      <c r="O936" s="2"/>
      <c r="P936" s="2"/>
      <c r="Q936" s="2"/>
      <c r="R936" s="2"/>
      <c r="S936" s="2"/>
      <c r="T936" s="2"/>
      <c r="U936" s="2"/>
    </row>
    <row r="937" spans="1:21" ht="15.75" customHeight="1">
      <c r="A937" s="1"/>
      <c r="B937" s="2"/>
      <c r="C937" s="2"/>
      <c r="D937" s="2"/>
      <c r="E937" s="2"/>
      <c r="F937" s="2"/>
      <c r="G937" s="2"/>
      <c r="H937" s="2"/>
      <c r="I937" s="2"/>
      <c r="J937" s="2"/>
      <c r="K937" s="2"/>
      <c r="L937" s="2"/>
      <c r="M937" s="2"/>
      <c r="N937" s="2"/>
      <c r="O937" s="2"/>
      <c r="P937" s="2"/>
      <c r="Q937" s="2"/>
      <c r="R937" s="2"/>
      <c r="S937" s="2"/>
      <c r="T937" s="2"/>
      <c r="U937" s="2"/>
    </row>
    <row r="938" spans="1:21" ht="15.75" customHeight="1">
      <c r="A938" s="1"/>
      <c r="B938" s="2"/>
      <c r="C938" s="2"/>
      <c r="D938" s="2"/>
      <c r="E938" s="2"/>
      <c r="F938" s="2"/>
      <c r="G938" s="2"/>
      <c r="H938" s="2"/>
      <c r="I938" s="2"/>
      <c r="J938" s="2"/>
      <c r="K938" s="2"/>
      <c r="L938" s="2"/>
      <c r="M938" s="2"/>
      <c r="N938" s="2"/>
      <c r="O938" s="2"/>
      <c r="P938" s="2"/>
      <c r="Q938" s="2"/>
      <c r="R938" s="2"/>
      <c r="S938" s="2"/>
      <c r="T938" s="2"/>
      <c r="U938" s="2"/>
    </row>
    <row r="939" spans="1:21" ht="15.75" customHeight="1">
      <c r="A939" s="1"/>
      <c r="B939" s="2"/>
      <c r="C939" s="2"/>
      <c r="D939" s="2"/>
      <c r="E939" s="2"/>
      <c r="F939" s="2"/>
      <c r="G939" s="2"/>
      <c r="H939" s="2"/>
      <c r="I939" s="2"/>
      <c r="J939" s="2"/>
      <c r="K939" s="2"/>
      <c r="L939" s="2"/>
      <c r="M939" s="2"/>
      <c r="N939" s="2"/>
      <c r="O939" s="2"/>
      <c r="P939" s="2"/>
      <c r="Q939" s="2"/>
      <c r="R939" s="2"/>
      <c r="S939" s="2"/>
      <c r="T939" s="2"/>
      <c r="U939" s="2"/>
    </row>
    <row r="940" spans="1:21" ht="15.75" customHeight="1">
      <c r="A940" s="1"/>
      <c r="B940" s="2"/>
      <c r="C940" s="2"/>
      <c r="D940" s="2"/>
      <c r="E940" s="2"/>
      <c r="F940" s="2"/>
      <c r="G940" s="2"/>
      <c r="H940" s="2"/>
      <c r="I940" s="2"/>
      <c r="J940" s="2"/>
      <c r="K940" s="2"/>
      <c r="L940" s="2"/>
      <c r="M940" s="2"/>
      <c r="N940" s="2"/>
      <c r="O940" s="2"/>
      <c r="P940" s="2"/>
      <c r="Q940" s="2"/>
      <c r="R940" s="2"/>
      <c r="S940" s="2"/>
      <c r="T940" s="2"/>
      <c r="U940" s="2"/>
    </row>
    <row r="941" spans="1:21" ht="15.75" customHeight="1">
      <c r="A941" s="1"/>
      <c r="B941" s="2"/>
      <c r="C941" s="2"/>
      <c r="D941" s="2"/>
      <c r="E941" s="2"/>
      <c r="F941" s="2"/>
      <c r="G941" s="2"/>
      <c r="H941" s="2"/>
      <c r="I941" s="2"/>
      <c r="J941" s="2"/>
      <c r="K941" s="2"/>
      <c r="L941" s="2"/>
      <c r="M941" s="2"/>
      <c r="N941" s="2"/>
      <c r="O941" s="2"/>
      <c r="P941" s="2"/>
      <c r="Q941" s="2"/>
      <c r="R941" s="2"/>
      <c r="S941" s="2"/>
      <c r="T941" s="2"/>
      <c r="U941" s="2"/>
    </row>
    <row r="942" spans="1:21" ht="15.75" customHeight="1">
      <c r="A942" s="1"/>
      <c r="B942" s="2"/>
      <c r="C942" s="2"/>
      <c r="D942" s="2"/>
      <c r="E942" s="2"/>
      <c r="F942" s="2"/>
      <c r="G942" s="2"/>
      <c r="H942" s="2"/>
      <c r="I942" s="2"/>
      <c r="J942" s="2"/>
      <c r="K942" s="2"/>
      <c r="L942" s="2"/>
      <c r="M942" s="2"/>
      <c r="N942" s="2"/>
      <c r="O942" s="2"/>
      <c r="P942" s="2"/>
      <c r="Q942" s="2"/>
      <c r="R942" s="2"/>
      <c r="S942" s="2"/>
      <c r="T942" s="2"/>
      <c r="U942" s="2"/>
    </row>
    <row r="943" spans="1:21" ht="15.75" customHeight="1">
      <c r="A943" s="1"/>
      <c r="B943" s="2"/>
      <c r="C943" s="2"/>
      <c r="D943" s="2"/>
      <c r="E943" s="2"/>
      <c r="F943" s="2"/>
      <c r="G943" s="2"/>
      <c r="H943" s="2"/>
      <c r="I943" s="2"/>
      <c r="J943" s="2"/>
      <c r="K943" s="2"/>
      <c r="L943" s="2"/>
      <c r="M943" s="2"/>
      <c r="N943" s="2"/>
      <c r="O943" s="2"/>
      <c r="P943" s="2"/>
      <c r="Q943" s="2"/>
      <c r="R943" s="2"/>
      <c r="S943" s="2"/>
      <c r="T943" s="2"/>
      <c r="U943" s="2"/>
    </row>
    <row r="944" spans="1:21" ht="15.75" customHeight="1">
      <c r="A944" s="1"/>
      <c r="B944" s="2"/>
      <c r="C944" s="2"/>
      <c r="D944" s="2"/>
      <c r="E944" s="2"/>
      <c r="F944" s="2"/>
      <c r="G944" s="2"/>
      <c r="H944" s="2"/>
      <c r="I944" s="2"/>
      <c r="J944" s="2"/>
      <c r="K944" s="2"/>
      <c r="L944" s="2"/>
      <c r="M944" s="2"/>
      <c r="N944" s="2"/>
      <c r="O944" s="2"/>
      <c r="P944" s="2"/>
      <c r="Q944" s="2"/>
      <c r="R944" s="2"/>
      <c r="S944" s="2"/>
      <c r="T944" s="2"/>
      <c r="U944" s="2"/>
    </row>
    <row r="945" spans="1:21" ht="15.75" customHeight="1">
      <c r="A945" s="1"/>
      <c r="B945" s="2"/>
      <c r="C945" s="2"/>
      <c r="D945" s="2"/>
      <c r="E945" s="2"/>
      <c r="F945" s="2"/>
      <c r="G945" s="2"/>
      <c r="H945" s="2"/>
      <c r="I945" s="2"/>
      <c r="J945" s="2"/>
      <c r="K945" s="2"/>
      <c r="L945" s="2"/>
      <c r="M945" s="2"/>
      <c r="N945" s="2"/>
      <c r="O945" s="2"/>
      <c r="P945" s="2"/>
      <c r="Q945" s="2"/>
      <c r="R945" s="2"/>
      <c r="S945" s="2"/>
      <c r="T945" s="2"/>
      <c r="U945" s="2"/>
    </row>
    <row r="946" spans="1:21" ht="15.75" customHeight="1">
      <c r="A946" s="1"/>
      <c r="B946" s="2"/>
      <c r="C946" s="2"/>
      <c r="D946" s="2"/>
      <c r="E946" s="2"/>
      <c r="F946" s="2"/>
      <c r="G946" s="2"/>
      <c r="H946" s="2"/>
      <c r="I946" s="2"/>
      <c r="J946" s="2"/>
      <c r="K946" s="2"/>
      <c r="L946" s="2"/>
      <c r="M946" s="2"/>
      <c r="N946" s="2"/>
      <c r="O946" s="2"/>
      <c r="P946" s="2"/>
      <c r="Q946" s="2"/>
      <c r="R946" s="2"/>
      <c r="S946" s="2"/>
      <c r="T946" s="2"/>
      <c r="U946" s="2"/>
    </row>
    <row r="947" spans="1:21" ht="15.75" customHeight="1">
      <c r="A947" s="1"/>
      <c r="B947" s="2"/>
      <c r="C947" s="2"/>
      <c r="D947" s="2"/>
      <c r="E947" s="2"/>
      <c r="F947" s="2"/>
      <c r="G947" s="2"/>
      <c r="H947" s="2"/>
      <c r="I947" s="2"/>
      <c r="J947" s="2"/>
      <c r="K947" s="2"/>
      <c r="L947" s="2"/>
      <c r="M947" s="2"/>
      <c r="N947" s="2"/>
      <c r="O947" s="2"/>
      <c r="P947" s="2"/>
      <c r="Q947" s="2"/>
      <c r="R947" s="2"/>
      <c r="S947" s="2"/>
      <c r="T947" s="2"/>
      <c r="U947" s="2"/>
    </row>
    <row r="948" spans="1:21" ht="15.75" customHeight="1">
      <c r="A948" s="1"/>
      <c r="B948" s="2"/>
      <c r="C948" s="2"/>
      <c r="D948" s="2"/>
      <c r="E948" s="2"/>
      <c r="F948" s="2"/>
      <c r="G948" s="2"/>
      <c r="H948" s="2"/>
      <c r="I948" s="2"/>
      <c r="J948" s="2"/>
      <c r="K948" s="2"/>
      <c r="L948" s="2"/>
      <c r="M948" s="2"/>
      <c r="N948" s="2"/>
      <c r="O948" s="2"/>
      <c r="P948" s="2"/>
      <c r="Q948" s="2"/>
      <c r="R948" s="2"/>
      <c r="S948" s="2"/>
      <c r="T948" s="2"/>
      <c r="U948" s="2"/>
    </row>
    <row r="949" spans="1:21" ht="15.75" customHeight="1">
      <c r="A949" s="1"/>
      <c r="B949" s="2"/>
      <c r="C949" s="2"/>
      <c r="D949" s="2"/>
      <c r="E949" s="2"/>
      <c r="F949" s="2"/>
      <c r="G949" s="2"/>
      <c r="H949" s="2"/>
      <c r="I949" s="2"/>
      <c r="J949" s="2"/>
      <c r="K949" s="2"/>
      <c r="L949" s="2"/>
      <c r="M949" s="2"/>
      <c r="N949" s="2"/>
      <c r="O949" s="2"/>
      <c r="P949" s="2"/>
      <c r="Q949" s="2"/>
      <c r="R949" s="2"/>
      <c r="S949" s="2"/>
      <c r="T949" s="2"/>
      <c r="U949" s="2"/>
    </row>
    <row r="950" spans="1:21" ht="15.75" customHeight="1">
      <c r="A950" s="1"/>
      <c r="B950" s="2"/>
      <c r="C950" s="2"/>
      <c r="D950" s="2"/>
      <c r="E950" s="2"/>
      <c r="F950" s="2"/>
      <c r="G950" s="2"/>
      <c r="H950" s="2"/>
      <c r="I950" s="2"/>
      <c r="J950" s="2"/>
      <c r="K950" s="2"/>
      <c r="L950" s="2"/>
      <c r="M950" s="2"/>
      <c r="N950" s="2"/>
      <c r="O950" s="2"/>
      <c r="P950" s="2"/>
      <c r="Q950" s="2"/>
      <c r="R950" s="2"/>
      <c r="S950" s="2"/>
      <c r="T950" s="2"/>
      <c r="U950" s="2"/>
    </row>
    <row r="951" spans="1:21" ht="15.75" customHeight="1">
      <c r="A951" s="1"/>
      <c r="B951" s="2"/>
      <c r="C951" s="2"/>
      <c r="D951" s="2"/>
      <c r="E951" s="2"/>
      <c r="F951" s="2"/>
      <c r="G951" s="2"/>
      <c r="H951" s="2"/>
      <c r="I951" s="2"/>
      <c r="J951" s="2"/>
      <c r="K951" s="2"/>
      <c r="L951" s="2"/>
      <c r="M951" s="2"/>
      <c r="N951" s="2"/>
      <c r="O951" s="2"/>
      <c r="P951" s="2"/>
      <c r="Q951" s="2"/>
      <c r="R951" s="2"/>
      <c r="S951" s="2"/>
      <c r="T951" s="2"/>
      <c r="U951" s="2"/>
    </row>
    <row r="952" spans="1:21" ht="15.75" customHeight="1">
      <c r="A952" s="1"/>
      <c r="B952" s="2"/>
      <c r="C952" s="2"/>
      <c r="D952" s="2"/>
      <c r="E952" s="2"/>
      <c r="F952" s="2"/>
      <c r="G952" s="2"/>
      <c r="H952" s="2"/>
      <c r="I952" s="2"/>
      <c r="J952" s="2"/>
      <c r="K952" s="2"/>
      <c r="L952" s="2"/>
      <c r="M952" s="2"/>
      <c r="N952" s="2"/>
      <c r="O952" s="2"/>
      <c r="P952" s="2"/>
      <c r="Q952" s="2"/>
      <c r="R952" s="2"/>
      <c r="S952" s="2"/>
      <c r="T952" s="2"/>
      <c r="U952" s="2"/>
    </row>
    <row r="953" spans="1:21" ht="15.75" customHeight="1">
      <c r="A953" s="1"/>
      <c r="B953" s="2"/>
      <c r="C953" s="2"/>
      <c r="D953" s="2"/>
      <c r="E953" s="2"/>
      <c r="F953" s="2"/>
      <c r="G953" s="2"/>
      <c r="H953" s="2"/>
      <c r="I953" s="2"/>
      <c r="J953" s="2"/>
      <c r="K953" s="2"/>
      <c r="L953" s="2"/>
      <c r="M953" s="2"/>
      <c r="N953" s="2"/>
      <c r="O953" s="2"/>
      <c r="P953" s="2"/>
      <c r="Q953" s="2"/>
      <c r="R953" s="2"/>
      <c r="S953" s="2"/>
      <c r="T953" s="2"/>
      <c r="U953" s="2"/>
    </row>
    <row r="954" spans="1:21" ht="15.75" customHeight="1">
      <c r="A954" s="1"/>
      <c r="B954" s="2"/>
      <c r="C954" s="2"/>
      <c r="D954" s="2"/>
      <c r="E954" s="2"/>
      <c r="F954" s="2"/>
      <c r="G954" s="2"/>
      <c r="H954" s="2"/>
      <c r="I954" s="2"/>
      <c r="J954" s="2"/>
      <c r="K954" s="2"/>
      <c r="L954" s="2"/>
      <c r="M954" s="2"/>
      <c r="N954" s="2"/>
      <c r="O954" s="2"/>
      <c r="P954" s="2"/>
      <c r="Q954" s="2"/>
      <c r="R954" s="2"/>
      <c r="S954" s="2"/>
      <c r="T954" s="2"/>
      <c r="U954" s="2"/>
    </row>
    <row r="955" spans="1:21" ht="15.75" customHeight="1">
      <c r="A955" s="1"/>
      <c r="B955" s="2"/>
      <c r="C955" s="2"/>
      <c r="D955" s="2"/>
      <c r="E955" s="2"/>
      <c r="F955" s="2"/>
      <c r="G955" s="2"/>
      <c r="H955" s="2"/>
      <c r="I955" s="2"/>
      <c r="J955" s="2"/>
      <c r="K955" s="2"/>
      <c r="L955" s="2"/>
      <c r="M955" s="2"/>
      <c r="N955" s="2"/>
      <c r="O955" s="2"/>
      <c r="P955" s="2"/>
      <c r="Q955" s="2"/>
      <c r="R955" s="2"/>
      <c r="S955" s="2"/>
      <c r="T955" s="2"/>
      <c r="U955" s="2"/>
    </row>
    <row r="956" spans="1:21" ht="15.75" customHeight="1">
      <c r="A956" s="1"/>
      <c r="B956" s="2"/>
      <c r="C956" s="2"/>
      <c r="D956" s="2"/>
      <c r="E956" s="2"/>
      <c r="F956" s="2"/>
      <c r="G956" s="2"/>
      <c r="H956" s="2"/>
      <c r="I956" s="2"/>
      <c r="J956" s="2"/>
      <c r="K956" s="2"/>
      <c r="L956" s="2"/>
      <c r="M956" s="2"/>
      <c r="N956" s="2"/>
      <c r="O956" s="2"/>
      <c r="P956" s="2"/>
      <c r="Q956" s="2"/>
      <c r="R956" s="2"/>
      <c r="S956" s="2"/>
      <c r="T956" s="2"/>
      <c r="U956" s="2"/>
    </row>
    <row r="957" spans="1:21" ht="15.75" customHeight="1">
      <c r="A957" s="1"/>
      <c r="B957" s="2"/>
      <c r="C957" s="2"/>
      <c r="D957" s="2"/>
      <c r="E957" s="2"/>
      <c r="F957" s="2"/>
      <c r="G957" s="2"/>
      <c r="H957" s="2"/>
      <c r="I957" s="2"/>
      <c r="J957" s="2"/>
      <c r="K957" s="2"/>
      <c r="L957" s="2"/>
      <c r="M957" s="2"/>
      <c r="N957" s="2"/>
      <c r="O957" s="2"/>
      <c r="P957" s="2"/>
      <c r="Q957" s="2"/>
      <c r="R957" s="2"/>
      <c r="S957" s="2"/>
      <c r="T957" s="2"/>
      <c r="U957" s="2"/>
    </row>
    <row r="958" spans="1:21" ht="15.75" customHeight="1">
      <c r="A958" s="1"/>
      <c r="B958" s="2"/>
      <c r="C958" s="2"/>
      <c r="D958" s="2"/>
      <c r="E958" s="2"/>
      <c r="F958" s="2"/>
      <c r="G958" s="2"/>
      <c r="H958" s="2"/>
      <c r="I958" s="2"/>
      <c r="J958" s="2"/>
      <c r="K958" s="2"/>
      <c r="L958" s="2"/>
      <c r="M958" s="2"/>
      <c r="N958" s="2"/>
      <c r="O958" s="2"/>
      <c r="P958" s="2"/>
      <c r="Q958" s="2"/>
      <c r="R958" s="2"/>
      <c r="S958" s="2"/>
      <c r="T958" s="2"/>
      <c r="U958" s="2"/>
    </row>
    <row r="959" spans="1:21" ht="15.75" customHeight="1">
      <c r="A959" s="1"/>
      <c r="B959" s="2"/>
      <c r="C959" s="2"/>
      <c r="D959" s="2"/>
      <c r="E959" s="2"/>
      <c r="F959" s="2"/>
      <c r="G959" s="2"/>
      <c r="H959" s="2"/>
      <c r="I959" s="2"/>
      <c r="J959" s="2"/>
      <c r="K959" s="2"/>
      <c r="L959" s="2"/>
      <c r="M959" s="2"/>
      <c r="N959" s="2"/>
      <c r="O959" s="2"/>
      <c r="P959" s="2"/>
      <c r="Q959" s="2"/>
      <c r="R959" s="2"/>
      <c r="S959" s="2"/>
      <c r="T959" s="2"/>
      <c r="U959" s="2"/>
    </row>
    <row r="960" spans="1:21" ht="15.75" customHeight="1">
      <c r="A960" s="1"/>
      <c r="B960" s="2"/>
      <c r="C960" s="2"/>
      <c r="D960" s="2"/>
      <c r="E960" s="2"/>
      <c r="F960" s="2"/>
      <c r="G960" s="2"/>
      <c r="H960" s="2"/>
      <c r="I960" s="2"/>
      <c r="J960" s="2"/>
      <c r="K960" s="2"/>
      <c r="L960" s="2"/>
      <c r="M960" s="2"/>
      <c r="N960" s="2"/>
      <c r="O960" s="2"/>
      <c r="P960" s="2"/>
      <c r="Q960" s="2"/>
      <c r="R960" s="2"/>
      <c r="S960" s="2"/>
      <c r="T960" s="2"/>
      <c r="U960" s="2"/>
    </row>
    <row r="961" spans="1:21" ht="15.75" customHeight="1">
      <c r="A961" s="1"/>
      <c r="B961" s="2"/>
      <c r="C961" s="2"/>
      <c r="D961" s="2"/>
      <c r="E961" s="2"/>
      <c r="F961" s="2"/>
      <c r="G961" s="2"/>
      <c r="H961" s="2"/>
      <c r="I961" s="2"/>
      <c r="J961" s="2"/>
      <c r="K961" s="2"/>
      <c r="L961" s="2"/>
      <c r="M961" s="2"/>
      <c r="N961" s="2"/>
      <c r="O961" s="2"/>
      <c r="P961" s="2"/>
      <c r="Q961" s="2"/>
      <c r="R961" s="2"/>
      <c r="S961" s="2"/>
      <c r="T961" s="2"/>
      <c r="U961" s="2"/>
    </row>
    <row r="962" spans="1:21" ht="15.75" customHeight="1">
      <c r="A962" s="1"/>
      <c r="B962" s="2"/>
      <c r="C962" s="2"/>
      <c r="D962" s="2"/>
      <c r="E962" s="2"/>
      <c r="F962" s="2"/>
      <c r="G962" s="2"/>
      <c r="H962" s="2"/>
      <c r="I962" s="2"/>
      <c r="J962" s="2"/>
      <c r="K962" s="2"/>
      <c r="L962" s="2"/>
      <c r="M962" s="2"/>
      <c r="N962" s="2"/>
      <c r="O962" s="2"/>
      <c r="P962" s="2"/>
      <c r="Q962" s="2"/>
      <c r="R962" s="2"/>
      <c r="S962" s="2"/>
      <c r="T962" s="2"/>
      <c r="U962" s="2"/>
    </row>
    <row r="963" spans="1:21" ht="15.75" customHeight="1">
      <c r="A963" s="1"/>
      <c r="B963" s="2"/>
      <c r="C963" s="2"/>
      <c r="D963" s="2"/>
      <c r="E963" s="2"/>
      <c r="F963" s="2"/>
      <c r="G963" s="2"/>
      <c r="H963" s="2"/>
      <c r="I963" s="2"/>
      <c r="J963" s="2"/>
      <c r="K963" s="2"/>
      <c r="L963" s="2"/>
      <c r="M963" s="2"/>
      <c r="N963" s="2"/>
      <c r="O963" s="2"/>
      <c r="P963" s="2"/>
      <c r="Q963" s="2"/>
      <c r="R963" s="2"/>
      <c r="S963" s="2"/>
      <c r="T963" s="2"/>
      <c r="U963" s="2"/>
    </row>
    <row r="964" spans="1:21" ht="15.75" customHeight="1">
      <c r="A964" s="1"/>
      <c r="B964" s="2"/>
      <c r="C964" s="2"/>
      <c r="D964" s="2"/>
      <c r="E964" s="2"/>
      <c r="F964" s="2"/>
      <c r="G964" s="2"/>
      <c r="H964" s="2"/>
      <c r="I964" s="2"/>
      <c r="J964" s="2"/>
      <c r="K964" s="2"/>
      <c r="L964" s="2"/>
      <c r="M964" s="2"/>
      <c r="N964" s="2"/>
      <c r="O964" s="2"/>
      <c r="P964" s="2"/>
      <c r="Q964" s="2"/>
      <c r="R964" s="2"/>
      <c r="S964" s="2"/>
      <c r="T964" s="2"/>
      <c r="U964" s="2"/>
    </row>
    <row r="965" spans="1:21" ht="15.75" customHeight="1">
      <c r="A965" s="1"/>
      <c r="B965" s="2"/>
      <c r="C965" s="2"/>
      <c r="D965" s="2"/>
      <c r="E965" s="2"/>
      <c r="F965" s="2"/>
      <c r="G965" s="2"/>
      <c r="H965" s="2"/>
      <c r="I965" s="2"/>
      <c r="J965" s="2"/>
      <c r="K965" s="2"/>
      <c r="L965" s="2"/>
      <c r="M965" s="2"/>
      <c r="N965" s="2"/>
      <c r="O965" s="2"/>
      <c r="P965" s="2"/>
      <c r="Q965" s="2"/>
      <c r="R965" s="2"/>
      <c r="S965" s="2"/>
      <c r="T965" s="2"/>
      <c r="U965" s="2"/>
    </row>
    <row r="966" spans="1:21" ht="15.75" customHeight="1">
      <c r="A966" s="1"/>
      <c r="B966" s="2"/>
      <c r="C966" s="2"/>
      <c r="D966" s="2"/>
      <c r="E966" s="2"/>
      <c r="F966" s="2"/>
      <c r="G966" s="2"/>
      <c r="H966" s="2"/>
      <c r="I966" s="2"/>
      <c r="J966" s="2"/>
      <c r="K966" s="2"/>
      <c r="L966" s="2"/>
      <c r="M966" s="2"/>
      <c r="N966" s="2"/>
      <c r="O966" s="2"/>
      <c r="P966" s="2"/>
      <c r="Q966" s="2"/>
      <c r="R966" s="2"/>
      <c r="S966" s="2"/>
      <c r="T966" s="2"/>
      <c r="U966" s="2"/>
    </row>
    <row r="967" spans="1:21" ht="15.75" customHeight="1">
      <c r="A967" s="1"/>
      <c r="B967" s="2"/>
      <c r="C967" s="2"/>
      <c r="D967" s="2"/>
      <c r="E967" s="2"/>
      <c r="F967" s="2"/>
      <c r="G967" s="2"/>
      <c r="H967" s="2"/>
      <c r="I967" s="2"/>
      <c r="J967" s="2"/>
      <c r="K967" s="2"/>
      <c r="L967" s="2"/>
      <c r="M967" s="2"/>
      <c r="N967" s="2"/>
      <c r="O967" s="2"/>
      <c r="P967" s="2"/>
      <c r="Q967" s="2"/>
      <c r="R967" s="2"/>
      <c r="S967" s="2"/>
      <c r="T967" s="2"/>
      <c r="U967" s="2"/>
    </row>
    <row r="968" spans="1:21" ht="15.75" customHeight="1">
      <c r="A968" s="1"/>
      <c r="B968" s="2"/>
      <c r="C968" s="2"/>
      <c r="D968" s="2"/>
      <c r="E968" s="2"/>
      <c r="F968" s="2"/>
      <c r="G968" s="2"/>
      <c r="H968" s="2"/>
      <c r="I968" s="2"/>
      <c r="J968" s="2"/>
      <c r="K968" s="2"/>
      <c r="L968" s="2"/>
      <c r="M968" s="2"/>
      <c r="N968" s="2"/>
      <c r="O968" s="2"/>
      <c r="P968" s="2"/>
      <c r="Q968" s="2"/>
      <c r="R968" s="2"/>
      <c r="S968" s="2"/>
      <c r="T968" s="2"/>
      <c r="U968" s="2"/>
    </row>
    <row r="969" spans="1:21" ht="15.75" customHeight="1">
      <c r="A969" s="1"/>
      <c r="B969" s="2"/>
      <c r="C969" s="2"/>
      <c r="D969" s="2"/>
      <c r="E969" s="2"/>
      <c r="F969" s="2"/>
      <c r="G969" s="2"/>
      <c r="H969" s="2"/>
      <c r="I969" s="2"/>
      <c r="J969" s="2"/>
      <c r="K969" s="2"/>
      <c r="L969" s="2"/>
      <c r="M969" s="2"/>
      <c r="N969" s="2"/>
      <c r="O969" s="2"/>
      <c r="P969" s="2"/>
      <c r="Q969" s="2"/>
      <c r="R969" s="2"/>
      <c r="S969" s="2"/>
      <c r="T969" s="2"/>
      <c r="U969" s="2"/>
    </row>
    <row r="970" spans="1:21" ht="15.75" customHeight="1">
      <c r="A970" s="1"/>
      <c r="B970" s="2"/>
      <c r="C970" s="2"/>
      <c r="D970" s="2"/>
      <c r="E970" s="2"/>
      <c r="F970" s="2"/>
      <c r="G970" s="2"/>
      <c r="H970" s="2"/>
      <c r="I970" s="2"/>
      <c r="J970" s="2"/>
      <c r="K970" s="2"/>
      <c r="L970" s="2"/>
      <c r="M970" s="2"/>
      <c r="N970" s="2"/>
      <c r="O970" s="2"/>
      <c r="P970" s="2"/>
      <c r="Q970" s="2"/>
      <c r="R970" s="2"/>
      <c r="S970" s="2"/>
      <c r="T970" s="2"/>
      <c r="U970" s="2"/>
    </row>
    <row r="971" spans="1:21" ht="15.75" customHeight="1">
      <c r="A971" s="1"/>
      <c r="B971" s="2"/>
      <c r="C971" s="2"/>
      <c r="D971" s="2"/>
      <c r="E971" s="2"/>
      <c r="F971" s="2"/>
      <c r="G971" s="2"/>
      <c r="H971" s="2"/>
      <c r="I971" s="2"/>
      <c r="J971" s="2"/>
      <c r="K971" s="2"/>
      <c r="L971" s="2"/>
      <c r="M971" s="2"/>
      <c r="N971" s="2"/>
      <c r="O971" s="2"/>
      <c r="P971" s="2"/>
      <c r="Q971" s="2"/>
      <c r="R971" s="2"/>
      <c r="S971" s="2"/>
      <c r="T971" s="2"/>
      <c r="U971" s="2"/>
    </row>
    <row r="972" spans="1:21" ht="15.75" customHeight="1">
      <c r="A972" s="1"/>
      <c r="B972" s="2"/>
      <c r="C972" s="2"/>
      <c r="D972" s="2"/>
      <c r="E972" s="2"/>
      <c r="F972" s="2"/>
      <c r="G972" s="2"/>
      <c r="H972" s="2"/>
      <c r="I972" s="2"/>
      <c r="J972" s="2"/>
      <c r="K972" s="2"/>
      <c r="L972" s="2"/>
      <c r="M972" s="2"/>
      <c r="N972" s="2"/>
      <c r="O972" s="2"/>
      <c r="P972" s="2"/>
      <c r="Q972" s="2"/>
      <c r="R972" s="2"/>
      <c r="S972" s="2"/>
      <c r="T972" s="2"/>
      <c r="U972" s="2"/>
    </row>
    <row r="973" spans="1:21" ht="15.75" customHeight="1">
      <c r="A973" s="1"/>
      <c r="B973" s="2"/>
      <c r="C973" s="2"/>
      <c r="D973" s="2"/>
      <c r="E973" s="2"/>
      <c r="F973" s="2"/>
      <c r="G973" s="2"/>
      <c r="H973" s="2"/>
      <c r="I973" s="2"/>
      <c r="J973" s="2"/>
      <c r="K973" s="2"/>
      <c r="L973" s="2"/>
      <c r="M973" s="2"/>
      <c r="N973" s="2"/>
      <c r="O973" s="2"/>
      <c r="P973" s="2"/>
      <c r="Q973" s="2"/>
      <c r="R973" s="2"/>
      <c r="S973" s="2"/>
      <c r="T973" s="2"/>
      <c r="U973" s="2"/>
    </row>
    <row r="974" spans="1:21" ht="15.75" customHeight="1">
      <c r="A974" s="1"/>
      <c r="B974" s="2"/>
      <c r="C974" s="2"/>
      <c r="D974" s="2"/>
      <c r="E974" s="2"/>
      <c r="F974" s="2"/>
      <c r="G974" s="2"/>
      <c r="H974" s="2"/>
      <c r="I974" s="2"/>
      <c r="J974" s="2"/>
      <c r="K974" s="2"/>
      <c r="L974" s="2"/>
      <c r="M974" s="2"/>
      <c r="N974" s="2"/>
      <c r="O974" s="2"/>
      <c r="P974" s="2"/>
      <c r="Q974" s="2"/>
      <c r="R974" s="2"/>
      <c r="S974" s="2"/>
      <c r="T974" s="2"/>
      <c r="U974" s="2"/>
    </row>
    <row r="975" spans="1:21" ht="15.75" customHeight="1">
      <c r="A975" s="1"/>
      <c r="B975" s="2"/>
      <c r="C975" s="2"/>
      <c r="D975" s="2"/>
      <c r="E975" s="2"/>
      <c r="F975" s="2"/>
      <c r="G975" s="2"/>
      <c r="H975" s="2"/>
      <c r="I975" s="2"/>
      <c r="J975" s="2"/>
      <c r="K975" s="2"/>
      <c r="L975" s="2"/>
      <c r="M975" s="2"/>
      <c r="N975" s="2"/>
      <c r="O975" s="2"/>
      <c r="P975" s="2"/>
      <c r="Q975" s="2"/>
      <c r="R975" s="2"/>
      <c r="S975" s="2"/>
      <c r="T975" s="2"/>
      <c r="U975" s="2"/>
    </row>
    <row r="976" spans="1:21" ht="15.75" customHeight="1">
      <c r="A976" s="1"/>
      <c r="B976" s="2"/>
      <c r="C976" s="2"/>
      <c r="D976" s="2"/>
      <c r="E976" s="2"/>
      <c r="F976" s="2"/>
      <c r="G976" s="2"/>
      <c r="H976" s="2"/>
      <c r="I976" s="2"/>
      <c r="J976" s="2"/>
      <c r="K976" s="2"/>
      <c r="L976" s="2"/>
      <c r="M976" s="2"/>
      <c r="N976" s="2"/>
      <c r="O976" s="2"/>
      <c r="P976" s="2"/>
      <c r="Q976" s="2"/>
      <c r="R976" s="2"/>
      <c r="S976" s="2"/>
      <c r="T976" s="2"/>
      <c r="U976" s="2"/>
    </row>
    <row r="977" spans="1:21" ht="15.75" customHeight="1">
      <c r="A977" s="1"/>
      <c r="B977" s="2"/>
      <c r="C977" s="2"/>
      <c r="D977" s="2"/>
      <c r="E977" s="2"/>
      <c r="F977" s="2"/>
      <c r="G977" s="2"/>
      <c r="H977" s="2"/>
      <c r="I977" s="2"/>
      <c r="J977" s="2"/>
      <c r="K977" s="2"/>
      <c r="L977" s="2"/>
      <c r="M977" s="2"/>
      <c r="N977" s="2"/>
      <c r="O977" s="2"/>
      <c r="P977" s="2"/>
      <c r="Q977" s="2"/>
      <c r="R977" s="2"/>
      <c r="S977" s="2"/>
      <c r="T977" s="2"/>
      <c r="U977" s="2"/>
    </row>
    <row r="978" spans="1:21" ht="15.75" customHeight="1">
      <c r="A978" s="1"/>
      <c r="B978" s="2"/>
      <c r="C978" s="2"/>
      <c r="D978" s="2"/>
      <c r="E978" s="2"/>
      <c r="F978" s="2"/>
      <c r="G978" s="2"/>
      <c r="H978" s="2"/>
      <c r="I978" s="2"/>
      <c r="J978" s="2"/>
      <c r="K978" s="2"/>
      <c r="L978" s="2"/>
      <c r="M978" s="2"/>
      <c r="N978" s="2"/>
      <c r="O978" s="2"/>
      <c r="P978" s="2"/>
      <c r="Q978" s="2"/>
      <c r="R978" s="2"/>
      <c r="S978" s="2"/>
      <c r="T978" s="2"/>
      <c r="U978" s="2"/>
    </row>
    <row r="979" spans="1:21" ht="15.75" customHeight="1">
      <c r="A979" s="1"/>
      <c r="B979" s="2"/>
      <c r="C979" s="2"/>
      <c r="D979" s="2"/>
      <c r="E979" s="2"/>
      <c r="F979" s="2"/>
      <c r="G979" s="2"/>
      <c r="H979" s="2"/>
      <c r="I979" s="2"/>
      <c r="J979" s="2"/>
      <c r="K979" s="2"/>
      <c r="L979" s="2"/>
      <c r="M979" s="2"/>
      <c r="N979" s="2"/>
      <c r="O979" s="2"/>
      <c r="P979" s="2"/>
      <c r="Q979" s="2"/>
      <c r="R979" s="2"/>
      <c r="S979" s="2"/>
      <c r="T979" s="2"/>
      <c r="U979" s="2"/>
    </row>
    <row r="980" spans="1:21" ht="15.75" customHeight="1">
      <c r="A980" s="1"/>
      <c r="B980" s="2"/>
      <c r="C980" s="2"/>
      <c r="D980" s="2"/>
      <c r="E980" s="2"/>
      <c r="F980" s="2"/>
      <c r="G980" s="2"/>
      <c r="H980" s="2"/>
      <c r="I980" s="2"/>
      <c r="J980" s="2"/>
      <c r="K980" s="2"/>
      <c r="L980" s="2"/>
      <c r="M980" s="2"/>
      <c r="N980" s="2"/>
      <c r="O980" s="2"/>
      <c r="P980" s="2"/>
      <c r="Q980" s="2"/>
      <c r="R980" s="2"/>
      <c r="S980" s="2"/>
      <c r="T980" s="2"/>
      <c r="U980" s="2"/>
    </row>
    <row r="981" spans="1:21" ht="15.75" customHeight="1">
      <c r="A981" s="1"/>
      <c r="B981" s="2"/>
      <c r="C981" s="2"/>
      <c r="D981" s="2"/>
      <c r="E981" s="2"/>
      <c r="F981" s="2"/>
      <c r="G981" s="2"/>
      <c r="H981" s="2"/>
      <c r="I981" s="2"/>
      <c r="J981" s="2"/>
      <c r="K981" s="2"/>
      <c r="L981" s="2"/>
      <c r="M981" s="2"/>
      <c r="N981" s="2"/>
      <c r="O981" s="2"/>
      <c r="P981" s="2"/>
      <c r="Q981" s="2"/>
      <c r="R981" s="2"/>
      <c r="S981" s="2"/>
      <c r="T981" s="2"/>
      <c r="U981" s="2"/>
    </row>
    <row r="982" spans="1:21" ht="15.75" customHeight="1">
      <c r="A982" s="1"/>
      <c r="B982" s="2"/>
      <c r="C982" s="2"/>
      <c r="D982" s="2"/>
      <c r="E982" s="2"/>
      <c r="F982" s="2"/>
      <c r="G982" s="2"/>
      <c r="H982" s="2"/>
      <c r="I982" s="2"/>
      <c r="J982" s="2"/>
      <c r="K982" s="2"/>
      <c r="L982" s="2"/>
      <c r="M982" s="2"/>
      <c r="N982" s="2"/>
      <c r="O982" s="2"/>
      <c r="P982" s="2"/>
      <c r="Q982" s="2"/>
      <c r="R982" s="2"/>
      <c r="S982" s="2"/>
      <c r="T982" s="2"/>
      <c r="U982" s="2"/>
    </row>
    <row r="983" spans="1:21" ht="15.75" customHeight="1">
      <c r="A983" s="1"/>
      <c r="B983" s="2"/>
      <c r="C983" s="2"/>
      <c r="D983" s="2"/>
      <c r="E983" s="2"/>
      <c r="F983" s="2"/>
      <c r="G983" s="2"/>
      <c r="H983" s="2"/>
      <c r="I983" s="2"/>
      <c r="J983" s="2"/>
      <c r="K983" s="2"/>
      <c r="L983" s="2"/>
      <c r="M983" s="2"/>
      <c r="N983" s="2"/>
      <c r="O983" s="2"/>
      <c r="P983" s="2"/>
      <c r="Q983" s="2"/>
      <c r="R983" s="2"/>
      <c r="S983" s="2"/>
      <c r="T983" s="2"/>
      <c r="U983" s="2"/>
    </row>
    <row r="984" spans="1:21" ht="15.75" customHeight="1">
      <c r="A984" s="1"/>
      <c r="B984" s="2"/>
      <c r="C984" s="2"/>
      <c r="D984" s="2"/>
      <c r="E984" s="2"/>
      <c r="F984" s="2"/>
      <c r="G984" s="2"/>
      <c r="H984" s="2"/>
      <c r="I984" s="2"/>
      <c r="J984" s="2"/>
      <c r="K984" s="2"/>
      <c r="L984" s="2"/>
      <c r="M984" s="2"/>
      <c r="N984" s="2"/>
      <c r="O984" s="2"/>
      <c r="P984" s="2"/>
      <c r="Q984" s="2"/>
      <c r="R984" s="2"/>
      <c r="S984" s="2"/>
      <c r="T984" s="2"/>
      <c r="U984" s="2"/>
    </row>
    <row r="985" spans="1:21" ht="15.75" customHeight="1">
      <c r="A985" s="1"/>
      <c r="B985" s="2"/>
      <c r="C985" s="2"/>
      <c r="D985" s="2"/>
      <c r="E985" s="2"/>
      <c r="F985" s="2"/>
      <c r="G985" s="2"/>
      <c r="H985" s="2"/>
      <c r="I985" s="2"/>
      <c r="J985" s="2"/>
      <c r="K985" s="2"/>
      <c r="L985" s="2"/>
      <c r="M985" s="2"/>
      <c r="N985" s="2"/>
      <c r="O985" s="2"/>
      <c r="P985" s="2"/>
      <c r="Q985" s="2"/>
      <c r="R985" s="2"/>
      <c r="S985" s="2"/>
      <c r="T985" s="2"/>
      <c r="U985" s="2"/>
    </row>
    <row r="986" spans="1:21" ht="15.75" customHeight="1">
      <c r="A986" s="1"/>
      <c r="B986" s="2"/>
      <c r="C986" s="2"/>
      <c r="D986" s="2"/>
      <c r="E986" s="2"/>
      <c r="F986" s="2"/>
      <c r="G986" s="2"/>
      <c r="H986" s="2"/>
      <c r="I986" s="2"/>
      <c r="J986" s="2"/>
      <c r="K986" s="2"/>
      <c r="L986" s="2"/>
      <c r="M986" s="2"/>
      <c r="N986" s="2"/>
      <c r="O986" s="2"/>
      <c r="P986" s="2"/>
      <c r="Q986" s="2"/>
      <c r="R986" s="2"/>
      <c r="S986" s="2"/>
      <c r="T986" s="2"/>
      <c r="U986" s="2"/>
    </row>
    <row r="987" spans="1:21" ht="15.75" customHeight="1">
      <c r="A987" s="1"/>
      <c r="B987" s="2"/>
      <c r="C987" s="2"/>
      <c r="D987" s="2"/>
      <c r="E987" s="2"/>
      <c r="F987" s="2"/>
      <c r="G987" s="2"/>
      <c r="H987" s="2"/>
      <c r="I987" s="2"/>
      <c r="J987" s="2"/>
      <c r="K987" s="2"/>
      <c r="L987" s="2"/>
      <c r="M987" s="2"/>
      <c r="N987" s="2"/>
      <c r="O987" s="2"/>
      <c r="P987" s="2"/>
      <c r="Q987" s="2"/>
      <c r="R987" s="2"/>
      <c r="S987" s="2"/>
      <c r="T987" s="2"/>
      <c r="U987" s="2"/>
    </row>
    <row r="988" spans="1:21" ht="15.75" customHeight="1">
      <c r="A988" s="1"/>
      <c r="B988" s="2"/>
      <c r="C988" s="2"/>
      <c r="D988" s="2"/>
      <c r="E988" s="2"/>
      <c r="F988" s="2"/>
      <c r="G988" s="2"/>
      <c r="H988" s="2"/>
      <c r="I988" s="2"/>
      <c r="J988" s="2"/>
      <c r="K988" s="2"/>
      <c r="L988" s="2"/>
      <c r="M988" s="2"/>
      <c r="N988" s="2"/>
      <c r="O988" s="2"/>
      <c r="P988" s="2"/>
      <c r="Q988" s="2"/>
      <c r="R988" s="2"/>
      <c r="S988" s="2"/>
      <c r="T988" s="2"/>
      <c r="U988" s="2"/>
    </row>
    <row r="989" spans="1:21" ht="15.75" customHeight="1">
      <c r="A989" s="1"/>
      <c r="B989" s="2"/>
      <c r="C989" s="2"/>
      <c r="D989" s="2"/>
      <c r="E989" s="2"/>
      <c r="F989" s="2"/>
      <c r="G989" s="2"/>
      <c r="H989" s="2"/>
      <c r="I989" s="2"/>
      <c r="J989" s="2"/>
      <c r="K989" s="2"/>
      <c r="L989" s="2"/>
      <c r="M989" s="2"/>
      <c r="N989" s="2"/>
      <c r="O989" s="2"/>
      <c r="P989" s="2"/>
      <c r="Q989" s="2"/>
      <c r="R989" s="2"/>
      <c r="S989" s="2"/>
      <c r="T989" s="2"/>
      <c r="U989" s="2"/>
    </row>
    <row r="990" spans="1:21" ht="15.75" customHeight="1">
      <c r="A990" s="1"/>
      <c r="B990" s="2"/>
      <c r="C990" s="2"/>
      <c r="D990" s="2"/>
      <c r="E990" s="2"/>
      <c r="F990" s="2"/>
      <c r="G990" s="2"/>
      <c r="H990" s="2"/>
      <c r="I990" s="2"/>
      <c r="J990" s="2"/>
      <c r="K990" s="2"/>
      <c r="L990" s="2"/>
      <c r="M990" s="2"/>
      <c r="N990" s="2"/>
      <c r="O990" s="2"/>
      <c r="P990" s="2"/>
      <c r="Q990" s="2"/>
      <c r="R990" s="2"/>
      <c r="S990" s="2"/>
      <c r="T990" s="2"/>
      <c r="U990" s="2"/>
    </row>
    <row r="991" spans="1:21" ht="15.75" customHeight="1">
      <c r="A991" s="1"/>
      <c r="B991" s="2"/>
      <c r="C991" s="2"/>
      <c r="D991" s="2"/>
      <c r="E991" s="2"/>
      <c r="F991" s="2"/>
      <c r="G991" s="2"/>
      <c r="H991" s="2"/>
      <c r="I991" s="2"/>
      <c r="J991" s="2"/>
      <c r="K991" s="2"/>
      <c r="L991" s="2"/>
      <c r="M991" s="2"/>
      <c r="N991" s="2"/>
      <c r="O991" s="2"/>
      <c r="P991" s="2"/>
      <c r="Q991" s="2"/>
      <c r="R991" s="2"/>
      <c r="S991" s="2"/>
      <c r="T991" s="2"/>
      <c r="U991" s="2"/>
    </row>
    <row r="992" spans="1:21" ht="15.75" customHeight="1">
      <c r="A992" s="1"/>
      <c r="B992" s="2"/>
      <c r="C992" s="2"/>
      <c r="D992" s="2"/>
      <c r="E992" s="2"/>
      <c r="F992" s="2"/>
      <c r="G992" s="2"/>
      <c r="H992" s="2"/>
      <c r="I992" s="2"/>
      <c r="J992" s="2"/>
      <c r="K992" s="2"/>
      <c r="L992" s="2"/>
      <c r="M992" s="2"/>
      <c r="N992" s="2"/>
      <c r="O992" s="2"/>
      <c r="P992" s="2"/>
      <c r="Q992" s="2"/>
      <c r="R992" s="2"/>
      <c r="S992" s="2"/>
      <c r="T992" s="2"/>
      <c r="U992" s="2"/>
    </row>
    <row r="993" spans="1:21" ht="15.75" customHeight="1">
      <c r="A993" s="1"/>
      <c r="B993" s="2"/>
      <c r="C993" s="2"/>
      <c r="D993" s="2"/>
      <c r="E993" s="2"/>
      <c r="F993" s="2"/>
      <c r="G993" s="2"/>
      <c r="H993" s="2"/>
      <c r="I993" s="2"/>
      <c r="J993" s="2"/>
      <c r="K993" s="2"/>
      <c r="L993" s="2"/>
      <c r="M993" s="2"/>
      <c r="N993" s="2"/>
      <c r="O993" s="2"/>
      <c r="P993" s="2"/>
      <c r="Q993" s="2"/>
      <c r="R993" s="2"/>
      <c r="S993" s="2"/>
      <c r="T993" s="2"/>
      <c r="U993" s="2"/>
    </row>
    <row r="994" spans="1:21" ht="15.75" customHeight="1">
      <c r="A994" s="1"/>
      <c r="B994" s="2"/>
      <c r="C994" s="2"/>
      <c r="D994" s="2"/>
      <c r="E994" s="2"/>
      <c r="F994" s="2"/>
      <c r="G994" s="2"/>
      <c r="H994" s="2"/>
      <c r="I994" s="2"/>
      <c r="J994" s="2"/>
      <c r="K994" s="2"/>
      <c r="L994" s="2"/>
      <c r="M994" s="2"/>
      <c r="N994" s="2"/>
      <c r="O994" s="2"/>
      <c r="P994" s="2"/>
      <c r="Q994" s="2"/>
      <c r="R994" s="2"/>
      <c r="S994" s="2"/>
      <c r="T994" s="2"/>
      <c r="U994" s="2"/>
    </row>
    <row r="995" spans="1:21" ht="15.75" customHeight="1">
      <c r="A995" s="1"/>
      <c r="B995" s="2"/>
      <c r="C995" s="2"/>
      <c r="D995" s="2"/>
      <c r="E995" s="2"/>
      <c r="F995" s="2"/>
      <c r="G995" s="2"/>
      <c r="H995" s="2"/>
      <c r="I995" s="2"/>
      <c r="J995" s="2"/>
      <c r="K995" s="2"/>
      <c r="L995" s="2"/>
      <c r="M995" s="2"/>
      <c r="N995" s="2"/>
      <c r="O995" s="2"/>
      <c r="P995" s="2"/>
      <c r="Q995" s="2"/>
      <c r="R995" s="2"/>
      <c r="S995" s="2"/>
      <c r="T995" s="2"/>
      <c r="U995" s="2"/>
    </row>
    <row r="996" spans="1:21" ht="15.75" customHeight="1">
      <c r="A996" s="1"/>
      <c r="B996" s="2"/>
      <c r="C996" s="2"/>
      <c r="D996" s="2"/>
      <c r="E996" s="2"/>
      <c r="F996" s="2"/>
      <c r="G996" s="2"/>
      <c r="H996" s="2"/>
      <c r="I996" s="2"/>
      <c r="J996" s="2"/>
      <c r="K996" s="2"/>
      <c r="L996" s="2"/>
      <c r="M996" s="2"/>
      <c r="N996" s="2"/>
      <c r="O996" s="2"/>
      <c r="P996" s="2"/>
      <c r="Q996" s="2"/>
      <c r="R996" s="2"/>
      <c r="S996" s="2"/>
      <c r="T996" s="2"/>
      <c r="U996" s="2"/>
    </row>
    <row r="997" spans="1:21" ht="15.75" customHeight="1">
      <c r="A997" s="1"/>
      <c r="B997" s="2"/>
      <c r="C997" s="2"/>
      <c r="D997" s="2"/>
      <c r="E997" s="2"/>
      <c r="F997" s="2"/>
      <c r="G997" s="2"/>
      <c r="H997" s="2"/>
      <c r="I997" s="2"/>
      <c r="J997" s="2"/>
      <c r="K997" s="2"/>
      <c r="L997" s="2"/>
      <c r="M997" s="2"/>
      <c r="N997" s="2"/>
      <c r="O997" s="2"/>
      <c r="P997" s="2"/>
      <c r="Q997" s="2"/>
      <c r="R997" s="2"/>
      <c r="S997" s="2"/>
      <c r="T997" s="2"/>
      <c r="U997" s="2"/>
    </row>
    <row r="998" spans="1:21" ht="15.75" customHeight="1">
      <c r="A998" s="1"/>
      <c r="B998" s="2"/>
      <c r="C998" s="2"/>
      <c r="D998" s="2"/>
      <c r="E998" s="2"/>
      <c r="F998" s="2"/>
      <c r="G998" s="2"/>
      <c r="H998" s="2"/>
      <c r="I998" s="2"/>
      <c r="J998" s="2"/>
      <c r="K998" s="2"/>
      <c r="L998" s="2"/>
      <c r="M998" s="2"/>
      <c r="N998" s="2"/>
      <c r="O998" s="2"/>
      <c r="P998" s="2"/>
      <c r="Q998" s="2"/>
      <c r="R998" s="2"/>
      <c r="S998" s="2"/>
      <c r="T998" s="2"/>
      <c r="U998" s="2"/>
    </row>
    <row r="999" spans="1:21" ht="15.75" customHeight="1">
      <c r="A999" s="1"/>
      <c r="B999" s="2"/>
      <c r="C999" s="2"/>
      <c r="D999" s="2"/>
      <c r="E999" s="2"/>
      <c r="F999" s="2"/>
      <c r="G999" s="2"/>
      <c r="H999" s="2"/>
      <c r="I999" s="2"/>
      <c r="J999" s="2"/>
      <c r="K999" s="2"/>
      <c r="L999" s="2"/>
      <c r="M999" s="2"/>
      <c r="N999" s="2"/>
      <c r="O999" s="2"/>
      <c r="P999" s="2"/>
      <c r="Q999" s="2"/>
      <c r="R999" s="2"/>
      <c r="S999" s="2"/>
      <c r="T999" s="2"/>
      <c r="U999" s="2"/>
    </row>
    <row r="1000" spans="1:21" ht="15.75" customHeight="1">
      <c r="A1000" s="1"/>
      <c r="B1000" s="2"/>
      <c r="C1000" s="2"/>
      <c r="D1000" s="2"/>
      <c r="E1000" s="2"/>
      <c r="F1000" s="2"/>
      <c r="G1000" s="2"/>
      <c r="H1000" s="2"/>
      <c r="I1000" s="2"/>
      <c r="J1000" s="2"/>
      <c r="K1000" s="2"/>
      <c r="L1000" s="2"/>
      <c r="M1000" s="2"/>
      <c r="N1000" s="2"/>
      <c r="O1000" s="2"/>
      <c r="P1000" s="2"/>
      <c r="Q1000" s="2"/>
      <c r="R1000" s="2"/>
      <c r="S1000" s="2"/>
      <c r="T1000" s="2"/>
      <c r="U1000" s="2"/>
    </row>
  </sheetData>
  <conditionalFormatting sqref="E98:T98">
    <cfRule type="containsText" dxfId="5" priority="6" operator="containsText" text="TRUE">
      <formula>NOT(ISERROR(SEARCH(("TRUE"),(E98))))</formula>
    </cfRule>
  </conditionalFormatting>
  <conditionalFormatting sqref="E118:T118">
    <cfRule type="containsText" dxfId="4" priority="5" operator="containsText" text="TRUE">
      <formula>NOT(ISERROR(SEARCH(("TRUE"),(E118))))</formula>
    </cfRule>
  </conditionalFormatting>
  <conditionalFormatting sqref="E153:T153">
    <cfRule type="containsText" dxfId="3" priority="4" operator="containsText" text="TRUE">
      <formula>NOT(ISERROR(SEARCH(("TRUE"),(E153))))</formula>
    </cfRule>
  </conditionalFormatting>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C1000"/>
  <sheetViews>
    <sheetView tabSelected="1" zoomScale="60" zoomScaleNormal="60" workbookViewId="0">
      <pane xSplit="3" ySplit="3" topLeftCell="P120" activePane="bottomRight" state="frozen"/>
      <selection pane="topRight" activeCell="D1" sqref="D1"/>
      <selection pane="bottomLeft" activeCell="A4" sqref="A4"/>
      <selection pane="bottomRight" activeCell="V136" sqref="V136"/>
    </sheetView>
  </sheetViews>
  <sheetFormatPr defaultColWidth="14.42578125" defaultRowHeight="15" customHeight="1"/>
  <cols>
    <col min="1" max="1" width="5.5703125" customWidth="1"/>
    <col min="2" max="2" width="41.28515625" customWidth="1"/>
    <col min="3" max="3" width="13.5703125" customWidth="1"/>
    <col min="4" max="8" width="14.42578125" hidden="1" customWidth="1"/>
    <col min="9" max="9" width="15.42578125" hidden="1" customWidth="1"/>
    <col min="10" max="11" width="16.42578125" hidden="1" customWidth="1"/>
    <col min="12" max="20" width="23.5703125" customWidth="1"/>
    <col min="21" max="21" width="9.140625" customWidth="1"/>
    <col min="22" max="25" width="15.28515625" customWidth="1"/>
  </cols>
  <sheetData>
    <row r="1" spans="1:29" ht="15.75" customHeight="1">
      <c r="A1" s="1"/>
      <c r="B1" s="2"/>
      <c r="C1" s="2"/>
      <c r="D1" s="2"/>
      <c r="E1" s="2"/>
      <c r="F1" s="2"/>
      <c r="G1" s="2"/>
      <c r="H1" s="2"/>
      <c r="I1" s="2"/>
      <c r="J1" s="2"/>
      <c r="K1" s="2"/>
      <c r="L1" s="2"/>
      <c r="M1" s="2"/>
      <c r="N1" s="2"/>
      <c r="O1" s="2"/>
      <c r="P1" s="2"/>
      <c r="Q1" s="2"/>
      <c r="R1" s="2"/>
      <c r="S1" s="2"/>
      <c r="T1" s="2"/>
      <c r="U1" s="2"/>
      <c r="V1" s="2"/>
      <c r="W1" s="2"/>
      <c r="X1" s="2"/>
      <c r="Y1" s="2"/>
    </row>
    <row r="2" spans="1:29" ht="15.75" customHeight="1" thickBot="1">
      <c r="A2" s="1"/>
      <c r="B2" s="2"/>
      <c r="C2" s="2"/>
      <c r="D2" s="2"/>
      <c r="E2" s="2"/>
      <c r="F2" s="2"/>
      <c r="G2" s="2"/>
      <c r="H2" s="2"/>
      <c r="I2" s="2"/>
      <c r="J2" s="2"/>
      <c r="K2" s="2"/>
      <c r="L2" s="2"/>
      <c r="M2" s="2"/>
      <c r="N2" s="2"/>
      <c r="O2" s="2"/>
      <c r="P2" s="2"/>
      <c r="Q2" s="2"/>
      <c r="R2" s="2"/>
      <c r="S2" s="2"/>
      <c r="T2" s="2"/>
      <c r="U2" s="2"/>
      <c r="V2" s="2"/>
      <c r="W2" s="2"/>
      <c r="X2" s="2"/>
      <c r="Y2" s="2"/>
    </row>
    <row r="3" spans="1:29" ht="15.75" customHeight="1" thickBot="1">
      <c r="A3" s="122"/>
      <c r="B3" s="123" t="s">
        <v>128</v>
      </c>
      <c r="C3" s="124" t="s">
        <v>1</v>
      </c>
      <c r="D3" s="124">
        <v>2008</v>
      </c>
      <c r="E3" s="124">
        <f t="shared" ref="E3:T3" si="0">D3+1</f>
        <v>2009</v>
      </c>
      <c r="F3" s="124">
        <f t="shared" si="0"/>
        <v>2010</v>
      </c>
      <c r="G3" s="124">
        <f t="shared" si="0"/>
        <v>2011</v>
      </c>
      <c r="H3" s="124">
        <f t="shared" si="0"/>
        <v>2012</v>
      </c>
      <c r="I3" s="124">
        <f t="shared" si="0"/>
        <v>2013</v>
      </c>
      <c r="J3" s="124">
        <f t="shared" si="0"/>
        <v>2014</v>
      </c>
      <c r="K3" s="124">
        <f t="shared" si="0"/>
        <v>2015</v>
      </c>
      <c r="L3" s="124">
        <f t="shared" si="0"/>
        <v>2016</v>
      </c>
      <c r="M3" s="124">
        <f t="shared" si="0"/>
        <v>2017</v>
      </c>
      <c r="N3" s="124">
        <f t="shared" si="0"/>
        <v>2018</v>
      </c>
      <c r="O3" s="124">
        <f t="shared" si="0"/>
        <v>2019</v>
      </c>
      <c r="P3" s="124">
        <f t="shared" si="0"/>
        <v>2020</v>
      </c>
      <c r="Q3" s="124">
        <f t="shared" si="0"/>
        <v>2021</v>
      </c>
      <c r="R3" s="124">
        <f t="shared" si="0"/>
        <v>2022</v>
      </c>
      <c r="S3" s="124">
        <f t="shared" si="0"/>
        <v>2023</v>
      </c>
      <c r="T3" s="124">
        <f t="shared" si="0"/>
        <v>2024</v>
      </c>
      <c r="U3" s="2"/>
      <c r="V3" s="2"/>
      <c r="W3" s="2"/>
      <c r="X3" s="2"/>
      <c r="Y3" s="2"/>
    </row>
    <row r="4" spans="1:29" ht="15.75" customHeight="1">
      <c r="A4" s="1"/>
      <c r="B4" s="2"/>
      <c r="C4" s="2"/>
      <c r="D4" s="2"/>
      <c r="E4" s="2"/>
      <c r="F4" s="2"/>
      <c r="G4" s="2"/>
      <c r="H4" s="2"/>
      <c r="I4" s="2"/>
      <c r="J4" s="2"/>
      <c r="K4" s="2"/>
      <c r="L4" s="2"/>
      <c r="M4" s="2"/>
      <c r="N4" s="2"/>
      <c r="O4" s="2"/>
      <c r="P4" s="2"/>
      <c r="Q4" s="2"/>
      <c r="R4" s="2"/>
      <c r="S4" s="2"/>
      <c r="T4" s="2"/>
      <c r="U4" s="2"/>
      <c r="V4" s="2"/>
      <c r="W4" s="2"/>
      <c r="X4" s="2"/>
      <c r="Y4" s="2"/>
    </row>
    <row r="5" spans="1:29" ht="15.75" customHeight="1">
      <c r="A5" s="6" t="s">
        <v>89</v>
      </c>
      <c r="B5" s="2"/>
      <c r="C5" s="2"/>
      <c r="D5" s="2"/>
      <c r="E5" s="2"/>
      <c r="F5" s="2"/>
      <c r="G5" s="2"/>
      <c r="H5" s="2"/>
      <c r="I5" s="2"/>
      <c r="J5" s="2"/>
      <c r="K5" s="2"/>
      <c r="L5" s="2"/>
      <c r="M5" s="2"/>
      <c r="N5" s="2"/>
      <c r="O5" s="2"/>
      <c r="P5" s="2"/>
      <c r="Q5" s="2"/>
      <c r="R5" s="2"/>
      <c r="S5" s="2"/>
      <c r="T5" s="2"/>
      <c r="U5" s="2"/>
      <c r="V5" s="2"/>
      <c r="W5" s="2"/>
      <c r="X5" s="2"/>
      <c r="Y5" s="2"/>
    </row>
    <row r="6" spans="1:29" ht="6.75" customHeight="1" thickBot="1">
      <c r="A6" s="7"/>
      <c r="B6" s="2"/>
      <c r="C6" s="2"/>
      <c r="D6" s="2"/>
      <c r="E6" s="2"/>
      <c r="F6" s="2"/>
      <c r="G6" s="2"/>
      <c r="H6" s="2"/>
      <c r="I6" s="2"/>
      <c r="J6" s="2"/>
      <c r="K6" s="2"/>
      <c r="L6" s="2"/>
      <c r="M6" s="2"/>
      <c r="N6" s="2"/>
      <c r="O6" s="2"/>
      <c r="P6" s="2"/>
      <c r="Q6" s="2"/>
      <c r="R6" s="2"/>
      <c r="S6" s="2"/>
      <c r="T6" s="2"/>
      <c r="U6" s="2"/>
      <c r="V6" s="2"/>
      <c r="W6" s="2"/>
      <c r="X6" s="2"/>
      <c r="Y6" s="2"/>
    </row>
    <row r="7" spans="1:29" ht="15.75" customHeight="1" thickBot="1">
      <c r="A7" s="125" t="s">
        <v>3</v>
      </c>
      <c r="B7" s="123" t="s">
        <v>4</v>
      </c>
      <c r="C7" s="124" t="s">
        <v>5</v>
      </c>
      <c r="D7" s="124">
        <f t="shared" ref="D7:T7" si="1">D$3</f>
        <v>2008</v>
      </c>
      <c r="E7" s="124">
        <f t="shared" si="1"/>
        <v>2009</v>
      </c>
      <c r="F7" s="124">
        <f t="shared" si="1"/>
        <v>2010</v>
      </c>
      <c r="G7" s="124">
        <f t="shared" si="1"/>
        <v>2011</v>
      </c>
      <c r="H7" s="124">
        <f t="shared" si="1"/>
        <v>2012</v>
      </c>
      <c r="I7" s="124">
        <f t="shared" si="1"/>
        <v>2013</v>
      </c>
      <c r="J7" s="124">
        <f t="shared" si="1"/>
        <v>2014</v>
      </c>
      <c r="K7" s="124">
        <f t="shared" si="1"/>
        <v>2015</v>
      </c>
      <c r="L7" s="124">
        <f t="shared" si="1"/>
        <v>2016</v>
      </c>
      <c r="M7" s="124">
        <f t="shared" si="1"/>
        <v>2017</v>
      </c>
      <c r="N7" s="124">
        <f t="shared" si="1"/>
        <v>2018</v>
      </c>
      <c r="O7" s="124">
        <f t="shared" si="1"/>
        <v>2019</v>
      </c>
      <c r="P7" s="124">
        <f t="shared" si="1"/>
        <v>2020</v>
      </c>
      <c r="Q7" s="124">
        <f t="shared" si="1"/>
        <v>2021</v>
      </c>
      <c r="R7" s="124">
        <f t="shared" si="1"/>
        <v>2022</v>
      </c>
      <c r="S7" s="124">
        <f t="shared" si="1"/>
        <v>2023</v>
      </c>
      <c r="T7" s="124">
        <f t="shared" si="1"/>
        <v>2024</v>
      </c>
      <c r="U7" s="2"/>
      <c r="V7" s="2"/>
      <c r="W7" s="2"/>
      <c r="X7" s="2"/>
      <c r="Y7" s="2"/>
    </row>
    <row r="8" spans="1:29" ht="15.75" customHeight="1">
      <c r="A8" s="9">
        <v>-1</v>
      </c>
      <c r="B8" s="9">
        <f t="shared" ref="B8:T8" si="2">A8-1</f>
        <v>-2</v>
      </c>
      <c r="C8" s="9">
        <f t="shared" si="2"/>
        <v>-3</v>
      </c>
      <c r="D8" s="9">
        <f t="shared" si="2"/>
        <v>-4</v>
      </c>
      <c r="E8" s="9">
        <f t="shared" si="2"/>
        <v>-5</v>
      </c>
      <c r="F8" s="9">
        <f t="shared" si="2"/>
        <v>-6</v>
      </c>
      <c r="G8" s="9">
        <f t="shared" si="2"/>
        <v>-7</v>
      </c>
      <c r="H8" s="9">
        <f t="shared" si="2"/>
        <v>-8</v>
      </c>
      <c r="I8" s="9">
        <f t="shared" si="2"/>
        <v>-9</v>
      </c>
      <c r="J8" s="9">
        <f t="shared" si="2"/>
        <v>-10</v>
      </c>
      <c r="K8" s="9">
        <f t="shared" si="2"/>
        <v>-11</v>
      </c>
      <c r="L8" s="9">
        <f t="shared" si="2"/>
        <v>-12</v>
      </c>
      <c r="M8" s="9">
        <f t="shared" si="2"/>
        <v>-13</v>
      </c>
      <c r="N8" s="9">
        <f t="shared" si="2"/>
        <v>-14</v>
      </c>
      <c r="O8" s="9">
        <f t="shared" si="2"/>
        <v>-15</v>
      </c>
      <c r="P8" s="9">
        <f t="shared" si="2"/>
        <v>-16</v>
      </c>
      <c r="Q8" s="9">
        <f t="shared" si="2"/>
        <v>-17</v>
      </c>
      <c r="R8" s="9">
        <f t="shared" si="2"/>
        <v>-18</v>
      </c>
      <c r="S8" s="9">
        <f t="shared" si="2"/>
        <v>-19</v>
      </c>
      <c r="T8" s="9">
        <f t="shared" si="2"/>
        <v>-20</v>
      </c>
      <c r="U8" s="2"/>
      <c r="V8" s="2"/>
      <c r="W8" s="2"/>
      <c r="X8" s="2"/>
      <c r="Y8" s="2"/>
    </row>
    <row r="9" spans="1:29" ht="15.75" customHeight="1">
      <c r="A9" s="23">
        <v>1</v>
      </c>
      <c r="B9" s="24" t="s">
        <v>6</v>
      </c>
      <c r="C9" s="23" t="s">
        <v>84</v>
      </c>
      <c r="D9" s="34">
        <f t="shared" ref="D9:S9" si="3">SUM(D10:D11)</f>
        <v>0</v>
      </c>
      <c r="E9" s="34">
        <f t="shared" si="3"/>
        <v>0</v>
      </c>
      <c r="F9" s="34">
        <f t="shared" si="3"/>
        <v>180000000</v>
      </c>
      <c r="G9" s="34">
        <f t="shared" si="3"/>
        <v>276000000</v>
      </c>
      <c r="H9" s="34">
        <f t="shared" si="3"/>
        <v>294000000</v>
      </c>
      <c r="I9" s="34">
        <f t="shared" si="3"/>
        <v>585721415</v>
      </c>
      <c r="J9" s="34">
        <f t="shared" si="3"/>
        <v>585721415</v>
      </c>
      <c r="K9" s="34">
        <f t="shared" si="3"/>
        <v>1257169367</v>
      </c>
      <c r="L9" s="34">
        <f t="shared" si="3"/>
        <v>1282487720</v>
      </c>
      <c r="M9" s="34">
        <f t="shared" si="3"/>
        <v>1604227362</v>
      </c>
      <c r="N9" s="34">
        <f t="shared" si="3"/>
        <v>2387345104.3599997</v>
      </c>
      <c r="O9" s="34">
        <f t="shared" si="3"/>
        <v>2868940674.1399121</v>
      </c>
      <c r="P9" s="34">
        <f t="shared" si="3"/>
        <v>2963284076.1801553</v>
      </c>
      <c r="Q9" s="34">
        <f t="shared" si="3"/>
        <v>3220859010</v>
      </c>
      <c r="R9" s="34">
        <v>3135777682</v>
      </c>
      <c r="S9" s="34">
        <f t="shared" si="3"/>
        <v>2777981034.901268</v>
      </c>
      <c r="T9" s="34">
        <f t="shared" ref="T9" si="4">SUM(T10:T11)</f>
        <v>2865174843</v>
      </c>
      <c r="U9" s="184"/>
      <c r="V9" s="13"/>
      <c r="W9" s="13"/>
      <c r="X9" s="13"/>
      <c r="Y9" s="13"/>
      <c r="Z9" s="209"/>
      <c r="AA9" s="209"/>
      <c r="AB9" s="209"/>
      <c r="AC9" s="209"/>
    </row>
    <row r="10" spans="1:29" ht="15.75" customHeight="1">
      <c r="A10" s="14">
        <v>1.1000000000000001</v>
      </c>
      <c r="B10" s="15" t="s">
        <v>8</v>
      </c>
      <c r="C10" s="14" t="s">
        <v>84</v>
      </c>
      <c r="D10" s="16"/>
      <c r="E10" s="16"/>
      <c r="F10" s="16">
        <v>180000000</v>
      </c>
      <c r="G10" s="16">
        <v>276000000</v>
      </c>
      <c r="H10" s="16">
        <v>294000000</v>
      </c>
      <c r="I10" s="16">
        <v>231105621</v>
      </c>
      <c r="J10" s="16">
        <v>231105621</v>
      </c>
      <c r="K10" s="16">
        <v>211392968</v>
      </c>
      <c r="L10" s="16">
        <v>236711321</v>
      </c>
      <c r="M10" s="16">
        <v>236411321</v>
      </c>
      <c r="N10" s="16">
        <v>330359053.04999995</v>
      </c>
      <c r="O10" s="16">
        <v>821370862.83300161</v>
      </c>
      <c r="P10" s="16">
        <v>805756448.35036504</v>
      </c>
      <c r="Q10" s="16">
        <v>927781395</v>
      </c>
      <c r="R10" s="16">
        <v>927893427</v>
      </c>
      <c r="S10" s="16">
        <v>1005582972.71</v>
      </c>
      <c r="T10" s="16">
        <v>1010098898</v>
      </c>
      <c r="U10" s="2"/>
      <c r="V10" s="2"/>
      <c r="W10" s="2"/>
      <c r="X10" s="2"/>
      <c r="Y10" s="2"/>
      <c r="Z10" s="209"/>
      <c r="AA10" s="209"/>
      <c r="AB10" s="209"/>
      <c r="AC10" s="209"/>
    </row>
    <row r="11" spans="1:29" ht="15.75" customHeight="1">
      <c r="A11" s="14">
        <v>1.2</v>
      </c>
      <c r="B11" s="15" t="s">
        <v>9</v>
      </c>
      <c r="C11" s="14" t="s">
        <v>84</v>
      </c>
      <c r="D11" s="16"/>
      <c r="E11" s="16"/>
      <c r="F11" s="16">
        <v>0</v>
      </c>
      <c r="G11" s="16">
        <v>0</v>
      </c>
      <c r="H11" s="16">
        <v>0</v>
      </c>
      <c r="I11" s="16">
        <v>354615794</v>
      </c>
      <c r="J11" s="16">
        <v>354615794</v>
      </c>
      <c r="K11" s="16">
        <v>1045776399</v>
      </c>
      <c r="L11" s="16">
        <v>1045776399</v>
      </c>
      <c r="M11" s="16">
        <v>1367816041</v>
      </c>
      <c r="N11" s="16">
        <v>2056986051.3099999</v>
      </c>
      <c r="O11" s="16">
        <v>2047569811.3069105</v>
      </c>
      <c r="P11" s="16">
        <v>2157527627.8297901</v>
      </c>
      <c r="Q11" s="16">
        <v>2293077615</v>
      </c>
      <c r="R11" s="16">
        <v>2207884254</v>
      </c>
      <c r="S11" s="16">
        <v>1772398062.191268</v>
      </c>
      <c r="T11" s="16">
        <v>1855075945</v>
      </c>
      <c r="U11" s="2"/>
      <c r="V11" s="2"/>
      <c r="W11" s="2"/>
      <c r="X11" s="2"/>
      <c r="Y11" s="2"/>
      <c r="Z11" s="209"/>
      <c r="AA11" s="209"/>
      <c r="AB11" s="209"/>
      <c r="AC11" s="209"/>
    </row>
    <row r="12" spans="1:29" ht="15.75" customHeight="1">
      <c r="A12" s="23">
        <v>2</v>
      </c>
      <c r="B12" s="24" t="s">
        <v>10</v>
      </c>
      <c r="C12" s="23" t="s">
        <v>84</v>
      </c>
      <c r="D12" s="34">
        <f t="shared" ref="D12:S12" si="5">SUM(D13:D16)</f>
        <v>0</v>
      </c>
      <c r="E12" s="34">
        <f t="shared" si="5"/>
        <v>0</v>
      </c>
      <c r="F12" s="34">
        <f t="shared" si="5"/>
        <v>552000000</v>
      </c>
      <c r="G12" s="34">
        <f t="shared" si="5"/>
        <v>589000000</v>
      </c>
      <c r="H12" s="34">
        <f t="shared" si="5"/>
        <v>926000000</v>
      </c>
      <c r="I12" s="34">
        <f t="shared" si="5"/>
        <v>1346859258.6800001</v>
      </c>
      <c r="J12" s="34">
        <f t="shared" si="5"/>
        <v>1522872429.6800001</v>
      </c>
      <c r="K12" s="34">
        <f t="shared" si="5"/>
        <v>3617770881.6800003</v>
      </c>
      <c r="L12" s="34">
        <f t="shared" si="5"/>
        <v>3801345741.6800003</v>
      </c>
      <c r="M12" s="34">
        <f t="shared" si="5"/>
        <v>3047255142.6800003</v>
      </c>
      <c r="N12" s="34">
        <f t="shared" si="5"/>
        <v>3301338146.4899998</v>
      </c>
      <c r="O12" s="34">
        <f t="shared" si="5"/>
        <v>3877776153.9875183</v>
      </c>
      <c r="P12" s="34">
        <f t="shared" si="5"/>
        <v>5477255774.6905298</v>
      </c>
      <c r="Q12" s="34">
        <f t="shared" si="5"/>
        <v>6632138239</v>
      </c>
      <c r="R12" s="34">
        <f t="shared" si="5"/>
        <v>6211277289</v>
      </c>
      <c r="S12" s="34">
        <f t="shared" si="5"/>
        <v>7475842601.5423994</v>
      </c>
      <c r="T12" s="34">
        <f t="shared" ref="T12" si="6">SUM(T13:T16)</f>
        <v>7788652362</v>
      </c>
      <c r="U12" s="184"/>
      <c r="V12" s="13"/>
      <c r="W12" s="13"/>
      <c r="X12" s="13"/>
      <c r="Y12" s="13"/>
      <c r="Z12" s="209"/>
      <c r="AA12" s="209"/>
      <c r="AB12" s="209"/>
      <c r="AC12" s="209"/>
    </row>
    <row r="13" spans="1:29" ht="15.75" customHeight="1">
      <c r="A13" s="14">
        <v>2.1</v>
      </c>
      <c r="B13" s="15" t="s">
        <v>11</v>
      </c>
      <c r="C13" s="14" t="s">
        <v>84</v>
      </c>
      <c r="D13" s="16"/>
      <c r="E13" s="16"/>
      <c r="F13" s="16">
        <v>552000000</v>
      </c>
      <c r="G13" s="16">
        <v>589000000</v>
      </c>
      <c r="H13" s="16">
        <v>926000000</v>
      </c>
      <c r="I13" s="16">
        <v>43530000</v>
      </c>
      <c r="J13" s="16">
        <v>43530000</v>
      </c>
      <c r="K13" s="16">
        <v>64410958</v>
      </c>
      <c r="L13" s="16">
        <v>64410958</v>
      </c>
      <c r="M13" s="16">
        <v>43530000</v>
      </c>
      <c r="N13" s="16">
        <v>14511228</v>
      </c>
      <c r="O13" s="16">
        <v>13200000</v>
      </c>
      <c r="P13" s="16">
        <v>0</v>
      </c>
      <c r="Q13" s="16">
        <v>0</v>
      </c>
      <c r="R13" s="16">
        <v>0</v>
      </c>
      <c r="S13" s="16">
        <v>0</v>
      </c>
      <c r="T13" s="16"/>
      <c r="U13" s="2"/>
      <c r="V13" s="2"/>
      <c r="W13" s="2"/>
      <c r="X13" s="2"/>
      <c r="Y13" s="2"/>
      <c r="Z13" s="209"/>
      <c r="AA13" s="209"/>
      <c r="AB13" s="209"/>
      <c r="AC13" s="209"/>
    </row>
    <row r="14" spans="1:29" ht="15.75" customHeight="1">
      <c r="A14" s="14">
        <v>2.2000000000000002</v>
      </c>
      <c r="B14" s="15" t="s">
        <v>12</v>
      </c>
      <c r="C14" s="14" t="s">
        <v>84</v>
      </c>
      <c r="D14" s="16"/>
      <c r="E14" s="16"/>
      <c r="F14" s="16">
        <v>0</v>
      </c>
      <c r="G14" s="16">
        <v>0</v>
      </c>
      <c r="H14" s="16">
        <v>0</v>
      </c>
      <c r="I14" s="16">
        <v>648549244</v>
      </c>
      <c r="J14" s="16">
        <v>806928192</v>
      </c>
      <c r="K14" s="16">
        <v>2888528100</v>
      </c>
      <c r="L14" s="16">
        <v>2867376578</v>
      </c>
      <c r="M14" s="16">
        <v>1601045999</v>
      </c>
      <c r="N14" s="16">
        <v>1235470207</v>
      </c>
      <c r="O14" s="16">
        <v>1501695589.6505146</v>
      </c>
      <c r="P14" s="16">
        <v>1778865961.97297</v>
      </c>
      <c r="Q14" s="16">
        <v>2307954001</v>
      </c>
      <c r="R14" s="16">
        <v>2042279592</v>
      </c>
      <c r="S14" s="16">
        <v>2425907785.9099998</v>
      </c>
      <c r="T14" s="16">
        <v>2553309067</v>
      </c>
      <c r="U14" s="2"/>
      <c r="V14" s="2"/>
      <c r="W14" s="2"/>
      <c r="X14" s="2"/>
      <c r="Y14" s="2"/>
      <c r="Z14" s="209"/>
      <c r="AA14" s="209"/>
      <c r="AB14" s="209"/>
      <c r="AC14" s="209"/>
    </row>
    <row r="15" spans="1:29" ht="15.75" customHeight="1">
      <c r="A15" s="14">
        <v>2.2999999999999998</v>
      </c>
      <c r="B15" s="15" t="s">
        <v>13</v>
      </c>
      <c r="C15" s="14" t="s">
        <v>84</v>
      </c>
      <c r="D15" s="16"/>
      <c r="E15" s="16"/>
      <c r="F15" s="16">
        <v>0</v>
      </c>
      <c r="G15" s="16">
        <v>0</v>
      </c>
      <c r="H15" s="16">
        <v>0</v>
      </c>
      <c r="I15" s="16">
        <v>196788420.5</v>
      </c>
      <c r="J15" s="16">
        <v>200807826.5</v>
      </c>
      <c r="K15" s="16">
        <v>62583193.5</v>
      </c>
      <c r="L15" s="16">
        <v>62583193.5</v>
      </c>
      <c r="M15" s="16">
        <v>772095103.5</v>
      </c>
      <c r="N15" s="16">
        <v>1223067625.5</v>
      </c>
      <c r="O15" s="16">
        <v>662443548.68999314</v>
      </c>
      <c r="P15" s="16">
        <v>2147177755.78406</v>
      </c>
      <c r="Q15" s="16">
        <v>2334777970</v>
      </c>
      <c r="R15" s="16">
        <v>2414254759</v>
      </c>
      <c r="S15" s="16">
        <v>2955836857.5623999</v>
      </c>
      <c r="T15" s="16">
        <v>3094494212</v>
      </c>
      <c r="U15" s="2"/>
      <c r="V15" s="2"/>
      <c r="W15" s="2"/>
      <c r="X15" s="2"/>
      <c r="Y15" s="2"/>
      <c r="Z15" s="209"/>
      <c r="AA15" s="209"/>
      <c r="AB15" s="209"/>
      <c r="AC15" s="209"/>
    </row>
    <row r="16" spans="1:29" ht="15.75" customHeight="1">
      <c r="A16" s="14">
        <v>2.4</v>
      </c>
      <c r="B16" s="15" t="s">
        <v>14</v>
      </c>
      <c r="C16" s="14" t="s">
        <v>84</v>
      </c>
      <c r="D16" s="16"/>
      <c r="E16" s="16"/>
      <c r="F16" s="16">
        <v>0</v>
      </c>
      <c r="G16" s="16">
        <v>0</v>
      </c>
      <c r="H16" s="16">
        <v>0</v>
      </c>
      <c r="I16" s="16">
        <v>457991594.18000001</v>
      </c>
      <c r="J16" s="16">
        <v>471606411.18000001</v>
      </c>
      <c r="K16" s="16">
        <v>602248630.18000007</v>
      </c>
      <c r="L16" s="16">
        <v>806975012.18000007</v>
      </c>
      <c r="M16" s="16">
        <v>630584040.18000007</v>
      </c>
      <c r="N16" s="16">
        <v>828289085.99000001</v>
      </c>
      <c r="O16" s="16">
        <v>1700437015.6470106</v>
      </c>
      <c r="P16" s="16">
        <v>1551212056.9335001</v>
      </c>
      <c r="Q16" s="16">
        <v>1989406268</v>
      </c>
      <c r="R16" s="16">
        <v>1754742938</v>
      </c>
      <c r="S16" s="16">
        <v>2094097958.0699999</v>
      </c>
      <c r="T16" s="16">
        <v>2140849083</v>
      </c>
      <c r="U16" s="2"/>
      <c r="V16" s="2"/>
      <c r="W16" s="2"/>
      <c r="X16" s="2"/>
      <c r="Y16" s="2"/>
      <c r="Z16" s="209"/>
      <c r="AA16" s="209"/>
      <c r="AB16" s="209"/>
      <c r="AC16" s="209"/>
    </row>
    <row r="17" spans="1:29" ht="15.75" customHeight="1">
      <c r="A17" s="17" t="s">
        <v>15</v>
      </c>
      <c r="B17" s="2"/>
      <c r="C17" s="2"/>
      <c r="D17" s="2"/>
      <c r="E17" s="2"/>
      <c r="F17" s="2"/>
      <c r="G17" s="2"/>
      <c r="H17" s="2"/>
      <c r="I17" s="2"/>
      <c r="J17" s="2"/>
      <c r="K17" s="2"/>
      <c r="L17" s="2"/>
      <c r="M17" s="2"/>
      <c r="N17" s="2"/>
      <c r="O17" s="2"/>
      <c r="P17" s="199"/>
      <c r="Q17" s="199"/>
      <c r="R17" s="199"/>
      <c r="S17" s="199"/>
      <c r="T17" s="199"/>
      <c r="U17" s="2"/>
      <c r="V17" s="2"/>
      <c r="W17" s="2"/>
      <c r="X17" s="2"/>
      <c r="Y17" s="2"/>
    </row>
    <row r="18" spans="1:29" ht="15.75" customHeight="1">
      <c r="A18" s="1"/>
      <c r="B18" s="2"/>
      <c r="C18" s="2"/>
      <c r="D18" s="2"/>
      <c r="E18" s="2"/>
      <c r="F18" s="2"/>
      <c r="G18" s="2"/>
      <c r="H18" s="2"/>
      <c r="I18" s="2"/>
      <c r="J18" s="2"/>
      <c r="K18" s="2"/>
      <c r="L18" s="2"/>
      <c r="M18" s="2"/>
      <c r="N18" s="2"/>
      <c r="O18" s="2"/>
      <c r="P18" s="2"/>
      <c r="Q18" s="2"/>
      <c r="R18" s="2"/>
      <c r="S18" s="2"/>
      <c r="T18" s="2"/>
      <c r="U18" s="2"/>
      <c r="V18" s="2"/>
      <c r="W18" s="2"/>
      <c r="X18" s="2"/>
      <c r="Y18" s="2"/>
    </row>
    <row r="19" spans="1:29" ht="15.75" customHeight="1">
      <c r="A19" s="1"/>
      <c r="B19" s="2"/>
      <c r="C19" s="2"/>
      <c r="D19" s="2"/>
      <c r="E19" s="2"/>
      <c r="F19" s="2"/>
      <c r="G19" s="2"/>
      <c r="H19" s="2"/>
      <c r="I19" s="2"/>
      <c r="J19" s="2"/>
      <c r="K19" s="2"/>
      <c r="L19" s="2"/>
      <c r="M19" s="2"/>
      <c r="N19" s="2"/>
      <c r="O19" s="2"/>
      <c r="P19" s="192"/>
      <c r="Q19" s="192"/>
      <c r="R19" s="192"/>
      <c r="S19" s="192"/>
      <c r="T19" s="192"/>
      <c r="U19" s="2"/>
      <c r="V19" s="2"/>
      <c r="W19" s="2"/>
      <c r="X19" s="2"/>
      <c r="Y19" s="2"/>
    </row>
    <row r="20" spans="1:29" ht="15.75" customHeight="1">
      <c r="A20" s="6" t="s">
        <v>90</v>
      </c>
      <c r="B20" s="2"/>
      <c r="C20" s="2"/>
      <c r="D20" s="2"/>
      <c r="E20" s="2"/>
      <c r="F20" s="2"/>
      <c r="G20" s="2"/>
      <c r="H20" s="2"/>
      <c r="I20" s="2"/>
      <c r="J20" s="2"/>
      <c r="K20" s="2"/>
      <c r="L20" s="2"/>
      <c r="M20" s="2"/>
      <c r="N20" s="2"/>
      <c r="O20" s="2"/>
      <c r="P20" s="2"/>
      <c r="Q20" s="2"/>
      <c r="R20" s="2"/>
      <c r="S20" s="2"/>
      <c r="T20" s="2"/>
      <c r="U20" s="2"/>
      <c r="V20" s="2"/>
      <c r="W20" s="2"/>
      <c r="X20" s="2"/>
      <c r="Y20" s="2"/>
    </row>
    <row r="21" spans="1:29" ht="15.75" customHeight="1" thickBot="1">
      <c r="A21" s="7"/>
      <c r="B21" s="2"/>
      <c r="C21" s="2"/>
      <c r="D21" s="2"/>
      <c r="E21" s="2"/>
      <c r="F21" s="2"/>
      <c r="G21" s="2"/>
      <c r="H21" s="2"/>
      <c r="I21" s="2"/>
      <c r="J21" s="2"/>
      <c r="K21" s="2"/>
      <c r="L21" s="2"/>
      <c r="M21" s="2"/>
      <c r="N21" s="2"/>
      <c r="O21" s="2"/>
      <c r="P21" s="2"/>
      <c r="Q21" s="2"/>
      <c r="R21" s="2"/>
      <c r="S21" s="2"/>
      <c r="T21" s="2"/>
      <c r="U21" s="2"/>
      <c r="V21" s="2"/>
      <c r="W21" s="2"/>
      <c r="X21" s="2"/>
      <c r="Y21" s="2"/>
    </row>
    <row r="22" spans="1:29" ht="15.75" customHeight="1" thickBot="1">
      <c r="A22" s="125" t="s">
        <v>3</v>
      </c>
      <c r="B22" s="123" t="s">
        <v>4</v>
      </c>
      <c r="C22" s="124" t="s">
        <v>5</v>
      </c>
      <c r="D22" s="124">
        <f t="shared" ref="D22:T22" si="7">D$3</f>
        <v>2008</v>
      </c>
      <c r="E22" s="124">
        <f t="shared" si="7"/>
        <v>2009</v>
      </c>
      <c r="F22" s="124">
        <f t="shared" si="7"/>
        <v>2010</v>
      </c>
      <c r="G22" s="124">
        <f t="shared" si="7"/>
        <v>2011</v>
      </c>
      <c r="H22" s="124">
        <f t="shared" si="7"/>
        <v>2012</v>
      </c>
      <c r="I22" s="124">
        <f t="shared" si="7"/>
        <v>2013</v>
      </c>
      <c r="J22" s="124">
        <f t="shared" si="7"/>
        <v>2014</v>
      </c>
      <c r="K22" s="124">
        <f t="shared" si="7"/>
        <v>2015</v>
      </c>
      <c r="L22" s="124">
        <f t="shared" si="7"/>
        <v>2016</v>
      </c>
      <c r="M22" s="124">
        <f t="shared" si="7"/>
        <v>2017</v>
      </c>
      <c r="N22" s="124">
        <f t="shared" si="7"/>
        <v>2018</v>
      </c>
      <c r="O22" s="124">
        <f t="shared" si="7"/>
        <v>2019</v>
      </c>
      <c r="P22" s="124">
        <f t="shared" si="7"/>
        <v>2020</v>
      </c>
      <c r="Q22" s="124">
        <f t="shared" si="7"/>
        <v>2021</v>
      </c>
      <c r="R22" s="124">
        <f t="shared" si="7"/>
        <v>2022</v>
      </c>
      <c r="S22" s="124">
        <f t="shared" si="7"/>
        <v>2023</v>
      </c>
      <c r="T22" s="124">
        <f t="shared" si="7"/>
        <v>2024</v>
      </c>
      <c r="U22" s="2"/>
      <c r="V22" s="2"/>
      <c r="W22" s="2"/>
      <c r="X22" s="2"/>
      <c r="Y22" s="2"/>
    </row>
    <row r="23" spans="1:29" ht="15.75" customHeight="1">
      <c r="A23" s="9">
        <v>-1</v>
      </c>
      <c r="B23" s="9">
        <f t="shared" ref="B23:T23" si="8">A23-1</f>
        <v>-2</v>
      </c>
      <c r="C23" s="9">
        <f t="shared" si="8"/>
        <v>-3</v>
      </c>
      <c r="D23" s="9">
        <f t="shared" si="8"/>
        <v>-4</v>
      </c>
      <c r="E23" s="9">
        <f t="shared" si="8"/>
        <v>-5</v>
      </c>
      <c r="F23" s="9">
        <f t="shared" si="8"/>
        <v>-6</v>
      </c>
      <c r="G23" s="9">
        <f t="shared" si="8"/>
        <v>-7</v>
      </c>
      <c r="H23" s="9">
        <f t="shared" si="8"/>
        <v>-8</v>
      </c>
      <c r="I23" s="9">
        <f t="shared" si="8"/>
        <v>-9</v>
      </c>
      <c r="J23" s="9">
        <f t="shared" si="8"/>
        <v>-10</v>
      </c>
      <c r="K23" s="9">
        <f t="shared" si="8"/>
        <v>-11</v>
      </c>
      <c r="L23" s="9">
        <f t="shared" si="8"/>
        <v>-12</v>
      </c>
      <c r="M23" s="9">
        <f t="shared" si="8"/>
        <v>-13</v>
      </c>
      <c r="N23" s="9">
        <f t="shared" si="8"/>
        <v>-14</v>
      </c>
      <c r="O23" s="9">
        <f t="shared" si="8"/>
        <v>-15</v>
      </c>
      <c r="P23" s="9">
        <f t="shared" si="8"/>
        <v>-16</v>
      </c>
      <c r="Q23" s="9">
        <f t="shared" si="8"/>
        <v>-17</v>
      </c>
      <c r="R23" s="9">
        <f t="shared" si="8"/>
        <v>-18</v>
      </c>
      <c r="S23" s="9">
        <f t="shared" si="8"/>
        <v>-19</v>
      </c>
      <c r="T23" s="9">
        <f t="shared" si="8"/>
        <v>-20</v>
      </c>
      <c r="U23" s="2"/>
      <c r="V23" s="2"/>
      <c r="W23" s="2"/>
      <c r="X23" s="2"/>
      <c r="Y23" s="2"/>
    </row>
    <row r="24" spans="1:29" ht="15.75" customHeight="1">
      <c r="A24" s="23">
        <v>1</v>
      </c>
      <c r="B24" s="24" t="s">
        <v>6</v>
      </c>
      <c r="C24" s="23" t="s">
        <v>84</v>
      </c>
      <c r="D24" s="34">
        <f t="shared" ref="D24:Q24" si="9">SUM(D25:D26)</f>
        <v>0</v>
      </c>
      <c r="E24" s="34">
        <f t="shared" si="9"/>
        <v>0</v>
      </c>
      <c r="F24" s="34">
        <f t="shared" si="9"/>
        <v>0</v>
      </c>
      <c r="G24" s="34">
        <f t="shared" si="9"/>
        <v>0</v>
      </c>
      <c r="H24" s="34">
        <f t="shared" si="9"/>
        <v>238157920.26190001</v>
      </c>
      <c r="I24" s="34">
        <f t="shared" si="9"/>
        <v>239598060.26190001</v>
      </c>
      <c r="J24" s="34">
        <f t="shared" si="9"/>
        <v>239598060.26190001</v>
      </c>
      <c r="K24" s="34">
        <f t="shared" si="9"/>
        <v>571254868.98290002</v>
      </c>
      <c r="L24" s="34">
        <f t="shared" si="9"/>
        <v>602894899.01320004</v>
      </c>
      <c r="M24" s="34">
        <f t="shared" si="9"/>
        <v>732209129.78139997</v>
      </c>
      <c r="N24" s="34">
        <f t="shared" si="9"/>
        <v>743668589.51839995</v>
      </c>
      <c r="O24" s="34">
        <f t="shared" si="9"/>
        <v>740289212.43409181</v>
      </c>
      <c r="P24" s="34">
        <f t="shared" si="9"/>
        <v>946971503.61708093</v>
      </c>
      <c r="Q24" s="34">
        <f t="shared" si="9"/>
        <v>520475102</v>
      </c>
      <c r="R24" s="34">
        <f t="shared" ref="R24:S24" si="10">SUM(R25:R26)</f>
        <v>533891953</v>
      </c>
      <c r="S24" s="34">
        <f t="shared" si="10"/>
        <v>531423886.80197549</v>
      </c>
      <c r="T24" s="34">
        <f t="shared" ref="T24" si="11">SUM(T25:T26)</f>
        <v>552309528</v>
      </c>
      <c r="U24" s="2"/>
      <c r="V24" s="2"/>
      <c r="W24" s="2"/>
      <c r="X24" s="2"/>
      <c r="Y24" s="2"/>
      <c r="Z24" s="209"/>
      <c r="AA24" s="209"/>
      <c r="AB24" s="209"/>
      <c r="AC24" s="209"/>
    </row>
    <row r="25" spans="1:29" ht="15.75" customHeight="1">
      <c r="A25" s="14">
        <v>1.1000000000000001</v>
      </c>
      <c r="B25" s="15" t="s">
        <v>8</v>
      </c>
      <c r="C25" s="14" t="s">
        <v>84</v>
      </c>
      <c r="D25" s="16"/>
      <c r="E25" s="16"/>
      <c r="F25" s="16"/>
      <c r="G25" s="16"/>
      <c r="H25" s="16">
        <v>91466738.816399992</v>
      </c>
      <c r="I25" s="16">
        <v>98732458.816399992</v>
      </c>
      <c r="J25" s="16">
        <v>98732458.816399992</v>
      </c>
      <c r="K25" s="16">
        <v>88993928.3618</v>
      </c>
      <c r="L25" s="16">
        <v>100758383.2753</v>
      </c>
      <c r="M25" s="16">
        <v>100637019.7165</v>
      </c>
      <c r="N25" s="16">
        <v>82048629.996899992</v>
      </c>
      <c r="O25" s="16">
        <v>299131518.41873091</v>
      </c>
      <c r="P25" s="16">
        <v>286807326.12048298</v>
      </c>
      <c r="Q25" s="16">
        <v>160721984</v>
      </c>
      <c r="R25" s="16">
        <v>174032245</v>
      </c>
      <c r="S25" s="16">
        <v>192207527.94048908</v>
      </c>
      <c r="T25" s="16">
        <v>193617318</v>
      </c>
      <c r="U25" s="2"/>
      <c r="V25" s="2"/>
      <c r="W25" s="2"/>
      <c r="X25" s="2"/>
      <c r="Y25" s="2"/>
      <c r="Z25" s="209"/>
      <c r="AA25" s="209"/>
      <c r="AB25" s="209"/>
      <c r="AC25" s="209"/>
    </row>
    <row r="26" spans="1:29" ht="15.75" customHeight="1">
      <c r="A26" s="14">
        <v>1.2</v>
      </c>
      <c r="B26" s="15" t="s">
        <v>9</v>
      </c>
      <c r="C26" s="14" t="s">
        <v>84</v>
      </c>
      <c r="D26" s="16"/>
      <c r="E26" s="16"/>
      <c r="F26" s="16"/>
      <c r="G26" s="16"/>
      <c r="H26" s="16">
        <v>146691181.44550002</v>
      </c>
      <c r="I26" s="16">
        <v>140865601.44550002</v>
      </c>
      <c r="J26" s="16">
        <v>140865601.44550002</v>
      </c>
      <c r="K26" s="16">
        <v>482260940.62110001</v>
      </c>
      <c r="L26" s="16">
        <v>502136515.73790002</v>
      </c>
      <c r="M26" s="16">
        <v>631572110.06489992</v>
      </c>
      <c r="N26" s="16">
        <v>661619959.52149999</v>
      </c>
      <c r="O26" s="16">
        <v>441157694.01536089</v>
      </c>
      <c r="P26" s="16">
        <v>660164177.49659801</v>
      </c>
      <c r="Q26" s="16">
        <v>359753118</v>
      </c>
      <c r="R26" s="16">
        <v>359859708</v>
      </c>
      <c r="S26" s="16">
        <v>339216358.86148643</v>
      </c>
      <c r="T26" s="16">
        <v>358692210</v>
      </c>
      <c r="U26" s="2"/>
      <c r="V26" s="2"/>
      <c r="W26" s="2"/>
      <c r="X26" s="2"/>
      <c r="Y26" s="2"/>
      <c r="Z26" s="209"/>
      <c r="AA26" s="209"/>
      <c r="AB26" s="209"/>
      <c r="AC26" s="209"/>
    </row>
    <row r="27" spans="1:29" ht="15.75" customHeight="1">
      <c r="A27" s="23">
        <v>2</v>
      </c>
      <c r="B27" s="24" t="s">
        <v>10</v>
      </c>
      <c r="C27" s="23" t="s">
        <v>84</v>
      </c>
      <c r="D27" s="34">
        <f t="shared" ref="D27:S27" si="12">SUM(D28:D31)</f>
        <v>0</v>
      </c>
      <c r="E27" s="34">
        <f t="shared" si="12"/>
        <v>0</v>
      </c>
      <c r="F27" s="34">
        <f t="shared" si="12"/>
        <v>0</v>
      </c>
      <c r="G27" s="34">
        <f t="shared" si="12"/>
        <v>0</v>
      </c>
      <c r="H27" s="34">
        <f t="shared" si="12"/>
        <v>512761250.40111804</v>
      </c>
      <c r="I27" s="34">
        <f t="shared" si="12"/>
        <v>648479376.64286995</v>
      </c>
      <c r="J27" s="34">
        <f t="shared" si="12"/>
        <v>724391316.24356997</v>
      </c>
      <c r="K27" s="34">
        <f t="shared" si="12"/>
        <v>1740461413.64797</v>
      </c>
      <c r="L27" s="34">
        <f t="shared" si="12"/>
        <v>1795694023.3697701</v>
      </c>
      <c r="M27" s="34">
        <f t="shared" si="12"/>
        <v>1389600066.5469186</v>
      </c>
      <c r="N27" s="34">
        <f t="shared" si="12"/>
        <v>1395045237.8560648</v>
      </c>
      <c r="O27" s="34">
        <f t="shared" si="12"/>
        <v>1356236528.0079584</v>
      </c>
      <c r="P27" s="34">
        <f t="shared" si="12"/>
        <v>1799050076.3344522</v>
      </c>
      <c r="Q27" s="34">
        <f t="shared" si="12"/>
        <v>1094186119</v>
      </c>
      <c r="R27" s="34">
        <f t="shared" si="12"/>
        <v>1123636697</v>
      </c>
      <c r="S27" s="34">
        <f t="shared" si="12"/>
        <v>1248519931.7098825</v>
      </c>
      <c r="T27" s="34">
        <f t="shared" ref="T27" si="13">SUM(T28:T31)</f>
        <v>1325072429</v>
      </c>
      <c r="U27" s="2"/>
      <c r="V27" s="2"/>
      <c r="W27" s="2"/>
      <c r="X27" s="2"/>
      <c r="Y27" s="2"/>
      <c r="Z27" s="209"/>
      <c r="AA27" s="209"/>
      <c r="AB27" s="209"/>
      <c r="AC27" s="209"/>
    </row>
    <row r="28" spans="1:29" ht="15.75" customHeight="1">
      <c r="A28" s="14">
        <v>2.1</v>
      </c>
      <c r="B28" s="15" t="s">
        <v>11</v>
      </c>
      <c r="C28" s="14" t="s">
        <v>84</v>
      </c>
      <c r="D28" s="16"/>
      <c r="E28" s="16"/>
      <c r="F28" s="16"/>
      <c r="G28" s="16"/>
      <c r="H28" s="16">
        <v>5719559.9999999991</v>
      </c>
      <c r="I28" s="16">
        <v>5719559.9999999991</v>
      </c>
      <c r="J28" s="16">
        <v>5719559.9999999991</v>
      </c>
      <c r="K28" s="16">
        <v>44160039</v>
      </c>
      <c r="L28" s="16">
        <v>16160039</v>
      </c>
      <c r="M28" s="16">
        <v>20884560</v>
      </c>
      <c r="N28" s="16">
        <v>5719559.9999999991</v>
      </c>
      <c r="O28" s="16">
        <v>5719559.9999999991</v>
      </c>
      <c r="P28" s="16">
        <v>0</v>
      </c>
      <c r="Q28" s="16">
        <v>0</v>
      </c>
      <c r="R28" s="16">
        <v>0</v>
      </c>
      <c r="S28" s="16">
        <v>0</v>
      </c>
      <c r="T28" s="16"/>
      <c r="U28" s="2"/>
      <c r="V28" s="2"/>
      <c r="W28" s="2"/>
      <c r="X28" s="2"/>
      <c r="Y28" s="2"/>
      <c r="Z28" s="209"/>
      <c r="AA28" s="209"/>
      <c r="AB28" s="209"/>
      <c r="AC28" s="209"/>
    </row>
    <row r="29" spans="1:29" ht="15.75" customHeight="1">
      <c r="A29" s="14">
        <v>2.2000000000000002</v>
      </c>
      <c r="B29" s="15" t="s">
        <v>12</v>
      </c>
      <c r="C29" s="14" t="s">
        <v>84</v>
      </c>
      <c r="D29" s="16"/>
      <c r="E29" s="16"/>
      <c r="F29" s="16"/>
      <c r="G29" s="16"/>
      <c r="H29" s="16">
        <v>255140797.80627</v>
      </c>
      <c r="I29" s="16">
        <v>309224380.47979999</v>
      </c>
      <c r="J29" s="16">
        <v>377028488.17140001</v>
      </c>
      <c r="K29" s="16">
        <v>1399446451.7096</v>
      </c>
      <c r="L29" s="16">
        <v>1396136290.7096</v>
      </c>
      <c r="M29" s="16">
        <v>763032126.95927167</v>
      </c>
      <c r="N29" s="16">
        <v>577556477.75677168</v>
      </c>
      <c r="O29" s="16">
        <v>423198775.4222343</v>
      </c>
      <c r="P29" s="16">
        <v>470742365.02043098</v>
      </c>
      <c r="Q29" s="16">
        <v>319076707</v>
      </c>
      <c r="R29" s="16">
        <v>309533692</v>
      </c>
      <c r="S29" s="16">
        <v>382864431.38892925</v>
      </c>
      <c r="T29" s="16">
        <v>405443556</v>
      </c>
      <c r="U29" s="2"/>
      <c r="V29" s="2"/>
      <c r="W29" s="2"/>
      <c r="X29" s="2"/>
      <c r="Y29" s="2"/>
      <c r="Z29" s="209"/>
      <c r="AA29" s="209"/>
      <c r="AB29" s="209"/>
      <c r="AC29" s="209"/>
    </row>
    <row r="30" spans="1:29" ht="15.75" customHeight="1">
      <c r="A30" s="14">
        <v>2.2999999999999998</v>
      </c>
      <c r="B30" s="15" t="s">
        <v>13</v>
      </c>
      <c r="C30" s="14" t="s">
        <v>84</v>
      </c>
      <c r="D30" s="16"/>
      <c r="E30" s="16"/>
      <c r="F30" s="16"/>
      <c r="G30" s="16"/>
      <c r="H30" s="16">
        <v>82571700.885531992</v>
      </c>
      <c r="I30" s="16">
        <v>106703292.51795</v>
      </c>
      <c r="J30" s="16">
        <v>108760022.56815</v>
      </c>
      <c r="K30" s="16">
        <v>28262433.860750001</v>
      </c>
      <c r="L30" s="16">
        <v>28262433.860750001</v>
      </c>
      <c r="M30" s="16">
        <v>323029986.27535498</v>
      </c>
      <c r="N30" s="16">
        <v>465477481.75425512</v>
      </c>
      <c r="O30" s="16">
        <v>286820073.0784952</v>
      </c>
      <c r="P30" s="16">
        <v>744712788.48226905</v>
      </c>
      <c r="Q30" s="16">
        <v>402906786</v>
      </c>
      <c r="R30" s="16">
        <v>457866805</v>
      </c>
      <c r="S30" s="16">
        <v>470686637.80246097</v>
      </c>
      <c r="T30" s="16">
        <v>519590999</v>
      </c>
      <c r="U30" s="2"/>
      <c r="V30" s="2"/>
      <c r="W30" s="2"/>
      <c r="X30" s="2"/>
      <c r="Y30" s="2"/>
      <c r="Z30" s="209"/>
      <c r="AA30" s="209"/>
      <c r="AB30" s="209"/>
      <c r="AC30" s="209"/>
    </row>
    <row r="31" spans="1:29" ht="15.75" customHeight="1">
      <c r="A31" s="14">
        <v>2.4</v>
      </c>
      <c r="B31" s="15" t="s">
        <v>14</v>
      </c>
      <c r="C31" s="14" t="s">
        <v>84</v>
      </c>
      <c r="D31" s="16"/>
      <c r="E31" s="16"/>
      <c r="F31" s="16"/>
      <c r="G31" s="16"/>
      <c r="H31" s="16">
        <v>169329191.70931602</v>
      </c>
      <c r="I31" s="16">
        <v>226832143.64511999</v>
      </c>
      <c r="J31" s="16">
        <v>232883245.50402001</v>
      </c>
      <c r="K31" s="16">
        <v>268592489.07762003</v>
      </c>
      <c r="L31" s="16">
        <v>355135259.79942006</v>
      </c>
      <c r="M31" s="16">
        <v>282653393.31229192</v>
      </c>
      <c r="N31" s="16">
        <v>346291718.34503794</v>
      </c>
      <c r="O31" s="16">
        <v>640498119.50722897</v>
      </c>
      <c r="P31" s="16">
        <v>583594922.83175194</v>
      </c>
      <c r="Q31" s="16">
        <v>372202626</v>
      </c>
      <c r="R31" s="16">
        <v>356236200</v>
      </c>
      <c r="S31" s="16">
        <v>394968862.51849222</v>
      </c>
      <c r="T31" s="16">
        <v>400037874</v>
      </c>
      <c r="U31" s="2"/>
      <c r="V31" s="2"/>
      <c r="W31" s="2"/>
      <c r="X31" s="2"/>
      <c r="Y31" s="2"/>
      <c r="Z31" s="209"/>
      <c r="AA31" s="209"/>
      <c r="AB31" s="209"/>
      <c r="AC31" s="209"/>
    </row>
    <row r="32" spans="1:29" ht="15.75" customHeight="1">
      <c r="A32" s="17" t="s">
        <v>15</v>
      </c>
      <c r="B32" s="2"/>
      <c r="C32" s="2"/>
      <c r="D32" s="2"/>
      <c r="E32" s="2"/>
      <c r="F32" s="2"/>
      <c r="G32" s="2"/>
      <c r="H32" s="2"/>
      <c r="I32" s="2"/>
      <c r="J32" s="2"/>
      <c r="K32" s="2"/>
      <c r="L32" s="2"/>
      <c r="M32" s="2"/>
      <c r="N32" s="2"/>
      <c r="O32" s="2"/>
      <c r="P32" s="2"/>
      <c r="Q32" s="2"/>
      <c r="R32" s="2"/>
      <c r="S32" s="2"/>
      <c r="T32" s="2"/>
      <c r="U32" s="2"/>
      <c r="V32" s="2"/>
      <c r="W32" s="2"/>
      <c r="X32" s="2"/>
      <c r="Y32" s="2"/>
    </row>
    <row r="33" spans="1:29" ht="15.75" customHeight="1">
      <c r="A33" s="1"/>
      <c r="B33" s="2"/>
      <c r="C33" s="2"/>
      <c r="D33" s="2"/>
      <c r="E33" s="2"/>
      <c r="F33" s="2"/>
      <c r="G33" s="2"/>
      <c r="H33" s="2"/>
      <c r="I33" s="2"/>
      <c r="J33" s="2"/>
      <c r="K33" s="2"/>
      <c r="L33" s="2"/>
      <c r="M33" s="2"/>
      <c r="N33" s="2"/>
      <c r="O33" s="2"/>
      <c r="P33" s="2"/>
      <c r="Q33" s="2"/>
      <c r="R33" s="2"/>
      <c r="S33" s="2"/>
      <c r="T33" s="2"/>
      <c r="U33" s="2"/>
      <c r="V33" s="2"/>
      <c r="W33" s="2"/>
      <c r="X33" s="2"/>
      <c r="Y33" s="2"/>
    </row>
    <row r="34" spans="1:29" ht="15.75" customHeight="1">
      <c r="A34" s="1"/>
      <c r="B34" s="2"/>
      <c r="C34" s="2"/>
      <c r="D34" s="2"/>
      <c r="E34" s="2"/>
      <c r="F34" s="2"/>
      <c r="G34" s="2"/>
      <c r="H34" s="2"/>
      <c r="I34" s="2"/>
      <c r="J34" s="2"/>
      <c r="K34" s="2"/>
      <c r="L34" s="2"/>
      <c r="M34" s="2"/>
      <c r="N34" s="2"/>
      <c r="O34" s="2"/>
      <c r="P34" s="185"/>
      <c r="Q34" s="185"/>
      <c r="R34" s="185"/>
      <c r="S34" s="185"/>
      <c r="T34" s="185"/>
      <c r="U34" s="2"/>
      <c r="V34" s="2"/>
      <c r="W34" s="2"/>
      <c r="X34" s="2"/>
      <c r="Y34" s="2"/>
    </row>
    <row r="35" spans="1:29" ht="15.75" customHeight="1">
      <c r="A35" s="6" t="s">
        <v>91</v>
      </c>
      <c r="B35" s="2"/>
      <c r="C35" s="2"/>
      <c r="D35" s="2"/>
      <c r="E35" s="2"/>
      <c r="F35" s="2"/>
      <c r="G35" s="2"/>
      <c r="H35" s="2"/>
      <c r="I35" s="2"/>
      <c r="J35" s="2"/>
      <c r="K35" s="2"/>
      <c r="L35" s="2"/>
      <c r="M35" s="2"/>
      <c r="N35" s="2"/>
      <c r="O35" s="2"/>
      <c r="P35" s="185"/>
      <c r="Q35" s="185"/>
      <c r="R35" s="185"/>
      <c r="S35" s="185"/>
      <c r="T35" s="185"/>
      <c r="U35" s="2"/>
      <c r="V35" s="2"/>
      <c r="W35" s="2"/>
      <c r="X35" s="2"/>
      <c r="Y35" s="2"/>
    </row>
    <row r="36" spans="1:29" ht="7.5" customHeight="1" thickBot="1">
      <c r="A36" s="7"/>
      <c r="B36" s="2"/>
      <c r="C36" s="2"/>
      <c r="D36" s="2"/>
      <c r="E36" s="2"/>
      <c r="F36" s="2"/>
      <c r="G36" s="2"/>
      <c r="H36" s="2"/>
      <c r="I36" s="2"/>
      <c r="J36" s="2"/>
      <c r="K36" s="2"/>
      <c r="L36" s="2"/>
      <c r="M36" s="2"/>
      <c r="N36" s="2"/>
      <c r="O36" s="2"/>
      <c r="P36" s="2"/>
      <c r="Q36" s="2"/>
      <c r="R36" s="2"/>
      <c r="S36" s="2"/>
      <c r="T36" s="2"/>
      <c r="U36" s="2"/>
      <c r="V36" s="2"/>
      <c r="W36" s="2"/>
      <c r="X36" s="2"/>
      <c r="Y36" s="2"/>
    </row>
    <row r="37" spans="1:29" ht="15.75" customHeight="1" thickBot="1">
      <c r="A37" s="125" t="s">
        <v>3</v>
      </c>
      <c r="B37" s="123" t="s">
        <v>4</v>
      </c>
      <c r="C37" s="124" t="s">
        <v>5</v>
      </c>
      <c r="D37" s="124">
        <f t="shared" ref="D37:T37" si="14">D$3</f>
        <v>2008</v>
      </c>
      <c r="E37" s="124">
        <f t="shared" si="14"/>
        <v>2009</v>
      </c>
      <c r="F37" s="124">
        <f t="shared" si="14"/>
        <v>2010</v>
      </c>
      <c r="G37" s="124">
        <f t="shared" si="14"/>
        <v>2011</v>
      </c>
      <c r="H37" s="124">
        <f t="shared" si="14"/>
        <v>2012</v>
      </c>
      <c r="I37" s="124">
        <f t="shared" si="14"/>
        <v>2013</v>
      </c>
      <c r="J37" s="124">
        <f t="shared" si="14"/>
        <v>2014</v>
      </c>
      <c r="K37" s="124">
        <f t="shared" si="14"/>
        <v>2015</v>
      </c>
      <c r="L37" s="124">
        <f t="shared" si="14"/>
        <v>2016</v>
      </c>
      <c r="M37" s="124">
        <f t="shared" si="14"/>
        <v>2017</v>
      </c>
      <c r="N37" s="124">
        <f t="shared" si="14"/>
        <v>2018</v>
      </c>
      <c r="O37" s="124">
        <f t="shared" si="14"/>
        <v>2019</v>
      </c>
      <c r="P37" s="124">
        <f t="shared" si="14"/>
        <v>2020</v>
      </c>
      <c r="Q37" s="124">
        <f t="shared" si="14"/>
        <v>2021</v>
      </c>
      <c r="R37" s="124">
        <f t="shared" si="14"/>
        <v>2022</v>
      </c>
      <c r="S37" s="124">
        <f t="shared" si="14"/>
        <v>2023</v>
      </c>
      <c r="T37" s="124">
        <f t="shared" si="14"/>
        <v>2024</v>
      </c>
      <c r="U37" s="2"/>
      <c r="V37" s="2"/>
      <c r="W37" s="2"/>
      <c r="X37" s="2"/>
      <c r="Y37" s="2"/>
    </row>
    <row r="38" spans="1:29" ht="15.75" customHeight="1">
      <c r="A38" s="9">
        <v>-1</v>
      </c>
      <c r="B38" s="9">
        <f t="shared" ref="B38:T38" si="15">A38-1</f>
        <v>-2</v>
      </c>
      <c r="C38" s="9">
        <f t="shared" si="15"/>
        <v>-3</v>
      </c>
      <c r="D38" s="9">
        <f t="shared" si="15"/>
        <v>-4</v>
      </c>
      <c r="E38" s="9">
        <f t="shared" si="15"/>
        <v>-5</v>
      </c>
      <c r="F38" s="9">
        <f t="shared" si="15"/>
        <v>-6</v>
      </c>
      <c r="G38" s="9">
        <f t="shared" si="15"/>
        <v>-7</v>
      </c>
      <c r="H38" s="9">
        <f t="shared" si="15"/>
        <v>-8</v>
      </c>
      <c r="I38" s="9">
        <f t="shared" si="15"/>
        <v>-9</v>
      </c>
      <c r="J38" s="9">
        <f t="shared" si="15"/>
        <v>-10</v>
      </c>
      <c r="K38" s="9">
        <f t="shared" si="15"/>
        <v>-11</v>
      </c>
      <c r="L38" s="9">
        <f t="shared" si="15"/>
        <v>-12</v>
      </c>
      <c r="M38" s="9">
        <f t="shared" si="15"/>
        <v>-13</v>
      </c>
      <c r="N38" s="9">
        <f t="shared" si="15"/>
        <v>-14</v>
      </c>
      <c r="O38" s="9">
        <f t="shared" si="15"/>
        <v>-15</v>
      </c>
      <c r="P38" s="9">
        <f t="shared" si="15"/>
        <v>-16</v>
      </c>
      <c r="Q38" s="9">
        <f t="shared" si="15"/>
        <v>-17</v>
      </c>
      <c r="R38" s="9">
        <f t="shared" si="15"/>
        <v>-18</v>
      </c>
      <c r="S38" s="9">
        <f t="shared" si="15"/>
        <v>-19</v>
      </c>
      <c r="T38" s="9">
        <f t="shared" si="15"/>
        <v>-20</v>
      </c>
      <c r="U38" s="2"/>
      <c r="V38" s="2"/>
      <c r="W38" s="2"/>
      <c r="X38" s="2"/>
      <c r="Y38" s="2"/>
    </row>
    <row r="39" spans="1:29" ht="15.75" customHeight="1">
      <c r="A39" s="14">
        <v>1</v>
      </c>
      <c r="B39" s="15" t="s">
        <v>92</v>
      </c>
      <c r="C39" s="14"/>
      <c r="D39" s="18"/>
      <c r="E39" s="18"/>
      <c r="F39" s="18"/>
      <c r="G39" s="18"/>
      <c r="H39" s="18"/>
      <c r="I39" s="18"/>
      <c r="J39" s="18"/>
      <c r="K39" s="18"/>
      <c r="L39" s="18"/>
      <c r="M39" s="18"/>
      <c r="N39" s="18"/>
      <c r="O39" s="18"/>
      <c r="P39" s="18"/>
      <c r="Q39" s="18"/>
      <c r="R39" s="18"/>
      <c r="S39" s="18"/>
      <c r="T39" s="18"/>
      <c r="U39" s="2"/>
      <c r="V39" s="2"/>
      <c r="W39" s="2"/>
      <c r="X39" s="2"/>
      <c r="Y39" s="2"/>
    </row>
    <row r="40" spans="1:29" ht="15.75" customHeight="1">
      <c r="A40" s="14"/>
      <c r="B40" s="15" t="s">
        <v>129</v>
      </c>
      <c r="C40" s="14" t="s">
        <v>84</v>
      </c>
      <c r="D40" s="18">
        <v>7771850.0399999982</v>
      </c>
      <c r="E40" s="18">
        <v>15938390.931000002</v>
      </c>
      <c r="F40" s="18">
        <v>26885049.859999996</v>
      </c>
      <c r="G40" s="18">
        <v>39683559.479999982</v>
      </c>
      <c r="H40" s="18">
        <v>30201695.921000011</v>
      </c>
      <c r="I40" s="18">
        <v>58718128.107000008</v>
      </c>
      <c r="J40" s="18">
        <v>3095519.56</v>
      </c>
      <c r="K40" s="18">
        <v>0</v>
      </c>
      <c r="L40" s="18">
        <v>0</v>
      </c>
      <c r="M40" s="18">
        <v>1294236.0589999999</v>
      </c>
      <c r="N40" s="18">
        <v>13243197.267999999</v>
      </c>
      <c r="O40" s="18">
        <v>16592739.285</v>
      </c>
      <c r="P40" s="18">
        <v>26270000</v>
      </c>
      <c r="Q40" s="18">
        <v>25781107.999999996</v>
      </c>
      <c r="R40" s="18">
        <v>31761218</v>
      </c>
      <c r="S40" s="18">
        <v>14369960.189999999</v>
      </c>
      <c r="T40" s="18">
        <v>8360999.9999999991</v>
      </c>
      <c r="U40" s="197"/>
      <c r="V40" s="2"/>
      <c r="W40" s="2"/>
      <c r="X40" s="2"/>
      <c r="Y40" s="2"/>
      <c r="Z40" s="209"/>
      <c r="AA40" s="209"/>
      <c r="AB40" s="209"/>
      <c r="AC40" s="209"/>
    </row>
    <row r="41" spans="1:29" ht="15.75" customHeight="1">
      <c r="A41" s="14"/>
      <c r="B41" s="15" t="s">
        <v>130</v>
      </c>
      <c r="C41" s="14" t="s">
        <v>84</v>
      </c>
      <c r="D41" s="18">
        <v>0</v>
      </c>
      <c r="E41" s="18">
        <v>0</v>
      </c>
      <c r="F41" s="18">
        <v>0</v>
      </c>
      <c r="G41" s="18">
        <v>0</v>
      </c>
      <c r="H41" s="18">
        <v>0</v>
      </c>
      <c r="I41" s="18">
        <v>0</v>
      </c>
      <c r="J41" s="18">
        <v>2202.9059999999999</v>
      </c>
      <c r="K41" s="18">
        <v>72322.644</v>
      </c>
      <c r="L41" s="18">
        <v>348706.18799999997</v>
      </c>
      <c r="M41" s="18">
        <v>61637.130000000005</v>
      </c>
      <c r="N41" s="18">
        <v>7025.2800000000007</v>
      </c>
      <c r="O41" s="18">
        <v>105108.086</v>
      </c>
      <c r="P41" s="18">
        <v>93070.360000000015</v>
      </c>
      <c r="Q41" s="18">
        <v>95241.469999999987</v>
      </c>
      <c r="R41" s="18"/>
      <c r="S41" s="18"/>
      <c r="T41" s="18"/>
      <c r="U41" s="2"/>
      <c r="V41" s="2"/>
      <c r="W41" s="2"/>
      <c r="X41" s="2"/>
      <c r="Y41" s="2"/>
      <c r="Z41" s="209"/>
      <c r="AA41" s="209"/>
      <c r="AB41" s="209"/>
      <c r="AC41" s="209"/>
    </row>
    <row r="42" spans="1:29" ht="15.75" customHeight="1">
      <c r="A42" s="14"/>
      <c r="B42" s="15" t="s">
        <v>131</v>
      </c>
      <c r="C42" s="14" t="s">
        <v>84</v>
      </c>
      <c r="D42" s="18">
        <v>0</v>
      </c>
      <c r="E42" s="18">
        <v>0</v>
      </c>
      <c r="F42" s="18">
        <v>0</v>
      </c>
      <c r="G42" s="18">
        <v>0</v>
      </c>
      <c r="H42" s="18">
        <v>0</v>
      </c>
      <c r="I42" s="18">
        <v>0</v>
      </c>
      <c r="J42" s="18">
        <v>0</v>
      </c>
      <c r="K42" s="18">
        <v>0</v>
      </c>
      <c r="L42" s="18">
        <v>110000.81</v>
      </c>
      <c r="M42" s="18">
        <v>855462.16599999985</v>
      </c>
      <c r="N42" s="18">
        <v>835510.96799999999</v>
      </c>
      <c r="O42" s="18">
        <v>1043314.3809999999</v>
      </c>
      <c r="P42" s="18">
        <v>1069079.9200000002</v>
      </c>
      <c r="Q42" s="18">
        <v>1060402.02</v>
      </c>
      <c r="R42" s="18"/>
      <c r="S42" s="18"/>
      <c r="T42" s="18"/>
      <c r="U42" s="2"/>
      <c r="V42" s="2"/>
      <c r="W42" s="2"/>
      <c r="X42" s="2"/>
      <c r="Y42" s="2"/>
      <c r="Z42" s="209"/>
      <c r="AA42" s="209"/>
      <c r="AB42" s="209"/>
      <c r="AC42" s="209"/>
    </row>
    <row r="43" spans="1:29" ht="15.75" customHeight="1">
      <c r="A43" s="14"/>
      <c r="B43" s="15"/>
      <c r="C43" s="14"/>
      <c r="D43" s="18"/>
      <c r="E43" s="18"/>
      <c r="F43" s="18"/>
      <c r="G43" s="18"/>
      <c r="H43" s="18"/>
      <c r="I43" s="18"/>
      <c r="J43" s="18"/>
      <c r="K43" s="18"/>
      <c r="L43" s="18"/>
      <c r="M43" s="18"/>
      <c r="N43" s="18"/>
      <c r="O43" s="18"/>
      <c r="P43" s="18"/>
      <c r="Q43" s="18"/>
      <c r="R43" s="18"/>
      <c r="S43" s="18"/>
      <c r="T43" s="18"/>
      <c r="U43" s="2"/>
      <c r="V43" s="2"/>
      <c r="W43" s="2"/>
      <c r="X43" s="2"/>
      <c r="Y43" s="2"/>
      <c r="Z43" s="209"/>
      <c r="AA43" s="209"/>
      <c r="AB43" s="209"/>
      <c r="AC43" s="209"/>
    </row>
    <row r="44" spans="1:29" ht="15.75" customHeight="1">
      <c r="A44" s="14"/>
      <c r="B44" s="15"/>
      <c r="C44" s="14"/>
      <c r="D44" s="18"/>
      <c r="E44" s="18"/>
      <c r="F44" s="18"/>
      <c r="G44" s="18"/>
      <c r="H44" s="18"/>
      <c r="I44" s="18"/>
      <c r="J44" s="18"/>
      <c r="K44" s="18"/>
      <c r="L44" s="18"/>
      <c r="M44" s="18"/>
      <c r="N44" s="18"/>
      <c r="O44" s="18"/>
      <c r="P44" s="18"/>
      <c r="Q44" s="18"/>
      <c r="R44" s="18"/>
      <c r="S44" s="18"/>
      <c r="T44" s="18"/>
      <c r="U44" s="2"/>
      <c r="V44" s="2"/>
      <c r="W44" s="2"/>
      <c r="X44" s="2"/>
      <c r="Y44" s="2"/>
      <c r="Z44" s="209"/>
      <c r="AA44" s="209"/>
      <c r="AB44" s="209"/>
      <c r="AC44" s="209"/>
    </row>
    <row r="45" spans="1:29" ht="15.75" customHeight="1">
      <c r="A45" s="31">
        <v>2</v>
      </c>
      <c r="B45" s="32" t="s">
        <v>94</v>
      </c>
      <c r="C45" s="31" t="s">
        <v>84</v>
      </c>
      <c r="D45" s="35">
        <f>D40*'Conversion Factor'!$B$12/100+D41+D42</f>
        <v>1475097.1375919997</v>
      </c>
      <c r="E45" s="35">
        <f>E40*'Conversion Factor'!$B$12/100+E41+E42</f>
        <v>3025106.5987038002</v>
      </c>
      <c r="F45" s="35">
        <f>F40*'Conversion Factor'!$B$12/100+F41+F42</f>
        <v>5102782.4634279991</v>
      </c>
      <c r="G45" s="35">
        <f>G40*'Conversion Factor'!$B$12/100+G41+G42</f>
        <v>7531939.5893039964</v>
      </c>
      <c r="H45" s="35">
        <f>H40*'Conversion Factor'!$B$12/100+H41+H42</f>
        <v>5732281.8858058024</v>
      </c>
      <c r="I45" s="35">
        <f>I40*'Conversion Factor'!$B$12/100+I41+I42</f>
        <v>11144700.714708602</v>
      </c>
      <c r="J45" s="35">
        <f>J40*'Conversion Factor'!$B$12/100+J41+J42</f>
        <v>589732.51848800003</v>
      </c>
      <c r="K45" s="35">
        <f>K40*'Conversion Factor'!$B$12/100+K41+K42</f>
        <v>72322.644</v>
      </c>
      <c r="L45" s="35">
        <f>L40*'Conversion Factor'!$B$12/100+L41+L42</f>
        <v>458706.99799999996</v>
      </c>
      <c r="M45" s="35">
        <f>M40*'Conversion Factor'!$B$12/100+M41+M42</f>
        <v>1162745.2999981998</v>
      </c>
      <c r="N45" s="35">
        <f>N40*'Conversion Factor'!$B$12/100+N41+N42</f>
        <v>3356095.0894663995</v>
      </c>
      <c r="O45" s="35">
        <f>O40*'Conversion Factor'!$B$12/100+O41+O42</f>
        <v>4297724.383293</v>
      </c>
      <c r="P45" s="35">
        <f>P40*'Conversion Factor'!$B$12/100+P41+P42</f>
        <v>6148196.2800000003</v>
      </c>
      <c r="Q45" s="35">
        <f>Q40*'Conversion Factor'!$B$12/100+Q41+Q42</f>
        <v>6048897.7883999981</v>
      </c>
      <c r="R45" s="35">
        <f>R40*'Conversion Factor'!$B$12/100+R41+R42</f>
        <v>6028279.1764000002</v>
      </c>
      <c r="S45" s="35">
        <f>S40*'Conversion Factor'!$B$12/100+S41+S42</f>
        <v>2727418.4440620001</v>
      </c>
      <c r="T45" s="35">
        <f>T40*'Conversion Factor'!$B$12/100+T41+T42</f>
        <v>1586917.8</v>
      </c>
      <c r="U45" s="13"/>
      <c r="V45" s="13"/>
      <c r="W45" s="13"/>
      <c r="X45" s="13"/>
      <c r="Y45" s="13"/>
      <c r="Z45" s="209"/>
      <c r="AA45" s="209"/>
      <c r="AB45" s="209"/>
      <c r="AC45" s="209"/>
    </row>
    <row r="46" spans="1:29" ht="15.75" customHeight="1">
      <c r="A46" s="31">
        <v>3</v>
      </c>
      <c r="B46" s="32" t="s">
        <v>95</v>
      </c>
      <c r="C46" s="31" t="s">
        <v>84</v>
      </c>
      <c r="D46" s="35">
        <f>D40+(D41+D42)/'Conversion Factor'!$B$12*100</f>
        <v>7771850.0399999982</v>
      </c>
      <c r="E46" s="35">
        <f>E40+(E41+E42)/'Conversion Factor'!$B$12*100</f>
        <v>15938390.931000002</v>
      </c>
      <c r="F46" s="35">
        <f>F40+(F41+F42)/'Conversion Factor'!$B$12*100</f>
        <v>26885049.859999996</v>
      </c>
      <c r="G46" s="35">
        <f>G40+(G41+G42)/'Conversion Factor'!$B$12*100</f>
        <v>39683559.479999982</v>
      </c>
      <c r="H46" s="35">
        <f>H40+(H41+H42)/'Conversion Factor'!$B$12*100</f>
        <v>30201695.921000011</v>
      </c>
      <c r="I46" s="35">
        <f>I40+(I41+I42)/'Conversion Factor'!$B$12*100</f>
        <v>58718128.107000008</v>
      </c>
      <c r="J46" s="35">
        <f>J40+(J41+J42)/'Conversion Factor'!$B$12*100</f>
        <v>3107126.0194309801</v>
      </c>
      <c r="K46" s="35">
        <f>K40+(K41+K42)/'Conversion Factor'!$B$12*100</f>
        <v>381046.59641728137</v>
      </c>
      <c r="L46" s="35">
        <f>L40+(L41+L42)/'Conversion Factor'!$B$12*100</f>
        <v>2416791.3487881981</v>
      </c>
      <c r="M46" s="35">
        <f>M40+(M41+M42)/'Conversion Factor'!$B$12*100</f>
        <v>6126160.6954594292</v>
      </c>
      <c r="N46" s="35">
        <f>N40+(N41+N42)/'Conversion Factor'!$B$12*100</f>
        <v>17682271.282752369</v>
      </c>
      <c r="O46" s="35">
        <f>O40+(O41+O42)/'Conversion Factor'!$B$12*100</f>
        <v>22643437.214399368</v>
      </c>
      <c r="P46" s="35">
        <f>P40+(P41+P42)/'Conversion Factor'!$B$12*100</f>
        <v>32393025.711275026</v>
      </c>
      <c r="Q46" s="35">
        <f>Q40+(Q41+Q42)/'Conversion Factor'!$B$12*100</f>
        <v>31869851.361433085</v>
      </c>
      <c r="R46" s="35">
        <f>R40+(R41+R42)/'Conversion Factor'!$B$12*100</f>
        <v>31761218</v>
      </c>
      <c r="S46" s="35">
        <f>S40+(S41+S42)/'Conversion Factor'!$B$12*100</f>
        <v>14369960.189999999</v>
      </c>
      <c r="T46" s="35">
        <f>T40+(T41+T42)/'Conversion Factor'!$B$12*100</f>
        <v>8360999.9999999991</v>
      </c>
      <c r="U46" s="13"/>
      <c r="V46" s="13"/>
      <c r="W46" s="13"/>
      <c r="X46" s="13"/>
      <c r="Y46" s="13"/>
      <c r="Z46" s="209"/>
      <c r="AA46" s="209"/>
      <c r="AB46" s="209"/>
      <c r="AC46" s="209"/>
    </row>
    <row r="47" spans="1:29" ht="15.75" customHeight="1">
      <c r="A47" s="14">
        <v>4</v>
      </c>
      <c r="B47" s="15" t="s">
        <v>19</v>
      </c>
      <c r="C47" s="14" t="s">
        <v>85</v>
      </c>
      <c r="D47" s="18">
        <f t="shared" ref="D47:I47" si="16">D48/D45*1000000</f>
        <v>813973.60499313776</v>
      </c>
      <c r="E47" s="18">
        <f t="shared" si="16"/>
        <v>40135.896708282868</v>
      </c>
      <c r="F47" s="18">
        <f t="shared" si="16"/>
        <v>60338.273675130717</v>
      </c>
      <c r="G47" s="18">
        <f t="shared" si="16"/>
        <v>403779.71507878287</v>
      </c>
      <c r="H47" s="18">
        <f t="shared" si="16"/>
        <v>375638.66599413316</v>
      </c>
      <c r="I47" s="18">
        <f t="shared" si="16"/>
        <v>686619.04175321548</v>
      </c>
      <c r="J47" s="18">
        <v>1720051.1112059024</v>
      </c>
      <c r="K47" s="18">
        <v>4855020.9852782274</v>
      </c>
      <c r="L47" s="18">
        <v>4605969.1406821832</v>
      </c>
      <c r="M47" s="18">
        <v>5612156.9284370504</v>
      </c>
      <c r="N47" s="18">
        <f t="shared" ref="N47:Q47" si="17">N48/N45*1000000</f>
        <v>3692421.0749673592</v>
      </c>
      <c r="O47" s="18">
        <f t="shared" si="17"/>
        <v>3842958.7724220781</v>
      </c>
      <c r="P47" s="18">
        <f t="shared" si="17"/>
        <v>1763184.6024850945</v>
      </c>
      <c r="Q47" s="18">
        <f t="shared" si="17"/>
        <v>2786874.5230876254</v>
      </c>
      <c r="R47" s="18">
        <f t="shared" ref="R47:S47" si="18">R48/R45*1000000</f>
        <v>3428801.3328356245</v>
      </c>
      <c r="S47" s="18">
        <f t="shared" si="18"/>
        <v>8493514.6866978258</v>
      </c>
      <c r="T47" s="18">
        <f t="shared" ref="T47" si="19">T48/T45*1000000</f>
        <v>18433594.821942743</v>
      </c>
      <c r="U47" s="2"/>
      <c r="V47" s="2"/>
      <c r="W47" s="2"/>
      <c r="X47" s="2"/>
      <c r="Y47" s="2"/>
      <c r="Z47" s="209"/>
      <c r="AA47" s="209"/>
      <c r="AB47" s="209"/>
      <c r="AC47" s="209"/>
    </row>
    <row r="48" spans="1:29" ht="15.75" customHeight="1">
      <c r="A48" s="14">
        <v>5</v>
      </c>
      <c r="B48" s="15" t="s">
        <v>21</v>
      </c>
      <c r="C48" s="14" t="s">
        <v>22</v>
      </c>
      <c r="D48" s="18">
        <v>1200690.1348008185</v>
      </c>
      <c r="E48" s="18">
        <v>121415.36597712064</v>
      </c>
      <c r="F48" s="18">
        <v>307893.08478297631</v>
      </c>
      <c r="G48" s="18">
        <v>3041244.4213597723</v>
      </c>
      <c r="H48" s="18">
        <v>2153266.7206864255</v>
      </c>
      <c r="I48" s="18">
        <v>7652163.7253595963</v>
      </c>
      <c r="J48" s="18">
        <f t="shared" ref="J48:M48" si="20">J45*J47/1000000</f>
        <v>1014370.0737395398</v>
      </c>
      <c r="K48" s="18">
        <f t="shared" si="20"/>
        <v>351127.95433080645</v>
      </c>
      <c r="L48" s="18">
        <f t="shared" si="20"/>
        <v>2112790.277402964</v>
      </c>
      <c r="M48" s="18">
        <f t="shared" si="20"/>
        <v>6525509.0913925134</v>
      </c>
      <c r="N48" s="18">
        <v>12392116.2379402</v>
      </c>
      <c r="O48" s="18">
        <v>16515977.620228101</v>
      </c>
      <c r="P48" s="18">
        <v>10840405.013952138</v>
      </c>
      <c r="Q48" s="18">
        <v>16857519.139253035</v>
      </c>
      <c r="R48" s="18">
        <v>20669771.67474556</v>
      </c>
      <c r="S48" s="18">
        <v>23165368.611411128</v>
      </c>
      <c r="T48" s="18">
        <v>29252599.740928773</v>
      </c>
      <c r="U48" s="2"/>
      <c r="V48" s="2"/>
      <c r="W48" s="2"/>
      <c r="X48" s="2"/>
      <c r="Y48" s="2"/>
      <c r="Z48" s="209"/>
      <c r="AA48" s="209"/>
      <c r="AB48" s="209"/>
      <c r="AC48" s="209"/>
    </row>
    <row r="49" spans="1:29" ht="15.75" customHeight="1">
      <c r="A49" s="17" t="s">
        <v>23</v>
      </c>
      <c r="B49" s="2"/>
      <c r="C49" s="2"/>
      <c r="D49" s="2"/>
      <c r="E49" s="2"/>
      <c r="F49" s="2"/>
      <c r="G49" s="2"/>
      <c r="H49" s="2"/>
      <c r="I49" s="2"/>
      <c r="J49" s="2"/>
      <c r="K49" s="2"/>
      <c r="L49" s="2"/>
      <c r="M49" s="2"/>
      <c r="N49" s="2"/>
      <c r="O49" s="2"/>
      <c r="P49" s="2"/>
      <c r="Q49" s="2"/>
      <c r="R49" s="2"/>
      <c r="S49" s="2"/>
      <c r="T49" s="2"/>
      <c r="U49" s="2"/>
      <c r="V49" s="2"/>
      <c r="W49" s="2"/>
      <c r="X49" s="2"/>
      <c r="Y49" s="2"/>
      <c r="Z49" s="209"/>
      <c r="AA49" s="209"/>
      <c r="AB49" s="209"/>
      <c r="AC49" s="209"/>
    </row>
    <row r="50" spans="1:29" ht="15.75" customHeight="1">
      <c r="A50" s="19"/>
      <c r="B50" s="2"/>
      <c r="C50" s="2"/>
      <c r="D50" s="2"/>
      <c r="E50" s="2"/>
      <c r="F50" s="2"/>
      <c r="G50" s="2"/>
      <c r="H50" s="2"/>
      <c r="I50" s="2"/>
      <c r="J50" s="2"/>
      <c r="K50" s="2"/>
      <c r="L50" s="2"/>
      <c r="M50" s="2"/>
      <c r="N50" s="60"/>
      <c r="O50" s="2"/>
      <c r="P50" s="2"/>
      <c r="Q50" s="2"/>
      <c r="R50" s="2"/>
      <c r="S50" s="2"/>
      <c r="T50" s="2"/>
      <c r="U50" s="2"/>
      <c r="V50" s="2"/>
      <c r="W50" s="2"/>
      <c r="X50" s="2"/>
      <c r="Y50" s="2"/>
      <c r="Z50" s="209"/>
      <c r="AA50" s="209"/>
      <c r="AB50" s="209"/>
      <c r="AC50" s="209"/>
    </row>
    <row r="51" spans="1:29" ht="15.75" customHeight="1">
      <c r="A51" s="19"/>
      <c r="B51" s="2"/>
      <c r="C51" s="2"/>
      <c r="D51" s="2"/>
      <c r="E51" s="2"/>
      <c r="F51" s="2"/>
      <c r="G51" s="2"/>
      <c r="H51" s="2"/>
      <c r="I51" s="2"/>
      <c r="J51" s="2"/>
      <c r="K51" s="2"/>
      <c r="L51" s="2"/>
      <c r="M51" s="2"/>
      <c r="N51" s="2"/>
      <c r="O51" s="2"/>
      <c r="P51" s="2"/>
      <c r="Q51" s="2"/>
      <c r="R51" s="2"/>
      <c r="S51" s="2"/>
      <c r="T51" s="2"/>
      <c r="U51" s="2"/>
      <c r="V51" s="2"/>
      <c r="W51" s="2"/>
      <c r="X51" s="2"/>
      <c r="Y51" s="2"/>
      <c r="Z51" s="209"/>
      <c r="AA51" s="209"/>
      <c r="AB51" s="209"/>
      <c r="AC51" s="209"/>
    </row>
    <row r="52" spans="1:29" ht="15.75" customHeight="1">
      <c r="A52" s="6" t="s">
        <v>97</v>
      </c>
      <c r="B52" s="2"/>
      <c r="C52" s="2"/>
      <c r="D52" s="2"/>
      <c r="E52" s="2"/>
      <c r="F52" s="2"/>
      <c r="G52" s="2"/>
      <c r="H52" s="2"/>
      <c r="I52" s="2"/>
      <c r="J52" s="2"/>
      <c r="K52" s="2"/>
      <c r="L52" s="2"/>
      <c r="M52" s="2"/>
      <c r="N52" s="2"/>
      <c r="O52" s="2"/>
      <c r="P52" s="2"/>
      <c r="Q52" s="2"/>
      <c r="R52" s="2"/>
      <c r="S52" s="2"/>
      <c r="T52" s="2"/>
      <c r="U52" s="2"/>
      <c r="V52" s="2"/>
      <c r="W52" s="2"/>
      <c r="X52" s="2"/>
      <c r="Y52" s="2"/>
      <c r="Z52" s="209"/>
      <c r="AA52" s="209"/>
      <c r="AB52" s="209"/>
      <c r="AC52" s="209"/>
    </row>
    <row r="53" spans="1:29" ht="7.5" customHeight="1" thickBot="1">
      <c r="A53" s="19"/>
      <c r="B53" s="2"/>
      <c r="C53" s="2"/>
      <c r="D53" s="2"/>
      <c r="E53" s="2"/>
      <c r="F53" s="2"/>
      <c r="G53" s="2"/>
      <c r="H53" s="2"/>
      <c r="I53" s="2"/>
      <c r="J53" s="2"/>
      <c r="K53" s="2"/>
      <c r="L53" s="2"/>
      <c r="M53" s="2"/>
      <c r="N53" s="2"/>
      <c r="O53" s="2"/>
      <c r="P53" s="2"/>
      <c r="Q53" s="2"/>
      <c r="R53" s="2"/>
      <c r="S53" s="2"/>
      <c r="T53" s="2"/>
      <c r="U53" s="2"/>
      <c r="V53" s="2"/>
      <c r="W53" s="2"/>
      <c r="X53" s="2"/>
      <c r="Y53" s="2"/>
      <c r="Z53" s="209"/>
      <c r="AA53" s="209"/>
      <c r="AB53" s="209"/>
      <c r="AC53" s="209"/>
    </row>
    <row r="54" spans="1:29" ht="15.75" customHeight="1" thickBot="1">
      <c r="A54" s="125" t="s">
        <v>3</v>
      </c>
      <c r="B54" s="123" t="s">
        <v>4</v>
      </c>
      <c r="C54" s="124" t="s">
        <v>5</v>
      </c>
      <c r="D54" s="124">
        <f t="shared" ref="D54:T54" si="21">D$3</f>
        <v>2008</v>
      </c>
      <c r="E54" s="124">
        <f t="shared" si="21"/>
        <v>2009</v>
      </c>
      <c r="F54" s="124">
        <f t="shared" si="21"/>
        <v>2010</v>
      </c>
      <c r="G54" s="124">
        <f t="shared" si="21"/>
        <v>2011</v>
      </c>
      <c r="H54" s="124">
        <f t="shared" si="21"/>
        <v>2012</v>
      </c>
      <c r="I54" s="124">
        <f t="shared" si="21"/>
        <v>2013</v>
      </c>
      <c r="J54" s="124">
        <f t="shared" si="21"/>
        <v>2014</v>
      </c>
      <c r="K54" s="124">
        <f t="shared" si="21"/>
        <v>2015</v>
      </c>
      <c r="L54" s="124">
        <f t="shared" si="21"/>
        <v>2016</v>
      </c>
      <c r="M54" s="124">
        <f t="shared" si="21"/>
        <v>2017</v>
      </c>
      <c r="N54" s="124">
        <f t="shared" si="21"/>
        <v>2018</v>
      </c>
      <c r="O54" s="124">
        <f t="shared" si="21"/>
        <v>2019</v>
      </c>
      <c r="P54" s="124">
        <f t="shared" si="21"/>
        <v>2020</v>
      </c>
      <c r="Q54" s="124">
        <f t="shared" si="21"/>
        <v>2021</v>
      </c>
      <c r="R54" s="124">
        <f t="shared" si="21"/>
        <v>2022</v>
      </c>
      <c r="S54" s="124">
        <f t="shared" si="21"/>
        <v>2023</v>
      </c>
      <c r="T54" s="124">
        <f t="shared" si="21"/>
        <v>2024</v>
      </c>
      <c r="U54" s="2"/>
      <c r="V54" s="2"/>
      <c r="W54" s="2"/>
      <c r="X54" s="2"/>
      <c r="Y54" s="2"/>
      <c r="Z54" s="209"/>
      <c r="AA54" s="209"/>
      <c r="AB54" s="209"/>
      <c r="AC54" s="209"/>
    </row>
    <row r="55" spans="1:29" ht="15.75" customHeight="1">
      <c r="A55" s="9">
        <v>-1</v>
      </c>
      <c r="B55" s="9">
        <f t="shared" ref="B55:T55" si="22">A55-1</f>
        <v>-2</v>
      </c>
      <c r="C55" s="9">
        <f t="shared" si="22"/>
        <v>-3</v>
      </c>
      <c r="D55" s="9">
        <f t="shared" si="22"/>
        <v>-4</v>
      </c>
      <c r="E55" s="9">
        <f t="shared" si="22"/>
        <v>-5</v>
      </c>
      <c r="F55" s="9">
        <f t="shared" si="22"/>
        <v>-6</v>
      </c>
      <c r="G55" s="9">
        <f t="shared" si="22"/>
        <v>-7</v>
      </c>
      <c r="H55" s="9">
        <f t="shared" si="22"/>
        <v>-8</v>
      </c>
      <c r="I55" s="9">
        <f t="shared" si="22"/>
        <v>-9</v>
      </c>
      <c r="J55" s="9">
        <f t="shared" si="22"/>
        <v>-10</v>
      </c>
      <c r="K55" s="9">
        <f t="shared" si="22"/>
        <v>-11</v>
      </c>
      <c r="L55" s="9">
        <f t="shared" si="22"/>
        <v>-12</v>
      </c>
      <c r="M55" s="9">
        <f t="shared" si="22"/>
        <v>-13</v>
      </c>
      <c r="N55" s="9">
        <f t="shared" si="22"/>
        <v>-14</v>
      </c>
      <c r="O55" s="9">
        <f t="shared" si="22"/>
        <v>-15</v>
      </c>
      <c r="P55" s="9">
        <f t="shared" si="22"/>
        <v>-16</v>
      </c>
      <c r="Q55" s="9">
        <f t="shared" si="22"/>
        <v>-17</v>
      </c>
      <c r="R55" s="9">
        <f t="shared" si="22"/>
        <v>-18</v>
      </c>
      <c r="S55" s="9">
        <f t="shared" si="22"/>
        <v>-19</v>
      </c>
      <c r="T55" s="9">
        <f t="shared" si="22"/>
        <v>-20</v>
      </c>
      <c r="U55" s="2"/>
      <c r="V55" s="2"/>
      <c r="W55" s="2"/>
      <c r="X55" s="2"/>
      <c r="Y55" s="2"/>
      <c r="Z55" s="209"/>
      <c r="AA55" s="209"/>
      <c r="AB55" s="209"/>
      <c r="AC55" s="209"/>
    </row>
    <row r="56" spans="1:29" ht="15.75" customHeight="1">
      <c r="A56" s="14">
        <v>1</v>
      </c>
      <c r="B56" s="21" t="s">
        <v>25</v>
      </c>
      <c r="C56" s="14" t="s">
        <v>22</v>
      </c>
      <c r="D56" s="18"/>
      <c r="E56" s="18"/>
      <c r="F56" s="22">
        <v>79145788</v>
      </c>
      <c r="G56" s="18"/>
      <c r="H56" s="18"/>
      <c r="I56" s="18"/>
      <c r="J56" s="18"/>
      <c r="K56" s="18"/>
      <c r="L56" s="22">
        <v>303469</v>
      </c>
      <c r="M56" s="18"/>
      <c r="N56" s="18"/>
      <c r="O56" s="18"/>
      <c r="P56" s="18"/>
      <c r="Q56" s="18"/>
      <c r="R56" s="18"/>
      <c r="S56" s="18"/>
      <c r="T56" s="18"/>
      <c r="U56" s="2"/>
      <c r="V56" s="2"/>
      <c r="W56" s="2"/>
      <c r="X56" s="2"/>
      <c r="Y56" s="2"/>
      <c r="Z56" s="209"/>
      <c r="AA56" s="209"/>
      <c r="AB56" s="209"/>
      <c r="AC56" s="209"/>
    </row>
    <row r="57" spans="1:29" ht="15.75" customHeight="1">
      <c r="A57" s="14">
        <v>2</v>
      </c>
      <c r="B57" s="15" t="s">
        <v>26</v>
      </c>
      <c r="C57" s="14" t="s">
        <v>22</v>
      </c>
      <c r="D57" s="18"/>
      <c r="E57" s="18"/>
      <c r="F57" s="22">
        <v>18280023</v>
      </c>
      <c r="G57" s="18"/>
      <c r="H57" s="18"/>
      <c r="I57" s="18"/>
      <c r="J57" s="18"/>
      <c r="K57" s="18"/>
      <c r="L57" s="22">
        <v>177519</v>
      </c>
      <c r="M57" s="18"/>
      <c r="N57" s="18"/>
      <c r="O57" s="18"/>
      <c r="P57" s="18"/>
      <c r="Q57" s="18"/>
      <c r="R57" s="18"/>
      <c r="S57" s="18"/>
      <c r="T57" s="18"/>
      <c r="U57" s="2"/>
      <c r="V57" s="2"/>
      <c r="W57" s="2"/>
      <c r="X57" s="2"/>
      <c r="Y57" s="2"/>
      <c r="Z57" s="209"/>
      <c r="AA57" s="209"/>
      <c r="AB57" s="209"/>
      <c r="AC57" s="209"/>
    </row>
    <row r="58" spans="1:29" ht="15.75" customHeight="1">
      <c r="A58" s="14">
        <v>3</v>
      </c>
      <c r="B58" s="21" t="s">
        <v>27</v>
      </c>
      <c r="C58" s="14" t="s">
        <v>22</v>
      </c>
      <c r="D58" s="18"/>
      <c r="E58" s="18"/>
      <c r="F58" s="22">
        <v>1506374</v>
      </c>
      <c r="G58" s="18"/>
      <c r="H58" s="18"/>
      <c r="I58" s="18"/>
      <c r="J58" s="18"/>
      <c r="K58" s="18"/>
      <c r="L58" s="22">
        <v>4367</v>
      </c>
      <c r="M58" s="18"/>
      <c r="N58" s="18"/>
      <c r="O58" s="18"/>
      <c r="P58" s="18"/>
      <c r="Q58" s="18"/>
      <c r="R58" s="18"/>
      <c r="S58" s="18"/>
      <c r="T58" s="18"/>
      <c r="U58" s="2"/>
      <c r="V58" s="2"/>
      <c r="W58" s="2"/>
      <c r="X58" s="2"/>
      <c r="Y58" s="2"/>
      <c r="Z58" s="209"/>
      <c r="AA58" s="209"/>
      <c r="AB58" s="209"/>
      <c r="AC58" s="209"/>
    </row>
    <row r="59" spans="1:29" ht="15.75" customHeight="1">
      <c r="A59" s="14">
        <v>4</v>
      </c>
      <c r="B59" s="21" t="s">
        <v>28</v>
      </c>
      <c r="C59" s="14" t="s">
        <v>22</v>
      </c>
      <c r="D59" s="18"/>
      <c r="E59" s="18"/>
      <c r="F59" s="22">
        <v>151748081</v>
      </c>
      <c r="G59" s="18"/>
      <c r="H59" s="18"/>
      <c r="I59" s="18"/>
      <c r="J59" s="18"/>
      <c r="K59" s="18"/>
      <c r="L59" s="22">
        <v>600277</v>
      </c>
      <c r="M59" s="18"/>
      <c r="N59" s="18"/>
      <c r="O59" s="18"/>
      <c r="P59" s="18"/>
      <c r="Q59" s="18"/>
      <c r="R59" s="18"/>
      <c r="S59" s="18"/>
      <c r="T59" s="18"/>
      <c r="U59" s="2"/>
      <c r="V59" s="2"/>
      <c r="W59" s="2"/>
      <c r="X59" s="2"/>
      <c r="Y59" s="2"/>
      <c r="Z59" s="209"/>
      <c r="AA59" s="209"/>
      <c r="AB59" s="209"/>
      <c r="AC59" s="209"/>
    </row>
    <row r="60" spans="1:29" ht="15.75" customHeight="1">
      <c r="A60" s="14">
        <v>5</v>
      </c>
      <c r="B60" s="21" t="s">
        <v>29</v>
      </c>
      <c r="C60" s="14" t="s">
        <v>22</v>
      </c>
      <c r="D60" s="18"/>
      <c r="E60" s="18"/>
      <c r="F60" s="22">
        <v>250680266</v>
      </c>
      <c r="G60" s="18"/>
      <c r="H60" s="18"/>
      <c r="I60" s="18"/>
      <c r="J60" s="18"/>
      <c r="K60" s="18"/>
      <c r="L60" s="22">
        <v>1085632</v>
      </c>
      <c r="M60" s="18"/>
      <c r="N60" s="18"/>
      <c r="O60" s="18"/>
      <c r="P60" s="18"/>
      <c r="Q60" s="18"/>
      <c r="R60" s="18"/>
      <c r="S60" s="18"/>
      <c r="T60" s="18"/>
      <c r="U60" s="2"/>
      <c r="V60" s="2"/>
      <c r="W60" s="2"/>
      <c r="X60" s="2"/>
      <c r="Y60" s="2"/>
      <c r="Z60" s="209"/>
      <c r="AA60" s="209"/>
      <c r="AB60" s="209"/>
      <c r="AC60" s="209"/>
    </row>
    <row r="61" spans="1:29" ht="15.75" customHeight="1">
      <c r="A61" s="17" t="s">
        <v>30</v>
      </c>
      <c r="B61" s="2"/>
      <c r="C61" s="2"/>
      <c r="D61" s="2"/>
      <c r="E61" s="2"/>
      <c r="F61" s="2"/>
      <c r="G61" s="2"/>
      <c r="H61" s="2"/>
      <c r="I61" s="2"/>
      <c r="J61" s="2"/>
      <c r="K61" s="2"/>
      <c r="L61" s="2"/>
      <c r="M61" s="2"/>
      <c r="N61" s="2"/>
      <c r="O61" s="2"/>
      <c r="P61" s="2"/>
      <c r="Q61" s="2"/>
      <c r="R61" s="2"/>
      <c r="S61" s="2"/>
      <c r="T61" s="2"/>
      <c r="U61" s="2"/>
      <c r="V61" s="2"/>
      <c r="W61" s="2"/>
      <c r="X61" s="2"/>
      <c r="Y61" s="2"/>
      <c r="Z61" s="209"/>
      <c r="AA61" s="209"/>
      <c r="AB61" s="209"/>
      <c r="AC61" s="209"/>
    </row>
    <row r="62" spans="1:29" ht="15.75" customHeight="1">
      <c r="A62" s="19"/>
      <c r="B62" s="2"/>
      <c r="C62" s="2"/>
      <c r="D62" s="2"/>
      <c r="E62" s="2"/>
      <c r="F62" s="2"/>
      <c r="G62" s="2"/>
      <c r="H62" s="2"/>
      <c r="I62" s="2"/>
      <c r="J62" s="2"/>
      <c r="K62" s="2"/>
      <c r="L62" s="2"/>
      <c r="M62" s="2"/>
      <c r="N62" s="2"/>
      <c r="O62" s="2"/>
      <c r="P62" s="2"/>
      <c r="Q62" s="2"/>
      <c r="R62" s="2"/>
      <c r="S62" s="2"/>
      <c r="T62" s="2"/>
      <c r="U62" s="2"/>
      <c r="V62" s="2"/>
      <c r="W62" s="2"/>
      <c r="X62" s="2"/>
      <c r="Y62" s="2"/>
      <c r="Z62" s="209"/>
      <c r="AA62" s="209"/>
      <c r="AB62" s="209"/>
      <c r="AC62" s="209"/>
    </row>
    <row r="63" spans="1:29" ht="15.75" customHeight="1">
      <c r="A63" s="19"/>
      <c r="B63" s="2"/>
      <c r="C63" s="2"/>
      <c r="D63" s="2"/>
      <c r="E63" s="2"/>
      <c r="F63" s="2"/>
      <c r="G63" s="2"/>
      <c r="H63" s="2"/>
      <c r="I63" s="2"/>
      <c r="J63" s="2"/>
      <c r="K63" s="2"/>
      <c r="L63" s="2"/>
      <c r="M63" s="2"/>
      <c r="N63" s="2"/>
      <c r="O63" s="2"/>
      <c r="P63" s="2"/>
      <c r="Q63" s="2"/>
      <c r="R63" s="2"/>
      <c r="S63" s="2"/>
      <c r="T63" s="2"/>
      <c r="U63" s="2"/>
      <c r="V63" s="2"/>
      <c r="W63" s="2"/>
      <c r="X63" s="2"/>
      <c r="Y63" s="2"/>
      <c r="Z63" s="209"/>
      <c r="AA63" s="209"/>
      <c r="AB63" s="209"/>
      <c r="AC63" s="209"/>
    </row>
    <row r="64" spans="1:29" ht="15.75" customHeight="1">
      <c r="A64" s="6" t="s">
        <v>98</v>
      </c>
      <c r="B64" s="2"/>
      <c r="C64" s="2"/>
      <c r="D64" s="2"/>
      <c r="E64" s="2"/>
      <c r="F64" s="2"/>
      <c r="G64" s="2"/>
      <c r="H64" s="2"/>
      <c r="I64" s="2"/>
      <c r="J64" s="2"/>
      <c r="K64" s="2"/>
      <c r="L64" s="2"/>
      <c r="M64" s="2"/>
      <c r="N64" s="2"/>
      <c r="O64" s="2"/>
      <c r="P64" s="2"/>
      <c r="Q64" s="2"/>
      <c r="R64" s="2"/>
      <c r="S64" s="2"/>
      <c r="T64" s="2"/>
      <c r="U64" s="2"/>
      <c r="V64" s="2"/>
      <c r="W64" s="2"/>
      <c r="X64" s="2"/>
      <c r="Y64" s="2"/>
      <c r="Z64" s="209"/>
      <c r="AA64" s="209"/>
      <c r="AB64" s="209"/>
      <c r="AC64" s="209"/>
    </row>
    <row r="65" spans="1:29" ht="7.5" customHeight="1" thickBot="1">
      <c r="A65" s="7"/>
      <c r="B65" s="2"/>
      <c r="C65" s="2"/>
      <c r="D65" s="2"/>
      <c r="E65" s="2"/>
      <c r="F65" s="2"/>
      <c r="G65" s="2"/>
      <c r="H65" s="2"/>
      <c r="I65" s="2"/>
      <c r="J65" s="2"/>
      <c r="K65" s="2"/>
      <c r="L65" s="2"/>
      <c r="M65" s="2"/>
      <c r="N65" s="2"/>
      <c r="O65" s="2"/>
      <c r="P65" s="2"/>
      <c r="Q65" s="2"/>
      <c r="R65" s="2"/>
      <c r="S65" s="2"/>
      <c r="T65" s="2"/>
      <c r="U65" s="2"/>
      <c r="V65" s="2"/>
      <c r="W65" s="2"/>
      <c r="X65" s="2"/>
      <c r="Y65" s="2"/>
      <c r="Z65" s="209"/>
      <c r="AA65" s="209"/>
      <c r="AB65" s="209"/>
      <c r="AC65" s="209"/>
    </row>
    <row r="66" spans="1:29" ht="15.75" customHeight="1" thickBot="1">
      <c r="A66" s="125" t="s">
        <v>3</v>
      </c>
      <c r="B66" s="123" t="s">
        <v>4</v>
      </c>
      <c r="C66" s="124" t="s">
        <v>5</v>
      </c>
      <c r="D66" s="124">
        <f t="shared" ref="D66:T66" si="23">D$3</f>
        <v>2008</v>
      </c>
      <c r="E66" s="124">
        <f t="shared" si="23"/>
        <v>2009</v>
      </c>
      <c r="F66" s="124">
        <f t="shared" si="23"/>
        <v>2010</v>
      </c>
      <c r="G66" s="124">
        <f t="shared" si="23"/>
        <v>2011</v>
      </c>
      <c r="H66" s="124">
        <f t="shared" si="23"/>
        <v>2012</v>
      </c>
      <c r="I66" s="124">
        <f t="shared" si="23"/>
        <v>2013</v>
      </c>
      <c r="J66" s="124">
        <f t="shared" si="23"/>
        <v>2014</v>
      </c>
      <c r="K66" s="124">
        <f t="shared" si="23"/>
        <v>2015</v>
      </c>
      <c r="L66" s="124">
        <f t="shared" si="23"/>
        <v>2016</v>
      </c>
      <c r="M66" s="124">
        <f t="shared" si="23"/>
        <v>2017</v>
      </c>
      <c r="N66" s="124">
        <f t="shared" si="23"/>
        <v>2018</v>
      </c>
      <c r="O66" s="124">
        <f t="shared" si="23"/>
        <v>2019</v>
      </c>
      <c r="P66" s="124">
        <f t="shared" si="23"/>
        <v>2020</v>
      </c>
      <c r="Q66" s="124">
        <f t="shared" si="23"/>
        <v>2021</v>
      </c>
      <c r="R66" s="124">
        <f t="shared" si="23"/>
        <v>2022</v>
      </c>
      <c r="S66" s="124">
        <f t="shared" si="23"/>
        <v>2023</v>
      </c>
      <c r="T66" s="124">
        <f t="shared" si="23"/>
        <v>2024</v>
      </c>
      <c r="U66" s="2"/>
      <c r="V66" s="2"/>
      <c r="W66" s="2"/>
      <c r="X66" s="2"/>
      <c r="Y66" s="2"/>
      <c r="Z66" s="209"/>
      <c r="AA66" s="209"/>
      <c r="AB66" s="209"/>
      <c r="AC66" s="209"/>
    </row>
    <row r="67" spans="1:29" ht="15.75" customHeight="1">
      <c r="A67" s="9">
        <v>-1</v>
      </c>
      <c r="B67" s="9">
        <f t="shared" ref="B67:T67" si="24">A67-1</f>
        <v>-2</v>
      </c>
      <c r="C67" s="9">
        <f t="shared" si="24"/>
        <v>-3</v>
      </c>
      <c r="D67" s="9">
        <f t="shared" si="24"/>
        <v>-4</v>
      </c>
      <c r="E67" s="9">
        <f t="shared" si="24"/>
        <v>-5</v>
      </c>
      <c r="F67" s="9">
        <f t="shared" si="24"/>
        <v>-6</v>
      </c>
      <c r="G67" s="9">
        <f t="shared" si="24"/>
        <v>-7</v>
      </c>
      <c r="H67" s="9">
        <f t="shared" si="24"/>
        <v>-8</v>
      </c>
      <c r="I67" s="9">
        <f t="shared" si="24"/>
        <v>-9</v>
      </c>
      <c r="J67" s="9">
        <f t="shared" si="24"/>
        <v>-10</v>
      </c>
      <c r="K67" s="9">
        <f t="shared" si="24"/>
        <v>-11</v>
      </c>
      <c r="L67" s="9">
        <f t="shared" si="24"/>
        <v>-12</v>
      </c>
      <c r="M67" s="9">
        <f t="shared" si="24"/>
        <v>-13</v>
      </c>
      <c r="N67" s="9">
        <f t="shared" si="24"/>
        <v>-14</v>
      </c>
      <c r="O67" s="9">
        <f t="shared" si="24"/>
        <v>-15</v>
      </c>
      <c r="P67" s="9">
        <f t="shared" si="24"/>
        <v>-16</v>
      </c>
      <c r="Q67" s="9">
        <f t="shared" si="24"/>
        <v>-17</v>
      </c>
      <c r="R67" s="9">
        <f t="shared" si="24"/>
        <v>-18</v>
      </c>
      <c r="S67" s="9">
        <f t="shared" si="24"/>
        <v>-19</v>
      </c>
      <c r="T67" s="9">
        <f t="shared" si="24"/>
        <v>-20</v>
      </c>
      <c r="U67" s="2"/>
      <c r="V67" s="2"/>
      <c r="W67" s="2"/>
      <c r="X67" s="2"/>
      <c r="Y67" s="2"/>
      <c r="Z67" s="209"/>
      <c r="AA67" s="209"/>
      <c r="AB67" s="209"/>
      <c r="AC67" s="209"/>
    </row>
    <row r="68" spans="1:29" ht="15.75" customHeight="1">
      <c r="A68" s="14">
        <v>1</v>
      </c>
      <c r="B68" s="15" t="s">
        <v>21</v>
      </c>
      <c r="C68" s="14" t="s">
        <v>22</v>
      </c>
      <c r="D68" s="18">
        <f t="shared" ref="D68:Q68" si="25">D48</f>
        <v>1200690.1348008185</v>
      </c>
      <c r="E68" s="18">
        <f t="shared" si="25"/>
        <v>121415.36597712064</v>
      </c>
      <c r="F68" s="18">
        <f t="shared" si="25"/>
        <v>307893.08478297631</v>
      </c>
      <c r="G68" s="18">
        <f t="shared" si="25"/>
        <v>3041244.4213597723</v>
      </c>
      <c r="H68" s="18">
        <f t="shared" si="25"/>
        <v>2153266.7206864255</v>
      </c>
      <c r="I68" s="18">
        <f t="shared" si="25"/>
        <v>7652163.7253595963</v>
      </c>
      <c r="J68" s="18">
        <f t="shared" si="25"/>
        <v>1014370.0737395398</v>
      </c>
      <c r="K68" s="18">
        <f t="shared" si="25"/>
        <v>351127.95433080645</v>
      </c>
      <c r="L68" s="18">
        <f t="shared" si="25"/>
        <v>2112790.277402964</v>
      </c>
      <c r="M68" s="18">
        <f t="shared" si="25"/>
        <v>6525509.0913925134</v>
      </c>
      <c r="N68" s="18">
        <f t="shared" si="25"/>
        <v>12392116.2379402</v>
      </c>
      <c r="O68" s="18">
        <f t="shared" si="25"/>
        <v>16515977.620228101</v>
      </c>
      <c r="P68" s="18">
        <f t="shared" si="25"/>
        <v>10840405.013952138</v>
      </c>
      <c r="Q68" s="18">
        <f t="shared" si="25"/>
        <v>16857519.139253035</v>
      </c>
      <c r="R68" s="18">
        <f t="shared" ref="R68:S68" si="26">R48</f>
        <v>20669771.67474556</v>
      </c>
      <c r="S68" s="18">
        <f t="shared" si="26"/>
        <v>23165368.611411128</v>
      </c>
      <c r="T68" s="18">
        <f t="shared" ref="T68" si="27">T48</f>
        <v>29252599.740928773</v>
      </c>
      <c r="U68" s="2"/>
      <c r="V68" s="2"/>
      <c r="W68" s="2"/>
      <c r="X68" s="2"/>
      <c r="Y68" s="2"/>
      <c r="Z68" s="209"/>
      <c r="AA68" s="209"/>
      <c r="AB68" s="209"/>
      <c r="AC68" s="209"/>
    </row>
    <row r="69" spans="1:29" ht="15.75" customHeight="1">
      <c r="A69" s="14">
        <f t="shared" ref="A69:A78" si="28">A68+1</f>
        <v>2</v>
      </c>
      <c r="B69" s="15" t="s">
        <v>32</v>
      </c>
      <c r="C69" s="14" t="s">
        <v>22</v>
      </c>
      <c r="D69" s="18">
        <f t="shared" ref="D69:M69" si="29">$F56/$F$60*D$68</f>
        <v>379086.74814728735</v>
      </c>
      <c r="E69" s="18">
        <f t="shared" si="29"/>
        <v>38333.750673328243</v>
      </c>
      <c r="F69" s="18">
        <f t="shared" si="29"/>
        <v>97209.250667140543</v>
      </c>
      <c r="G69" s="18">
        <f t="shared" si="29"/>
        <v>960193.99560204393</v>
      </c>
      <c r="H69" s="18">
        <f t="shared" si="29"/>
        <v>679838.08259922243</v>
      </c>
      <c r="I69" s="18">
        <f t="shared" si="29"/>
        <v>2415972.097095991</v>
      </c>
      <c r="J69" s="18">
        <f t="shared" si="29"/>
        <v>320261.02449458063</v>
      </c>
      <c r="K69" s="18">
        <f t="shared" si="29"/>
        <v>110859.53863771506</v>
      </c>
      <c r="L69" s="18">
        <f t="shared" si="29"/>
        <v>667058.69613125501</v>
      </c>
      <c r="M69" s="18">
        <f t="shared" si="29"/>
        <v>2060260.1368686296</v>
      </c>
      <c r="N69" s="18">
        <f t="shared" ref="N69:Q69" si="30">$L56/$L$60*N$68</f>
        <v>3463994.3577671573</v>
      </c>
      <c r="O69" s="18">
        <f t="shared" si="30"/>
        <v>4616746.0174654042</v>
      </c>
      <c r="P69" s="18">
        <f t="shared" si="30"/>
        <v>3030241.2504228335</v>
      </c>
      <c r="Q69" s="18">
        <f t="shared" si="30"/>
        <v>4712217.8377847923</v>
      </c>
      <c r="R69" s="18">
        <f t="shared" ref="R69:S69" si="31">$L56/$L$60*R$68</f>
        <v>5777864.8200894594</v>
      </c>
      <c r="S69" s="18">
        <f t="shared" si="31"/>
        <v>6475464.2891295794</v>
      </c>
      <c r="T69" s="18">
        <f t="shared" ref="T69" si="32">$L56/$L$60*T$68</f>
        <v>8177040.8303918028</v>
      </c>
      <c r="U69" s="2"/>
      <c r="V69" s="2"/>
      <c r="W69" s="2"/>
      <c r="X69" s="2"/>
      <c r="Y69" s="2"/>
      <c r="Z69" s="209"/>
      <c r="AA69" s="209"/>
      <c r="AB69" s="209"/>
      <c r="AC69" s="209"/>
    </row>
    <row r="70" spans="1:29" ht="15.75" customHeight="1">
      <c r="A70" s="14">
        <f t="shared" si="28"/>
        <v>3</v>
      </c>
      <c r="B70" s="15" t="s">
        <v>26</v>
      </c>
      <c r="C70" s="14" t="s">
        <v>22</v>
      </c>
      <c r="D70" s="18">
        <f t="shared" ref="D70:M70" si="33">$F57/$F$60*D$68</f>
        <v>87556.326751432687</v>
      </c>
      <c r="E70" s="18">
        <f t="shared" si="33"/>
        <v>8853.8109442375608</v>
      </c>
      <c r="F70" s="18">
        <f t="shared" si="33"/>
        <v>22452.077146646065</v>
      </c>
      <c r="G70" s="18">
        <f t="shared" si="33"/>
        <v>221772.61440706436</v>
      </c>
      <c r="H70" s="18">
        <f t="shared" si="33"/>
        <v>157019.79979262679</v>
      </c>
      <c r="I70" s="18">
        <f t="shared" si="33"/>
        <v>558008.53865114017</v>
      </c>
      <c r="J70" s="18">
        <f t="shared" si="33"/>
        <v>73969.557214649205</v>
      </c>
      <c r="K70" s="18">
        <f t="shared" si="33"/>
        <v>25604.835927173026</v>
      </c>
      <c r="L70" s="18">
        <f t="shared" si="33"/>
        <v>154068.19005490668</v>
      </c>
      <c r="M70" s="18">
        <f t="shared" si="33"/>
        <v>475851.00407291029</v>
      </c>
      <c r="N70" s="18">
        <f t="shared" ref="N70:Q70" si="34">$L57/$L$60*N$68</f>
        <v>2026318.3863803814</v>
      </c>
      <c r="O70" s="18">
        <f t="shared" si="34"/>
        <v>2700638.7350089829</v>
      </c>
      <c r="P70" s="18">
        <f t="shared" si="34"/>
        <v>1772587.6334446382</v>
      </c>
      <c r="Q70" s="18">
        <f t="shared" si="34"/>
        <v>2756486.4890506724</v>
      </c>
      <c r="R70" s="18">
        <f t="shared" ref="R70:S70" si="35">$L57/$L$60*R$68</f>
        <v>3379853.5764689664</v>
      </c>
      <c r="S70" s="18">
        <f t="shared" si="35"/>
        <v>3787925.4393100902</v>
      </c>
      <c r="T70" s="18">
        <f t="shared" ref="T70" si="36">$L57/$L$60*T$68</f>
        <v>4783289.5985103007</v>
      </c>
      <c r="U70" s="2"/>
      <c r="V70" s="2"/>
      <c r="W70" s="2"/>
      <c r="X70" s="2"/>
      <c r="Y70" s="2"/>
      <c r="Z70" s="209"/>
      <c r="AA70" s="209"/>
      <c r="AB70" s="209"/>
      <c r="AC70" s="209"/>
    </row>
    <row r="71" spans="1:29" ht="15.75" customHeight="1">
      <c r="A71" s="14">
        <f t="shared" si="28"/>
        <v>4</v>
      </c>
      <c r="B71" s="21" t="s">
        <v>27</v>
      </c>
      <c r="C71" s="14" t="s">
        <v>22</v>
      </c>
      <c r="D71" s="18">
        <f t="shared" ref="D71:M71" si="37">$F58/$F$60*D$68</f>
        <v>7215.1207990199282</v>
      </c>
      <c r="E71" s="18">
        <f t="shared" si="37"/>
        <v>729.60250691779277</v>
      </c>
      <c r="F71" s="18">
        <f t="shared" si="37"/>
        <v>1850.1741086267682</v>
      </c>
      <c r="G71" s="18">
        <f t="shared" si="37"/>
        <v>18275.277895155119</v>
      </c>
      <c r="H71" s="18">
        <f t="shared" si="37"/>
        <v>12939.291372489981</v>
      </c>
      <c r="I71" s="18">
        <f t="shared" si="37"/>
        <v>45982.959343217051</v>
      </c>
      <c r="J71" s="18">
        <f t="shared" si="37"/>
        <v>6095.4965855163309</v>
      </c>
      <c r="K71" s="18">
        <f t="shared" si="37"/>
        <v>2109.9786972346446</v>
      </c>
      <c r="L71" s="18">
        <f t="shared" si="37"/>
        <v>12696.062566538892</v>
      </c>
      <c r="M71" s="18">
        <f t="shared" si="37"/>
        <v>39212.728584057375</v>
      </c>
      <c r="N71" s="18">
        <f t="shared" ref="N71:Q71" si="38">$L58/$L$60*N$68</f>
        <v>49847.804422755449</v>
      </c>
      <c r="O71" s="18">
        <f t="shared" si="38"/>
        <v>66436.208832768476</v>
      </c>
      <c r="P71" s="18">
        <f t="shared" si="38"/>
        <v>43605.981304833484</v>
      </c>
      <c r="Q71" s="18">
        <f t="shared" si="38"/>
        <v>67810.073838204844</v>
      </c>
      <c r="R71" s="18">
        <f t="shared" ref="R71:S71" si="39">$L58/$L$60*R$68</f>
        <v>83145.018665269497</v>
      </c>
      <c r="S71" s="18">
        <f t="shared" si="39"/>
        <v>93183.661430422449</v>
      </c>
      <c r="T71" s="18">
        <f t="shared" ref="T71" si="40">$L58/$L$60*T$68</f>
        <v>117669.80253772544</v>
      </c>
      <c r="U71" s="2"/>
      <c r="V71" s="2"/>
      <c r="W71" s="2"/>
      <c r="X71" s="2"/>
      <c r="Y71" s="2"/>
      <c r="Z71" s="209"/>
      <c r="AA71" s="209"/>
      <c r="AB71" s="209"/>
      <c r="AC71" s="209"/>
    </row>
    <row r="72" spans="1:29" ht="15.75" customHeight="1">
      <c r="A72" s="23">
        <f t="shared" si="28"/>
        <v>5</v>
      </c>
      <c r="B72" s="24" t="s">
        <v>33</v>
      </c>
      <c r="C72" s="23" t="s">
        <v>22</v>
      </c>
      <c r="D72" s="25">
        <f t="shared" ref="D72:M72" si="41">$F59/$F$60*D$68</f>
        <v>726831.93910307856</v>
      </c>
      <c r="E72" s="25">
        <f t="shared" si="41"/>
        <v>73498.201852637052</v>
      </c>
      <c r="F72" s="25">
        <f t="shared" si="41"/>
        <v>186381.58286056295</v>
      </c>
      <c r="G72" s="25">
        <f t="shared" si="41"/>
        <v>1841002.533455509</v>
      </c>
      <c r="H72" s="25">
        <f t="shared" si="41"/>
        <v>1303469.5469220863</v>
      </c>
      <c r="I72" s="25">
        <f t="shared" si="41"/>
        <v>4632200.130269248</v>
      </c>
      <c r="J72" s="25">
        <f t="shared" si="41"/>
        <v>614043.99544479372</v>
      </c>
      <c r="K72" s="25">
        <f t="shared" si="41"/>
        <v>212553.60106868373</v>
      </c>
      <c r="L72" s="25">
        <f t="shared" si="41"/>
        <v>1278967.3286502634</v>
      </c>
      <c r="M72" s="25">
        <f t="shared" si="41"/>
        <v>3950185.2218669159</v>
      </c>
      <c r="N72" s="25">
        <f t="shared" ref="N72:Q72" si="42">$L59/$L$60*N$68</f>
        <v>6851955.6893699048</v>
      </c>
      <c r="O72" s="25">
        <f t="shared" si="42"/>
        <v>9132156.6589209437</v>
      </c>
      <c r="P72" s="25">
        <f t="shared" si="42"/>
        <v>5993970.1487798328</v>
      </c>
      <c r="Q72" s="25">
        <f t="shared" si="42"/>
        <v>9321004.7385793664</v>
      </c>
      <c r="R72" s="25">
        <f t="shared" ref="R72:S72" si="43">$L59/$L$60*R$68</f>
        <v>11428908.259521864</v>
      </c>
      <c r="S72" s="25">
        <f t="shared" si="43"/>
        <v>12808795.221541036</v>
      </c>
      <c r="T72" s="25">
        <f t="shared" ref="T72" si="44">$L59/$L$60*T$68</f>
        <v>16174599.509488942</v>
      </c>
      <c r="U72" s="13"/>
      <c r="V72" s="13"/>
      <c r="W72" s="13"/>
      <c r="X72" s="13"/>
      <c r="Y72" s="13"/>
      <c r="Z72" s="209"/>
      <c r="AA72" s="209"/>
      <c r="AB72" s="209"/>
      <c r="AC72" s="209"/>
    </row>
    <row r="73" spans="1:29" ht="15.75" customHeight="1">
      <c r="A73" s="14">
        <f t="shared" si="28"/>
        <v>6</v>
      </c>
      <c r="B73" s="21" t="s">
        <v>34</v>
      </c>
      <c r="C73" s="14" t="s">
        <v>22</v>
      </c>
      <c r="D73" s="18"/>
      <c r="E73" s="18"/>
      <c r="F73" s="18"/>
      <c r="G73" s="18"/>
      <c r="H73" s="18"/>
      <c r="I73" s="18"/>
      <c r="J73" s="18"/>
      <c r="K73" s="18"/>
      <c r="L73" s="18"/>
      <c r="M73" s="18"/>
      <c r="N73" s="18"/>
      <c r="O73" s="18"/>
      <c r="P73" s="18"/>
      <c r="Q73" s="18"/>
      <c r="R73" s="18"/>
      <c r="S73" s="18"/>
      <c r="T73" s="18"/>
      <c r="U73" s="2"/>
      <c r="V73" s="2"/>
      <c r="W73" s="2"/>
      <c r="X73" s="2"/>
      <c r="Y73" s="2"/>
      <c r="Z73" s="209"/>
      <c r="AA73" s="209"/>
      <c r="AB73" s="209"/>
      <c r="AC73" s="209"/>
    </row>
    <row r="74" spans="1:29" ht="15.75" customHeight="1">
      <c r="A74" s="14">
        <f t="shared" si="28"/>
        <v>7</v>
      </c>
      <c r="B74" s="15" t="s">
        <v>35</v>
      </c>
      <c r="C74" s="14" t="s">
        <v>22</v>
      </c>
      <c r="D74" s="18"/>
      <c r="E74" s="18"/>
      <c r="F74" s="18"/>
      <c r="G74" s="18"/>
      <c r="H74" s="18"/>
      <c r="I74" s="18"/>
      <c r="J74" s="18"/>
      <c r="K74" s="18"/>
      <c r="L74" s="18"/>
      <c r="M74" s="18"/>
      <c r="N74" s="18"/>
      <c r="O74" s="18"/>
      <c r="P74" s="18"/>
      <c r="Q74" s="18"/>
      <c r="R74" s="18"/>
      <c r="S74" s="18"/>
      <c r="T74" s="18"/>
      <c r="U74" s="2"/>
      <c r="V74" s="2"/>
      <c r="W74" s="2"/>
      <c r="X74" s="2"/>
      <c r="Y74" s="2"/>
      <c r="Z74" s="209"/>
      <c r="AA74" s="209"/>
      <c r="AB74" s="209"/>
      <c r="AC74" s="209"/>
    </row>
    <row r="75" spans="1:29" ht="15.75" customHeight="1">
      <c r="A75" s="14">
        <f t="shared" si="28"/>
        <v>8</v>
      </c>
      <c r="B75" s="21" t="s">
        <v>36</v>
      </c>
      <c r="C75" s="14" t="s">
        <v>22</v>
      </c>
      <c r="D75" s="18"/>
      <c r="E75" s="18"/>
      <c r="F75" s="18"/>
      <c r="G75" s="18"/>
      <c r="H75" s="18"/>
      <c r="I75" s="18"/>
      <c r="J75" s="18"/>
      <c r="K75" s="18"/>
      <c r="L75" s="18"/>
      <c r="M75" s="18"/>
      <c r="N75" s="18"/>
      <c r="O75" s="18"/>
      <c r="P75" s="18"/>
      <c r="Q75" s="18"/>
      <c r="R75" s="18"/>
      <c r="S75" s="18"/>
      <c r="T75" s="18"/>
      <c r="U75" s="2"/>
      <c r="V75" s="2"/>
      <c r="W75" s="2"/>
      <c r="X75" s="2"/>
      <c r="Y75" s="2"/>
      <c r="Z75" s="209"/>
      <c r="AA75" s="209"/>
      <c r="AB75" s="209"/>
      <c r="AC75" s="209"/>
    </row>
    <row r="76" spans="1:29" ht="15.75" customHeight="1">
      <c r="A76" s="23">
        <f t="shared" si="28"/>
        <v>9</v>
      </c>
      <c r="B76" s="24" t="s">
        <v>37</v>
      </c>
      <c r="C76" s="23" t="s">
        <v>22</v>
      </c>
      <c r="D76" s="25">
        <f t="shared" ref="D76:Q76" si="45">D72+D73-D74-D75</f>
        <v>726831.93910307856</v>
      </c>
      <c r="E76" s="25">
        <f t="shared" si="45"/>
        <v>73498.201852637052</v>
      </c>
      <c r="F76" s="25">
        <f t="shared" si="45"/>
        <v>186381.58286056295</v>
      </c>
      <c r="G76" s="25">
        <f t="shared" si="45"/>
        <v>1841002.533455509</v>
      </c>
      <c r="H76" s="25">
        <f t="shared" si="45"/>
        <v>1303469.5469220863</v>
      </c>
      <c r="I76" s="25">
        <f t="shared" si="45"/>
        <v>4632200.130269248</v>
      </c>
      <c r="J76" s="25">
        <f t="shared" si="45"/>
        <v>614043.99544479372</v>
      </c>
      <c r="K76" s="25">
        <f t="shared" si="45"/>
        <v>212553.60106868373</v>
      </c>
      <c r="L76" s="25">
        <f t="shared" si="45"/>
        <v>1278967.3286502634</v>
      </c>
      <c r="M76" s="25">
        <f t="shared" si="45"/>
        <v>3950185.2218669159</v>
      </c>
      <c r="N76" s="25">
        <f t="shared" si="45"/>
        <v>6851955.6893699048</v>
      </c>
      <c r="O76" s="25">
        <f t="shared" si="45"/>
        <v>9132156.6589209437</v>
      </c>
      <c r="P76" s="25">
        <f t="shared" si="45"/>
        <v>5993970.1487798328</v>
      </c>
      <c r="Q76" s="25">
        <f t="shared" si="45"/>
        <v>9321004.7385793664</v>
      </c>
      <c r="R76" s="25">
        <f t="shared" ref="R76:S76" si="46">R72+R73-R74-R75</f>
        <v>11428908.259521864</v>
      </c>
      <c r="S76" s="25">
        <f t="shared" si="46"/>
        <v>12808795.221541036</v>
      </c>
      <c r="T76" s="25">
        <f t="shared" ref="T76" si="47">T72+T73-T74-T75</f>
        <v>16174599.509488942</v>
      </c>
      <c r="U76" s="13"/>
      <c r="V76" s="13"/>
      <c r="W76" s="13"/>
      <c r="X76" s="13"/>
      <c r="Y76" s="13"/>
      <c r="Z76" s="209"/>
      <c r="AA76" s="209"/>
      <c r="AB76" s="209"/>
      <c r="AC76" s="209"/>
    </row>
    <row r="77" spans="1:29" ht="15.75" customHeight="1">
      <c r="A77" s="14">
        <f t="shared" si="28"/>
        <v>10</v>
      </c>
      <c r="B77" s="21" t="s">
        <v>38</v>
      </c>
      <c r="C77" s="26" t="s">
        <v>84</v>
      </c>
      <c r="D77" s="18">
        <f t="shared" ref="D77:Q77" si="48">D45</f>
        <v>1475097.1375919997</v>
      </c>
      <c r="E77" s="18">
        <f t="shared" si="48"/>
        <v>3025106.5987038002</v>
      </c>
      <c r="F77" s="18">
        <f t="shared" si="48"/>
        <v>5102782.4634279991</v>
      </c>
      <c r="G77" s="18">
        <f t="shared" si="48"/>
        <v>7531939.5893039964</v>
      </c>
      <c r="H77" s="18">
        <f t="shared" si="48"/>
        <v>5732281.8858058024</v>
      </c>
      <c r="I77" s="18">
        <f t="shared" si="48"/>
        <v>11144700.714708602</v>
      </c>
      <c r="J77" s="18">
        <f t="shared" si="48"/>
        <v>589732.51848800003</v>
      </c>
      <c r="K77" s="18">
        <f t="shared" si="48"/>
        <v>72322.644</v>
      </c>
      <c r="L77" s="18">
        <f t="shared" si="48"/>
        <v>458706.99799999996</v>
      </c>
      <c r="M77" s="18">
        <f t="shared" si="48"/>
        <v>1162745.2999981998</v>
      </c>
      <c r="N77" s="18">
        <f t="shared" si="48"/>
        <v>3356095.0894663995</v>
      </c>
      <c r="O77" s="18">
        <f t="shared" si="48"/>
        <v>4297724.383293</v>
      </c>
      <c r="P77" s="18">
        <f t="shared" si="48"/>
        <v>6148196.2800000003</v>
      </c>
      <c r="Q77" s="18">
        <f t="shared" si="48"/>
        <v>6048897.7883999981</v>
      </c>
      <c r="R77" s="18">
        <f t="shared" ref="R77:S77" si="49">R45</f>
        <v>6028279.1764000002</v>
      </c>
      <c r="S77" s="18">
        <f t="shared" si="49"/>
        <v>2727418.4440620001</v>
      </c>
      <c r="T77" s="18">
        <f t="shared" ref="T77" si="50">T45</f>
        <v>1586917.8</v>
      </c>
      <c r="U77" s="2"/>
      <c r="V77" s="2"/>
      <c r="W77" s="2"/>
      <c r="X77" s="2"/>
      <c r="Y77" s="2"/>
      <c r="Z77" s="209"/>
      <c r="AA77" s="209"/>
      <c r="AB77" s="209"/>
      <c r="AC77" s="209"/>
    </row>
    <row r="78" spans="1:29" ht="15.75" customHeight="1">
      <c r="A78" s="23">
        <f t="shared" si="28"/>
        <v>11</v>
      </c>
      <c r="B78" s="24" t="s">
        <v>39</v>
      </c>
      <c r="C78" s="23" t="s">
        <v>85</v>
      </c>
      <c r="D78" s="25">
        <f t="shared" ref="D78:Q78" si="51">D76/D77*1000000</f>
        <v>492734.96678976988</v>
      </c>
      <c r="E78" s="25">
        <f t="shared" si="51"/>
        <v>24296.070057210418</v>
      </c>
      <c r="F78" s="25">
        <f t="shared" si="51"/>
        <v>36525.480793346149</v>
      </c>
      <c r="G78" s="25">
        <f t="shared" si="51"/>
        <v>244426.08860935253</v>
      </c>
      <c r="H78" s="25">
        <f t="shared" si="51"/>
        <v>227391.04127968999</v>
      </c>
      <c r="I78" s="25">
        <f t="shared" si="51"/>
        <v>415641.50073188974</v>
      </c>
      <c r="J78" s="25">
        <f t="shared" si="51"/>
        <v>1041224.5826618571</v>
      </c>
      <c r="K78" s="25">
        <f t="shared" si="51"/>
        <v>2938963.3635170157</v>
      </c>
      <c r="L78" s="25">
        <f t="shared" si="51"/>
        <v>2788201.0395016111</v>
      </c>
      <c r="M78" s="25">
        <f t="shared" si="51"/>
        <v>3397291.9278822555</v>
      </c>
      <c r="N78" s="25">
        <f t="shared" si="51"/>
        <v>2041645.277237758</v>
      </c>
      <c r="O78" s="25">
        <f t="shared" si="51"/>
        <v>2124881.8780518696</v>
      </c>
      <c r="P78" s="25">
        <f t="shared" si="51"/>
        <v>974915.22323028906</v>
      </c>
      <c r="Q78" s="25">
        <f t="shared" si="51"/>
        <v>1540942.6749538246</v>
      </c>
      <c r="R78" s="25">
        <f t="shared" ref="R78:S78" si="52">R76/R77*1000000</f>
        <v>1895882.3778873228</v>
      </c>
      <c r="S78" s="25">
        <f t="shared" si="52"/>
        <v>4696307.326595854</v>
      </c>
      <c r="T78" s="25">
        <f t="shared" ref="T78" si="53">T76/T77*1000000</f>
        <v>10192462.085615866</v>
      </c>
      <c r="U78" s="13"/>
      <c r="V78" s="13"/>
      <c r="W78" s="13"/>
      <c r="X78" s="13"/>
      <c r="Y78" s="13"/>
      <c r="Z78" s="209"/>
      <c r="AA78" s="209"/>
      <c r="AB78" s="209"/>
      <c r="AC78" s="209"/>
    </row>
    <row r="79" spans="1:29" ht="15.75" customHeight="1">
      <c r="A79" s="19"/>
      <c r="B79" s="2"/>
      <c r="C79" s="2"/>
      <c r="D79" s="2"/>
      <c r="E79" s="2"/>
      <c r="F79" s="2"/>
      <c r="G79" s="2"/>
      <c r="H79" s="2"/>
      <c r="I79" s="2"/>
      <c r="J79" s="2"/>
      <c r="K79" s="2"/>
      <c r="L79" s="2"/>
      <c r="M79" s="2"/>
      <c r="N79" s="2"/>
      <c r="O79" s="2"/>
      <c r="P79" s="2"/>
      <c r="Q79" s="2"/>
      <c r="R79" s="2"/>
      <c r="S79" s="2"/>
      <c r="T79" s="2"/>
      <c r="U79" s="2"/>
      <c r="V79" s="2"/>
      <c r="W79" s="2"/>
      <c r="X79" s="2"/>
      <c r="Y79" s="2"/>
      <c r="Z79" s="209"/>
      <c r="AA79" s="209"/>
      <c r="AB79" s="209"/>
      <c r="AC79" s="209"/>
    </row>
    <row r="80" spans="1:29" ht="15.75" customHeight="1">
      <c r="A80" s="19"/>
      <c r="B80" s="2"/>
      <c r="C80" s="2"/>
      <c r="D80" s="2"/>
      <c r="E80" s="2"/>
      <c r="F80" s="2"/>
      <c r="G80" s="2"/>
      <c r="H80" s="2"/>
      <c r="I80" s="2"/>
      <c r="J80" s="2"/>
      <c r="K80" s="2"/>
      <c r="L80" s="2"/>
      <c r="M80" s="2"/>
      <c r="N80" s="2"/>
      <c r="O80" s="2"/>
      <c r="P80" s="2"/>
      <c r="Q80" s="2"/>
      <c r="R80" s="2"/>
      <c r="S80" s="2"/>
      <c r="T80" s="2"/>
      <c r="U80" s="2"/>
      <c r="V80" s="2"/>
      <c r="W80" s="2"/>
      <c r="X80" s="2"/>
      <c r="Y80" s="2"/>
      <c r="Z80" s="209"/>
      <c r="AA80" s="209"/>
      <c r="AB80" s="209"/>
      <c r="AC80" s="209"/>
    </row>
    <row r="81" spans="1:29" ht="15.75" customHeight="1">
      <c r="A81" s="6" t="s">
        <v>100</v>
      </c>
      <c r="B81" s="2"/>
      <c r="C81" s="2"/>
      <c r="D81" s="2"/>
      <c r="E81" s="2"/>
      <c r="F81" s="2"/>
      <c r="G81" s="2"/>
      <c r="H81" s="2"/>
      <c r="I81" s="2"/>
      <c r="J81" s="2"/>
      <c r="K81" s="2"/>
      <c r="L81" s="2"/>
      <c r="M81" s="2"/>
      <c r="N81" s="2"/>
      <c r="O81" s="2"/>
      <c r="P81" s="2"/>
      <c r="Q81" s="2"/>
      <c r="R81" s="2"/>
      <c r="S81" s="2"/>
      <c r="T81" s="2"/>
      <c r="U81" s="2"/>
      <c r="V81" s="2"/>
      <c r="W81" s="2"/>
      <c r="X81" s="2"/>
      <c r="Y81" s="2"/>
      <c r="Z81" s="209"/>
      <c r="AA81" s="209"/>
      <c r="AB81" s="209"/>
      <c r="AC81" s="209"/>
    </row>
    <row r="82" spans="1:29" ht="15.75" customHeight="1" thickBot="1">
      <c r="A82" s="19"/>
      <c r="B82" s="2"/>
      <c r="C82" s="2"/>
      <c r="D82" s="2"/>
      <c r="E82" s="2"/>
      <c r="F82" s="2"/>
      <c r="G82" s="2"/>
      <c r="H82" s="2"/>
      <c r="I82" s="2"/>
      <c r="J82" s="2"/>
      <c r="K82" s="2"/>
      <c r="L82" s="2"/>
      <c r="M82" s="2"/>
      <c r="N82" s="2"/>
      <c r="O82" s="2"/>
      <c r="P82" s="2"/>
      <c r="Q82" s="2"/>
      <c r="R82" s="2"/>
      <c r="S82" s="2"/>
      <c r="T82" s="2"/>
      <c r="U82" s="2"/>
      <c r="V82" s="2"/>
      <c r="W82" s="2"/>
      <c r="X82" s="2"/>
      <c r="Y82" s="2"/>
      <c r="Z82" s="209"/>
      <c r="AA82" s="209"/>
      <c r="AB82" s="209"/>
      <c r="AC82" s="209"/>
    </row>
    <row r="83" spans="1:29" ht="15.75" customHeight="1" thickBot="1">
      <c r="A83" s="125" t="s">
        <v>3</v>
      </c>
      <c r="B83" s="123" t="s">
        <v>4</v>
      </c>
      <c r="C83" s="124" t="s">
        <v>5</v>
      </c>
      <c r="D83" s="124">
        <f t="shared" ref="D83:T83" si="54">D$3</f>
        <v>2008</v>
      </c>
      <c r="E83" s="124">
        <f t="shared" si="54"/>
        <v>2009</v>
      </c>
      <c r="F83" s="124">
        <f t="shared" si="54"/>
        <v>2010</v>
      </c>
      <c r="G83" s="124">
        <f t="shared" si="54"/>
        <v>2011</v>
      </c>
      <c r="H83" s="124">
        <f t="shared" si="54"/>
        <v>2012</v>
      </c>
      <c r="I83" s="124">
        <f t="shared" si="54"/>
        <v>2013</v>
      </c>
      <c r="J83" s="124">
        <f t="shared" si="54"/>
        <v>2014</v>
      </c>
      <c r="K83" s="124">
        <f t="shared" si="54"/>
        <v>2015</v>
      </c>
      <c r="L83" s="124">
        <f t="shared" si="54"/>
        <v>2016</v>
      </c>
      <c r="M83" s="124">
        <f t="shared" si="54"/>
        <v>2017</v>
      </c>
      <c r="N83" s="124">
        <f t="shared" si="54"/>
        <v>2018</v>
      </c>
      <c r="O83" s="124">
        <f t="shared" si="54"/>
        <v>2019</v>
      </c>
      <c r="P83" s="124">
        <f t="shared" si="54"/>
        <v>2020</v>
      </c>
      <c r="Q83" s="124">
        <f t="shared" si="54"/>
        <v>2021</v>
      </c>
      <c r="R83" s="124">
        <f t="shared" si="54"/>
        <v>2022</v>
      </c>
      <c r="S83" s="124">
        <f t="shared" si="54"/>
        <v>2023</v>
      </c>
      <c r="T83" s="124">
        <f t="shared" si="54"/>
        <v>2024</v>
      </c>
      <c r="U83" s="2"/>
      <c r="V83" s="2"/>
      <c r="W83" s="2"/>
      <c r="X83" s="2"/>
      <c r="Y83" s="2"/>
      <c r="Z83" s="209"/>
      <c r="AA83" s="209"/>
      <c r="AB83" s="209"/>
      <c r="AC83" s="209"/>
    </row>
    <row r="84" spans="1:29" ht="15.75" customHeight="1">
      <c r="A84" s="9">
        <v>-1</v>
      </c>
      <c r="B84" s="9">
        <f t="shared" ref="B84:T84" si="55">A84-1</f>
        <v>-2</v>
      </c>
      <c r="C84" s="9">
        <f t="shared" si="55"/>
        <v>-3</v>
      </c>
      <c r="D84" s="9">
        <f t="shared" si="55"/>
        <v>-4</v>
      </c>
      <c r="E84" s="9">
        <f t="shared" si="55"/>
        <v>-5</v>
      </c>
      <c r="F84" s="9">
        <f t="shared" si="55"/>
        <v>-6</v>
      </c>
      <c r="G84" s="9">
        <f t="shared" si="55"/>
        <v>-7</v>
      </c>
      <c r="H84" s="9">
        <f t="shared" si="55"/>
        <v>-8</v>
      </c>
      <c r="I84" s="9">
        <f t="shared" si="55"/>
        <v>-9</v>
      </c>
      <c r="J84" s="9">
        <f t="shared" si="55"/>
        <v>-10</v>
      </c>
      <c r="K84" s="9">
        <f t="shared" si="55"/>
        <v>-11</v>
      </c>
      <c r="L84" s="9">
        <f t="shared" si="55"/>
        <v>-12</v>
      </c>
      <c r="M84" s="9">
        <f t="shared" si="55"/>
        <v>-13</v>
      </c>
      <c r="N84" s="9">
        <f t="shared" si="55"/>
        <v>-14</v>
      </c>
      <c r="O84" s="9">
        <f t="shared" si="55"/>
        <v>-15</v>
      </c>
      <c r="P84" s="9">
        <f t="shared" si="55"/>
        <v>-16</v>
      </c>
      <c r="Q84" s="9">
        <f t="shared" si="55"/>
        <v>-17</v>
      </c>
      <c r="R84" s="9">
        <f t="shared" si="55"/>
        <v>-18</v>
      </c>
      <c r="S84" s="9">
        <f t="shared" si="55"/>
        <v>-19</v>
      </c>
      <c r="T84" s="9">
        <f t="shared" si="55"/>
        <v>-20</v>
      </c>
      <c r="U84" s="2"/>
      <c r="V84" s="2"/>
      <c r="W84" s="2"/>
      <c r="X84" s="2"/>
      <c r="Y84" s="2"/>
      <c r="Z84" s="209"/>
      <c r="AA84" s="209"/>
      <c r="AB84" s="209"/>
      <c r="AC84" s="209"/>
    </row>
    <row r="85" spans="1:29" ht="15.75" customHeight="1">
      <c r="A85" s="23">
        <v>1</v>
      </c>
      <c r="B85" s="24" t="s">
        <v>41</v>
      </c>
      <c r="C85" s="23" t="s">
        <v>107</v>
      </c>
      <c r="D85" s="25"/>
      <c r="E85" s="25">
        <f t="shared" ref="E85:T85" si="56">D9/1000</f>
        <v>0</v>
      </c>
      <c r="F85" s="25">
        <f t="shared" si="56"/>
        <v>0</v>
      </c>
      <c r="G85" s="25">
        <f t="shared" si="56"/>
        <v>180000</v>
      </c>
      <c r="H85" s="25">
        <f t="shared" si="56"/>
        <v>276000</v>
      </c>
      <c r="I85" s="25">
        <f t="shared" si="56"/>
        <v>294000</v>
      </c>
      <c r="J85" s="25">
        <f t="shared" si="56"/>
        <v>585721.41500000004</v>
      </c>
      <c r="K85" s="25">
        <f t="shared" si="56"/>
        <v>585721.41500000004</v>
      </c>
      <c r="L85" s="25">
        <f t="shared" si="56"/>
        <v>1257169.3670000001</v>
      </c>
      <c r="M85" s="25">
        <f t="shared" si="56"/>
        <v>1282487.72</v>
      </c>
      <c r="N85" s="25">
        <f t="shared" si="56"/>
        <v>1604227.362</v>
      </c>
      <c r="O85" s="25">
        <f t="shared" si="56"/>
        <v>2387345.1043599998</v>
      </c>
      <c r="P85" s="25">
        <f t="shared" si="56"/>
        <v>2868940.6741399122</v>
      </c>
      <c r="Q85" s="25">
        <f t="shared" si="56"/>
        <v>2963284.0761801554</v>
      </c>
      <c r="R85" s="25">
        <f t="shared" si="56"/>
        <v>3220859.01</v>
      </c>
      <c r="S85" s="25">
        <f t="shared" si="56"/>
        <v>3135777.682</v>
      </c>
      <c r="T85" s="25">
        <f t="shared" si="56"/>
        <v>2777981.0349012678</v>
      </c>
      <c r="U85" s="2"/>
      <c r="V85" s="2"/>
      <c r="W85" s="2"/>
      <c r="X85" s="2"/>
      <c r="Y85" s="2"/>
      <c r="Z85" s="209"/>
      <c r="AA85" s="209"/>
      <c r="AB85" s="209"/>
      <c r="AC85" s="209"/>
    </row>
    <row r="86" spans="1:29" ht="15.75" customHeight="1">
      <c r="A86" s="23">
        <v>2</v>
      </c>
      <c r="B86" s="24" t="s">
        <v>43</v>
      </c>
      <c r="C86" s="23" t="s">
        <v>107</v>
      </c>
      <c r="D86" s="25">
        <f t="shared" ref="D86:Q86" si="57">SUM(D87:D89)</f>
        <v>0</v>
      </c>
      <c r="E86" s="25">
        <f t="shared" si="57"/>
        <v>0</v>
      </c>
      <c r="F86" s="25">
        <f t="shared" si="57"/>
        <v>0</v>
      </c>
      <c r="G86" s="25">
        <f t="shared" si="57"/>
        <v>0</v>
      </c>
      <c r="H86" s="25">
        <f t="shared" si="57"/>
        <v>0</v>
      </c>
      <c r="I86" s="25">
        <f t="shared" si="57"/>
        <v>0</v>
      </c>
      <c r="J86" s="25">
        <f t="shared" si="57"/>
        <v>0</v>
      </c>
      <c r="K86" s="25">
        <f t="shared" si="57"/>
        <v>0</v>
      </c>
      <c r="L86" s="25">
        <f t="shared" si="57"/>
        <v>0</v>
      </c>
      <c r="M86" s="25">
        <f t="shared" si="57"/>
        <v>0</v>
      </c>
      <c r="N86" s="25">
        <f t="shared" si="57"/>
        <v>0</v>
      </c>
      <c r="O86" s="25">
        <f t="shared" si="57"/>
        <v>0</v>
      </c>
      <c r="P86" s="25">
        <f t="shared" si="57"/>
        <v>0</v>
      </c>
      <c r="Q86" s="25">
        <f t="shared" si="57"/>
        <v>0</v>
      </c>
      <c r="R86" s="25">
        <f t="shared" ref="R86:S86" si="58">SUM(R87:R89)</f>
        <v>0</v>
      </c>
      <c r="S86" s="25">
        <f t="shared" si="58"/>
        <v>0</v>
      </c>
      <c r="T86" s="25">
        <f t="shared" ref="T86" si="59">SUM(T87:T89)</f>
        <v>0</v>
      </c>
      <c r="U86" s="2"/>
      <c r="V86" s="2"/>
      <c r="W86" s="2"/>
      <c r="X86" s="2"/>
      <c r="Y86" s="2"/>
      <c r="Z86" s="209"/>
      <c r="AA86" s="209"/>
      <c r="AB86" s="209"/>
      <c r="AC86" s="209"/>
    </row>
    <row r="87" spans="1:29" ht="15.75" customHeight="1">
      <c r="A87" s="14">
        <v>2.1</v>
      </c>
      <c r="B87" s="15" t="s">
        <v>44</v>
      </c>
      <c r="C87" s="14" t="s">
        <v>107</v>
      </c>
      <c r="D87" s="18"/>
      <c r="E87" s="18"/>
      <c r="F87" s="18"/>
      <c r="G87" s="18"/>
      <c r="H87" s="18"/>
      <c r="I87" s="18"/>
      <c r="J87" s="18"/>
      <c r="K87" s="18"/>
      <c r="L87" s="18"/>
      <c r="M87" s="18"/>
      <c r="N87" s="18"/>
      <c r="O87" s="18"/>
      <c r="P87" s="18"/>
      <c r="Q87" s="18"/>
      <c r="R87" s="18"/>
      <c r="S87" s="18"/>
      <c r="T87" s="18"/>
      <c r="U87" s="2"/>
      <c r="V87" s="2"/>
      <c r="W87" s="2"/>
      <c r="X87" s="2"/>
      <c r="Y87" s="2"/>
      <c r="Z87" s="209"/>
      <c r="AA87" s="209"/>
      <c r="AB87" s="209"/>
      <c r="AC87" s="209"/>
    </row>
    <row r="88" spans="1:29" ht="15.75" customHeight="1">
      <c r="A88" s="14">
        <v>2.2000000000000002</v>
      </c>
      <c r="B88" s="15" t="s">
        <v>45</v>
      </c>
      <c r="C88" s="14" t="s">
        <v>107</v>
      </c>
      <c r="D88" s="18"/>
      <c r="E88" s="18"/>
      <c r="F88" s="18"/>
      <c r="G88" s="18"/>
      <c r="H88" s="18"/>
      <c r="I88" s="18"/>
      <c r="J88" s="18"/>
      <c r="K88" s="18"/>
      <c r="L88" s="18"/>
      <c r="M88" s="18"/>
      <c r="N88" s="18"/>
      <c r="O88" s="18"/>
      <c r="P88" s="18"/>
      <c r="Q88" s="18"/>
      <c r="R88" s="18"/>
      <c r="S88" s="18"/>
      <c r="T88" s="18"/>
      <c r="U88" s="2"/>
      <c r="V88" s="2"/>
      <c r="W88" s="2"/>
      <c r="X88" s="2"/>
      <c r="Y88" s="2"/>
      <c r="Z88" s="209"/>
      <c r="AA88" s="209"/>
      <c r="AB88" s="209"/>
      <c r="AC88" s="209"/>
    </row>
    <row r="89" spans="1:29" ht="15.75" customHeight="1">
      <c r="A89" s="14">
        <v>2.2999999999999998</v>
      </c>
      <c r="B89" s="15" t="s">
        <v>46</v>
      </c>
      <c r="C89" s="14" t="s">
        <v>107</v>
      </c>
      <c r="D89" s="18"/>
      <c r="E89" s="18"/>
      <c r="F89" s="18"/>
      <c r="G89" s="18"/>
      <c r="H89" s="18"/>
      <c r="I89" s="18"/>
      <c r="J89" s="18"/>
      <c r="K89" s="18"/>
      <c r="L89" s="18"/>
      <c r="M89" s="18"/>
      <c r="N89" s="18"/>
      <c r="O89" s="18"/>
      <c r="P89" s="18"/>
      <c r="Q89" s="18"/>
      <c r="R89" s="18"/>
      <c r="S89" s="18"/>
      <c r="T89" s="18"/>
      <c r="U89" s="2"/>
      <c r="V89" s="2"/>
      <c r="W89" s="2"/>
      <c r="X89" s="2"/>
      <c r="Y89" s="2"/>
      <c r="Z89" s="209"/>
      <c r="AA89" s="209"/>
      <c r="AB89" s="209"/>
      <c r="AC89" s="209"/>
    </row>
    <row r="90" spans="1:29" ht="15.75" customHeight="1">
      <c r="A90" s="23">
        <v>3</v>
      </c>
      <c r="B90" s="24" t="s">
        <v>47</v>
      </c>
      <c r="C90" s="23" t="s">
        <v>107</v>
      </c>
      <c r="D90" s="25">
        <f t="shared" ref="D90:Q90" si="60">SUM(D91:D94)</f>
        <v>7771.8500399999984</v>
      </c>
      <c r="E90" s="25">
        <f t="shared" si="60"/>
        <v>15938.390931000002</v>
      </c>
      <c r="F90" s="25">
        <f t="shared" si="60"/>
        <v>26885.049859999996</v>
      </c>
      <c r="G90" s="25">
        <f t="shared" si="60"/>
        <v>39683.559479999982</v>
      </c>
      <c r="H90" s="25">
        <f t="shared" si="60"/>
        <v>30201.69592100001</v>
      </c>
      <c r="I90" s="25">
        <f t="shared" si="60"/>
        <v>58718.128107000011</v>
      </c>
      <c r="J90" s="25">
        <f t="shared" si="60"/>
        <v>3107.1260194309803</v>
      </c>
      <c r="K90" s="25">
        <f t="shared" si="60"/>
        <v>381.04659641728136</v>
      </c>
      <c r="L90" s="25">
        <f t="shared" si="60"/>
        <v>2416.7913487881979</v>
      </c>
      <c r="M90" s="25">
        <f t="shared" si="60"/>
        <v>6126.160695459429</v>
      </c>
      <c r="N90" s="25">
        <f t="shared" si="60"/>
        <v>17682.271282752368</v>
      </c>
      <c r="O90" s="25">
        <f t="shared" si="60"/>
        <v>22643.437214399368</v>
      </c>
      <c r="P90" s="25">
        <f t="shared" si="60"/>
        <v>32393.025711275026</v>
      </c>
      <c r="Q90" s="25">
        <f t="shared" si="60"/>
        <v>31869.851361433084</v>
      </c>
      <c r="R90" s="25">
        <f t="shared" ref="R90:S90" si="61">SUM(R91:R94)</f>
        <v>31761.218000000001</v>
      </c>
      <c r="S90" s="25">
        <f t="shared" si="61"/>
        <v>14369.96019</v>
      </c>
      <c r="T90" s="25">
        <f t="shared" ref="T90" si="62">SUM(T91:T94)</f>
        <v>8360.9999999999982</v>
      </c>
      <c r="U90" s="2"/>
      <c r="V90" s="2"/>
      <c r="W90" s="2"/>
      <c r="X90" s="2"/>
      <c r="Y90" s="2"/>
      <c r="Z90" s="209"/>
      <c r="AA90" s="209"/>
      <c r="AB90" s="209"/>
      <c r="AC90" s="209"/>
    </row>
    <row r="91" spans="1:29" ht="15.75" customHeight="1">
      <c r="A91" s="14">
        <v>3.1</v>
      </c>
      <c r="B91" s="15" t="s">
        <v>48</v>
      </c>
      <c r="C91" s="14" t="s">
        <v>107</v>
      </c>
      <c r="D91" s="18">
        <f t="shared" ref="D91:Q91" si="63">D46/1000</f>
        <v>7771.8500399999984</v>
      </c>
      <c r="E91" s="18">
        <f t="shared" si="63"/>
        <v>15938.390931000002</v>
      </c>
      <c r="F91" s="18">
        <f t="shared" si="63"/>
        <v>26885.049859999996</v>
      </c>
      <c r="G91" s="18">
        <f t="shared" si="63"/>
        <v>39683.559479999982</v>
      </c>
      <c r="H91" s="18">
        <f t="shared" si="63"/>
        <v>30201.69592100001</v>
      </c>
      <c r="I91" s="18">
        <f t="shared" si="63"/>
        <v>58718.128107000011</v>
      </c>
      <c r="J91" s="18">
        <f t="shared" si="63"/>
        <v>3107.1260194309803</v>
      </c>
      <c r="K91" s="18">
        <f t="shared" si="63"/>
        <v>381.04659641728136</v>
      </c>
      <c r="L91" s="18">
        <f t="shared" si="63"/>
        <v>2416.7913487881979</v>
      </c>
      <c r="M91" s="18">
        <f t="shared" si="63"/>
        <v>6126.160695459429</v>
      </c>
      <c r="N91" s="18">
        <f t="shared" si="63"/>
        <v>17682.271282752368</v>
      </c>
      <c r="O91" s="18">
        <f t="shared" si="63"/>
        <v>22643.437214399368</v>
      </c>
      <c r="P91" s="18">
        <f t="shared" si="63"/>
        <v>32393.025711275026</v>
      </c>
      <c r="Q91" s="18">
        <f t="shared" si="63"/>
        <v>31869.851361433084</v>
      </c>
      <c r="R91" s="18">
        <f t="shared" ref="R91:S91" si="64">R46/1000</f>
        <v>31761.218000000001</v>
      </c>
      <c r="S91" s="18">
        <f t="shared" si="64"/>
        <v>14369.96019</v>
      </c>
      <c r="T91" s="18">
        <f t="shared" ref="T91" si="65">T46/1000</f>
        <v>8360.9999999999982</v>
      </c>
      <c r="U91" s="2"/>
      <c r="V91" s="2"/>
      <c r="W91" s="2"/>
      <c r="X91" s="2"/>
      <c r="Y91" s="2"/>
      <c r="Z91" s="209"/>
      <c r="AA91" s="209"/>
      <c r="AB91" s="209"/>
      <c r="AC91" s="209"/>
    </row>
    <row r="92" spans="1:29" ht="15.75" customHeight="1">
      <c r="A92" s="14">
        <v>3.2</v>
      </c>
      <c r="B92" s="15" t="s">
        <v>49</v>
      </c>
      <c r="C92" s="14" t="s">
        <v>107</v>
      </c>
      <c r="D92" s="18"/>
      <c r="E92" s="18"/>
      <c r="F92" s="18"/>
      <c r="G92" s="18"/>
      <c r="H92" s="18"/>
      <c r="I92" s="18"/>
      <c r="J92" s="18"/>
      <c r="K92" s="18"/>
      <c r="L92" s="18"/>
      <c r="M92" s="18"/>
      <c r="N92" s="18"/>
      <c r="O92" s="18"/>
      <c r="P92" s="18"/>
      <c r="Q92" s="18"/>
      <c r="R92" s="18"/>
      <c r="S92" s="18"/>
      <c r="T92" s="18"/>
      <c r="U92" s="2"/>
      <c r="V92" s="2"/>
      <c r="W92" s="2"/>
      <c r="X92" s="2"/>
      <c r="Y92" s="2"/>
      <c r="Z92" s="209"/>
      <c r="AA92" s="209"/>
      <c r="AB92" s="209"/>
      <c r="AC92" s="209"/>
    </row>
    <row r="93" spans="1:29" ht="15.75" customHeight="1">
      <c r="A93" s="14">
        <v>3.3</v>
      </c>
      <c r="B93" s="15" t="s">
        <v>50</v>
      </c>
      <c r="C93" s="14" t="s">
        <v>107</v>
      </c>
      <c r="D93" s="18"/>
      <c r="E93" s="18"/>
      <c r="F93" s="18"/>
      <c r="G93" s="18"/>
      <c r="H93" s="18"/>
      <c r="I93" s="18"/>
      <c r="J93" s="18"/>
      <c r="K93" s="18"/>
      <c r="L93" s="18"/>
      <c r="M93" s="18"/>
      <c r="N93" s="18"/>
      <c r="O93" s="18"/>
      <c r="P93" s="18"/>
      <c r="Q93" s="18"/>
      <c r="R93" s="18"/>
      <c r="S93" s="18"/>
      <c r="T93" s="18"/>
      <c r="U93" s="2"/>
      <c r="V93" s="2"/>
      <c r="W93" s="2"/>
      <c r="X93" s="2"/>
      <c r="Y93" s="2"/>
      <c r="Z93" s="209"/>
      <c r="AA93" s="209"/>
      <c r="AB93" s="209"/>
      <c r="AC93" s="209"/>
    </row>
    <row r="94" spans="1:29" ht="15.75" customHeight="1">
      <c r="A94" s="14">
        <v>3.4</v>
      </c>
      <c r="B94" s="15" t="s">
        <v>46</v>
      </c>
      <c r="C94" s="14" t="s">
        <v>107</v>
      </c>
      <c r="D94" s="18"/>
      <c r="E94" s="18"/>
      <c r="F94" s="18"/>
      <c r="G94" s="18"/>
      <c r="H94" s="18"/>
      <c r="I94" s="18"/>
      <c r="J94" s="18"/>
      <c r="K94" s="18"/>
      <c r="L94" s="18"/>
      <c r="M94" s="18"/>
      <c r="N94" s="18"/>
      <c r="O94" s="18"/>
      <c r="P94" s="18"/>
      <c r="Q94" s="18"/>
      <c r="R94" s="18"/>
      <c r="S94" s="18"/>
      <c r="T94" s="18"/>
      <c r="U94" s="2"/>
      <c r="V94" s="2"/>
      <c r="W94" s="2"/>
      <c r="X94" s="2"/>
      <c r="Y94" s="2"/>
      <c r="Z94" s="209"/>
      <c r="AA94" s="209"/>
      <c r="AB94" s="209"/>
      <c r="AC94" s="209"/>
    </row>
    <row r="95" spans="1:29" ht="15.75" customHeight="1">
      <c r="A95" s="23">
        <v>4</v>
      </c>
      <c r="B95" s="24" t="s">
        <v>51</v>
      </c>
      <c r="C95" s="23" t="s">
        <v>107</v>
      </c>
      <c r="D95" s="25">
        <f t="shared" ref="D95:Q95" si="66">D96-D85-D86+D90</f>
        <v>7771.8500399999984</v>
      </c>
      <c r="E95" s="25">
        <f t="shared" si="66"/>
        <v>15938.390931000002</v>
      </c>
      <c r="F95" s="25">
        <f t="shared" si="66"/>
        <v>206885.04986</v>
      </c>
      <c r="G95" s="25">
        <f t="shared" si="66"/>
        <v>135683.55948</v>
      </c>
      <c r="H95" s="25">
        <f t="shared" si="66"/>
        <v>48201.695921000006</v>
      </c>
      <c r="I95" s="25">
        <f t="shared" si="66"/>
        <v>350439.54310700006</v>
      </c>
      <c r="J95" s="25">
        <f t="shared" si="66"/>
        <v>3107.1260194309803</v>
      </c>
      <c r="K95" s="25">
        <f t="shared" si="66"/>
        <v>671828.99859641737</v>
      </c>
      <c r="L95" s="25">
        <f t="shared" si="66"/>
        <v>27735.144348788082</v>
      </c>
      <c r="M95" s="25">
        <f t="shared" si="66"/>
        <v>327865.8026954594</v>
      </c>
      <c r="N95" s="25">
        <f t="shared" si="66"/>
        <v>800800.01364275219</v>
      </c>
      <c r="O95" s="25">
        <f t="shared" si="66"/>
        <v>504239.00699431181</v>
      </c>
      <c r="P95" s="25">
        <f t="shared" si="66"/>
        <v>126736.42775151817</v>
      </c>
      <c r="Q95" s="25">
        <f t="shared" si="66"/>
        <v>289444.78518127749</v>
      </c>
      <c r="R95" s="25">
        <f t="shared" ref="R95:S95" si="67">R96-R85-R86+R90</f>
        <v>-53320.109999999746</v>
      </c>
      <c r="S95" s="25">
        <f t="shared" si="67"/>
        <v>-343426.68690873217</v>
      </c>
      <c r="T95" s="25">
        <f t="shared" ref="T95" si="68">T96-T85-T86+T90</f>
        <v>95554.808098732028</v>
      </c>
      <c r="U95" s="2"/>
      <c r="V95" s="2"/>
      <c r="W95" s="2"/>
      <c r="X95" s="2"/>
      <c r="Y95" s="2"/>
      <c r="Z95" s="209"/>
      <c r="AA95" s="209"/>
      <c r="AB95" s="209"/>
      <c r="AC95" s="209"/>
    </row>
    <row r="96" spans="1:29" ht="15.75" customHeight="1">
      <c r="A96" s="23">
        <v>5</v>
      </c>
      <c r="B96" s="24" t="s">
        <v>52</v>
      </c>
      <c r="C96" s="23" t="s">
        <v>107</v>
      </c>
      <c r="D96" s="25">
        <f t="shared" ref="D96:Q96" si="69">D9/1000</f>
        <v>0</v>
      </c>
      <c r="E96" s="25">
        <f t="shared" si="69"/>
        <v>0</v>
      </c>
      <c r="F96" s="25">
        <f t="shared" si="69"/>
        <v>180000</v>
      </c>
      <c r="G96" s="25">
        <f t="shared" si="69"/>
        <v>276000</v>
      </c>
      <c r="H96" s="25">
        <f t="shared" si="69"/>
        <v>294000</v>
      </c>
      <c r="I96" s="25">
        <f t="shared" si="69"/>
        <v>585721.41500000004</v>
      </c>
      <c r="J96" s="25">
        <f t="shared" si="69"/>
        <v>585721.41500000004</v>
      </c>
      <c r="K96" s="25">
        <f t="shared" si="69"/>
        <v>1257169.3670000001</v>
      </c>
      <c r="L96" s="25">
        <f t="shared" si="69"/>
        <v>1282487.72</v>
      </c>
      <c r="M96" s="25">
        <f t="shared" si="69"/>
        <v>1604227.362</v>
      </c>
      <c r="N96" s="25">
        <f t="shared" si="69"/>
        <v>2387345.1043599998</v>
      </c>
      <c r="O96" s="25">
        <f t="shared" si="69"/>
        <v>2868940.6741399122</v>
      </c>
      <c r="P96" s="25">
        <f t="shared" si="69"/>
        <v>2963284.0761801554</v>
      </c>
      <c r="Q96" s="25">
        <f t="shared" si="69"/>
        <v>3220859.01</v>
      </c>
      <c r="R96" s="25">
        <f t="shared" ref="R96:S96" si="70">R9/1000</f>
        <v>3135777.682</v>
      </c>
      <c r="S96" s="25">
        <f t="shared" si="70"/>
        <v>2777981.0349012678</v>
      </c>
      <c r="T96" s="25">
        <f t="shared" ref="T96" si="71">T9/1000</f>
        <v>2865174.8429999999</v>
      </c>
      <c r="U96" s="2"/>
      <c r="V96" s="2"/>
      <c r="W96" s="2"/>
      <c r="X96" s="2"/>
      <c r="Y96" s="2"/>
      <c r="Z96" s="209"/>
      <c r="AA96" s="209"/>
      <c r="AB96" s="209"/>
      <c r="AC96" s="209"/>
    </row>
    <row r="97" spans="1:29" ht="15.75" customHeight="1">
      <c r="A97" s="1"/>
      <c r="B97" s="2"/>
      <c r="C97" s="2"/>
      <c r="D97" s="20"/>
      <c r="E97" s="2"/>
      <c r="F97" s="2"/>
      <c r="G97" s="2"/>
      <c r="H97" s="2"/>
      <c r="I97" s="2"/>
      <c r="J97" s="2"/>
      <c r="K97" s="2"/>
      <c r="L97" s="2"/>
      <c r="M97" s="2"/>
      <c r="N97" s="2"/>
      <c r="O97" s="2"/>
      <c r="P97" s="2"/>
      <c r="Q97" s="2"/>
      <c r="R97" s="2"/>
      <c r="S97" s="2"/>
      <c r="T97" s="2"/>
      <c r="U97" s="2"/>
      <c r="V97" s="2"/>
      <c r="W97" s="2"/>
      <c r="X97" s="2"/>
      <c r="Y97" s="2"/>
      <c r="Z97" s="209"/>
      <c r="AA97" s="209"/>
      <c r="AB97" s="209"/>
      <c r="AC97" s="209"/>
    </row>
    <row r="98" spans="1:29" ht="15.75" customHeight="1">
      <c r="A98" s="28"/>
      <c r="B98" s="29" t="s">
        <v>53</v>
      </c>
      <c r="C98" s="30"/>
      <c r="D98" s="2"/>
      <c r="E98" s="2" t="b">
        <f t="shared" ref="E98:Q98" si="72">E85+E86-E90+E95=E96</f>
        <v>1</v>
      </c>
      <c r="F98" s="2" t="b">
        <f t="shared" si="72"/>
        <v>1</v>
      </c>
      <c r="G98" s="2" t="b">
        <f t="shared" si="72"/>
        <v>1</v>
      </c>
      <c r="H98" s="2" t="b">
        <f t="shared" si="72"/>
        <v>1</v>
      </c>
      <c r="I98" s="2" t="b">
        <f t="shared" si="72"/>
        <v>1</v>
      </c>
      <c r="J98" s="2" t="b">
        <f t="shared" si="72"/>
        <v>1</v>
      </c>
      <c r="K98" s="2" t="b">
        <f t="shared" si="72"/>
        <v>1</v>
      </c>
      <c r="L98" s="2" t="b">
        <f t="shared" si="72"/>
        <v>1</v>
      </c>
      <c r="M98" s="2" t="b">
        <f t="shared" si="72"/>
        <v>1</v>
      </c>
      <c r="N98" s="2" t="b">
        <f t="shared" si="72"/>
        <v>1</v>
      </c>
      <c r="O98" s="2" t="b">
        <f t="shared" si="72"/>
        <v>1</v>
      </c>
      <c r="P98" s="2" t="b">
        <f t="shared" si="72"/>
        <v>1</v>
      </c>
      <c r="Q98" s="2" t="b">
        <f t="shared" si="72"/>
        <v>1</v>
      </c>
      <c r="R98" s="2" t="b">
        <f t="shared" ref="R98:S98" si="73">R85+R86-R90+R95=R96</f>
        <v>1</v>
      </c>
      <c r="S98" s="2" t="b">
        <f t="shared" si="73"/>
        <v>1</v>
      </c>
      <c r="T98" s="2" t="b">
        <f t="shared" ref="T98" si="74">T85+T86-T90+T95=T96</f>
        <v>1</v>
      </c>
      <c r="U98" s="2"/>
      <c r="V98" s="2"/>
      <c r="W98" s="2"/>
      <c r="X98" s="2"/>
      <c r="Y98" s="2"/>
      <c r="Z98" s="209"/>
      <c r="AA98" s="209"/>
      <c r="AB98" s="209"/>
      <c r="AC98" s="209"/>
    </row>
    <row r="99" spans="1:29" ht="15.75" customHeight="1">
      <c r="A99" s="19"/>
      <c r="B99" s="2"/>
      <c r="C99" s="2"/>
      <c r="D99" s="2"/>
      <c r="E99" s="2"/>
      <c r="F99" s="2"/>
      <c r="G99" s="2"/>
      <c r="H99" s="2"/>
      <c r="I99" s="2"/>
      <c r="J99" s="2"/>
      <c r="K99" s="2"/>
      <c r="L99" s="2"/>
      <c r="M99" s="2"/>
      <c r="N99" s="2"/>
      <c r="O99" s="2"/>
      <c r="P99" s="2"/>
      <c r="Q99" s="2"/>
      <c r="R99" s="2"/>
      <c r="S99" s="2"/>
      <c r="T99" s="2"/>
      <c r="U99" s="2"/>
      <c r="V99" s="2"/>
      <c r="W99" s="2"/>
      <c r="X99" s="2"/>
      <c r="Y99" s="2"/>
      <c r="Z99" s="209"/>
      <c r="AA99" s="209"/>
      <c r="AB99" s="209"/>
      <c r="AC99" s="209"/>
    </row>
    <row r="100" spans="1:29" ht="15.75" customHeight="1">
      <c r="A100" s="19"/>
      <c r="B100" s="2"/>
      <c r="C100" s="2"/>
      <c r="D100" s="2"/>
      <c r="E100" s="2"/>
      <c r="F100" s="2"/>
      <c r="G100" s="2"/>
      <c r="H100" s="2"/>
      <c r="I100" s="2"/>
      <c r="J100" s="2"/>
      <c r="K100" s="2"/>
      <c r="L100" s="2"/>
      <c r="M100" s="2"/>
      <c r="N100" s="2"/>
      <c r="O100" s="2"/>
      <c r="P100" s="2"/>
      <c r="Q100" s="2"/>
      <c r="R100" s="2"/>
      <c r="S100" s="2"/>
      <c r="T100" s="2"/>
      <c r="U100" s="2"/>
      <c r="V100" s="2"/>
      <c r="W100" s="2"/>
      <c r="X100" s="2"/>
      <c r="Y100" s="2"/>
      <c r="Z100" s="209"/>
      <c r="AA100" s="209"/>
      <c r="AB100" s="209"/>
      <c r="AC100" s="209"/>
    </row>
    <row r="101" spans="1:29" ht="15.75" customHeight="1">
      <c r="A101" s="6" t="s">
        <v>101</v>
      </c>
      <c r="B101" s="2"/>
      <c r="C101" s="2"/>
      <c r="D101" s="2"/>
      <c r="E101" s="2"/>
      <c r="F101" s="2"/>
      <c r="G101" s="2"/>
      <c r="H101" s="2"/>
      <c r="I101" s="2"/>
      <c r="J101" s="2"/>
      <c r="K101" s="2"/>
      <c r="L101" s="2"/>
      <c r="M101" s="2"/>
      <c r="N101" s="2"/>
      <c r="O101" s="2"/>
      <c r="P101" s="2"/>
      <c r="Q101" s="2"/>
      <c r="R101" s="2"/>
      <c r="S101" s="2"/>
      <c r="T101" s="2"/>
      <c r="U101" s="2"/>
      <c r="V101" s="2"/>
      <c r="W101" s="2"/>
      <c r="X101" s="2"/>
      <c r="Y101" s="2"/>
      <c r="Z101" s="209"/>
      <c r="AA101" s="209"/>
      <c r="AB101" s="209"/>
      <c r="AC101" s="209"/>
    </row>
    <row r="102" spans="1:29" ht="15.75" customHeight="1" thickBot="1">
      <c r="A102" s="19"/>
      <c r="B102" s="2"/>
      <c r="C102" s="2"/>
      <c r="D102" s="2"/>
      <c r="E102" s="2"/>
      <c r="F102" s="2"/>
      <c r="G102" s="2"/>
      <c r="H102" s="2"/>
      <c r="I102" s="2"/>
      <c r="J102" s="2"/>
      <c r="K102" s="2"/>
      <c r="L102" s="2"/>
      <c r="M102" s="2"/>
      <c r="N102" s="2"/>
      <c r="O102" s="2"/>
      <c r="P102" s="2"/>
      <c r="Q102" s="2"/>
      <c r="R102" s="2"/>
      <c r="S102" s="2"/>
      <c r="T102" s="2"/>
      <c r="U102" s="2"/>
      <c r="V102" s="2"/>
      <c r="W102" s="2"/>
      <c r="X102" s="2"/>
      <c r="Y102" s="2"/>
      <c r="Z102" s="209"/>
      <c r="AA102" s="209"/>
      <c r="AB102" s="209"/>
      <c r="AC102" s="209"/>
    </row>
    <row r="103" spans="1:29" ht="15.75" customHeight="1" thickBot="1">
      <c r="A103" s="125" t="s">
        <v>3</v>
      </c>
      <c r="B103" s="123" t="s">
        <v>4</v>
      </c>
      <c r="C103" s="124" t="s">
        <v>5</v>
      </c>
      <c r="D103" s="124">
        <f t="shared" ref="D103:T103" si="75">D$3</f>
        <v>2008</v>
      </c>
      <c r="E103" s="124">
        <f t="shared" si="75"/>
        <v>2009</v>
      </c>
      <c r="F103" s="124">
        <f t="shared" si="75"/>
        <v>2010</v>
      </c>
      <c r="G103" s="124">
        <f t="shared" si="75"/>
        <v>2011</v>
      </c>
      <c r="H103" s="124">
        <f t="shared" si="75"/>
        <v>2012</v>
      </c>
      <c r="I103" s="124">
        <f t="shared" si="75"/>
        <v>2013</v>
      </c>
      <c r="J103" s="124">
        <f t="shared" si="75"/>
        <v>2014</v>
      </c>
      <c r="K103" s="124">
        <f t="shared" si="75"/>
        <v>2015</v>
      </c>
      <c r="L103" s="124">
        <f t="shared" si="75"/>
        <v>2016</v>
      </c>
      <c r="M103" s="124">
        <f t="shared" si="75"/>
        <v>2017</v>
      </c>
      <c r="N103" s="124">
        <f t="shared" si="75"/>
        <v>2018</v>
      </c>
      <c r="O103" s="124">
        <f t="shared" si="75"/>
        <v>2019</v>
      </c>
      <c r="P103" s="124">
        <f t="shared" si="75"/>
        <v>2020</v>
      </c>
      <c r="Q103" s="124">
        <f t="shared" si="75"/>
        <v>2021</v>
      </c>
      <c r="R103" s="124">
        <f t="shared" si="75"/>
        <v>2022</v>
      </c>
      <c r="S103" s="124">
        <f t="shared" si="75"/>
        <v>2023</v>
      </c>
      <c r="T103" s="124">
        <f t="shared" si="75"/>
        <v>2024</v>
      </c>
      <c r="U103" s="2"/>
      <c r="V103" s="2"/>
      <c r="W103" s="2"/>
      <c r="X103" s="2"/>
      <c r="Y103" s="2"/>
      <c r="Z103" s="209"/>
      <c r="AA103" s="209"/>
      <c r="AB103" s="209"/>
      <c r="AC103" s="209"/>
    </row>
    <row r="104" spans="1:29" ht="15.75" customHeight="1">
      <c r="A104" s="9">
        <v>-1</v>
      </c>
      <c r="B104" s="9">
        <f t="shared" ref="B104:T104" si="76">A104-1</f>
        <v>-2</v>
      </c>
      <c r="C104" s="9">
        <f t="shared" si="76"/>
        <v>-3</v>
      </c>
      <c r="D104" s="9">
        <f t="shared" si="76"/>
        <v>-4</v>
      </c>
      <c r="E104" s="9">
        <f t="shared" si="76"/>
        <v>-5</v>
      </c>
      <c r="F104" s="9">
        <f t="shared" si="76"/>
        <v>-6</v>
      </c>
      <c r="G104" s="9">
        <f t="shared" si="76"/>
        <v>-7</v>
      </c>
      <c r="H104" s="9">
        <f t="shared" si="76"/>
        <v>-8</v>
      </c>
      <c r="I104" s="9">
        <f t="shared" si="76"/>
        <v>-9</v>
      </c>
      <c r="J104" s="9">
        <f t="shared" si="76"/>
        <v>-10</v>
      </c>
      <c r="K104" s="9">
        <f t="shared" si="76"/>
        <v>-11</v>
      </c>
      <c r="L104" s="9">
        <f t="shared" si="76"/>
        <v>-12</v>
      </c>
      <c r="M104" s="9">
        <f t="shared" si="76"/>
        <v>-13</v>
      </c>
      <c r="N104" s="9">
        <f t="shared" si="76"/>
        <v>-14</v>
      </c>
      <c r="O104" s="9">
        <f t="shared" si="76"/>
        <v>-15</v>
      </c>
      <c r="P104" s="9">
        <f t="shared" si="76"/>
        <v>-16</v>
      </c>
      <c r="Q104" s="9">
        <f t="shared" si="76"/>
        <v>-17</v>
      </c>
      <c r="R104" s="9">
        <f t="shared" si="76"/>
        <v>-18</v>
      </c>
      <c r="S104" s="9">
        <f t="shared" si="76"/>
        <v>-19</v>
      </c>
      <c r="T104" s="9">
        <f t="shared" si="76"/>
        <v>-20</v>
      </c>
      <c r="U104" s="2"/>
      <c r="V104" s="2"/>
      <c r="W104" s="2"/>
      <c r="X104" s="2"/>
      <c r="Y104" s="2"/>
      <c r="Z104" s="209"/>
      <c r="AA104" s="209"/>
      <c r="AB104" s="209"/>
      <c r="AC104" s="209"/>
    </row>
    <row r="105" spans="1:29" ht="15.75" customHeight="1">
      <c r="A105" s="23">
        <v>1</v>
      </c>
      <c r="B105" s="24" t="s">
        <v>41</v>
      </c>
      <c r="C105" s="23" t="s">
        <v>107</v>
      </c>
      <c r="D105" s="25"/>
      <c r="E105" s="25">
        <f t="shared" ref="E105:T105" si="77">D24/1000</f>
        <v>0</v>
      </c>
      <c r="F105" s="25">
        <f t="shared" si="77"/>
        <v>0</v>
      </c>
      <c r="G105" s="25">
        <f t="shared" si="77"/>
        <v>0</v>
      </c>
      <c r="H105" s="25">
        <f t="shared" si="77"/>
        <v>0</v>
      </c>
      <c r="I105" s="25">
        <f t="shared" si="77"/>
        <v>238157.9202619</v>
      </c>
      <c r="J105" s="25">
        <f t="shared" si="77"/>
        <v>239598.06026190001</v>
      </c>
      <c r="K105" s="25">
        <f t="shared" si="77"/>
        <v>239598.06026190001</v>
      </c>
      <c r="L105" s="25">
        <f t="shared" si="77"/>
        <v>571254.86898290005</v>
      </c>
      <c r="M105" s="25">
        <f t="shared" si="77"/>
        <v>602894.89901320008</v>
      </c>
      <c r="N105" s="25">
        <f t="shared" si="77"/>
        <v>732209.12978139997</v>
      </c>
      <c r="O105" s="25">
        <f t="shared" si="77"/>
        <v>743668.58951839991</v>
      </c>
      <c r="P105" s="25">
        <f t="shared" si="77"/>
        <v>740289.21243409184</v>
      </c>
      <c r="Q105" s="25">
        <f t="shared" si="77"/>
        <v>946971.50361708098</v>
      </c>
      <c r="R105" s="25">
        <f t="shared" si="77"/>
        <v>520475.10200000001</v>
      </c>
      <c r="S105" s="25">
        <f t="shared" si="77"/>
        <v>533891.95299999998</v>
      </c>
      <c r="T105" s="25">
        <f t="shared" si="77"/>
        <v>531423.88680197555</v>
      </c>
      <c r="U105" s="13"/>
      <c r="V105" s="13"/>
      <c r="W105" s="13"/>
      <c r="X105" s="13"/>
      <c r="Y105" s="13"/>
      <c r="Z105" s="209"/>
      <c r="AA105" s="209"/>
      <c r="AB105" s="209"/>
      <c r="AC105" s="209"/>
    </row>
    <row r="106" spans="1:29" ht="15.75" customHeight="1">
      <c r="A106" s="23">
        <v>2</v>
      </c>
      <c r="B106" s="24" t="s">
        <v>43</v>
      </c>
      <c r="C106" s="23" t="s">
        <v>107</v>
      </c>
      <c r="D106" s="25">
        <f t="shared" ref="D106:Q106" si="78">SUM(D107:D109)</f>
        <v>0</v>
      </c>
      <c r="E106" s="25">
        <f t="shared" si="78"/>
        <v>0</v>
      </c>
      <c r="F106" s="25">
        <f t="shared" si="78"/>
        <v>0</v>
      </c>
      <c r="G106" s="25">
        <f t="shared" si="78"/>
        <v>0</v>
      </c>
      <c r="H106" s="25">
        <f t="shared" si="78"/>
        <v>0</v>
      </c>
      <c r="I106" s="25">
        <f t="shared" si="78"/>
        <v>0</v>
      </c>
      <c r="J106" s="25">
        <f t="shared" si="78"/>
        <v>0</v>
      </c>
      <c r="K106" s="25">
        <f t="shared" si="78"/>
        <v>0</v>
      </c>
      <c r="L106" s="25">
        <f t="shared" si="78"/>
        <v>0</v>
      </c>
      <c r="M106" s="25">
        <f t="shared" si="78"/>
        <v>0</v>
      </c>
      <c r="N106" s="25">
        <f t="shared" si="78"/>
        <v>0</v>
      </c>
      <c r="O106" s="25">
        <f t="shared" si="78"/>
        <v>0</v>
      </c>
      <c r="P106" s="25">
        <f t="shared" si="78"/>
        <v>0</v>
      </c>
      <c r="Q106" s="25">
        <f t="shared" si="78"/>
        <v>0</v>
      </c>
      <c r="R106" s="25">
        <f t="shared" ref="R106:S106" si="79">SUM(R107:R109)</f>
        <v>0</v>
      </c>
      <c r="S106" s="25">
        <f t="shared" si="79"/>
        <v>0</v>
      </c>
      <c r="T106" s="25">
        <f t="shared" ref="T106" si="80">SUM(T107:T109)</f>
        <v>0</v>
      </c>
      <c r="U106" s="13"/>
      <c r="V106" s="13"/>
      <c r="W106" s="13"/>
      <c r="X106" s="13"/>
      <c r="Y106" s="13"/>
      <c r="Z106" s="209"/>
      <c r="AA106" s="209"/>
      <c r="AB106" s="209"/>
      <c r="AC106" s="209"/>
    </row>
    <row r="107" spans="1:29" ht="15.75" customHeight="1">
      <c r="A107" s="14">
        <v>2.1</v>
      </c>
      <c r="B107" s="15" t="s">
        <v>44</v>
      </c>
      <c r="C107" s="14" t="s">
        <v>107</v>
      </c>
      <c r="D107" s="18"/>
      <c r="E107" s="18"/>
      <c r="F107" s="18"/>
      <c r="G107" s="18"/>
      <c r="H107" s="18"/>
      <c r="I107" s="18"/>
      <c r="J107" s="18"/>
      <c r="K107" s="18"/>
      <c r="L107" s="18"/>
      <c r="M107" s="18"/>
      <c r="N107" s="18"/>
      <c r="O107" s="18"/>
      <c r="P107" s="18"/>
      <c r="Q107" s="18"/>
      <c r="R107" s="18"/>
      <c r="S107" s="18"/>
      <c r="T107" s="18"/>
      <c r="U107" s="2"/>
      <c r="V107" s="2"/>
      <c r="W107" s="2"/>
      <c r="X107" s="2"/>
      <c r="Y107" s="2"/>
      <c r="Z107" s="209"/>
      <c r="AA107" s="209"/>
      <c r="AB107" s="209"/>
      <c r="AC107" s="209"/>
    </row>
    <row r="108" spans="1:29" ht="15.75" customHeight="1">
      <c r="A108" s="14">
        <v>2.2000000000000002</v>
      </c>
      <c r="B108" s="15" t="s">
        <v>45</v>
      </c>
      <c r="C108" s="14" t="s">
        <v>107</v>
      </c>
      <c r="D108" s="18"/>
      <c r="E108" s="18"/>
      <c r="F108" s="18"/>
      <c r="G108" s="18"/>
      <c r="H108" s="18"/>
      <c r="I108" s="18"/>
      <c r="J108" s="18"/>
      <c r="K108" s="18"/>
      <c r="L108" s="18"/>
      <c r="M108" s="18"/>
      <c r="N108" s="18"/>
      <c r="O108" s="18"/>
      <c r="P108" s="18"/>
      <c r="Q108" s="18"/>
      <c r="R108" s="18"/>
      <c r="S108" s="18"/>
      <c r="T108" s="18"/>
      <c r="U108" s="2"/>
      <c r="V108" s="2"/>
      <c r="W108" s="2"/>
      <c r="X108" s="2"/>
      <c r="Y108" s="2"/>
      <c r="Z108" s="209"/>
      <c r="AA108" s="209"/>
      <c r="AB108" s="209"/>
      <c r="AC108" s="209"/>
    </row>
    <row r="109" spans="1:29" ht="15.75" customHeight="1">
      <c r="A109" s="14">
        <v>2.2999999999999998</v>
      </c>
      <c r="B109" s="15" t="s">
        <v>46</v>
      </c>
      <c r="C109" s="14" t="s">
        <v>107</v>
      </c>
      <c r="D109" s="18"/>
      <c r="E109" s="18"/>
      <c r="F109" s="18"/>
      <c r="G109" s="18"/>
      <c r="H109" s="18"/>
      <c r="I109" s="18"/>
      <c r="J109" s="18"/>
      <c r="K109" s="18"/>
      <c r="L109" s="18"/>
      <c r="M109" s="18"/>
      <c r="N109" s="18"/>
      <c r="O109" s="18"/>
      <c r="P109" s="18"/>
      <c r="Q109" s="18"/>
      <c r="R109" s="18"/>
      <c r="S109" s="18"/>
      <c r="T109" s="18"/>
      <c r="U109" s="2"/>
      <c r="V109" s="2"/>
      <c r="W109" s="2"/>
      <c r="X109" s="2"/>
      <c r="Y109" s="2"/>
      <c r="Z109" s="209"/>
      <c r="AA109" s="209"/>
      <c r="AB109" s="209"/>
      <c r="AC109" s="209"/>
    </row>
    <row r="110" spans="1:29" ht="15.75" customHeight="1">
      <c r="A110" s="23">
        <v>3</v>
      </c>
      <c r="B110" s="24" t="s">
        <v>47</v>
      </c>
      <c r="C110" s="23" t="s">
        <v>107</v>
      </c>
      <c r="D110" s="25">
        <f t="shared" ref="D110:Q110" si="81">SUM(D111:D114)</f>
        <v>1475.0971375919996</v>
      </c>
      <c r="E110" s="25">
        <f t="shared" si="81"/>
        <v>3025.1065987038</v>
      </c>
      <c r="F110" s="25">
        <f t="shared" si="81"/>
        <v>5102.7824634279987</v>
      </c>
      <c r="G110" s="25">
        <f t="shared" si="81"/>
        <v>7531.9395893039964</v>
      </c>
      <c r="H110" s="25">
        <f t="shared" si="81"/>
        <v>5732.2818858058026</v>
      </c>
      <c r="I110" s="25">
        <f t="shared" si="81"/>
        <v>11144.700714708602</v>
      </c>
      <c r="J110" s="25">
        <f t="shared" si="81"/>
        <v>589.73251848799998</v>
      </c>
      <c r="K110" s="25">
        <f t="shared" si="81"/>
        <v>72.322643999999997</v>
      </c>
      <c r="L110" s="25">
        <f t="shared" si="81"/>
        <v>458.70699799999994</v>
      </c>
      <c r="M110" s="25">
        <f t="shared" si="81"/>
        <v>1162.7452999981997</v>
      </c>
      <c r="N110" s="25">
        <f t="shared" si="81"/>
        <v>3356.0950894663997</v>
      </c>
      <c r="O110" s="25">
        <f t="shared" si="81"/>
        <v>4297.7243832929998</v>
      </c>
      <c r="P110" s="25">
        <f t="shared" si="81"/>
        <v>6148.1962800000001</v>
      </c>
      <c r="Q110" s="25">
        <f t="shared" si="81"/>
        <v>6048.8977883999978</v>
      </c>
      <c r="R110" s="25">
        <f t="shared" ref="R110:S110" si="82">SUM(R111:R114)</f>
        <v>6028.2791764000003</v>
      </c>
      <c r="S110" s="25">
        <f t="shared" si="82"/>
        <v>2727.4184440620002</v>
      </c>
      <c r="T110" s="25">
        <f t="shared" ref="T110" si="83">SUM(T111:T114)</f>
        <v>1586.9177999999999</v>
      </c>
      <c r="U110" s="13"/>
      <c r="V110" s="13"/>
      <c r="W110" s="13"/>
      <c r="X110" s="13"/>
      <c r="Y110" s="13"/>
      <c r="Z110" s="209"/>
      <c r="AA110" s="209"/>
      <c r="AB110" s="209"/>
      <c r="AC110" s="209"/>
    </row>
    <row r="111" spans="1:29" ht="15.75" customHeight="1">
      <c r="A111" s="14">
        <v>3.1</v>
      </c>
      <c r="B111" s="15" t="s">
        <v>48</v>
      </c>
      <c r="C111" s="14" t="s">
        <v>107</v>
      </c>
      <c r="D111" s="18">
        <f t="shared" ref="D111:Q111" si="84">D45/1000</f>
        <v>1475.0971375919996</v>
      </c>
      <c r="E111" s="18">
        <f t="shared" si="84"/>
        <v>3025.1065987038</v>
      </c>
      <c r="F111" s="18">
        <f t="shared" si="84"/>
        <v>5102.7824634279987</v>
      </c>
      <c r="G111" s="18">
        <f t="shared" si="84"/>
        <v>7531.9395893039964</v>
      </c>
      <c r="H111" s="18">
        <f t="shared" si="84"/>
        <v>5732.2818858058026</v>
      </c>
      <c r="I111" s="18">
        <f t="shared" si="84"/>
        <v>11144.700714708602</v>
      </c>
      <c r="J111" s="18">
        <f t="shared" si="84"/>
        <v>589.73251848799998</v>
      </c>
      <c r="K111" s="18">
        <f t="shared" si="84"/>
        <v>72.322643999999997</v>
      </c>
      <c r="L111" s="18">
        <f t="shared" si="84"/>
        <v>458.70699799999994</v>
      </c>
      <c r="M111" s="18">
        <f t="shared" si="84"/>
        <v>1162.7452999981997</v>
      </c>
      <c r="N111" s="18">
        <f t="shared" si="84"/>
        <v>3356.0950894663997</v>
      </c>
      <c r="O111" s="18">
        <f t="shared" si="84"/>
        <v>4297.7243832929998</v>
      </c>
      <c r="P111" s="18">
        <f t="shared" si="84"/>
        <v>6148.1962800000001</v>
      </c>
      <c r="Q111" s="18">
        <f t="shared" si="84"/>
        <v>6048.8977883999978</v>
      </c>
      <c r="R111" s="18">
        <f t="shared" ref="R111:S111" si="85">R45/1000</f>
        <v>6028.2791764000003</v>
      </c>
      <c r="S111" s="18">
        <f t="shared" si="85"/>
        <v>2727.4184440620002</v>
      </c>
      <c r="T111" s="18">
        <f t="shared" ref="T111" si="86">T45/1000</f>
        <v>1586.9177999999999</v>
      </c>
      <c r="U111" s="2"/>
      <c r="V111" s="2"/>
      <c r="W111" s="2"/>
      <c r="X111" s="2"/>
      <c r="Y111" s="2"/>
      <c r="Z111" s="209"/>
      <c r="AA111" s="209"/>
      <c r="AB111" s="209"/>
      <c r="AC111" s="209"/>
    </row>
    <row r="112" spans="1:29" ht="15.75" customHeight="1">
      <c r="A112" s="14">
        <v>3.2</v>
      </c>
      <c r="B112" s="15" t="s">
        <v>49</v>
      </c>
      <c r="C112" s="14" t="s">
        <v>107</v>
      </c>
      <c r="D112" s="18"/>
      <c r="E112" s="18"/>
      <c r="F112" s="18"/>
      <c r="G112" s="18"/>
      <c r="H112" s="18"/>
      <c r="I112" s="18"/>
      <c r="J112" s="18"/>
      <c r="K112" s="18"/>
      <c r="L112" s="18"/>
      <c r="M112" s="18"/>
      <c r="N112" s="18"/>
      <c r="O112" s="18"/>
      <c r="P112" s="18"/>
      <c r="Q112" s="18"/>
      <c r="R112" s="18"/>
      <c r="S112" s="18"/>
      <c r="T112" s="18"/>
      <c r="U112" s="2"/>
      <c r="V112" s="2"/>
      <c r="W112" s="2"/>
      <c r="X112" s="2"/>
      <c r="Y112" s="2"/>
      <c r="Z112" s="209"/>
      <c r="AA112" s="209"/>
      <c r="AB112" s="209"/>
      <c r="AC112" s="209"/>
    </row>
    <row r="113" spans="1:29" ht="15.75" customHeight="1">
      <c r="A113" s="14">
        <v>3.3</v>
      </c>
      <c r="B113" s="15" t="s">
        <v>50</v>
      </c>
      <c r="C113" s="14" t="s">
        <v>107</v>
      </c>
      <c r="D113" s="18"/>
      <c r="E113" s="18"/>
      <c r="F113" s="18"/>
      <c r="G113" s="18"/>
      <c r="H113" s="18"/>
      <c r="I113" s="18"/>
      <c r="J113" s="18"/>
      <c r="K113" s="18"/>
      <c r="L113" s="18"/>
      <c r="M113" s="18"/>
      <c r="N113" s="18"/>
      <c r="O113" s="18"/>
      <c r="P113" s="18"/>
      <c r="Q113" s="18"/>
      <c r="R113" s="18"/>
      <c r="S113" s="18"/>
      <c r="T113" s="18"/>
      <c r="U113" s="2"/>
      <c r="V113" s="2"/>
      <c r="W113" s="2"/>
      <c r="X113" s="2"/>
      <c r="Y113" s="2"/>
      <c r="Z113" s="209"/>
      <c r="AA113" s="209"/>
      <c r="AB113" s="209"/>
      <c r="AC113" s="209"/>
    </row>
    <row r="114" spans="1:29" ht="15.75" customHeight="1">
      <c r="A114" s="14">
        <v>3.4</v>
      </c>
      <c r="B114" s="15" t="s">
        <v>46</v>
      </c>
      <c r="C114" s="14" t="s">
        <v>107</v>
      </c>
      <c r="D114" s="18"/>
      <c r="E114" s="18"/>
      <c r="F114" s="18"/>
      <c r="G114" s="18"/>
      <c r="H114" s="18"/>
      <c r="I114" s="18"/>
      <c r="J114" s="18"/>
      <c r="K114" s="18"/>
      <c r="L114" s="18"/>
      <c r="M114" s="18"/>
      <c r="N114" s="18"/>
      <c r="O114" s="18"/>
      <c r="P114" s="18"/>
      <c r="Q114" s="18"/>
      <c r="R114" s="18"/>
      <c r="S114" s="18"/>
      <c r="T114" s="18"/>
      <c r="U114" s="2"/>
      <c r="V114" s="2"/>
      <c r="W114" s="2"/>
      <c r="X114" s="2"/>
      <c r="Y114" s="2"/>
      <c r="Z114" s="209"/>
      <c r="AA114" s="209"/>
      <c r="AB114" s="209"/>
      <c r="AC114" s="209"/>
    </row>
    <row r="115" spans="1:29" ht="15.75" customHeight="1">
      <c r="A115" s="23">
        <v>4</v>
      </c>
      <c r="B115" s="24" t="s">
        <v>51</v>
      </c>
      <c r="C115" s="23" t="s">
        <v>107</v>
      </c>
      <c r="D115" s="25">
        <f t="shared" ref="D115:Q115" si="87">D116-D105-D106+D110</f>
        <v>1475.0971375919996</v>
      </c>
      <c r="E115" s="25">
        <f t="shared" si="87"/>
        <v>3025.1065987038</v>
      </c>
      <c r="F115" s="25">
        <f t="shared" si="87"/>
        <v>5102.7824634279987</v>
      </c>
      <c r="G115" s="25">
        <f t="shared" si="87"/>
        <v>7531.9395893039964</v>
      </c>
      <c r="H115" s="25">
        <f t="shared" si="87"/>
        <v>243890.2021477058</v>
      </c>
      <c r="I115" s="25">
        <f t="shared" si="87"/>
        <v>12584.840714708616</v>
      </c>
      <c r="J115" s="25">
        <f t="shared" si="87"/>
        <v>589.73251848799998</v>
      </c>
      <c r="K115" s="25">
        <f t="shared" si="87"/>
        <v>331729.13136500004</v>
      </c>
      <c r="L115" s="25">
        <f t="shared" si="87"/>
        <v>32098.737028300027</v>
      </c>
      <c r="M115" s="25">
        <f t="shared" si="87"/>
        <v>130476.9760681981</v>
      </c>
      <c r="N115" s="25">
        <f t="shared" si="87"/>
        <v>14815.554826466339</v>
      </c>
      <c r="O115" s="25">
        <f t="shared" si="87"/>
        <v>918.34729898492878</v>
      </c>
      <c r="P115" s="25">
        <f t="shared" si="87"/>
        <v>212830.48746298914</v>
      </c>
      <c r="Q115" s="25">
        <f t="shared" si="87"/>
        <v>-420447.50382868096</v>
      </c>
      <c r="R115" s="25">
        <f t="shared" ref="R115:S115" si="88">R116-R105-R106+R110</f>
        <v>19445.130176399965</v>
      </c>
      <c r="S115" s="25">
        <f t="shared" si="88"/>
        <v>259.35224603756706</v>
      </c>
      <c r="T115" s="25">
        <f t="shared" ref="T115" si="89">T116-T105-T106+T110</f>
        <v>22472.558998024502</v>
      </c>
      <c r="U115" s="13"/>
      <c r="V115" s="13"/>
      <c r="W115" s="13"/>
      <c r="X115" s="13"/>
      <c r="Y115" s="13"/>
      <c r="Z115" s="209"/>
      <c r="AA115" s="209"/>
      <c r="AB115" s="209"/>
      <c r="AC115" s="209"/>
    </row>
    <row r="116" spans="1:29" ht="15.75" customHeight="1">
      <c r="A116" s="23">
        <v>5</v>
      </c>
      <c r="B116" s="24" t="s">
        <v>52</v>
      </c>
      <c r="C116" s="23" t="s">
        <v>107</v>
      </c>
      <c r="D116" s="25">
        <f t="shared" ref="D116:Q116" si="90">D24/1000</f>
        <v>0</v>
      </c>
      <c r="E116" s="25">
        <f t="shared" si="90"/>
        <v>0</v>
      </c>
      <c r="F116" s="25">
        <f t="shared" si="90"/>
        <v>0</v>
      </c>
      <c r="G116" s="25">
        <f t="shared" si="90"/>
        <v>0</v>
      </c>
      <c r="H116" s="25">
        <f t="shared" si="90"/>
        <v>238157.9202619</v>
      </c>
      <c r="I116" s="25">
        <f t="shared" si="90"/>
        <v>239598.06026190001</v>
      </c>
      <c r="J116" s="25">
        <f t="shared" si="90"/>
        <v>239598.06026190001</v>
      </c>
      <c r="K116" s="25">
        <f t="shared" si="90"/>
        <v>571254.86898290005</v>
      </c>
      <c r="L116" s="25">
        <f t="shared" si="90"/>
        <v>602894.89901320008</v>
      </c>
      <c r="M116" s="25">
        <f t="shared" si="90"/>
        <v>732209.12978139997</v>
      </c>
      <c r="N116" s="25">
        <f t="shared" si="90"/>
        <v>743668.58951839991</v>
      </c>
      <c r="O116" s="25">
        <f t="shared" si="90"/>
        <v>740289.21243409184</v>
      </c>
      <c r="P116" s="25">
        <f t="shared" si="90"/>
        <v>946971.50361708098</v>
      </c>
      <c r="Q116" s="25">
        <f t="shared" si="90"/>
        <v>520475.10200000001</v>
      </c>
      <c r="R116" s="25">
        <f t="shared" ref="R116:S116" si="91">R24/1000</f>
        <v>533891.95299999998</v>
      </c>
      <c r="S116" s="25">
        <f t="shared" si="91"/>
        <v>531423.88680197555</v>
      </c>
      <c r="T116" s="25">
        <f t="shared" ref="T116" si="92">T24/1000</f>
        <v>552309.52800000005</v>
      </c>
      <c r="U116" s="13"/>
      <c r="V116" s="13"/>
      <c r="W116" s="13"/>
      <c r="X116" s="13"/>
      <c r="Y116" s="13"/>
      <c r="Z116" s="209"/>
      <c r="AA116" s="209"/>
      <c r="AB116" s="209"/>
      <c r="AC116" s="209"/>
    </row>
    <row r="117" spans="1:29" ht="15.75" customHeight="1">
      <c r="A117" s="1"/>
      <c r="B117" s="2"/>
      <c r="C117" s="2"/>
      <c r="D117" s="20"/>
      <c r="E117" s="2"/>
      <c r="F117" s="2"/>
      <c r="G117" s="2"/>
      <c r="H117" s="2"/>
      <c r="I117" s="2"/>
      <c r="J117" s="2"/>
      <c r="K117" s="2"/>
      <c r="L117" s="2"/>
      <c r="M117" s="2"/>
      <c r="N117" s="2"/>
      <c r="O117" s="2"/>
      <c r="P117" s="2"/>
      <c r="Q117" s="2"/>
      <c r="R117" s="2"/>
      <c r="S117" s="2"/>
      <c r="T117" s="2"/>
      <c r="U117" s="2"/>
      <c r="V117" s="2"/>
      <c r="W117" s="2"/>
      <c r="X117" s="2"/>
      <c r="Y117" s="2"/>
      <c r="Z117" s="209"/>
      <c r="AA117" s="209"/>
      <c r="AB117" s="209"/>
      <c r="AC117" s="209"/>
    </row>
    <row r="118" spans="1:29" ht="15.75" customHeight="1">
      <c r="A118" s="28"/>
      <c r="B118" s="29" t="s">
        <v>53</v>
      </c>
      <c r="C118" s="30"/>
      <c r="D118" s="2"/>
      <c r="E118" s="2" t="b">
        <f t="shared" ref="E118:Q118" si="93">E105+E106-E110+E115=E116</f>
        <v>1</v>
      </c>
      <c r="F118" s="2" t="b">
        <f t="shared" si="93"/>
        <v>1</v>
      </c>
      <c r="G118" s="2" t="b">
        <f t="shared" si="93"/>
        <v>1</v>
      </c>
      <c r="H118" s="2" t="b">
        <f t="shared" si="93"/>
        <v>1</v>
      </c>
      <c r="I118" s="2" t="b">
        <f t="shared" si="93"/>
        <v>1</v>
      </c>
      <c r="J118" s="2" t="b">
        <f t="shared" si="93"/>
        <v>1</v>
      </c>
      <c r="K118" s="2" t="b">
        <f t="shared" si="93"/>
        <v>1</v>
      </c>
      <c r="L118" s="2" t="b">
        <f t="shared" si="93"/>
        <v>1</v>
      </c>
      <c r="M118" s="2" t="b">
        <f t="shared" si="93"/>
        <v>1</v>
      </c>
      <c r="N118" s="2" t="b">
        <f t="shared" si="93"/>
        <v>1</v>
      </c>
      <c r="O118" s="2" t="b">
        <f t="shared" si="93"/>
        <v>1</v>
      </c>
      <c r="P118" s="2" t="b">
        <f t="shared" si="93"/>
        <v>1</v>
      </c>
      <c r="Q118" s="2" t="b">
        <f t="shared" si="93"/>
        <v>1</v>
      </c>
      <c r="R118" s="2" t="b">
        <f t="shared" ref="R118:S118" si="94">R105+R106-R110+R115=R116</f>
        <v>1</v>
      </c>
      <c r="S118" s="2" t="b">
        <f t="shared" si="94"/>
        <v>1</v>
      </c>
      <c r="T118" s="2" t="b">
        <f t="shared" ref="T118" si="95">T105+T106-T110+T115=T116</f>
        <v>1</v>
      </c>
      <c r="U118" s="2"/>
      <c r="V118" s="2"/>
      <c r="W118" s="2"/>
      <c r="X118" s="2"/>
      <c r="Y118" s="2"/>
      <c r="Z118" s="209"/>
      <c r="AA118" s="209"/>
      <c r="AB118" s="209"/>
      <c r="AC118" s="209"/>
    </row>
    <row r="119" spans="1:29" ht="15.75" customHeight="1">
      <c r="A119" s="1"/>
      <c r="B119" s="2"/>
      <c r="C119" s="2"/>
      <c r="D119" s="20"/>
      <c r="E119" s="2"/>
      <c r="F119" s="2"/>
      <c r="G119" s="2"/>
      <c r="H119" s="2"/>
      <c r="I119" s="2"/>
      <c r="J119" s="2"/>
      <c r="K119" s="2"/>
      <c r="L119" s="2"/>
      <c r="M119" s="2"/>
      <c r="N119" s="2"/>
      <c r="O119" s="2"/>
      <c r="P119" s="2"/>
      <c r="Q119" s="2"/>
      <c r="R119" s="2"/>
      <c r="S119" s="2"/>
      <c r="T119" s="2"/>
      <c r="U119" s="2"/>
      <c r="V119" s="2"/>
      <c r="W119" s="2"/>
      <c r="X119" s="2"/>
      <c r="Y119" s="2"/>
      <c r="Z119" s="209"/>
      <c r="AA119" s="209"/>
      <c r="AB119" s="209"/>
      <c r="AC119" s="209"/>
    </row>
    <row r="120" spans="1:29" ht="15.75" customHeight="1">
      <c r="A120" s="6" t="s">
        <v>102</v>
      </c>
      <c r="B120" s="2"/>
      <c r="C120" s="2"/>
      <c r="D120" s="2"/>
      <c r="E120" s="2"/>
      <c r="F120" s="2"/>
      <c r="G120" s="2"/>
      <c r="H120" s="2"/>
      <c r="I120" s="2"/>
      <c r="J120" s="2"/>
      <c r="K120" s="2"/>
      <c r="L120" s="2"/>
      <c r="M120" s="2"/>
      <c r="N120" s="2"/>
      <c r="O120" s="2"/>
      <c r="P120" s="2"/>
      <c r="Q120" s="2"/>
      <c r="R120" s="2"/>
      <c r="S120" s="2"/>
      <c r="T120" s="2"/>
      <c r="U120" s="2"/>
      <c r="V120" s="2"/>
      <c r="W120" s="2"/>
      <c r="X120" s="2"/>
      <c r="Y120" s="2"/>
      <c r="Z120" s="209"/>
      <c r="AA120" s="209"/>
      <c r="AB120" s="209"/>
      <c r="AC120" s="209"/>
    </row>
    <row r="121" spans="1:29" ht="15.75" customHeight="1" thickBot="1">
      <c r="A121" s="7"/>
      <c r="B121" s="2"/>
      <c r="C121" s="2"/>
      <c r="D121" s="2"/>
      <c r="E121" s="2"/>
      <c r="F121" s="2"/>
      <c r="G121" s="2"/>
      <c r="H121" s="2"/>
      <c r="I121" s="2"/>
      <c r="J121" s="2"/>
      <c r="K121" s="2"/>
      <c r="L121" s="2"/>
      <c r="M121" s="2"/>
      <c r="N121" s="2"/>
      <c r="O121" s="2"/>
      <c r="P121" s="2"/>
      <c r="Q121" s="2"/>
      <c r="R121" s="2"/>
      <c r="S121" s="2"/>
      <c r="T121" s="2"/>
      <c r="U121" s="2"/>
      <c r="V121" s="2"/>
      <c r="W121" s="2"/>
      <c r="X121" s="2"/>
      <c r="Y121" s="2"/>
      <c r="Z121" s="209"/>
      <c r="AA121" s="209"/>
      <c r="AB121" s="209"/>
      <c r="AC121" s="209"/>
    </row>
    <row r="122" spans="1:29" ht="15.75" customHeight="1" thickBot="1">
      <c r="A122" s="125" t="s">
        <v>3</v>
      </c>
      <c r="B122" s="123" t="s">
        <v>4</v>
      </c>
      <c r="C122" s="124" t="s">
        <v>5</v>
      </c>
      <c r="D122" s="124">
        <f t="shared" ref="D122:T122" si="96">D$3</f>
        <v>2008</v>
      </c>
      <c r="E122" s="124">
        <f t="shared" si="96"/>
        <v>2009</v>
      </c>
      <c r="F122" s="124">
        <f t="shared" si="96"/>
        <v>2010</v>
      </c>
      <c r="G122" s="124">
        <f t="shared" si="96"/>
        <v>2011</v>
      </c>
      <c r="H122" s="124">
        <f t="shared" si="96"/>
        <v>2012</v>
      </c>
      <c r="I122" s="124">
        <f t="shared" si="96"/>
        <v>2013</v>
      </c>
      <c r="J122" s="124">
        <f t="shared" si="96"/>
        <v>2014</v>
      </c>
      <c r="K122" s="124">
        <f t="shared" si="96"/>
        <v>2015</v>
      </c>
      <c r="L122" s="124">
        <f t="shared" si="96"/>
        <v>2016</v>
      </c>
      <c r="M122" s="124">
        <f t="shared" si="96"/>
        <v>2017</v>
      </c>
      <c r="N122" s="124">
        <f t="shared" si="96"/>
        <v>2018</v>
      </c>
      <c r="O122" s="124">
        <f t="shared" si="96"/>
        <v>2019</v>
      </c>
      <c r="P122" s="124">
        <f t="shared" si="96"/>
        <v>2020</v>
      </c>
      <c r="Q122" s="124">
        <f t="shared" si="96"/>
        <v>2021</v>
      </c>
      <c r="R122" s="124">
        <f t="shared" si="96"/>
        <v>2022</v>
      </c>
      <c r="S122" s="124">
        <f t="shared" si="96"/>
        <v>2023</v>
      </c>
      <c r="T122" s="124">
        <f t="shared" si="96"/>
        <v>2024</v>
      </c>
      <c r="U122" s="2"/>
      <c r="V122" s="2"/>
      <c r="W122" s="2"/>
      <c r="X122" s="2"/>
      <c r="Y122" s="2"/>
      <c r="Z122" s="209"/>
      <c r="AA122" s="209"/>
      <c r="AB122" s="209"/>
      <c r="AC122" s="209"/>
    </row>
    <row r="123" spans="1:29" ht="15.75" customHeight="1">
      <c r="A123" s="9">
        <v>-1</v>
      </c>
      <c r="B123" s="9">
        <f t="shared" ref="B123:T123" si="97">A123-1</f>
        <v>-2</v>
      </c>
      <c r="C123" s="9">
        <f t="shared" si="97"/>
        <v>-3</v>
      </c>
      <c r="D123" s="9">
        <f t="shared" si="97"/>
        <v>-4</v>
      </c>
      <c r="E123" s="9">
        <f t="shared" si="97"/>
        <v>-5</v>
      </c>
      <c r="F123" s="9">
        <f t="shared" si="97"/>
        <v>-6</v>
      </c>
      <c r="G123" s="9">
        <f t="shared" si="97"/>
        <v>-7</v>
      </c>
      <c r="H123" s="9">
        <f t="shared" si="97"/>
        <v>-8</v>
      </c>
      <c r="I123" s="9">
        <f t="shared" si="97"/>
        <v>-9</v>
      </c>
      <c r="J123" s="9">
        <f t="shared" si="97"/>
        <v>-10</v>
      </c>
      <c r="K123" s="9">
        <f t="shared" si="97"/>
        <v>-11</v>
      </c>
      <c r="L123" s="9">
        <f t="shared" si="97"/>
        <v>-12</v>
      </c>
      <c r="M123" s="9">
        <f t="shared" si="97"/>
        <v>-13</v>
      </c>
      <c r="N123" s="9">
        <f t="shared" si="97"/>
        <v>-14</v>
      </c>
      <c r="O123" s="9">
        <f t="shared" si="97"/>
        <v>-15</v>
      </c>
      <c r="P123" s="9">
        <f t="shared" si="97"/>
        <v>-16</v>
      </c>
      <c r="Q123" s="9">
        <f t="shared" si="97"/>
        <v>-17</v>
      </c>
      <c r="R123" s="9">
        <f t="shared" si="97"/>
        <v>-18</v>
      </c>
      <c r="S123" s="9">
        <f t="shared" si="97"/>
        <v>-19</v>
      </c>
      <c r="T123" s="9">
        <f t="shared" si="97"/>
        <v>-20</v>
      </c>
      <c r="U123" s="2"/>
      <c r="V123" s="2"/>
      <c r="W123" s="2"/>
      <c r="X123" s="2"/>
      <c r="Y123" s="2"/>
      <c r="Z123" s="209"/>
      <c r="AA123" s="209"/>
      <c r="AB123" s="209"/>
      <c r="AC123" s="209"/>
    </row>
    <row r="124" spans="1:29" ht="15.75" customHeight="1">
      <c r="A124" s="14">
        <v>1</v>
      </c>
      <c r="B124" s="15" t="s">
        <v>55</v>
      </c>
      <c r="C124" s="14" t="s">
        <v>85</v>
      </c>
      <c r="D124" s="18">
        <f t="shared" ref="D124:Q124" si="98">D78</f>
        <v>492734.96678976988</v>
      </c>
      <c r="E124" s="18">
        <f t="shared" si="98"/>
        <v>24296.070057210418</v>
      </c>
      <c r="F124" s="18">
        <f t="shared" si="98"/>
        <v>36525.480793346149</v>
      </c>
      <c r="G124" s="18">
        <f t="shared" si="98"/>
        <v>244426.08860935253</v>
      </c>
      <c r="H124" s="18">
        <f t="shared" si="98"/>
        <v>227391.04127968999</v>
      </c>
      <c r="I124" s="18">
        <f t="shared" si="98"/>
        <v>415641.50073188974</v>
      </c>
      <c r="J124" s="18">
        <f t="shared" si="98"/>
        <v>1041224.5826618571</v>
      </c>
      <c r="K124" s="18">
        <f t="shared" si="98"/>
        <v>2938963.3635170157</v>
      </c>
      <c r="L124" s="18">
        <f t="shared" si="98"/>
        <v>2788201.0395016111</v>
      </c>
      <c r="M124" s="18">
        <f t="shared" si="98"/>
        <v>3397291.9278822555</v>
      </c>
      <c r="N124" s="18">
        <f t="shared" si="98"/>
        <v>2041645.277237758</v>
      </c>
      <c r="O124" s="18">
        <f t="shared" si="98"/>
        <v>2124881.8780518696</v>
      </c>
      <c r="P124" s="18">
        <f t="shared" si="98"/>
        <v>974915.22323028906</v>
      </c>
      <c r="Q124" s="18">
        <f t="shared" si="98"/>
        <v>1540942.6749538246</v>
      </c>
      <c r="R124" s="18">
        <f t="shared" ref="R124:S124" si="99">R78</f>
        <v>1895882.3778873228</v>
      </c>
      <c r="S124" s="18">
        <f t="shared" si="99"/>
        <v>4696307.326595854</v>
      </c>
      <c r="T124" s="18">
        <f t="shared" ref="T124" si="100">T78</f>
        <v>10192462.085615866</v>
      </c>
      <c r="U124" s="2"/>
      <c r="V124" s="2"/>
      <c r="W124" s="2"/>
      <c r="X124" s="2"/>
      <c r="Y124" s="2"/>
      <c r="Z124" s="209"/>
      <c r="AA124" s="209"/>
      <c r="AB124" s="209"/>
      <c r="AC124" s="209"/>
    </row>
    <row r="125" spans="1:29" ht="15.75" customHeight="1">
      <c r="A125" s="14">
        <f t="shared" ref="A125:A132" si="101">A124+1</f>
        <v>2</v>
      </c>
      <c r="B125" s="15" t="s">
        <v>56</v>
      </c>
      <c r="C125" s="14" t="s">
        <v>84</v>
      </c>
      <c r="D125" s="18">
        <f t="shared" ref="D125:Q125" si="102">D77</f>
        <v>1475097.1375919997</v>
      </c>
      <c r="E125" s="18">
        <f t="shared" si="102"/>
        <v>3025106.5987038002</v>
      </c>
      <c r="F125" s="18">
        <f t="shared" si="102"/>
        <v>5102782.4634279991</v>
      </c>
      <c r="G125" s="18">
        <f t="shared" si="102"/>
        <v>7531939.5893039964</v>
      </c>
      <c r="H125" s="18">
        <f t="shared" si="102"/>
        <v>5732281.8858058024</v>
      </c>
      <c r="I125" s="18">
        <f t="shared" si="102"/>
        <v>11144700.714708602</v>
      </c>
      <c r="J125" s="18">
        <f t="shared" si="102"/>
        <v>589732.51848800003</v>
      </c>
      <c r="K125" s="18">
        <f t="shared" si="102"/>
        <v>72322.644</v>
      </c>
      <c r="L125" s="18">
        <f t="shared" si="102"/>
        <v>458706.99799999996</v>
      </c>
      <c r="M125" s="18">
        <f t="shared" si="102"/>
        <v>1162745.2999981998</v>
      </c>
      <c r="N125" s="18">
        <f t="shared" si="102"/>
        <v>3356095.0894663995</v>
      </c>
      <c r="O125" s="18">
        <f t="shared" si="102"/>
        <v>4297724.383293</v>
      </c>
      <c r="P125" s="18">
        <f t="shared" si="102"/>
        <v>6148196.2800000003</v>
      </c>
      <c r="Q125" s="18">
        <f t="shared" si="102"/>
        <v>6048897.7883999981</v>
      </c>
      <c r="R125" s="18">
        <f t="shared" ref="R125:S125" si="103">R77</f>
        <v>6028279.1764000002</v>
      </c>
      <c r="S125" s="18">
        <f t="shared" si="103"/>
        <v>2727418.4440620001</v>
      </c>
      <c r="T125" s="18">
        <f t="shared" ref="T125" si="104">T77</f>
        <v>1586917.8</v>
      </c>
      <c r="U125" s="2"/>
      <c r="V125" s="2"/>
      <c r="W125" s="2"/>
      <c r="X125" s="2"/>
      <c r="Y125" s="2"/>
      <c r="Z125" s="209"/>
      <c r="AA125" s="209"/>
      <c r="AB125" s="209"/>
      <c r="AC125" s="209"/>
    </row>
    <row r="126" spans="1:29" ht="15.75" customHeight="1">
      <c r="A126" s="14">
        <f t="shared" si="101"/>
        <v>3</v>
      </c>
      <c r="B126" s="15" t="s">
        <v>57</v>
      </c>
      <c r="C126" s="14" t="s">
        <v>58</v>
      </c>
      <c r="D126" s="18">
        <f t="shared" ref="D126:Q126" si="105">D124*D125/1000000000</f>
        <v>726.83193910307864</v>
      </c>
      <c r="E126" s="18">
        <f t="shared" si="105"/>
        <v>73.498201852637052</v>
      </c>
      <c r="F126" s="18">
        <f t="shared" si="105"/>
        <v>186.38158286056293</v>
      </c>
      <c r="G126" s="18">
        <f t="shared" si="105"/>
        <v>1841.0025334555091</v>
      </c>
      <c r="H126" s="18">
        <f t="shared" si="105"/>
        <v>1303.4695469220865</v>
      </c>
      <c r="I126" s="18">
        <f t="shared" si="105"/>
        <v>4632.200130269247</v>
      </c>
      <c r="J126" s="18">
        <f t="shared" si="105"/>
        <v>614.04399544479384</v>
      </c>
      <c r="K126" s="18">
        <f t="shared" si="105"/>
        <v>212.55360106868372</v>
      </c>
      <c r="L126" s="18">
        <f t="shared" si="105"/>
        <v>1278.9673286502634</v>
      </c>
      <c r="M126" s="18">
        <f t="shared" si="105"/>
        <v>3950.1852218669155</v>
      </c>
      <c r="N126" s="18">
        <f t="shared" si="105"/>
        <v>6851.9556893699055</v>
      </c>
      <c r="O126" s="18">
        <f t="shared" si="105"/>
        <v>9132.1566589209433</v>
      </c>
      <c r="P126" s="18">
        <f t="shared" si="105"/>
        <v>5993.9701487798329</v>
      </c>
      <c r="Q126" s="18">
        <f t="shared" si="105"/>
        <v>9321.0047385793678</v>
      </c>
      <c r="R126" s="18">
        <f t="shared" ref="R126:S126" si="106">R124*R125/1000000000</f>
        <v>11428.908259521866</v>
      </c>
      <c r="S126" s="18">
        <f t="shared" si="106"/>
        <v>12808.795221541035</v>
      </c>
      <c r="T126" s="18">
        <f t="shared" ref="T126" si="107">T124*T125/1000000000</f>
        <v>16174.599509488942</v>
      </c>
      <c r="U126" s="2"/>
      <c r="V126" s="2"/>
      <c r="W126" s="2"/>
      <c r="X126" s="2"/>
      <c r="Y126" s="2"/>
      <c r="Z126" s="209"/>
      <c r="AA126" s="209"/>
      <c r="AB126" s="209"/>
      <c r="AC126" s="209"/>
    </row>
    <row r="127" spans="1:29" ht="15.75" customHeight="1">
      <c r="A127" s="14">
        <f t="shared" si="101"/>
        <v>4</v>
      </c>
      <c r="B127" s="21" t="s">
        <v>59</v>
      </c>
      <c r="C127" s="14" t="s">
        <v>60</v>
      </c>
      <c r="D127" s="18">
        <f t="shared" ref="D127:M127" si="108">D116/D125*1000</f>
        <v>0</v>
      </c>
      <c r="E127" s="18">
        <f t="shared" si="108"/>
        <v>0</v>
      </c>
      <c r="F127" s="18">
        <f t="shared" si="108"/>
        <v>0</v>
      </c>
      <c r="G127" s="18">
        <f t="shared" si="108"/>
        <v>0</v>
      </c>
      <c r="H127" s="18">
        <f t="shared" si="108"/>
        <v>41.54679148832917</v>
      </c>
      <c r="I127" s="18">
        <f t="shared" si="108"/>
        <v>21.498833068319385</v>
      </c>
      <c r="J127" s="18">
        <f t="shared" si="108"/>
        <v>406.28259889110285</v>
      </c>
      <c r="K127" s="18">
        <f t="shared" si="108"/>
        <v>7898.7000113394643</v>
      </c>
      <c r="L127" s="18">
        <f t="shared" si="108"/>
        <v>1314.3355162268533</v>
      </c>
      <c r="M127" s="18">
        <f t="shared" si="108"/>
        <v>629.72443731446049</v>
      </c>
      <c r="N127" s="18">
        <f t="shared" ref="N127:T127" si="109">AVERAGE(J116/J125,K116/K125,L116/L125,M116/M125,N116/N125)*1000</f>
        <v>2094.1260049406083</v>
      </c>
      <c r="O127" s="18">
        <f t="shared" si="109"/>
        <v>2047.3197731013672</v>
      </c>
      <c r="P127" s="18">
        <f t="shared" si="109"/>
        <v>498.38462677789448</v>
      </c>
      <c r="Q127" s="18">
        <f t="shared" si="109"/>
        <v>252.72644721439252</v>
      </c>
      <c r="R127" s="18">
        <f t="shared" si="109"/>
        <v>144.49447374825507</v>
      </c>
      <c r="S127" s="18">
        <f t="shared" si="109"/>
        <v>139.14598450023817</v>
      </c>
      <c r="T127" s="18">
        <f t="shared" si="109"/>
        <v>174.3035272882185</v>
      </c>
      <c r="U127" s="2"/>
      <c r="V127" s="2"/>
      <c r="W127" s="2"/>
      <c r="X127" s="2"/>
      <c r="Y127" s="2"/>
      <c r="Z127" s="209"/>
      <c r="AA127" s="209"/>
      <c r="AB127" s="209"/>
      <c r="AC127" s="209"/>
    </row>
    <row r="128" spans="1:29" ht="15.75" customHeight="1">
      <c r="A128" s="126">
        <f t="shared" si="101"/>
        <v>5</v>
      </c>
      <c r="B128" s="127" t="s">
        <v>61</v>
      </c>
      <c r="C128" s="128"/>
      <c r="D128" s="127">
        <v>0.1318648305084745</v>
      </c>
      <c r="E128" s="127">
        <v>0.11456120218579237</v>
      </c>
      <c r="F128" s="127">
        <v>9.6083870967741916E-2</v>
      </c>
      <c r="G128" s="127">
        <v>8.4860816326530641E-2</v>
      </c>
      <c r="H128" s="127">
        <v>6.6462195121951215E-2</v>
      </c>
      <c r="I128" s="127">
        <v>7.5548571428571409E-2</v>
      </c>
      <c r="J128" s="127">
        <v>8.6841975308642003E-2</v>
      </c>
      <c r="K128" s="127">
        <v>8.4721074380165282E-2</v>
      </c>
      <c r="L128" s="127">
        <v>7.9230487804878069E-2</v>
      </c>
      <c r="M128" s="127">
        <v>7.6071308016877698E-2</v>
      </c>
      <c r="N128" s="127">
        <f>Bond!M26</f>
        <v>8.3599999999999994E-2</v>
      </c>
      <c r="O128" s="127">
        <f>Bond!N26</f>
        <v>7.6499999999999999E-2</v>
      </c>
      <c r="P128" s="127">
        <f>Bond!O26</f>
        <v>6.4799999999999996E-2</v>
      </c>
      <c r="Q128" s="127">
        <f>Bond!P26</f>
        <v>7.0499999999999993E-2</v>
      </c>
      <c r="R128" s="127">
        <f>Bond!Q26</f>
        <v>7.0900000000000005E-2</v>
      </c>
      <c r="S128" s="127">
        <f>Bond!R26</f>
        <v>6.7699999999999996E-2</v>
      </c>
      <c r="T128" s="127">
        <f>Bond!S26</f>
        <v>7.0900000000000005E-2</v>
      </c>
      <c r="U128" s="2"/>
      <c r="V128" s="2"/>
      <c r="W128" s="2"/>
      <c r="X128" s="2"/>
      <c r="Y128" s="2"/>
      <c r="Z128" s="209"/>
      <c r="AA128" s="209"/>
      <c r="AB128" s="209"/>
      <c r="AC128" s="209"/>
    </row>
    <row r="129" spans="1:29" ht="15.75" customHeight="1">
      <c r="A129" s="129">
        <f t="shared" si="101"/>
        <v>6</v>
      </c>
      <c r="B129" s="21" t="s">
        <v>62</v>
      </c>
      <c r="C129" s="14"/>
      <c r="D129" s="16" t="e">
        <f t="shared" ref="D129:Q129" si="110">PV(D128,D127,-1/D127)</f>
        <v>#DIV/0!</v>
      </c>
      <c r="E129" s="16" t="e">
        <f t="shared" si="110"/>
        <v>#DIV/0!</v>
      </c>
      <c r="F129" s="16" t="e">
        <f t="shared" si="110"/>
        <v>#DIV/0!</v>
      </c>
      <c r="G129" s="16" t="e">
        <f t="shared" si="110"/>
        <v>#DIV/0!</v>
      </c>
      <c r="H129" s="16">
        <f t="shared" si="110"/>
        <v>0.33715500772787588</v>
      </c>
      <c r="I129" s="16">
        <f t="shared" si="110"/>
        <v>0.48705306144955723</v>
      </c>
      <c r="J129" s="16">
        <f t="shared" si="110"/>
        <v>2.834275644196483E-2</v>
      </c>
      <c r="K129" s="16">
        <f t="shared" si="110"/>
        <v>1.4943520564273884E-3</v>
      </c>
      <c r="L129" s="16">
        <f t="shared" si="110"/>
        <v>9.6028783354149307E-3</v>
      </c>
      <c r="M129" s="16">
        <f t="shared" si="110"/>
        <v>2.0875100217887084E-2</v>
      </c>
      <c r="N129" s="16">
        <f t="shared" si="110"/>
        <v>5.7120356940400657E-3</v>
      </c>
      <c r="O129" s="16">
        <f t="shared" si="110"/>
        <v>6.3848821256851044E-3</v>
      </c>
      <c r="P129" s="16">
        <f t="shared" si="110"/>
        <v>3.0964235123385992E-2</v>
      </c>
      <c r="Q129" s="16">
        <f t="shared" si="110"/>
        <v>5.6125493975335485E-2</v>
      </c>
      <c r="R129" s="16">
        <f t="shared" ref="R129:S129" si="111">PV(R128,R127,-1/R127)</f>
        <v>9.7606937756383766E-2</v>
      </c>
      <c r="S129" s="16">
        <f t="shared" si="111"/>
        <v>0.10614337127207096</v>
      </c>
      <c r="T129" s="16">
        <f t="shared" ref="T129" si="112">PV(T128,T127,-1/T127)</f>
        <v>8.0917928210016185E-2</v>
      </c>
      <c r="U129" s="2"/>
      <c r="V129" s="2"/>
      <c r="W129" s="2"/>
      <c r="X129" s="2"/>
      <c r="Y129" s="2"/>
      <c r="Z129" s="209"/>
      <c r="AA129" s="209"/>
      <c r="AB129" s="209"/>
      <c r="AC129" s="209"/>
    </row>
    <row r="130" spans="1:29" ht="15.75" customHeight="1">
      <c r="A130" s="126">
        <f t="shared" si="101"/>
        <v>7</v>
      </c>
      <c r="B130" s="24" t="s">
        <v>63</v>
      </c>
      <c r="C130" s="23" t="s">
        <v>58</v>
      </c>
      <c r="D130" s="25" t="e">
        <f t="shared" ref="D130:Q130" si="113">D126*D127*D129</f>
        <v>#DIV/0!</v>
      </c>
      <c r="E130" s="25" t="e">
        <f t="shared" si="113"/>
        <v>#DIV/0!</v>
      </c>
      <c r="F130" s="25" t="e">
        <f t="shared" si="113"/>
        <v>#DIV/0!</v>
      </c>
      <c r="G130" s="25" t="e">
        <f t="shared" si="113"/>
        <v>#DIV/0!</v>
      </c>
      <c r="H130" s="25">
        <f t="shared" si="113"/>
        <v>18258.621849881856</v>
      </c>
      <c r="I130" s="25">
        <f t="shared" si="113"/>
        <v>48504.103229566499</v>
      </c>
      <c r="J130" s="25">
        <f t="shared" si="113"/>
        <v>7070.8202256160166</v>
      </c>
      <c r="K130" s="25">
        <f t="shared" si="113"/>
        <v>2508.8633804961082</v>
      </c>
      <c r="L130" s="25">
        <f t="shared" si="113"/>
        <v>16142.363427068534</v>
      </c>
      <c r="M130" s="25">
        <f t="shared" si="113"/>
        <v>51927.399762739718</v>
      </c>
      <c r="N130" s="25">
        <f t="shared" si="113"/>
        <v>81961.192456577817</v>
      </c>
      <c r="O130" s="25">
        <f t="shared" si="113"/>
        <v>119374.59684863981</v>
      </c>
      <c r="P130" s="25">
        <f t="shared" si="113"/>
        <v>92499.539333019711</v>
      </c>
      <c r="Q130" s="25">
        <f t="shared" si="113"/>
        <v>132212.82876640657</v>
      </c>
      <c r="R130" s="25">
        <f t="shared" ref="R130:S130" si="114">R126*R127*R129</f>
        <v>161189.47175353253</v>
      </c>
      <c r="S130" s="25">
        <f t="shared" si="114"/>
        <v>189178.5261961603</v>
      </c>
      <c r="T130" s="25">
        <f t="shared" ref="T130" si="115">T126*T127*T129</f>
        <v>228131.08534921764</v>
      </c>
      <c r="U130" s="13"/>
      <c r="V130" s="13"/>
      <c r="W130" s="13"/>
      <c r="X130" s="13"/>
      <c r="Y130" s="13"/>
      <c r="Z130" s="209"/>
      <c r="AA130" s="209"/>
      <c r="AB130" s="209"/>
      <c r="AC130" s="209"/>
    </row>
    <row r="131" spans="1:29" ht="15.75" customHeight="1">
      <c r="A131" s="129">
        <f t="shared" si="101"/>
        <v>8</v>
      </c>
      <c r="B131" s="21" t="s">
        <v>64</v>
      </c>
      <c r="C131" s="14" t="s">
        <v>107</v>
      </c>
      <c r="D131" s="18">
        <f t="shared" ref="D131:Q131" si="116">D116</f>
        <v>0</v>
      </c>
      <c r="E131" s="18">
        <f t="shared" si="116"/>
        <v>0</v>
      </c>
      <c r="F131" s="18">
        <f t="shared" si="116"/>
        <v>0</v>
      </c>
      <c r="G131" s="18">
        <f t="shared" si="116"/>
        <v>0</v>
      </c>
      <c r="H131" s="18">
        <f t="shared" si="116"/>
        <v>238157.9202619</v>
      </c>
      <c r="I131" s="18">
        <f t="shared" si="116"/>
        <v>239598.06026190001</v>
      </c>
      <c r="J131" s="18">
        <f t="shared" si="116"/>
        <v>239598.06026190001</v>
      </c>
      <c r="K131" s="18">
        <f t="shared" si="116"/>
        <v>571254.86898290005</v>
      </c>
      <c r="L131" s="18">
        <f t="shared" si="116"/>
        <v>602894.89901320008</v>
      </c>
      <c r="M131" s="18">
        <f t="shared" si="116"/>
        <v>732209.12978139997</v>
      </c>
      <c r="N131" s="18">
        <f t="shared" si="116"/>
        <v>743668.58951839991</v>
      </c>
      <c r="O131" s="18">
        <f t="shared" si="116"/>
        <v>740289.21243409184</v>
      </c>
      <c r="P131" s="18">
        <f t="shared" si="116"/>
        <v>946971.50361708098</v>
      </c>
      <c r="Q131" s="18">
        <f t="shared" si="116"/>
        <v>520475.10200000001</v>
      </c>
      <c r="R131" s="18">
        <f t="shared" ref="R131:S131" si="117">R116</f>
        <v>533891.95299999998</v>
      </c>
      <c r="S131" s="18">
        <f t="shared" si="117"/>
        <v>531423.88680197555</v>
      </c>
      <c r="T131" s="18">
        <f t="shared" ref="T131" si="118">T116</f>
        <v>552309.52800000005</v>
      </c>
      <c r="U131" s="2"/>
      <c r="V131" s="2"/>
      <c r="W131" s="2"/>
      <c r="X131" s="2"/>
      <c r="Y131" s="2"/>
      <c r="Z131" s="209"/>
      <c r="AA131" s="209"/>
      <c r="AB131" s="209"/>
      <c r="AC131" s="209"/>
    </row>
    <row r="132" spans="1:29" ht="15.75" customHeight="1">
      <c r="A132" s="129">
        <f t="shared" si="101"/>
        <v>9</v>
      </c>
      <c r="B132" s="15" t="s">
        <v>65</v>
      </c>
      <c r="C132" s="14" t="s">
        <v>85</v>
      </c>
      <c r="D132" s="18" t="e">
        <f t="shared" ref="D132:Q132" si="119">D130/D131*1000000</f>
        <v>#DIV/0!</v>
      </c>
      <c r="E132" s="18" t="e">
        <f t="shared" si="119"/>
        <v>#DIV/0!</v>
      </c>
      <c r="F132" s="18" t="e">
        <f t="shared" si="119"/>
        <v>#DIV/0!</v>
      </c>
      <c r="G132" s="18" t="e">
        <f t="shared" si="119"/>
        <v>#DIV/0!</v>
      </c>
      <c r="H132" s="18">
        <f t="shared" si="119"/>
        <v>76666.028279903607</v>
      </c>
      <c r="I132" s="18">
        <f t="shared" si="119"/>
        <v>202439.46539695523</v>
      </c>
      <c r="J132" s="18">
        <f t="shared" si="119"/>
        <v>29511.174747771496</v>
      </c>
      <c r="K132" s="18">
        <f t="shared" si="119"/>
        <v>4391.8459460364065</v>
      </c>
      <c r="L132" s="18">
        <f t="shared" si="119"/>
        <v>26774.755357011414</v>
      </c>
      <c r="M132" s="18">
        <f t="shared" si="119"/>
        <v>70918.80946396089</v>
      </c>
      <c r="N132" s="18">
        <f t="shared" si="119"/>
        <v>110211.98637642598</v>
      </c>
      <c r="O132" s="18">
        <f t="shared" si="119"/>
        <v>161254.00025232404</v>
      </c>
      <c r="P132" s="18">
        <f t="shared" si="119"/>
        <v>97679.32718113024</v>
      </c>
      <c r="Q132" s="18">
        <f t="shared" si="119"/>
        <v>254023.3495480569</v>
      </c>
      <c r="R132" s="18">
        <f t="shared" ref="R132:S132" si="120">R130/R131*1000000</f>
        <v>301914.03119636932</v>
      </c>
      <c r="S132" s="18">
        <f t="shared" si="120"/>
        <v>355984.23573807831</v>
      </c>
      <c r="T132" s="18">
        <f t="shared" ref="T132" si="121">T130/T131*1000000</f>
        <v>413049.33879253594</v>
      </c>
      <c r="U132" s="2"/>
      <c r="V132" s="2"/>
      <c r="W132" s="2"/>
      <c r="X132" s="2"/>
      <c r="Y132" s="2"/>
      <c r="Z132" s="209"/>
      <c r="AA132" s="209"/>
      <c r="AB132" s="209"/>
      <c r="AC132" s="209"/>
    </row>
    <row r="133" spans="1:29"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09"/>
      <c r="AA133" s="209"/>
      <c r="AB133" s="209"/>
      <c r="AC133" s="209"/>
    </row>
    <row r="134" spans="1:29"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09"/>
      <c r="AA134" s="209"/>
      <c r="AB134" s="209"/>
      <c r="AC134" s="209"/>
    </row>
    <row r="135" spans="1:29" ht="15.75" customHeight="1">
      <c r="A135" s="6" t="s">
        <v>103</v>
      </c>
      <c r="B135" s="2"/>
      <c r="C135" s="2"/>
      <c r="D135" s="2"/>
      <c r="E135" s="2"/>
      <c r="F135" s="2"/>
      <c r="G135" s="2"/>
      <c r="H135" s="2"/>
      <c r="I135" s="2"/>
      <c r="J135" s="2"/>
      <c r="K135" s="2"/>
      <c r="L135" s="2"/>
      <c r="M135" s="2"/>
      <c r="N135" s="2"/>
      <c r="O135" s="2"/>
      <c r="P135" s="2"/>
      <c r="Q135" s="2"/>
      <c r="R135" s="2"/>
      <c r="S135" s="2"/>
      <c r="T135" s="2"/>
      <c r="U135" s="2"/>
      <c r="V135" s="2"/>
      <c r="W135" s="2"/>
      <c r="X135" s="2"/>
      <c r="Y135" s="2"/>
      <c r="Z135" s="209"/>
      <c r="AA135" s="209"/>
      <c r="AB135" s="209"/>
      <c r="AC135" s="209"/>
    </row>
    <row r="136" spans="1:29" ht="15.75" customHeight="1" thickBot="1">
      <c r="A136" s="19"/>
      <c r="B136" s="2"/>
      <c r="C136" s="2"/>
      <c r="D136" s="2"/>
      <c r="E136" s="2"/>
      <c r="F136" s="2"/>
      <c r="G136" s="2"/>
      <c r="H136" s="2"/>
      <c r="I136" s="2"/>
      <c r="J136" s="2"/>
      <c r="K136" s="2"/>
      <c r="L136" s="2"/>
      <c r="M136" s="2"/>
      <c r="N136" s="2"/>
      <c r="O136" s="2"/>
      <c r="P136" s="2"/>
      <c r="Q136" s="2"/>
      <c r="R136" s="2"/>
      <c r="S136" s="2"/>
      <c r="T136" s="2"/>
      <c r="U136" s="2"/>
      <c r="V136" s="2"/>
      <c r="W136" s="2"/>
      <c r="X136" s="2"/>
      <c r="Y136" s="2"/>
      <c r="Z136" s="209"/>
      <c r="AA136" s="209"/>
      <c r="AB136" s="209"/>
      <c r="AC136" s="209"/>
    </row>
    <row r="137" spans="1:29" ht="15.75" customHeight="1" thickBot="1">
      <c r="A137" s="125" t="s">
        <v>3</v>
      </c>
      <c r="B137" s="123" t="s">
        <v>4</v>
      </c>
      <c r="C137" s="124" t="s">
        <v>5</v>
      </c>
      <c r="D137" s="124">
        <f t="shared" ref="D137:T137" si="122">D$3</f>
        <v>2008</v>
      </c>
      <c r="E137" s="124">
        <f t="shared" si="122"/>
        <v>2009</v>
      </c>
      <c r="F137" s="124">
        <f t="shared" si="122"/>
        <v>2010</v>
      </c>
      <c r="G137" s="124">
        <f t="shared" si="122"/>
        <v>2011</v>
      </c>
      <c r="H137" s="124">
        <f t="shared" si="122"/>
        <v>2012</v>
      </c>
      <c r="I137" s="124">
        <f t="shared" si="122"/>
        <v>2013</v>
      </c>
      <c r="J137" s="124">
        <f t="shared" si="122"/>
        <v>2014</v>
      </c>
      <c r="K137" s="124">
        <f t="shared" si="122"/>
        <v>2015</v>
      </c>
      <c r="L137" s="124">
        <f t="shared" si="122"/>
        <v>2016</v>
      </c>
      <c r="M137" s="124">
        <f t="shared" si="122"/>
        <v>2017</v>
      </c>
      <c r="N137" s="124">
        <f t="shared" si="122"/>
        <v>2018</v>
      </c>
      <c r="O137" s="124">
        <f t="shared" si="122"/>
        <v>2019</v>
      </c>
      <c r="P137" s="124">
        <f t="shared" si="122"/>
        <v>2020</v>
      </c>
      <c r="Q137" s="124">
        <f t="shared" si="122"/>
        <v>2021</v>
      </c>
      <c r="R137" s="124">
        <f t="shared" si="122"/>
        <v>2022</v>
      </c>
      <c r="S137" s="124">
        <f t="shared" si="122"/>
        <v>2023</v>
      </c>
      <c r="T137" s="124">
        <f t="shared" si="122"/>
        <v>2024</v>
      </c>
      <c r="U137" s="2"/>
      <c r="V137" s="2"/>
      <c r="W137" s="2"/>
      <c r="X137" s="2"/>
      <c r="Y137" s="2"/>
      <c r="Z137" s="209"/>
      <c r="AA137" s="209"/>
      <c r="AB137" s="209"/>
      <c r="AC137" s="209"/>
    </row>
    <row r="138" spans="1:29" ht="15.75" customHeight="1">
      <c r="A138" s="9">
        <v>-1</v>
      </c>
      <c r="B138" s="9">
        <f t="shared" ref="B138:T138" si="123">A138-1</f>
        <v>-2</v>
      </c>
      <c r="C138" s="9">
        <f t="shared" si="123"/>
        <v>-3</v>
      </c>
      <c r="D138" s="9">
        <f t="shared" si="123"/>
        <v>-4</v>
      </c>
      <c r="E138" s="9">
        <f t="shared" si="123"/>
        <v>-5</v>
      </c>
      <c r="F138" s="9">
        <f t="shared" si="123"/>
        <v>-6</v>
      </c>
      <c r="G138" s="9">
        <f t="shared" si="123"/>
        <v>-7</v>
      </c>
      <c r="H138" s="9">
        <f t="shared" si="123"/>
        <v>-8</v>
      </c>
      <c r="I138" s="9">
        <f t="shared" si="123"/>
        <v>-9</v>
      </c>
      <c r="J138" s="9">
        <f t="shared" si="123"/>
        <v>-10</v>
      </c>
      <c r="K138" s="9">
        <f t="shared" si="123"/>
        <v>-11</v>
      </c>
      <c r="L138" s="9">
        <f t="shared" si="123"/>
        <v>-12</v>
      </c>
      <c r="M138" s="9">
        <f t="shared" si="123"/>
        <v>-13</v>
      </c>
      <c r="N138" s="9">
        <f t="shared" si="123"/>
        <v>-14</v>
      </c>
      <c r="O138" s="9">
        <f t="shared" si="123"/>
        <v>-15</v>
      </c>
      <c r="P138" s="9">
        <f t="shared" si="123"/>
        <v>-16</v>
      </c>
      <c r="Q138" s="9">
        <f t="shared" si="123"/>
        <v>-17</v>
      </c>
      <c r="R138" s="9">
        <f t="shared" si="123"/>
        <v>-18</v>
      </c>
      <c r="S138" s="9">
        <f t="shared" si="123"/>
        <v>-19</v>
      </c>
      <c r="T138" s="9">
        <f t="shared" si="123"/>
        <v>-20</v>
      </c>
      <c r="U138" s="2"/>
      <c r="V138" s="2"/>
      <c r="W138" s="2"/>
      <c r="X138" s="2"/>
      <c r="Y138" s="2"/>
      <c r="Z138" s="209"/>
      <c r="AA138" s="209"/>
      <c r="AB138" s="209"/>
      <c r="AC138" s="209"/>
    </row>
    <row r="139" spans="1:29" ht="15.75" customHeight="1">
      <c r="A139" s="31">
        <v>1</v>
      </c>
      <c r="B139" s="32" t="s">
        <v>41</v>
      </c>
      <c r="C139" s="31" t="s">
        <v>58</v>
      </c>
      <c r="D139" s="35"/>
      <c r="E139" s="35" t="e">
        <f t="shared" ref="E139:T139" si="124">D151</f>
        <v>#DIV/0!</v>
      </c>
      <c r="F139" s="35" t="e">
        <f t="shared" si="124"/>
        <v>#DIV/0!</v>
      </c>
      <c r="G139" s="35" t="e">
        <f t="shared" si="124"/>
        <v>#DIV/0!</v>
      </c>
      <c r="H139" s="35" t="e">
        <f t="shared" si="124"/>
        <v>#DIV/0!</v>
      </c>
      <c r="I139" s="35">
        <f t="shared" si="124"/>
        <v>18258.621849881856</v>
      </c>
      <c r="J139" s="35">
        <f t="shared" si="124"/>
        <v>48504.103229566499</v>
      </c>
      <c r="K139" s="35">
        <f t="shared" si="124"/>
        <v>7070.8202256160166</v>
      </c>
      <c r="L139" s="35">
        <f t="shared" si="124"/>
        <v>2508.8633804961082</v>
      </c>
      <c r="M139" s="35">
        <f t="shared" si="124"/>
        <v>16142.363427068534</v>
      </c>
      <c r="N139" s="35">
        <f t="shared" si="124"/>
        <v>51927.399762739718</v>
      </c>
      <c r="O139" s="35">
        <f t="shared" si="124"/>
        <v>81961.192456577817</v>
      </c>
      <c r="P139" s="35">
        <f t="shared" si="124"/>
        <v>119374.59684863981</v>
      </c>
      <c r="Q139" s="35">
        <f t="shared" si="124"/>
        <v>92499.539333019711</v>
      </c>
      <c r="R139" s="35">
        <f t="shared" si="124"/>
        <v>132212.82876640657</v>
      </c>
      <c r="S139" s="35">
        <f t="shared" si="124"/>
        <v>161189.47175353253</v>
      </c>
      <c r="T139" s="35">
        <f t="shared" si="124"/>
        <v>189178.5261961603</v>
      </c>
      <c r="U139" s="2"/>
      <c r="V139" s="2"/>
      <c r="W139" s="2"/>
      <c r="X139" s="2"/>
      <c r="Y139" s="2"/>
      <c r="Z139" s="209"/>
      <c r="AA139" s="209"/>
      <c r="AB139" s="209"/>
      <c r="AC139" s="209"/>
    </row>
    <row r="140" spans="1:29" ht="15.75" customHeight="1">
      <c r="A140" s="31">
        <v>2</v>
      </c>
      <c r="B140" s="32" t="s">
        <v>43</v>
      </c>
      <c r="C140" s="31" t="s">
        <v>58</v>
      </c>
      <c r="D140" s="35">
        <f t="shared" ref="D140:Q140" si="125">SUM(D141:D143)</f>
        <v>0</v>
      </c>
      <c r="E140" s="35" t="e">
        <f t="shared" si="125"/>
        <v>#DIV/0!</v>
      </c>
      <c r="F140" s="35" t="e">
        <f t="shared" si="125"/>
        <v>#DIV/0!</v>
      </c>
      <c r="G140" s="35" t="e">
        <f t="shared" si="125"/>
        <v>#DIV/0!</v>
      </c>
      <c r="H140" s="35" t="e">
        <f t="shared" si="125"/>
        <v>#DIV/0!</v>
      </c>
      <c r="I140" s="35">
        <f t="shared" si="125"/>
        <v>0</v>
      </c>
      <c r="J140" s="35">
        <f t="shared" si="125"/>
        <v>0</v>
      </c>
      <c r="K140" s="35">
        <f t="shared" si="125"/>
        <v>0</v>
      </c>
      <c r="L140" s="35">
        <f t="shared" si="125"/>
        <v>0</v>
      </c>
      <c r="M140" s="35">
        <f t="shared" si="125"/>
        <v>0</v>
      </c>
      <c r="N140" s="35">
        <f t="shared" si="125"/>
        <v>0</v>
      </c>
      <c r="O140" s="35">
        <f t="shared" si="125"/>
        <v>0</v>
      </c>
      <c r="P140" s="35">
        <f t="shared" si="125"/>
        <v>0</v>
      </c>
      <c r="Q140" s="35">
        <f t="shared" si="125"/>
        <v>0</v>
      </c>
      <c r="R140" s="35">
        <f t="shared" ref="R140:S140" si="126">SUM(R141:R143)</f>
        <v>0</v>
      </c>
      <c r="S140" s="35">
        <f t="shared" si="126"/>
        <v>0</v>
      </c>
      <c r="T140" s="35">
        <f t="shared" ref="T140" si="127">SUM(T141:T143)</f>
        <v>0</v>
      </c>
      <c r="U140" s="2"/>
      <c r="V140" s="2"/>
      <c r="W140" s="2"/>
      <c r="X140" s="2"/>
      <c r="Y140" s="2"/>
      <c r="Z140" s="209"/>
      <c r="AA140" s="209"/>
      <c r="AB140" s="209"/>
      <c r="AC140" s="209"/>
    </row>
    <row r="141" spans="1:29" ht="15.75" customHeight="1">
      <c r="A141" s="14">
        <v>2.1</v>
      </c>
      <c r="B141" s="15" t="s">
        <v>44</v>
      </c>
      <c r="C141" s="14" t="s">
        <v>58</v>
      </c>
      <c r="D141" s="18"/>
      <c r="E141" s="18" t="e">
        <f t="shared" ref="E141:T141" si="128">0.5*(D$132+E$132)*E107/1000000000</f>
        <v>#DIV/0!</v>
      </c>
      <c r="F141" s="18" t="e">
        <f t="shared" si="128"/>
        <v>#DIV/0!</v>
      </c>
      <c r="G141" s="18" t="e">
        <f t="shared" si="128"/>
        <v>#DIV/0!</v>
      </c>
      <c r="H141" s="18" t="e">
        <f t="shared" si="128"/>
        <v>#DIV/0!</v>
      </c>
      <c r="I141" s="18">
        <f t="shared" si="128"/>
        <v>0</v>
      </c>
      <c r="J141" s="18">
        <f t="shared" si="128"/>
        <v>0</v>
      </c>
      <c r="K141" s="18">
        <f t="shared" si="128"/>
        <v>0</v>
      </c>
      <c r="L141" s="18">
        <f t="shared" si="128"/>
        <v>0</v>
      </c>
      <c r="M141" s="18">
        <f t="shared" si="128"/>
        <v>0</v>
      </c>
      <c r="N141" s="18">
        <f t="shared" si="128"/>
        <v>0</v>
      </c>
      <c r="O141" s="18">
        <f t="shared" si="128"/>
        <v>0</v>
      </c>
      <c r="P141" s="18">
        <f t="shared" si="128"/>
        <v>0</v>
      </c>
      <c r="Q141" s="18">
        <f t="shared" si="128"/>
        <v>0</v>
      </c>
      <c r="R141" s="18">
        <f t="shared" si="128"/>
        <v>0</v>
      </c>
      <c r="S141" s="18">
        <f t="shared" si="128"/>
        <v>0</v>
      </c>
      <c r="T141" s="18">
        <f t="shared" si="128"/>
        <v>0</v>
      </c>
      <c r="U141" s="2"/>
      <c r="V141" s="2"/>
      <c r="W141" s="2"/>
      <c r="X141" s="2"/>
      <c r="Y141" s="2"/>
      <c r="Z141" s="209"/>
      <c r="AA141" s="209"/>
      <c r="AB141" s="209"/>
      <c r="AC141" s="209"/>
    </row>
    <row r="142" spans="1:29" ht="15.75" customHeight="1">
      <c r="A142" s="14">
        <v>2.2000000000000002</v>
      </c>
      <c r="B142" s="15" t="s">
        <v>45</v>
      </c>
      <c r="C142" s="14" t="s">
        <v>58</v>
      </c>
      <c r="D142" s="18"/>
      <c r="E142" s="18" t="e">
        <f t="shared" ref="E142:T142" si="129">0.5*(D$132+E$132)*E108/1000000000</f>
        <v>#DIV/0!</v>
      </c>
      <c r="F142" s="18" t="e">
        <f t="shared" si="129"/>
        <v>#DIV/0!</v>
      </c>
      <c r="G142" s="18" t="e">
        <f t="shared" si="129"/>
        <v>#DIV/0!</v>
      </c>
      <c r="H142" s="18" t="e">
        <f t="shared" si="129"/>
        <v>#DIV/0!</v>
      </c>
      <c r="I142" s="18">
        <f t="shared" si="129"/>
        <v>0</v>
      </c>
      <c r="J142" s="18">
        <f t="shared" si="129"/>
        <v>0</v>
      </c>
      <c r="K142" s="18">
        <f t="shared" si="129"/>
        <v>0</v>
      </c>
      <c r="L142" s="18">
        <f t="shared" si="129"/>
        <v>0</v>
      </c>
      <c r="M142" s="18">
        <f t="shared" si="129"/>
        <v>0</v>
      </c>
      <c r="N142" s="18">
        <f t="shared" si="129"/>
        <v>0</v>
      </c>
      <c r="O142" s="18">
        <f t="shared" si="129"/>
        <v>0</v>
      </c>
      <c r="P142" s="18">
        <f t="shared" si="129"/>
        <v>0</v>
      </c>
      <c r="Q142" s="18">
        <f t="shared" si="129"/>
        <v>0</v>
      </c>
      <c r="R142" s="18">
        <f t="shared" si="129"/>
        <v>0</v>
      </c>
      <c r="S142" s="18">
        <f t="shared" si="129"/>
        <v>0</v>
      </c>
      <c r="T142" s="18">
        <f t="shared" si="129"/>
        <v>0</v>
      </c>
      <c r="U142" s="2"/>
      <c r="V142" s="2"/>
      <c r="W142" s="2"/>
      <c r="X142" s="2"/>
      <c r="Y142" s="2"/>
      <c r="Z142" s="209"/>
      <c r="AA142" s="209"/>
      <c r="AB142" s="209"/>
      <c r="AC142" s="209"/>
    </row>
    <row r="143" spans="1:29" ht="15.75" customHeight="1">
      <c r="A143" s="14">
        <v>2.2999999999999998</v>
      </c>
      <c r="B143" s="15" t="s">
        <v>46</v>
      </c>
      <c r="C143" s="14" t="s">
        <v>58</v>
      </c>
      <c r="D143" s="18"/>
      <c r="E143" s="18" t="e">
        <f t="shared" ref="E143:T143" si="130">0.5*(D$132+E$132)*E109/1000000000</f>
        <v>#DIV/0!</v>
      </c>
      <c r="F143" s="18" t="e">
        <f t="shared" si="130"/>
        <v>#DIV/0!</v>
      </c>
      <c r="G143" s="18" t="e">
        <f t="shared" si="130"/>
        <v>#DIV/0!</v>
      </c>
      <c r="H143" s="18" t="e">
        <f t="shared" si="130"/>
        <v>#DIV/0!</v>
      </c>
      <c r="I143" s="18">
        <f t="shared" si="130"/>
        <v>0</v>
      </c>
      <c r="J143" s="18">
        <f t="shared" si="130"/>
        <v>0</v>
      </c>
      <c r="K143" s="18">
        <f t="shared" si="130"/>
        <v>0</v>
      </c>
      <c r="L143" s="18">
        <f t="shared" si="130"/>
        <v>0</v>
      </c>
      <c r="M143" s="18">
        <f t="shared" si="130"/>
        <v>0</v>
      </c>
      <c r="N143" s="18">
        <f t="shared" si="130"/>
        <v>0</v>
      </c>
      <c r="O143" s="18">
        <f t="shared" si="130"/>
        <v>0</v>
      </c>
      <c r="P143" s="18">
        <f t="shared" si="130"/>
        <v>0</v>
      </c>
      <c r="Q143" s="18">
        <f t="shared" si="130"/>
        <v>0</v>
      </c>
      <c r="R143" s="18">
        <f t="shared" si="130"/>
        <v>0</v>
      </c>
      <c r="S143" s="18">
        <f t="shared" si="130"/>
        <v>0</v>
      </c>
      <c r="T143" s="18">
        <f t="shared" si="130"/>
        <v>0</v>
      </c>
      <c r="U143" s="2"/>
      <c r="V143" s="2"/>
      <c r="W143" s="2"/>
      <c r="X143" s="2"/>
      <c r="Y143" s="2"/>
      <c r="Z143" s="209"/>
      <c r="AA143" s="209"/>
      <c r="AB143" s="209"/>
      <c r="AC143" s="209"/>
    </row>
    <row r="144" spans="1:29" ht="15.75" customHeight="1">
      <c r="A144" s="31">
        <v>3</v>
      </c>
      <c r="B144" s="32" t="s">
        <v>47</v>
      </c>
      <c r="C144" s="31" t="s">
        <v>58</v>
      </c>
      <c r="D144" s="35">
        <f t="shared" ref="D144:Q144" si="131">SUM(D145:D148)</f>
        <v>0</v>
      </c>
      <c r="E144" s="35" t="e">
        <f t="shared" si="131"/>
        <v>#DIV/0!</v>
      </c>
      <c r="F144" s="35" t="e">
        <f t="shared" si="131"/>
        <v>#DIV/0!</v>
      </c>
      <c r="G144" s="35" t="e">
        <f t="shared" si="131"/>
        <v>#DIV/0!</v>
      </c>
      <c r="H144" s="35" t="e">
        <f t="shared" si="131"/>
        <v>#DIV/0!</v>
      </c>
      <c r="I144" s="35">
        <f t="shared" si="131"/>
        <v>1555.273597429793</v>
      </c>
      <c r="J144" s="35">
        <f t="shared" si="131"/>
        <v>68.394417588726739</v>
      </c>
      <c r="K144" s="35">
        <f t="shared" si="131"/>
        <v>1.2259780480814511</v>
      </c>
      <c r="L144" s="35">
        <f t="shared" si="131"/>
        <v>7.1481690607919761</v>
      </c>
      <c r="M144" s="35">
        <f t="shared" si="131"/>
        <v>56.796366667827499</v>
      </c>
      <c r="N144" s="35">
        <f t="shared" si="131"/>
        <v>303.94608723553171</v>
      </c>
      <c r="O144" s="35">
        <f t="shared" si="131"/>
        <v>583.34299498453515</v>
      </c>
      <c r="P144" s="35">
        <f t="shared" si="131"/>
        <v>795.98646024719278</v>
      </c>
      <c r="Q144" s="35">
        <f t="shared" si="131"/>
        <v>1063.7067717207697</v>
      </c>
      <c r="R144" s="35">
        <f t="shared" ref="R144:S144" si="132">SUM(R145:R148)</f>
        <v>1675.6728678619916</v>
      </c>
      <c r="S144" s="35">
        <f t="shared" si="132"/>
        <v>897.18193377671889</v>
      </c>
      <c r="T144" s="35">
        <f t="shared" ref="T144" si="133">SUM(T145:T148)</f>
        <v>610.19653411012928</v>
      </c>
      <c r="U144" s="2"/>
      <c r="V144" s="2"/>
      <c r="W144" s="2"/>
      <c r="X144" s="2"/>
      <c r="Y144" s="2"/>
      <c r="Z144" s="209"/>
      <c r="AA144" s="209"/>
      <c r="AB144" s="209"/>
      <c r="AC144" s="209"/>
    </row>
    <row r="145" spans="1:29" ht="15.75" customHeight="1">
      <c r="A145" s="14">
        <v>3.1</v>
      </c>
      <c r="B145" s="15" t="s">
        <v>67</v>
      </c>
      <c r="C145" s="14" t="s">
        <v>58</v>
      </c>
      <c r="D145" s="18"/>
      <c r="E145" s="18" t="e">
        <f t="shared" ref="E145:T145" si="134">0.5*(D$132+E$132)*E111/1000000</f>
        <v>#DIV/0!</v>
      </c>
      <c r="F145" s="18" t="e">
        <f t="shared" si="134"/>
        <v>#DIV/0!</v>
      </c>
      <c r="G145" s="18" t="e">
        <f t="shared" si="134"/>
        <v>#DIV/0!</v>
      </c>
      <c r="H145" s="18" t="e">
        <f t="shared" si="134"/>
        <v>#DIV/0!</v>
      </c>
      <c r="I145" s="18">
        <f t="shared" si="134"/>
        <v>1555.273597429793</v>
      </c>
      <c r="J145" s="18">
        <f t="shared" si="134"/>
        <v>68.394417588726739</v>
      </c>
      <c r="K145" s="18">
        <f t="shared" si="134"/>
        <v>1.2259780480814511</v>
      </c>
      <c r="L145" s="18">
        <f t="shared" si="134"/>
        <v>7.1481690607919761</v>
      </c>
      <c r="M145" s="18">
        <f t="shared" si="134"/>
        <v>56.796366667827499</v>
      </c>
      <c r="N145" s="18">
        <f t="shared" si="134"/>
        <v>303.94608723553171</v>
      </c>
      <c r="O145" s="18">
        <f t="shared" si="134"/>
        <v>583.34299498453515</v>
      </c>
      <c r="P145" s="18">
        <f t="shared" si="134"/>
        <v>795.98646024719278</v>
      </c>
      <c r="Q145" s="18">
        <f t="shared" si="134"/>
        <v>1063.7067717207697</v>
      </c>
      <c r="R145" s="18">
        <f t="shared" si="134"/>
        <v>1675.6728678619916</v>
      </c>
      <c r="S145" s="18">
        <f t="shared" si="134"/>
        <v>897.18193377671889</v>
      </c>
      <c r="T145" s="18">
        <f t="shared" si="134"/>
        <v>610.19653411012928</v>
      </c>
      <c r="U145" s="2"/>
      <c r="V145" s="2"/>
      <c r="W145" s="2"/>
      <c r="X145" s="2"/>
      <c r="Y145" s="2"/>
      <c r="Z145" s="209"/>
      <c r="AA145" s="209"/>
      <c r="AB145" s="209"/>
      <c r="AC145" s="209"/>
    </row>
    <row r="146" spans="1:29" ht="15.75" customHeight="1">
      <c r="A146" s="14">
        <v>3.2</v>
      </c>
      <c r="B146" s="15" t="s">
        <v>49</v>
      </c>
      <c r="C146" s="14" t="s">
        <v>58</v>
      </c>
      <c r="D146" s="18"/>
      <c r="E146" s="18" t="e">
        <f t="shared" ref="E146:T146" si="135">0.5*(D$132+E$132)*E112/1000000000</f>
        <v>#DIV/0!</v>
      </c>
      <c r="F146" s="18" t="e">
        <f t="shared" si="135"/>
        <v>#DIV/0!</v>
      </c>
      <c r="G146" s="18" t="e">
        <f t="shared" si="135"/>
        <v>#DIV/0!</v>
      </c>
      <c r="H146" s="18" t="e">
        <f t="shared" si="135"/>
        <v>#DIV/0!</v>
      </c>
      <c r="I146" s="18">
        <f t="shared" si="135"/>
        <v>0</v>
      </c>
      <c r="J146" s="18">
        <f t="shared" si="135"/>
        <v>0</v>
      </c>
      <c r="K146" s="18">
        <f t="shared" si="135"/>
        <v>0</v>
      </c>
      <c r="L146" s="18">
        <f t="shared" si="135"/>
        <v>0</v>
      </c>
      <c r="M146" s="18">
        <f t="shared" si="135"/>
        <v>0</v>
      </c>
      <c r="N146" s="18">
        <f t="shared" si="135"/>
        <v>0</v>
      </c>
      <c r="O146" s="18">
        <f t="shared" si="135"/>
        <v>0</v>
      </c>
      <c r="P146" s="18">
        <f t="shared" si="135"/>
        <v>0</v>
      </c>
      <c r="Q146" s="18">
        <f t="shared" si="135"/>
        <v>0</v>
      </c>
      <c r="R146" s="18">
        <f t="shared" si="135"/>
        <v>0</v>
      </c>
      <c r="S146" s="18">
        <f t="shared" si="135"/>
        <v>0</v>
      </c>
      <c r="T146" s="18">
        <f t="shared" si="135"/>
        <v>0</v>
      </c>
      <c r="U146" s="2"/>
      <c r="V146" s="2"/>
      <c r="W146" s="2"/>
      <c r="X146" s="2"/>
      <c r="Y146" s="2"/>
      <c r="Z146" s="209"/>
      <c r="AA146" s="209"/>
      <c r="AB146" s="209"/>
      <c r="AC146" s="209"/>
    </row>
    <row r="147" spans="1:29" ht="15.75" customHeight="1">
      <c r="A147" s="14">
        <v>3.3</v>
      </c>
      <c r="B147" s="15" t="s">
        <v>50</v>
      </c>
      <c r="C147" s="14" t="s">
        <v>58</v>
      </c>
      <c r="D147" s="18"/>
      <c r="E147" s="18" t="e">
        <f t="shared" ref="E147:T147" si="136">0.5*(D$132+E$132)*E113/1000000000</f>
        <v>#DIV/0!</v>
      </c>
      <c r="F147" s="18" t="e">
        <f t="shared" si="136"/>
        <v>#DIV/0!</v>
      </c>
      <c r="G147" s="18" t="e">
        <f t="shared" si="136"/>
        <v>#DIV/0!</v>
      </c>
      <c r="H147" s="18" t="e">
        <f t="shared" si="136"/>
        <v>#DIV/0!</v>
      </c>
      <c r="I147" s="18">
        <f t="shared" si="136"/>
        <v>0</v>
      </c>
      <c r="J147" s="18">
        <f t="shared" si="136"/>
        <v>0</v>
      </c>
      <c r="K147" s="18">
        <f t="shared" si="136"/>
        <v>0</v>
      </c>
      <c r="L147" s="18">
        <f t="shared" si="136"/>
        <v>0</v>
      </c>
      <c r="M147" s="18">
        <f t="shared" si="136"/>
        <v>0</v>
      </c>
      <c r="N147" s="18">
        <f t="shared" si="136"/>
        <v>0</v>
      </c>
      <c r="O147" s="18">
        <f t="shared" si="136"/>
        <v>0</v>
      </c>
      <c r="P147" s="18">
        <f t="shared" si="136"/>
        <v>0</v>
      </c>
      <c r="Q147" s="18">
        <f t="shared" si="136"/>
        <v>0</v>
      </c>
      <c r="R147" s="18">
        <f t="shared" si="136"/>
        <v>0</v>
      </c>
      <c r="S147" s="18">
        <f t="shared" si="136"/>
        <v>0</v>
      </c>
      <c r="T147" s="18">
        <f t="shared" si="136"/>
        <v>0</v>
      </c>
      <c r="U147" s="2"/>
      <c r="V147" s="2"/>
      <c r="W147" s="2"/>
      <c r="X147" s="2"/>
      <c r="Y147" s="2"/>
      <c r="Z147" s="209"/>
      <c r="AA147" s="209"/>
      <c r="AB147" s="209"/>
      <c r="AC147" s="209"/>
    </row>
    <row r="148" spans="1:29" ht="15.75" customHeight="1">
      <c r="A148" s="14">
        <v>3.4</v>
      </c>
      <c r="B148" s="15" t="s">
        <v>46</v>
      </c>
      <c r="C148" s="14" t="s">
        <v>58</v>
      </c>
      <c r="D148" s="18"/>
      <c r="E148" s="18" t="e">
        <f t="shared" ref="E148:T148" si="137">0.5*(D$132+E$132)*E114/1000000000</f>
        <v>#DIV/0!</v>
      </c>
      <c r="F148" s="18" t="e">
        <f t="shared" si="137"/>
        <v>#DIV/0!</v>
      </c>
      <c r="G148" s="18" t="e">
        <f t="shared" si="137"/>
        <v>#DIV/0!</v>
      </c>
      <c r="H148" s="18" t="e">
        <f t="shared" si="137"/>
        <v>#DIV/0!</v>
      </c>
      <c r="I148" s="18">
        <f t="shared" si="137"/>
        <v>0</v>
      </c>
      <c r="J148" s="18">
        <f t="shared" si="137"/>
        <v>0</v>
      </c>
      <c r="K148" s="18">
        <f t="shared" si="137"/>
        <v>0</v>
      </c>
      <c r="L148" s="18">
        <f t="shared" si="137"/>
        <v>0</v>
      </c>
      <c r="M148" s="18">
        <f t="shared" si="137"/>
        <v>0</v>
      </c>
      <c r="N148" s="18">
        <f t="shared" si="137"/>
        <v>0</v>
      </c>
      <c r="O148" s="18">
        <f t="shared" si="137"/>
        <v>0</v>
      </c>
      <c r="P148" s="18">
        <f t="shared" si="137"/>
        <v>0</v>
      </c>
      <c r="Q148" s="18">
        <f t="shared" si="137"/>
        <v>0</v>
      </c>
      <c r="R148" s="18">
        <f t="shared" si="137"/>
        <v>0</v>
      </c>
      <c r="S148" s="18">
        <f t="shared" si="137"/>
        <v>0</v>
      </c>
      <c r="T148" s="18">
        <f t="shared" si="137"/>
        <v>0</v>
      </c>
      <c r="U148" s="2"/>
      <c r="V148" s="2"/>
      <c r="W148" s="2"/>
      <c r="X148" s="2"/>
      <c r="Y148" s="2"/>
      <c r="Z148" s="209"/>
      <c r="AA148" s="209"/>
      <c r="AB148" s="209"/>
      <c r="AC148" s="209"/>
    </row>
    <row r="149" spans="1:29" ht="15.75" customHeight="1">
      <c r="A149" s="31">
        <v>4</v>
      </c>
      <c r="B149" s="32" t="s">
        <v>68</v>
      </c>
      <c r="C149" s="31" t="s">
        <v>58</v>
      </c>
      <c r="D149" s="35"/>
      <c r="E149" s="35" t="e">
        <f t="shared" ref="E149:T149" si="138">0.5*(D$132+E$132)*E115/1000000</f>
        <v>#DIV/0!</v>
      </c>
      <c r="F149" s="35" t="e">
        <f t="shared" si="138"/>
        <v>#DIV/0!</v>
      </c>
      <c r="G149" s="35" t="e">
        <f t="shared" si="138"/>
        <v>#DIV/0!</v>
      </c>
      <c r="H149" s="35" t="e">
        <f t="shared" si="138"/>
        <v>#DIV/0!</v>
      </c>
      <c r="I149" s="35">
        <f t="shared" si="138"/>
        <v>1756.2490902616905</v>
      </c>
      <c r="J149" s="35">
        <f t="shared" si="138"/>
        <v>68.394417588726739</v>
      </c>
      <c r="K149" s="35">
        <f t="shared" si="138"/>
        <v>5623.3098027032584</v>
      </c>
      <c r="L149" s="35">
        <f t="shared" si="138"/>
        <v>500.20426964620248</v>
      </c>
      <c r="M149" s="35">
        <f t="shared" si="138"/>
        <v>6373.3804595814809</v>
      </c>
      <c r="N149" s="35">
        <f t="shared" si="138"/>
        <v>1341.7766182673663</v>
      </c>
      <c r="O149" s="35">
        <f t="shared" si="138"/>
        <v>124.65002779339567</v>
      </c>
      <c r="P149" s="35">
        <f t="shared" si="138"/>
        <v>27554.453149037927</v>
      </c>
      <c r="Q149" s="35">
        <f t="shared" si="138"/>
        <v>-73936.256260326132</v>
      </c>
      <c r="R149" s="35">
        <f t="shared" si="138"/>
        <v>5405.1373692511006</v>
      </c>
      <c r="S149" s="35">
        <f t="shared" si="138"/>
        <v>85.313696596835925</v>
      </c>
      <c r="T149" s="35">
        <f t="shared" si="138"/>
        <v>8641.0761875504504</v>
      </c>
      <c r="U149" s="2"/>
      <c r="V149" s="2"/>
      <c r="W149" s="2"/>
      <c r="X149" s="2"/>
      <c r="Y149" s="2"/>
      <c r="Z149" s="209"/>
      <c r="AA149" s="209"/>
      <c r="AB149" s="209"/>
      <c r="AC149" s="209"/>
    </row>
    <row r="150" spans="1:29" ht="15.75" customHeight="1">
      <c r="A150" s="31">
        <v>5</v>
      </c>
      <c r="B150" s="32" t="s">
        <v>69</v>
      </c>
      <c r="C150" s="31" t="s">
        <v>58</v>
      </c>
      <c r="D150" s="35"/>
      <c r="E150" s="35" t="e">
        <f t="shared" ref="E150:T150" si="139">0.5*(D131+E131)*(E132-D132)/1000000</f>
        <v>#DIV/0!</v>
      </c>
      <c r="F150" s="35" t="e">
        <f t="shared" si="139"/>
        <v>#DIV/0!</v>
      </c>
      <c r="G150" s="35" t="e">
        <f t="shared" si="139"/>
        <v>#DIV/0!</v>
      </c>
      <c r="H150" s="35" t="e">
        <f t="shared" si="139"/>
        <v>#DIV/0!</v>
      </c>
      <c r="I150" s="35">
        <f t="shared" si="139"/>
        <v>30044.505886852749</v>
      </c>
      <c r="J150" s="35">
        <f t="shared" si="139"/>
        <v>-41433.283003950484</v>
      </c>
      <c r="K150" s="35">
        <f t="shared" si="139"/>
        <v>-10184.040669775086</v>
      </c>
      <c r="L150" s="35">
        <f t="shared" si="139"/>
        <v>13140.443945987017</v>
      </c>
      <c r="M150" s="35">
        <f t="shared" si="139"/>
        <v>29468.452242757536</v>
      </c>
      <c r="N150" s="35">
        <f t="shared" si="139"/>
        <v>28995.962162806263</v>
      </c>
      <c r="O150" s="35">
        <f t="shared" si="139"/>
        <v>37872.097359253137</v>
      </c>
      <c r="P150" s="35">
        <f t="shared" si="139"/>
        <v>-53633.524204410838</v>
      </c>
      <c r="Q150" s="35">
        <f t="shared" si="139"/>
        <v>114713.25246543376</v>
      </c>
      <c r="R150" s="35">
        <f t="shared" si="139"/>
        <v>25247.178485736858</v>
      </c>
      <c r="S150" s="35">
        <f t="shared" si="139"/>
        <v>28800.922679807649</v>
      </c>
      <c r="T150" s="35">
        <f t="shared" si="139"/>
        <v>30921.679499617014</v>
      </c>
      <c r="U150" s="2"/>
      <c r="V150" s="2"/>
      <c r="W150" s="2"/>
      <c r="X150" s="2"/>
      <c r="Y150" s="2"/>
      <c r="Z150" s="209"/>
      <c r="AA150" s="209"/>
      <c r="AB150" s="209"/>
      <c r="AC150" s="209"/>
    </row>
    <row r="151" spans="1:29" ht="15.75" customHeight="1">
      <c r="A151" s="31">
        <v>6</v>
      </c>
      <c r="B151" s="32" t="s">
        <v>52</v>
      </c>
      <c r="C151" s="31" t="s">
        <v>58</v>
      </c>
      <c r="D151" s="35" t="e">
        <f t="shared" ref="D151:Q151" si="140">D130</f>
        <v>#DIV/0!</v>
      </c>
      <c r="E151" s="35" t="e">
        <f t="shared" si="140"/>
        <v>#DIV/0!</v>
      </c>
      <c r="F151" s="35" t="e">
        <f t="shared" si="140"/>
        <v>#DIV/0!</v>
      </c>
      <c r="G151" s="35" t="e">
        <f t="shared" si="140"/>
        <v>#DIV/0!</v>
      </c>
      <c r="H151" s="35">
        <f t="shared" si="140"/>
        <v>18258.621849881856</v>
      </c>
      <c r="I151" s="35">
        <f t="shared" si="140"/>
        <v>48504.103229566499</v>
      </c>
      <c r="J151" s="35">
        <f t="shared" si="140"/>
        <v>7070.8202256160166</v>
      </c>
      <c r="K151" s="35">
        <f t="shared" si="140"/>
        <v>2508.8633804961082</v>
      </c>
      <c r="L151" s="35">
        <f t="shared" si="140"/>
        <v>16142.363427068534</v>
      </c>
      <c r="M151" s="35">
        <f t="shared" si="140"/>
        <v>51927.399762739718</v>
      </c>
      <c r="N151" s="35">
        <f t="shared" si="140"/>
        <v>81961.192456577817</v>
      </c>
      <c r="O151" s="35">
        <f t="shared" si="140"/>
        <v>119374.59684863981</v>
      </c>
      <c r="P151" s="35">
        <f t="shared" si="140"/>
        <v>92499.539333019711</v>
      </c>
      <c r="Q151" s="35">
        <f t="shared" si="140"/>
        <v>132212.82876640657</v>
      </c>
      <c r="R151" s="35">
        <f t="shared" ref="R151:S151" si="141">R130</f>
        <v>161189.47175353253</v>
      </c>
      <c r="S151" s="35">
        <f t="shared" si="141"/>
        <v>189178.5261961603</v>
      </c>
      <c r="T151" s="35">
        <f t="shared" ref="T151" si="142">T130</f>
        <v>228131.08534921764</v>
      </c>
      <c r="U151" s="2"/>
      <c r="V151" s="2"/>
      <c r="W151" s="2"/>
      <c r="X151" s="2"/>
      <c r="Y151" s="2"/>
      <c r="Z151" s="209"/>
      <c r="AA151" s="209"/>
      <c r="AB151" s="209"/>
      <c r="AC151" s="209"/>
    </row>
    <row r="152" spans="1:29"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09"/>
      <c r="AA152" s="209"/>
      <c r="AB152" s="209"/>
      <c r="AC152" s="209"/>
    </row>
    <row r="153" spans="1:29" ht="15.75" customHeight="1">
      <c r="A153" s="28"/>
      <c r="B153" s="29" t="s">
        <v>53</v>
      </c>
      <c r="C153" s="30"/>
      <c r="D153" s="2"/>
      <c r="E153" s="2" t="e">
        <f t="shared" ref="E153:Q153" si="143">E139+E140-E144+E149+E150=E151</f>
        <v>#DIV/0!</v>
      </c>
      <c r="F153" s="2" t="e">
        <f t="shared" si="143"/>
        <v>#DIV/0!</v>
      </c>
      <c r="G153" s="2" t="e">
        <f t="shared" si="143"/>
        <v>#DIV/0!</v>
      </c>
      <c r="H153" s="2" t="e">
        <f t="shared" si="143"/>
        <v>#DIV/0!</v>
      </c>
      <c r="I153" s="2" t="b">
        <f t="shared" si="143"/>
        <v>1</v>
      </c>
      <c r="J153" s="2" t="b">
        <f t="shared" si="143"/>
        <v>0</v>
      </c>
      <c r="K153" s="2" t="b">
        <f t="shared" si="143"/>
        <v>1</v>
      </c>
      <c r="L153" s="2" t="b">
        <f t="shared" si="143"/>
        <v>1</v>
      </c>
      <c r="M153" s="2" t="b">
        <f t="shared" si="143"/>
        <v>1</v>
      </c>
      <c r="N153" s="2" t="b">
        <f t="shared" si="143"/>
        <v>1</v>
      </c>
      <c r="O153" s="2" t="b">
        <f t="shared" si="143"/>
        <v>1</v>
      </c>
      <c r="P153" s="2" t="b">
        <f t="shared" si="143"/>
        <v>1</v>
      </c>
      <c r="Q153" s="2" t="b">
        <f t="shared" si="143"/>
        <v>1</v>
      </c>
      <c r="R153" s="2" t="b">
        <f t="shared" ref="R153:S153" si="144">R139+R140-R144+R149+R150=R151</f>
        <v>1</v>
      </c>
      <c r="S153" s="2" t="b">
        <f t="shared" si="144"/>
        <v>1</v>
      </c>
      <c r="T153" s="2" t="b">
        <f t="shared" ref="T153" si="145">T139+T140-T144+T149+T150=T151</f>
        <v>1</v>
      </c>
      <c r="U153" s="2"/>
      <c r="V153" s="2"/>
      <c r="W153" s="2"/>
      <c r="X153" s="2"/>
      <c r="Y153" s="2"/>
      <c r="Z153" s="209"/>
      <c r="AA153" s="209"/>
      <c r="AB153" s="209"/>
      <c r="AC153" s="209"/>
    </row>
    <row r="154" spans="1:29"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09"/>
      <c r="AA154" s="209"/>
      <c r="AB154" s="209"/>
      <c r="AC154" s="209"/>
    </row>
    <row r="155" spans="1:29"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09"/>
      <c r="AA155" s="209"/>
      <c r="AB155" s="209"/>
      <c r="AC155" s="209"/>
    </row>
    <row r="156" spans="1:29"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09"/>
      <c r="AA156" s="209"/>
      <c r="AB156" s="209"/>
      <c r="AC156" s="209"/>
    </row>
    <row r="157" spans="1:29" ht="15.75" customHeight="1">
      <c r="A157" s="130"/>
      <c r="B157" s="131" t="s">
        <v>70</v>
      </c>
      <c r="C157" s="132"/>
      <c r="D157" s="133"/>
      <c r="E157" s="133"/>
      <c r="F157" s="133"/>
      <c r="G157" s="133"/>
      <c r="H157" s="133"/>
      <c r="I157" s="133"/>
      <c r="J157" s="133"/>
      <c r="K157" s="133"/>
      <c r="L157" s="133"/>
      <c r="M157" s="133"/>
      <c r="N157" s="133"/>
      <c r="O157" s="133"/>
      <c r="P157" s="133"/>
      <c r="Q157" s="133"/>
      <c r="R157" s="133"/>
      <c r="S157" s="133"/>
      <c r="T157" s="133"/>
      <c r="U157" s="2"/>
      <c r="V157" s="2"/>
      <c r="W157" s="2"/>
      <c r="X157" s="2"/>
      <c r="Y157" s="2"/>
      <c r="Z157" s="209"/>
      <c r="AA157" s="209"/>
      <c r="AB157" s="209"/>
      <c r="AC157" s="209"/>
    </row>
    <row r="158" spans="1:29"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09"/>
      <c r="AA158" s="209"/>
      <c r="AB158" s="209"/>
      <c r="AC158" s="209"/>
    </row>
    <row r="159" spans="1:29" ht="15.75" customHeight="1">
      <c r="A159" s="6" t="s">
        <v>132</v>
      </c>
      <c r="B159" s="2"/>
      <c r="C159" s="2"/>
      <c r="D159" s="2"/>
      <c r="E159" s="2"/>
      <c r="F159" s="2"/>
      <c r="G159" s="2"/>
      <c r="H159" s="2"/>
      <c r="I159" s="2"/>
      <c r="J159" s="2"/>
      <c r="K159" s="2"/>
      <c r="L159" s="2"/>
      <c r="M159" s="2"/>
      <c r="N159" s="2"/>
      <c r="O159" s="2"/>
      <c r="P159" s="2"/>
      <c r="Q159" s="2"/>
      <c r="R159" s="2"/>
      <c r="S159" s="2"/>
      <c r="T159" s="2"/>
      <c r="U159" s="2"/>
      <c r="V159" s="2"/>
      <c r="W159" s="2"/>
      <c r="X159" s="2"/>
      <c r="Y159" s="2"/>
      <c r="Z159" s="209"/>
      <c r="AA159" s="209"/>
      <c r="AB159" s="209"/>
      <c r="AC159" s="209"/>
    </row>
    <row r="160" spans="1:29"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09"/>
      <c r="AA160" s="209"/>
      <c r="AB160" s="209"/>
      <c r="AC160" s="209"/>
    </row>
    <row r="161" spans="1:29" ht="15.75" customHeight="1">
      <c r="A161" s="134" t="s">
        <v>3</v>
      </c>
      <c r="B161" s="134" t="s">
        <v>4</v>
      </c>
      <c r="C161" s="134" t="s">
        <v>5</v>
      </c>
      <c r="D161" s="134">
        <f t="shared" ref="D161:T161" si="146">D$3</f>
        <v>2008</v>
      </c>
      <c r="E161" s="134">
        <f t="shared" si="146"/>
        <v>2009</v>
      </c>
      <c r="F161" s="134">
        <f t="shared" si="146"/>
        <v>2010</v>
      </c>
      <c r="G161" s="134">
        <f t="shared" si="146"/>
        <v>2011</v>
      </c>
      <c r="H161" s="134">
        <f t="shared" si="146"/>
        <v>2012</v>
      </c>
      <c r="I161" s="134">
        <f t="shared" si="146"/>
        <v>2013</v>
      </c>
      <c r="J161" s="134">
        <f t="shared" si="146"/>
        <v>2014</v>
      </c>
      <c r="K161" s="134">
        <f t="shared" si="146"/>
        <v>2015</v>
      </c>
      <c r="L161" s="134">
        <f t="shared" si="146"/>
        <v>2016</v>
      </c>
      <c r="M161" s="134">
        <f t="shared" si="146"/>
        <v>2017</v>
      </c>
      <c r="N161" s="134">
        <f t="shared" si="146"/>
        <v>2018</v>
      </c>
      <c r="O161" s="134">
        <f t="shared" si="146"/>
        <v>2019</v>
      </c>
      <c r="P161" s="134">
        <f t="shared" si="146"/>
        <v>2020</v>
      </c>
      <c r="Q161" s="134">
        <f t="shared" si="146"/>
        <v>2021</v>
      </c>
      <c r="R161" s="134">
        <f t="shared" si="146"/>
        <v>2022</v>
      </c>
      <c r="S161" s="134">
        <f t="shared" si="146"/>
        <v>2023</v>
      </c>
      <c r="T161" s="134">
        <f t="shared" si="146"/>
        <v>2024</v>
      </c>
      <c r="U161" s="2"/>
      <c r="V161" s="2"/>
      <c r="W161" s="2"/>
      <c r="X161" s="2"/>
      <c r="Y161" s="2"/>
      <c r="Z161" s="209"/>
      <c r="AA161" s="209"/>
      <c r="AB161" s="209"/>
      <c r="AC161" s="209"/>
    </row>
    <row r="162" spans="1:29" ht="15.75" customHeight="1">
      <c r="A162" s="9">
        <v>-1</v>
      </c>
      <c r="B162" s="9">
        <f t="shared" ref="B162:T162" si="147">A162-1</f>
        <v>-2</v>
      </c>
      <c r="C162" s="9">
        <f t="shared" si="147"/>
        <v>-3</v>
      </c>
      <c r="D162" s="9">
        <f t="shared" si="147"/>
        <v>-4</v>
      </c>
      <c r="E162" s="9">
        <f t="shared" si="147"/>
        <v>-5</v>
      </c>
      <c r="F162" s="9">
        <f t="shared" si="147"/>
        <v>-6</v>
      </c>
      <c r="G162" s="9">
        <f t="shared" si="147"/>
        <v>-7</v>
      </c>
      <c r="H162" s="9">
        <f t="shared" si="147"/>
        <v>-8</v>
      </c>
      <c r="I162" s="9">
        <f t="shared" si="147"/>
        <v>-9</v>
      </c>
      <c r="J162" s="9">
        <f t="shared" si="147"/>
        <v>-10</v>
      </c>
      <c r="K162" s="9">
        <f t="shared" si="147"/>
        <v>-11</v>
      </c>
      <c r="L162" s="9">
        <f t="shared" si="147"/>
        <v>-12</v>
      </c>
      <c r="M162" s="9">
        <f t="shared" si="147"/>
        <v>-13</v>
      </c>
      <c r="N162" s="9">
        <f t="shared" si="147"/>
        <v>-14</v>
      </c>
      <c r="O162" s="9">
        <f t="shared" si="147"/>
        <v>-15</v>
      </c>
      <c r="P162" s="9">
        <f t="shared" si="147"/>
        <v>-16</v>
      </c>
      <c r="Q162" s="9">
        <f t="shared" si="147"/>
        <v>-17</v>
      </c>
      <c r="R162" s="9">
        <f t="shared" si="147"/>
        <v>-18</v>
      </c>
      <c r="S162" s="9">
        <f t="shared" si="147"/>
        <v>-19</v>
      </c>
      <c r="T162" s="9">
        <f t="shared" si="147"/>
        <v>-20</v>
      </c>
      <c r="U162" s="2"/>
      <c r="V162" s="2"/>
      <c r="W162" s="2"/>
      <c r="X162" s="2"/>
      <c r="Y162" s="2"/>
      <c r="Z162" s="209"/>
      <c r="AA162" s="209"/>
      <c r="AB162" s="209"/>
      <c r="AC162" s="209"/>
    </row>
    <row r="163" spans="1:29" ht="15.75" customHeight="1">
      <c r="A163" s="14">
        <v>1</v>
      </c>
      <c r="B163" s="21" t="s">
        <v>72</v>
      </c>
      <c r="C163" s="14" t="s">
        <v>22</v>
      </c>
      <c r="D163" s="22"/>
      <c r="E163" s="22"/>
      <c r="F163" s="22"/>
      <c r="G163" s="22"/>
      <c r="H163" s="22"/>
      <c r="I163" s="22"/>
      <c r="J163" s="22"/>
      <c r="K163" s="22"/>
      <c r="L163" s="40">
        <v>287640.40027931402</v>
      </c>
      <c r="M163" s="22"/>
      <c r="N163" s="22"/>
      <c r="O163" s="22"/>
      <c r="P163" s="22"/>
      <c r="Q163" s="22"/>
      <c r="R163" s="22"/>
      <c r="S163" s="22"/>
      <c r="T163" s="22"/>
      <c r="U163" s="2"/>
      <c r="V163" s="2"/>
      <c r="W163" s="2"/>
      <c r="X163" s="2"/>
      <c r="Y163" s="2"/>
      <c r="Z163" s="209"/>
      <c r="AA163" s="209"/>
      <c r="AB163" s="209"/>
      <c r="AC163" s="209"/>
    </row>
    <row r="164" spans="1:29" ht="15.75" customHeight="1">
      <c r="A164" s="14">
        <v>2</v>
      </c>
      <c r="B164" s="15" t="s">
        <v>26</v>
      </c>
      <c r="C164" s="14" t="s">
        <v>22</v>
      </c>
      <c r="D164" s="22"/>
      <c r="E164" s="22"/>
      <c r="F164" s="22"/>
      <c r="G164" s="22"/>
      <c r="H164" s="22"/>
      <c r="I164" s="22"/>
      <c r="J164" s="22"/>
      <c r="K164" s="22"/>
      <c r="L164" s="41">
        <v>127298.458220421</v>
      </c>
      <c r="M164" s="22"/>
      <c r="N164" s="22"/>
      <c r="O164" s="22"/>
      <c r="P164" s="22"/>
      <c r="Q164" s="22"/>
      <c r="R164" s="22"/>
      <c r="S164" s="22"/>
      <c r="T164" s="22"/>
      <c r="U164" s="2"/>
      <c r="V164" s="2"/>
      <c r="W164" s="2"/>
      <c r="X164" s="2"/>
      <c r="Y164" s="2"/>
      <c r="Z164" s="209"/>
      <c r="AA164" s="209"/>
      <c r="AB164" s="209"/>
      <c r="AC164" s="209"/>
    </row>
    <row r="165" spans="1:29" ht="15.75" customHeight="1">
      <c r="A165" s="14">
        <v>3</v>
      </c>
      <c r="B165" s="21" t="s">
        <v>73</v>
      </c>
      <c r="C165" s="14" t="s">
        <v>22</v>
      </c>
      <c r="D165" s="22"/>
      <c r="E165" s="22"/>
      <c r="F165" s="22"/>
      <c r="G165" s="22"/>
      <c r="H165" s="22"/>
      <c r="I165" s="22"/>
      <c r="J165" s="22"/>
      <c r="K165" s="22"/>
      <c r="L165" s="41">
        <v>400217.97063124902</v>
      </c>
      <c r="M165" s="22"/>
      <c r="N165" s="22"/>
      <c r="O165" s="22"/>
      <c r="P165" s="22"/>
      <c r="Q165" s="22"/>
      <c r="R165" s="22"/>
      <c r="S165" s="22"/>
      <c r="T165" s="22"/>
      <c r="U165" s="2"/>
      <c r="V165" s="2"/>
      <c r="W165" s="2"/>
      <c r="X165" s="2"/>
      <c r="Y165" s="2"/>
      <c r="Z165" s="209"/>
      <c r="AA165" s="209"/>
      <c r="AB165" s="209"/>
      <c r="AC165" s="209"/>
    </row>
    <row r="166" spans="1:29" ht="15.75" customHeight="1">
      <c r="A166" s="14">
        <v>4</v>
      </c>
      <c r="B166" s="21" t="s">
        <v>35</v>
      </c>
      <c r="C166" s="14" t="s">
        <v>22</v>
      </c>
      <c r="D166" s="22"/>
      <c r="E166" s="22"/>
      <c r="F166" s="22"/>
      <c r="G166" s="22"/>
      <c r="H166" s="22"/>
      <c r="I166" s="22"/>
      <c r="J166" s="22"/>
      <c r="K166" s="22"/>
      <c r="L166" s="41">
        <v>165106.50208177301</v>
      </c>
      <c r="M166" s="22"/>
      <c r="N166" s="22"/>
      <c r="O166" s="22"/>
      <c r="P166" s="22"/>
      <c r="Q166" s="22"/>
      <c r="R166" s="22"/>
      <c r="S166" s="22"/>
      <c r="T166" s="22"/>
      <c r="U166" s="2"/>
      <c r="V166" s="2"/>
      <c r="W166" s="2"/>
      <c r="X166" s="2"/>
      <c r="Y166" s="2"/>
      <c r="Z166" s="209"/>
      <c r="AA166" s="209"/>
      <c r="AB166" s="209"/>
      <c r="AC166" s="209"/>
    </row>
    <row r="167" spans="1:29" ht="15.75" customHeight="1">
      <c r="A167" s="14">
        <v>5</v>
      </c>
      <c r="B167" s="21" t="s">
        <v>74</v>
      </c>
      <c r="C167" s="14" t="s">
        <v>22</v>
      </c>
      <c r="D167" s="22"/>
      <c r="E167" s="22"/>
      <c r="F167" s="22"/>
      <c r="G167" s="22"/>
      <c r="H167" s="22"/>
      <c r="I167" s="22"/>
      <c r="J167" s="22"/>
      <c r="K167" s="22"/>
      <c r="L167" s="41">
        <v>3820.0937597296402</v>
      </c>
      <c r="M167" s="22"/>
      <c r="N167" s="22"/>
      <c r="O167" s="22"/>
      <c r="P167" s="22"/>
      <c r="Q167" s="22"/>
      <c r="R167" s="22"/>
      <c r="S167" s="22"/>
      <c r="T167" s="22"/>
      <c r="U167" s="2"/>
      <c r="V167" s="2"/>
      <c r="W167" s="2"/>
      <c r="X167" s="2"/>
      <c r="Y167" s="2"/>
      <c r="Z167" s="209"/>
      <c r="AA167" s="209"/>
      <c r="AB167" s="209"/>
      <c r="AC167" s="209"/>
    </row>
    <row r="168" spans="1:29" ht="15.75" customHeight="1">
      <c r="A168" s="14">
        <v>6</v>
      </c>
      <c r="B168" s="21" t="s">
        <v>75</v>
      </c>
      <c r="C168" s="14" t="s">
        <v>22</v>
      </c>
      <c r="D168" s="22"/>
      <c r="E168" s="22"/>
      <c r="F168" s="22"/>
      <c r="G168" s="22"/>
      <c r="H168" s="22"/>
      <c r="I168" s="22"/>
      <c r="J168" s="22"/>
      <c r="K168" s="22"/>
      <c r="L168" s="41">
        <v>0</v>
      </c>
      <c r="M168" s="22"/>
      <c r="N168" s="22"/>
      <c r="O168" s="22"/>
      <c r="P168" s="22"/>
      <c r="Q168" s="22"/>
      <c r="R168" s="22"/>
      <c r="S168" s="22"/>
      <c r="T168" s="22"/>
      <c r="U168" s="2"/>
      <c r="V168" s="2"/>
      <c r="W168" s="2"/>
      <c r="X168" s="2"/>
      <c r="Y168" s="2"/>
      <c r="Z168" s="209"/>
      <c r="AA168" s="209"/>
      <c r="AB168" s="209"/>
      <c r="AC168" s="209"/>
    </row>
    <row r="169" spans="1:29" ht="15.75" customHeight="1">
      <c r="A169" s="31">
        <v>7</v>
      </c>
      <c r="B169" s="42" t="s">
        <v>29</v>
      </c>
      <c r="C169" s="31" t="s">
        <v>22</v>
      </c>
      <c r="D169" s="43"/>
      <c r="E169" s="43"/>
      <c r="F169" s="43"/>
      <c r="G169" s="43"/>
      <c r="H169" s="43"/>
      <c r="I169" s="43"/>
      <c r="J169" s="43"/>
      <c r="K169" s="43"/>
      <c r="L169" s="44">
        <f>SUM(L163:L168)</f>
        <v>984083.42497248668</v>
      </c>
      <c r="M169" s="43"/>
      <c r="N169" s="43"/>
      <c r="O169" s="43"/>
      <c r="P169" s="43"/>
      <c r="Q169" s="43"/>
      <c r="R169" s="43"/>
      <c r="S169" s="43"/>
      <c r="T169" s="43"/>
      <c r="U169" s="2"/>
      <c r="V169" s="2"/>
      <c r="W169" s="2"/>
      <c r="X169" s="2"/>
      <c r="Y169" s="2"/>
      <c r="Z169" s="209"/>
      <c r="AA169" s="209"/>
      <c r="AB169" s="209"/>
      <c r="AC169" s="209"/>
    </row>
    <row r="170" spans="1:29" ht="15.75" customHeight="1">
      <c r="A170" s="17" t="s">
        <v>76</v>
      </c>
      <c r="B170" s="2"/>
      <c r="C170" s="2"/>
      <c r="D170" s="2"/>
      <c r="E170" s="2"/>
      <c r="F170" s="2"/>
      <c r="G170" s="2"/>
      <c r="H170" s="2"/>
      <c r="I170" s="2"/>
      <c r="J170" s="2"/>
      <c r="K170" s="2"/>
      <c r="L170" s="2"/>
      <c r="M170" s="2"/>
      <c r="N170" s="2"/>
      <c r="O170" s="2"/>
      <c r="P170" s="2"/>
      <c r="Q170" s="2"/>
      <c r="R170" s="2"/>
      <c r="S170" s="2"/>
      <c r="T170" s="2"/>
      <c r="U170" s="2"/>
      <c r="V170" s="2"/>
      <c r="W170" s="2"/>
      <c r="X170" s="2"/>
      <c r="Y170" s="2"/>
      <c r="Z170" s="209"/>
      <c r="AA170" s="209"/>
      <c r="AB170" s="209"/>
      <c r="AC170" s="209"/>
    </row>
    <row r="171" spans="1:29"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09"/>
      <c r="AA171" s="209"/>
      <c r="AB171" s="209"/>
      <c r="AC171" s="209"/>
    </row>
    <row r="172" spans="1:29"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09"/>
      <c r="AA172" s="209"/>
      <c r="AB172" s="209"/>
      <c r="AC172" s="209"/>
    </row>
    <row r="173" spans="1:29"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09"/>
      <c r="AA173" s="209"/>
      <c r="AB173" s="209"/>
      <c r="AC173" s="209"/>
    </row>
    <row r="174" spans="1:29"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09"/>
      <c r="AA174" s="209"/>
      <c r="AB174" s="209"/>
      <c r="AC174" s="209"/>
    </row>
    <row r="175" spans="1:29"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09"/>
      <c r="AA175" s="209"/>
      <c r="AB175" s="209"/>
      <c r="AC175" s="209"/>
    </row>
    <row r="176" spans="1:29"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09"/>
      <c r="AA176" s="209"/>
      <c r="AB176" s="209"/>
      <c r="AC176" s="209"/>
    </row>
    <row r="177" spans="1:29"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09"/>
      <c r="AA177" s="209"/>
      <c r="AB177" s="209"/>
      <c r="AC177" s="209"/>
    </row>
    <row r="178" spans="1:29"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09"/>
      <c r="AA178" s="209"/>
      <c r="AB178" s="209"/>
      <c r="AC178" s="209"/>
    </row>
    <row r="179" spans="1:2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09"/>
      <c r="AA179" s="209"/>
      <c r="AB179" s="209"/>
      <c r="AC179" s="209"/>
    </row>
    <row r="180" spans="1:29"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09"/>
      <c r="AA180" s="209"/>
      <c r="AB180" s="209"/>
      <c r="AC180" s="209"/>
    </row>
    <row r="181" spans="1:29"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9"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9"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9"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9"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9"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9"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9"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9"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9"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9"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conditionalFormatting sqref="E98:T98">
    <cfRule type="containsText" dxfId="2" priority="3" operator="containsText" text="TRUE">
      <formula>NOT(ISERROR(SEARCH(("TRUE"),(E98))))</formula>
    </cfRule>
  </conditionalFormatting>
  <conditionalFormatting sqref="E118:T118">
    <cfRule type="containsText" dxfId="1" priority="2" operator="containsText" text="TRUE">
      <formula>NOT(ISERROR(SEARCH(("TRUE"),(E118))))</formula>
    </cfRule>
  </conditionalFormatting>
  <conditionalFormatting sqref="E153:T153">
    <cfRule type="containsText" dxfId="0" priority="1" operator="containsText" text="TRUE">
      <formula>NOT(ISERROR(SEARCH(("TRUE"),(E153))))</formula>
    </cfRule>
  </conditionalFormatting>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Y1000"/>
  <sheetViews>
    <sheetView zoomScale="70" zoomScaleNormal="70" workbookViewId="0">
      <pane xSplit="2" ySplit="6" topLeftCell="M13" activePane="bottomRight" state="frozen"/>
      <selection pane="topRight" activeCell="C1" sqref="C1"/>
      <selection pane="bottomLeft" activeCell="A7" sqref="A7"/>
      <selection pane="bottomRight" activeCell="S21" sqref="S21"/>
    </sheetView>
  </sheetViews>
  <sheetFormatPr defaultColWidth="14.42578125" defaultRowHeight="15" customHeight="1"/>
  <cols>
    <col min="1" max="2" width="13.7109375" customWidth="1"/>
    <col min="3" max="19" width="16.7109375" customWidth="1"/>
    <col min="20" max="25" width="13.7109375" customWidth="1"/>
  </cols>
  <sheetData>
    <row r="1" spans="1:25">
      <c r="A1" s="135"/>
      <c r="B1" s="135"/>
      <c r="C1" s="135"/>
      <c r="D1" s="135"/>
      <c r="E1" s="135"/>
      <c r="F1" s="135"/>
      <c r="G1" s="135"/>
      <c r="H1" s="135"/>
      <c r="I1" s="135"/>
      <c r="J1" s="135"/>
      <c r="K1" s="135"/>
      <c r="L1" s="135"/>
      <c r="M1" s="135"/>
      <c r="N1" s="135"/>
      <c r="O1" s="135"/>
      <c r="P1" s="135"/>
      <c r="Q1" s="135"/>
      <c r="R1" s="135"/>
      <c r="S1" s="135"/>
      <c r="T1" s="135"/>
      <c r="U1" s="135"/>
      <c r="V1" s="135"/>
      <c r="W1" s="135"/>
      <c r="X1" s="135"/>
      <c r="Y1" s="135"/>
    </row>
    <row r="2" spans="1:25">
      <c r="A2" s="136" t="s">
        <v>133</v>
      </c>
      <c r="B2" s="135"/>
      <c r="C2" s="135"/>
      <c r="D2" s="135"/>
      <c r="E2" s="135"/>
      <c r="F2" s="135"/>
      <c r="G2" s="135"/>
      <c r="H2" s="135"/>
      <c r="I2" s="135"/>
      <c r="J2" s="135"/>
      <c r="K2" s="135"/>
      <c r="L2" s="135"/>
      <c r="M2" s="135"/>
      <c r="N2" s="135"/>
      <c r="O2" s="135"/>
      <c r="P2" s="135"/>
      <c r="Q2" s="135"/>
      <c r="R2" s="135"/>
      <c r="S2" s="135"/>
      <c r="T2" s="135"/>
      <c r="U2" s="135"/>
      <c r="V2" s="135"/>
      <c r="W2" s="135"/>
      <c r="X2" s="135"/>
      <c r="Y2" s="135"/>
    </row>
    <row r="3" spans="1:25">
      <c r="A3" s="135"/>
      <c r="B3" s="135"/>
      <c r="C3" s="135"/>
      <c r="D3" s="135"/>
      <c r="E3" s="135"/>
      <c r="F3" s="135"/>
      <c r="G3" s="135"/>
      <c r="H3" s="135"/>
      <c r="I3" s="135"/>
      <c r="J3" s="135"/>
      <c r="K3" s="135"/>
      <c r="L3" s="135"/>
      <c r="M3" s="135"/>
      <c r="N3" s="135"/>
      <c r="O3" s="135"/>
      <c r="P3" s="135"/>
      <c r="Q3" s="135"/>
      <c r="R3" s="135"/>
      <c r="S3" s="135"/>
      <c r="T3" s="135"/>
      <c r="U3" s="135"/>
      <c r="V3" s="135"/>
      <c r="W3" s="135"/>
      <c r="X3" s="135"/>
      <c r="Y3" s="135"/>
    </row>
    <row r="4" spans="1:25">
      <c r="A4" s="135"/>
      <c r="B4" s="135"/>
      <c r="C4" s="135"/>
      <c r="D4" s="135"/>
      <c r="E4" s="135"/>
      <c r="F4" s="135"/>
      <c r="G4" s="135"/>
      <c r="H4" s="135"/>
      <c r="I4" s="135"/>
      <c r="J4" s="135"/>
      <c r="K4" s="135"/>
      <c r="L4" s="135"/>
      <c r="M4" s="135"/>
      <c r="N4" s="135"/>
      <c r="O4" s="135"/>
      <c r="P4" s="135"/>
      <c r="Q4" s="135"/>
      <c r="R4" s="135"/>
      <c r="S4" s="135"/>
      <c r="T4" s="135"/>
      <c r="U4" s="135"/>
      <c r="V4" s="135"/>
      <c r="W4" s="135"/>
      <c r="X4" s="135"/>
      <c r="Y4" s="135"/>
    </row>
    <row r="5" spans="1:25" ht="15.75" thickBot="1">
      <c r="A5" s="210" t="s">
        <v>134</v>
      </c>
      <c r="B5" s="211"/>
      <c r="C5" s="137">
        <v>2008</v>
      </c>
      <c r="D5" s="137">
        <f t="shared" ref="D5:S5" si="0">C5+1</f>
        <v>2009</v>
      </c>
      <c r="E5" s="137">
        <f t="shared" si="0"/>
        <v>2010</v>
      </c>
      <c r="F5" s="137">
        <f t="shared" si="0"/>
        <v>2011</v>
      </c>
      <c r="G5" s="137">
        <f t="shared" si="0"/>
        <v>2012</v>
      </c>
      <c r="H5" s="137">
        <f t="shared" si="0"/>
        <v>2013</v>
      </c>
      <c r="I5" s="137">
        <f t="shared" si="0"/>
        <v>2014</v>
      </c>
      <c r="J5" s="137">
        <f t="shared" si="0"/>
        <v>2015</v>
      </c>
      <c r="K5" s="137">
        <f t="shared" si="0"/>
        <v>2016</v>
      </c>
      <c r="L5" s="137">
        <f t="shared" si="0"/>
        <v>2017</v>
      </c>
      <c r="M5" s="137">
        <f t="shared" si="0"/>
        <v>2018</v>
      </c>
      <c r="N5" s="137">
        <f t="shared" si="0"/>
        <v>2019</v>
      </c>
      <c r="O5" s="137">
        <f t="shared" si="0"/>
        <v>2020</v>
      </c>
      <c r="P5" s="137">
        <f t="shared" si="0"/>
        <v>2021</v>
      </c>
      <c r="Q5" s="137">
        <f t="shared" si="0"/>
        <v>2022</v>
      </c>
      <c r="R5" s="137">
        <f t="shared" si="0"/>
        <v>2023</v>
      </c>
      <c r="S5" s="137">
        <f t="shared" si="0"/>
        <v>2024</v>
      </c>
      <c r="T5" s="135"/>
      <c r="U5" s="135"/>
      <c r="V5" s="135"/>
      <c r="W5" s="135"/>
      <c r="X5" s="135"/>
      <c r="Y5" s="135"/>
    </row>
    <row r="6" spans="1:25">
      <c r="A6" s="212" t="s">
        <v>135</v>
      </c>
      <c r="B6" s="213"/>
      <c r="C6" s="138">
        <v>39813</v>
      </c>
      <c r="D6" s="138">
        <v>40178</v>
      </c>
      <c r="E6" s="138">
        <v>40543</v>
      </c>
      <c r="F6" s="138">
        <v>40907</v>
      </c>
      <c r="G6" s="138">
        <v>41271</v>
      </c>
      <c r="H6" s="138">
        <v>41639</v>
      </c>
      <c r="I6" s="138">
        <v>42004</v>
      </c>
      <c r="J6" s="138">
        <v>42369</v>
      </c>
      <c r="K6" s="138">
        <v>42734</v>
      </c>
      <c r="L6" s="138">
        <v>43098</v>
      </c>
      <c r="M6" s="138">
        <v>43465</v>
      </c>
      <c r="N6" s="138">
        <v>43830</v>
      </c>
      <c r="O6" s="138">
        <v>44195</v>
      </c>
      <c r="P6" s="139">
        <v>44560</v>
      </c>
      <c r="Q6" s="139">
        <v>44925</v>
      </c>
      <c r="R6" s="139">
        <v>45289</v>
      </c>
      <c r="S6" s="139">
        <f>'[4]2024'!$A$243</f>
        <v>45656</v>
      </c>
      <c r="T6" s="140"/>
      <c r="U6" s="140"/>
      <c r="V6" s="140"/>
      <c r="W6" s="140"/>
      <c r="X6" s="140"/>
      <c r="Y6" s="140"/>
    </row>
    <row r="7" spans="1:25">
      <c r="A7" s="100" t="s">
        <v>136</v>
      </c>
      <c r="B7" s="100" t="s">
        <v>137</v>
      </c>
      <c r="C7" s="141"/>
      <c r="D7" s="141"/>
      <c r="E7" s="141"/>
      <c r="F7" s="142"/>
      <c r="G7" s="142"/>
      <c r="H7" s="142"/>
      <c r="I7" s="142"/>
      <c r="J7" s="142" t="s">
        <v>138</v>
      </c>
      <c r="K7" s="142" t="s">
        <v>139</v>
      </c>
      <c r="L7" s="142" t="s">
        <v>140</v>
      </c>
      <c r="M7" s="142" t="s">
        <v>141</v>
      </c>
      <c r="N7" s="142" t="s">
        <v>142</v>
      </c>
      <c r="O7" s="142" t="s">
        <v>143</v>
      </c>
      <c r="P7" s="142" t="s">
        <v>144</v>
      </c>
      <c r="Q7" s="142" t="s">
        <v>249</v>
      </c>
      <c r="R7" s="142" t="s">
        <v>270</v>
      </c>
      <c r="S7" s="142" t="s">
        <v>275</v>
      </c>
      <c r="T7" s="135"/>
      <c r="U7" s="135"/>
      <c r="V7" s="135"/>
      <c r="W7" s="135"/>
      <c r="X7" s="135"/>
      <c r="Y7" s="135"/>
    </row>
    <row r="8" spans="1:25">
      <c r="A8" s="100"/>
      <c r="B8" s="100" t="s">
        <v>145</v>
      </c>
      <c r="C8" s="143">
        <v>0.09</v>
      </c>
      <c r="D8" s="143">
        <v>0.1125</v>
      </c>
      <c r="E8" s="143">
        <v>9.5000000000000001E-2</v>
      </c>
      <c r="F8" s="143">
        <v>7.3749999999999996E-2</v>
      </c>
      <c r="G8" s="143">
        <v>6.25E-2</v>
      </c>
      <c r="H8" s="143">
        <v>5.2499999999999998E-2</v>
      </c>
      <c r="I8" s="143">
        <v>7.8750000000000001E-2</v>
      </c>
      <c r="J8" s="143">
        <v>7.8750000000000001E-2</v>
      </c>
      <c r="K8" s="143">
        <v>8.2500000000000004E-2</v>
      </c>
      <c r="L8" s="143">
        <v>7.0000000000000007E-2</v>
      </c>
      <c r="M8" s="143">
        <v>5.6250000000000001E-2</v>
      </c>
      <c r="N8" s="143">
        <v>8.1250000000000003E-2</v>
      </c>
      <c r="O8" s="143">
        <f>0.065</f>
        <v>6.5000000000000002E-2</v>
      </c>
      <c r="P8" s="143">
        <f>0.055</f>
        <v>5.5E-2</v>
      </c>
      <c r="Q8" s="143">
        <f>0.05125</f>
        <v>5.1249999999999997E-2</v>
      </c>
      <c r="R8" s="143">
        <v>6.3750000000000001E-2</v>
      </c>
      <c r="S8" s="143">
        <v>6.8750000000000006E-2</v>
      </c>
      <c r="T8" s="135"/>
      <c r="U8" s="135"/>
      <c r="V8" s="135"/>
      <c r="W8" s="135"/>
      <c r="X8" s="135"/>
      <c r="Y8" s="135"/>
    </row>
    <row r="9" spans="1:25">
      <c r="A9" s="100"/>
      <c r="B9" s="100" t="s">
        <v>146</v>
      </c>
      <c r="C9" s="144"/>
      <c r="D9" s="144"/>
      <c r="E9" s="144"/>
      <c r="F9" s="144"/>
      <c r="G9" s="144"/>
      <c r="H9" s="144"/>
      <c r="I9" s="144"/>
      <c r="J9" s="144"/>
      <c r="K9" s="144">
        <v>44392</v>
      </c>
      <c r="L9" s="144">
        <v>44696</v>
      </c>
      <c r="M9" s="144">
        <v>45061</v>
      </c>
      <c r="N9" s="144">
        <v>45427</v>
      </c>
      <c r="O9" s="144">
        <v>45823</v>
      </c>
      <c r="P9" s="144">
        <v>46127</v>
      </c>
      <c r="Q9" s="144">
        <v>46492</v>
      </c>
      <c r="R9" s="144">
        <v>46980</v>
      </c>
      <c r="S9" s="144">
        <v>47223</v>
      </c>
      <c r="T9" s="135"/>
      <c r="U9" s="135"/>
      <c r="V9" s="135"/>
      <c r="W9" s="135"/>
      <c r="X9" s="135"/>
      <c r="Y9" s="135"/>
    </row>
    <row r="10" spans="1:25">
      <c r="A10" s="100"/>
      <c r="B10" s="100" t="s">
        <v>147</v>
      </c>
      <c r="C10" s="141"/>
      <c r="D10" s="141"/>
      <c r="E10" s="141"/>
      <c r="F10" s="142"/>
      <c r="G10" s="142"/>
      <c r="H10" s="142"/>
      <c r="I10" s="142"/>
      <c r="J10" s="142"/>
      <c r="K10" s="142">
        <v>102.61</v>
      </c>
      <c r="L10" s="142">
        <v>104.14</v>
      </c>
      <c r="M10" s="142">
        <v>92.24</v>
      </c>
      <c r="N10" s="142">
        <v>106.61</v>
      </c>
      <c r="O10" s="142">
        <v>105.41</v>
      </c>
      <c r="P10" s="142">
        <v>101.63</v>
      </c>
      <c r="Q10" s="142">
        <v>96.5</v>
      </c>
      <c r="R10" s="142">
        <v>99.83</v>
      </c>
      <c r="S10" s="181">
        <v>99.63</v>
      </c>
      <c r="T10" s="135"/>
      <c r="U10" s="135"/>
      <c r="V10" s="135"/>
      <c r="W10" s="135"/>
      <c r="X10" s="135"/>
      <c r="Y10" s="135"/>
    </row>
    <row r="11" spans="1:25" ht="15.75" thickBot="1">
      <c r="A11" s="145"/>
      <c r="B11" s="145" t="s">
        <v>148</v>
      </c>
      <c r="C11" s="146">
        <v>0.1203</v>
      </c>
      <c r="D11" s="146">
        <v>8.7800000000000003E-2</v>
      </c>
      <c r="E11" s="146">
        <v>6.7699999999999996E-2</v>
      </c>
      <c r="F11" s="146">
        <v>5.3600000000000002E-2</v>
      </c>
      <c r="G11" s="146">
        <v>4.6800000000000001E-2</v>
      </c>
      <c r="H11" s="146">
        <v>7.9299999999999995E-2</v>
      </c>
      <c r="I11" s="146">
        <v>7.6999999999999999E-2</v>
      </c>
      <c r="J11" s="146">
        <v>8.7900000000000006E-2</v>
      </c>
      <c r="K11" s="146">
        <v>7.5600000000000001E-2</v>
      </c>
      <c r="L11" s="146">
        <v>5.91E-2</v>
      </c>
      <c r="M11" s="146">
        <v>7.7600000000000002E-2</v>
      </c>
      <c r="N11" s="146">
        <v>6.3700000000000007E-2</v>
      </c>
      <c r="O11" s="146">
        <v>5.1299999999999998E-2</v>
      </c>
      <c r="P11" s="146">
        <v>5.0700000000000002E-2</v>
      </c>
      <c r="Q11" s="146">
        <v>6.0699999999999997E-2</v>
      </c>
      <c r="R11" s="146">
        <v>6.4200000000000007E-2</v>
      </c>
      <c r="S11" s="146">
        <v>6.9800000000000001E-2</v>
      </c>
      <c r="T11" s="135"/>
      <c r="U11" s="135"/>
      <c r="V11" s="135"/>
      <c r="W11" s="135"/>
      <c r="X11" s="135"/>
      <c r="Y11" s="135"/>
    </row>
    <row r="12" spans="1:25" ht="15.75" thickTop="1">
      <c r="A12" s="147" t="s">
        <v>149</v>
      </c>
      <c r="B12" s="147" t="s">
        <v>137</v>
      </c>
      <c r="C12" s="148"/>
      <c r="D12" s="148"/>
      <c r="E12" s="148"/>
      <c r="F12" s="149"/>
      <c r="G12" s="149"/>
      <c r="H12" s="149"/>
      <c r="I12" s="149"/>
      <c r="J12" s="149" t="s">
        <v>150</v>
      </c>
      <c r="K12" s="149" t="s">
        <v>151</v>
      </c>
      <c r="L12" s="149" t="s">
        <v>152</v>
      </c>
      <c r="M12" s="149" t="s">
        <v>153</v>
      </c>
      <c r="N12" s="149" t="s">
        <v>154</v>
      </c>
      <c r="O12" s="149" t="s">
        <v>155</v>
      </c>
      <c r="P12" s="149" t="s">
        <v>156</v>
      </c>
      <c r="Q12" s="149" t="s">
        <v>250</v>
      </c>
      <c r="R12" s="149" t="s">
        <v>271</v>
      </c>
      <c r="S12" s="149" t="s">
        <v>276</v>
      </c>
      <c r="T12" s="135"/>
      <c r="U12" s="135"/>
      <c r="V12" s="135"/>
      <c r="W12" s="135"/>
      <c r="X12" s="135"/>
      <c r="Y12" s="135"/>
    </row>
    <row r="13" spans="1:25">
      <c r="A13" s="100"/>
      <c r="B13" s="100" t="s">
        <v>145</v>
      </c>
      <c r="C13" s="143">
        <v>0.09</v>
      </c>
      <c r="D13" s="143">
        <v>0.115</v>
      </c>
      <c r="E13" s="143">
        <v>0.11</v>
      </c>
      <c r="F13" s="143">
        <v>8.2500000000000004E-2</v>
      </c>
      <c r="G13" s="143">
        <v>7.0000000000000007E-2</v>
      </c>
      <c r="H13" s="143">
        <v>5.6250000000000001E-2</v>
      </c>
      <c r="I13" s="143">
        <v>8.3750000000000005E-2</v>
      </c>
      <c r="J13" s="143">
        <v>8.3750000000000005E-2</v>
      </c>
      <c r="K13" s="143">
        <v>8.3750000000000005E-2</v>
      </c>
      <c r="L13" s="143">
        <v>7.0000000000000007E-2</v>
      </c>
      <c r="M13" s="143">
        <v>6.1249999999999999E-2</v>
      </c>
      <c r="N13" s="143">
        <v>8.2500000000000004E-2</v>
      </c>
      <c r="O13" s="143">
        <v>7.0000000000000007E-2</v>
      </c>
      <c r="P13" s="143">
        <f>0.065</f>
        <v>6.5000000000000002E-2</v>
      </c>
      <c r="Q13" s="143">
        <f>0.06375</f>
        <v>6.3750000000000001E-2</v>
      </c>
      <c r="R13" s="143">
        <v>7.0000000000000007E-2</v>
      </c>
      <c r="S13" s="143">
        <v>6.6250000000000003E-2</v>
      </c>
      <c r="T13" s="135"/>
      <c r="U13" s="135"/>
      <c r="V13" s="135"/>
      <c r="W13" s="135"/>
      <c r="X13" s="135"/>
      <c r="Y13" s="135"/>
    </row>
    <row r="14" spans="1:25">
      <c r="A14" s="100"/>
      <c r="B14" s="100" t="s">
        <v>146</v>
      </c>
      <c r="C14" s="144"/>
      <c r="D14" s="144"/>
      <c r="E14" s="144"/>
      <c r="F14" s="144"/>
      <c r="G14" s="144"/>
      <c r="H14" s="144"/>
      <c r="I14" s="144"/>
      <c r="J14" s="144"/>
      <c r="K14" s="144">
        <v>46280</v>
      </c>
      <c r="L14" s="144">
        <v>46522</v>
      </c>
      <c r="M14" s="144">
        <v>46888</v>
      </c>
      <c r="N14" s="144">
        <v>47253</v>
      </c>
      <c r="O14" s="144">
        <v>47741</v>
      </c>
      <c r="P14" s="144">
        <v>47894</v>
      </c>
      <c r="Q14" s="144">
        <v>48319</v>
      </c>
      <c r="R14" s="144">
        <v>48625</v>
      </c>
      <c r="S14" s="144">
        <v>48990</v>
      </c>
      <c r="T14" s="135"/>
      <c r="U14" s="135"/>
      <c r="V14" s="135"/>
      <c r="W14" s="135"/>
      <c r="X14" s="135"/>
      <c r="Y14" s="135"/>
    </row>
    <row r="15" spans="1:25">
      <c r="A15" s="100"/>
      <c r="B15" s="100" t="s">
        <v>147</v>
      </c>
      <c r="C15" s="141"/>
      <c r="D15" s="141"/>
      <c r="E15" s="141"/>
      <c r="F15" s="142"/>
      <c r="G15" s="142"/>
      <c r="H15" s="142"/>
      <c r="I15" s="142"/>
      <c r="J15" s="142"/>
      <c r="K15" s="142">
        <v>102.59</v>
      </c>
      <c r="L15" s="142">
        <v>105.03</v>
      </c>
      <c r="M15" s="142">
        <v>87.98</v>
      </c>
      <c r="N15" s="142">
        <v>108.32</v>
      </c>
      <c r="O15" s="142">
        <v>108.34</v>
      </c>
      <c r="P15" s="142">
        <v>101.08</v>
      </c>
      <c r="Q15" s="142">
        <v>96.63</v>
      </c>
      <c r="R15" s="142">
        <v>103.71000000000001</v>
      </c>
      <c r="S15" s="181">
        <v>97.29</v>
      </c>
      <c r="T15" s="135"/>
      <c r="U15" s="135"/>
      <c r="V15" s="135"/>
      <c r="W15" s="135"/>
      <c r="X15" s="135"/>
      <c r="Y15" s="135"/>
    </row>
    <row r="16" spans="1:25" ht="15.75" thickBot="1">
      <c r="A16" s="145"/>
      <c r="B16" s="145" t="s">
        <v>148</v>
      </c>
      <c r="C16" s="146">
        <v>0.1188</v>
      </c>
      <c r="D16" s="146">
        <v>0.1002</v>
      </c>
      <c r="E16" s="146">
        <v>7.5300000000000006E-2</v>
      </c>
      <c r="F16" s="146">
        <v>5.9700000000000003E-2</v>
      </c>
      <c r="G16" s="146">
        <v>5.1499999999999997E-2</v>
      </c>
      <c r="H16" s="146">
        <v>8.4099999999999994E-2</v>
      </c>
      <c r="I16" s="146">
        <v>7.8200000000000006E-2</v>
      </c>
      <c r="J16" s="146">
        <v>8.8200000000000001E-2</v>
      </c>
      <c r="K16" s="146">
        <v>7.9899999999999999E-2</v>
      </c>
      <c r="L16" s="146">
        <v>6.2899999999999998E-2</v>
      </c>
      <c r="M16" s="146">
        <v>7.9699999999999993E-2</v>
      </c>
      <c r="N16" s="146">
        <v>7.0300000000000001E-2</v>
      </c>
      <c r="O16" s="146">
        <v>5.8599999999999999E-2</v>
      </c>
      <c r="P16" s="146">
        <v>6.3500000000000001E-2</v>
      </c>
      <c r="Q16" s="146">
        <v>6.8699999999999997E-2</v>
      </c>
      <c r="R16" s="146">
        <v>6.4600000000000005E-2</v>
      </c>
      <c r="S16" s="146">
        <v>7.0400000000000004E-2</v>
      </c>
      <c r="T16" s="135"/>
      <c r="U16" s="135"/>
      <c r="V16" s="135"/>
      <c r="W16" s="135"/>
      <c r="X16" s="135"/>
      <c r="Y16" s="135"/>
    </row>
    <row r="17" spans="1:25" ht="15.75" thickTop="1">
      <c r="A17" s="147" t="s">
        <v>157</v>
      </c>
      <c r="B17" s="147" t="s">
        <v>137</v>
      </c>
      <c r="C17" s="148"/>
      <c r="D17" s="148"/>
      <c r="E17" s="148"/>
      <c r="F17" s="149"/>
      <c r="G17" s="149"/>
      <c r="H17" s="149"/>
      <c r="I17" s="149"/>
      <c r="J17" s="149" t="s">
        <v>158</v>
      </c>
      <c r="K17" s="149" t="s">
        <v>159</v>
      </c>
      <c r="L17" s="149" t="s">
        <v>160</v>
      </c>
      <c r="M17" s="149" t="s">
        <v>161</v>
      </c>
      <c r="N17" s="149" t="s">
        <v>162</v>
      </c>
      <c r="O17" s="149" t="s">
        <v>163</v>
      </c>
      <c r="P17" s="149" t="s">
        <v>164</v>
      </c>
      <c r="Q17" s="149" t="s">
        <v>251</v>
      </c>
      <c r="R17" s="149" t="s">
        <v>272</v>
      </c>
      <c r="S17" s="149" t="s">
        <v>272</v>
      </c>
      <c r="T17" s="135"/>
      <c r="U17" s="135"/>
      <c r="V17" s="135"/>
      <c r="W17" s="135"/>
      <c r="X17" s="135"/>
      <c r="Y17" s="135"/>
    </row>
    <row r="18" spans="1:25">
      <c r="A18" s="100"/>
      <c r="B18" s="100" t="s">
        <v>145</v>
      </c>
      <c r="C18" s="143">
        <v>9.5000000000000001E-2</v>
      </c>
      <c r="D18" s="143">
        <v>0.1</v>
      </c>
      <c r="E18" s="143">
        <v>0.11</v>
      </c>
      <c r="F18" s="143">
        <v>8.3750000000000005E-2</v>
      </c>
      <c r="G18" s="143">
        <v>7.0000000000000007E-2</v>
      </c>
      <c r="H18" s="143">
        <v>6.1249999999999999E-2</v>
      </c>
      <c r="I18" s="143">
        <v>0.09</v>
      </c>
      <c r="J18" s="143">
        <v>0.09</v>
      </c>
      <c r="K18" s="143">
        <v>8.7499999999999994E-2</v>
      </c>
      <c r="L18" s="143">
        <v>7.4999999999999997E-2</v>
      </c>
      <c r="M18" s="143">
        <v>6.6250000000000003E-2</v>
      </c>
      <c r="N18" s="143">
        <v>8.3750000000000005E-2</v>
      </c>
      <c r="O18" s="143">
        <v>7.4999999999999997E-2</v>
      </c>
      <c r="P18" s="143">
        <f>0.0625</f>
        <v>6.25E-2</v>
      </c>
      <c r="Q18" s="143">
        <f>0.06375</f>
        <v>6.3750000000000001E-2</v>
      </c>
      <c r="R18" s="143">
        <v>7.1249999999999994E-2</v>
      </c>
      <c r="S18" s="143">
        <v>7.1249999999999994E-2</v>
      </c>
      <c r="T18" s="135"/>
      <c r="U18" s="135"/>
      <c r="V18" s="135"/>
      <c r="W18" s="135"/>
      <c r="X18" s="135"/>
      <c r="Y18" s="135"/>
    </row>
    <row r="19" spans="1:25">
      <c r="A19" s="100"/>
      <c r="B19" s="100" t="s">
        <v>146</v>
      </c>
      <c r="C19" s="144"/>
      <c r="D19" s="144"/>
      <c r="E19" s="144"/>
      <c r="F19" s="144"/>
      <c r="G19" s="144"/>
      <c r="H19" s="144"/>
      <c r="I19" s="144"/>
      <c r="J19" s="144"/>
      <c r="K19" s="144">
        <v>47983</v>
      </c>
      <c r="L19" s="144">
        <v>48441</v>
      </c>
      <c r="M19" s="144">
        <v>48714</v>
      </c>
      <c r="N19" s="144">
        <v>49018</v>
      </c>
      <c r="O19" s="144">
        <v>49475</v>
      </c>
      <c r="P19" s="144">
        <v>49841</v>
      </c>
      <c r="Q19" s="144">
        <v>50236</v>
      </c>
      <c r="R19" s="144">
        <v>50571</v>
      </c>
      <c r="S19" s="144">
        <v>50571</v>
      </c>
      <c r="T19" s="135"/>
      <c r="U19" s="135"/>
      <c r="V19" s="135"/>
      <c r="W19" s="135"/>
      <c r="X19" s="135"/>
      <c r="Y19" s="135"/>
    </row>
    <row r="20" spans="1:25">
      <c r="A20" s="100"/>
      <c r="B20" s="100" t="s">
        <v>147</v>
      </c>
      <c r="C20" s="141"/>
      <c r="D20" s="141"/>
      <c r="E20" s="141"/>
      <c r="F20" s="142"/>
      <c r="G20" s="142"/>
      <c r="H20" s="142"/>
      <c r="I20" s="142"/>
      <c r="J20" s="142"/>
      <c r="K20" s="142">
        <v>104.88</v>
      </c>
      <c r="L20" s="142">
        <v>105.54</v>
      </c>
      <c r="M20" s="142">
        <v>87.09</v>
      </c>
      <c r="N20" s="142">
        <v>107.15</v>
      </c>
      <c r="O20" s="142">
        <v>111.1</v>
      </c>
      <c r="P20" s="142">
        <v>100.27</v>
      </c>
      <c r="Q20" s="142">
        <v>96.62</v>
      </c>
      <c r="R20" s="142">
        <v>104.72</v>
      </c>
      <c r="S20" s="181">
        <v>100.47</v>
      </c>
      <c r="T20" s="135"/>
      <c r="U20" s="135"/>
      <c r="V20" s="135"/>
      <c r="W20" s="135"/>
      <c r="X20" s="135"/>
      <c r="Y20" s="135"/>
    </row>
    <row r="21" spans="1:25" ht="15.75" customHeight="1" thickBot="1">
      <c r="A21" s="145"/>
      <c r="B21" s="145" t="s">
        <v>148</v>
      </c>
      <c r="C21" s="146">
        <v>0.1177</v>
      </c>
      <c r="D21" s="146">
        <v>0.1057</v>
      </c>
      <c r="E21" s="146">
        <v>8.7800000000000003E-2</v>
      </c>
      <c r="F21" s="146">
        <v>6.5799999999999997E-2</v>
      </c>
      <c r="G21" s="146">
        <v>5.8799999999999998E-2</v>
      </c>
      <c r="H21" s="146">
        <v>8.9099999999999999E-2</v>
      </c>
      <c r="I21" s="146">
        <v>8.1900000000000001E-2</v>
      </c>
      <c r="J21" s="146">
        <v>8.9499999999999996E-2</v>
      </c>
      <c r="K21" s="146">
        <v>8.1699999999999995E-2</v>
      </c>
      <c r="L21" s="146">
        <v>6.9000000000000006E-2</v>
      </c>
      <c r="M21" s="146">
        <v>8.1699999999999995E-2</v>
      </c>
      <c r="N21" s="146">
        <v>7.5499999999999998E-2</v>
      </c>
      <c r="O21" s="146">
        <v>6.3200000000000006E-2</v>
      </c>
      <c r="P21" s="146">
        <v>6.2300000000000001E-2</v>
      </c>
      <c r="Q21" s="146">
        <v>6.7500000000000004E-2</v>
      </c>
      <c r="R21" s="146">
        <v>6.6200000000000009E-2</v>
      </c>
      <c r="S21" s="146">
        <v>7.0699999999999999E-2</v>
      </c>
      <c r="T21" s="135"/>
      <c r="U21" s="135"/>
      <c r="V21" s="135"/>
      <c r="W21" s="135"/>
      <c r="X21" s="135"/>
      <c r="Y21" s="135"/>
    </row>
    <row r="22" spans="1:25" ht="15.75" customHeight="1" thickTop="1">
      <c r="A22" s="147" t="s">
        <v>165</v>
      </c>
      <c r="B22" s="147" t="s">
        <v>137</v>
      </c>
      <c r="C22" s="148"/>
      <c r="D22" s="148"/>
      <c r="E22" s="148"/>
      <c r="F22" s="149"/>
      <c r="G22" s="149"/>
      <c r="H22" s="149"/>
      <c r="I22" s="149"/>
      <c r="J22" s="149" t="s">
        <v>162</v>
      </c>
      <c r="K22" s="149" t="s">
        <v>166</v>
      </c>
      <c r="L22" s="149" t="s">
        <v>166</v>
      </c>
      <c r="M22" s="149" t="s">
        <v>167</v>
      </c>
      <c r="N22" s="149" t="s">
        <v>168</v>
      </c>
      <c r="O22" s="149" t="s">
        <v>169</v>
      </c>
      <c r="P22" s="149" t="s">
        <v>169</v>
      </c>
      <c r="Q22" s="149" t="s">
        <v>252</v>
      </c>
      <c r="R22" s="149" t="s">
        <v>273</v>
      </c>
      <c r="S22" s="149" t="s">
        <v>273</v>
      </c>
      <c r="T22" s="135"/>
      <c r="U22" s="135"/>
      <c r="V22" s="135"/>
      <c r="W22" s="135"/>
      <c r="X22" s="135"/>
      <c r="Y22" s="135"/>
    </row>
    <row r="23" spans="1:25" ht="15.75" customHeight="1">
      <c r="A23" s="100"/>
      <c r="B23" s="100" t="s">
        <v>145</v>
      </c>
      <c r="C23" s="143">
        <v>0.1</v>
      </c>
      <c r="D23" s="143">
        <v>0.1</v>
      </c>
      <c r="E23" s="143">
        <v>0.105</v>
      </c>
      <c r="F23" s="143">
        <v>9.5000000000000001E-2</v>
      </c>
      <c r="G23" s="143">
        <v>8.2500000000000004E-2</v>
      </c>
      <c r="H23" s="143">
        <v>6.6250000000000003E-2</v>
      </c>
      <c r="I23" s="143">
        <v>8.3750000000000005E-2</v>
      </c>
      <c r="J23" s="143">
        <v>8.3750000000000005E-2</v>
      </c>
      <c r="K23" s="143">
        <v>8.2500000000000004E-2</v>
      </c>
      <c r="L23" s="143">
        <v>8.2500000000000004E-2</v>
      </c>
      <c r="M23" s="143">
        <v>7.4999999999999997E-2</v>
      </c>
      <c r="N23" s="143">
        <v>8.3750000000000005E-2</v>
      </c>
      <c r="O23" s="143">
        <v>7.4999999999999997E-2</v>
      </c>
      <c r="P23" s="143">
        <f>0.075</f>
        <v>7.4999999999999997E-2</v>
      </c>
      <c r="Q23" s="143">
        <f>0.07125</f>
        <v>7.1249999999999994E-2</v>
      </c>
      <c r="R23" s="143">
        <v>7.1249999999999994E-2</v>
      </c>
      <c r="S23" s="143">
        <v>7.1249999999999994E-2</v>
      </c>
      <c r="T23" s="135"/>
      <c r="U23" s="135"/>
      <c r="V23" s="135"/>
      <c r="W23" s="135"/>
      <c r="X23" s="135"/>
      <c r="Y23" s="135"/>
    </row>
    <row r="24" spans="1:25" ht="15.75" customHeight="1">
      <c r="A24" s="100"/>
      <c r="B24" s="100" t="s">
        <v>146</v>
      </c>
      <c r="C24" s="144"/>
      <c r="D24" s="144"/>
      <c r="E24" s="144"/>
      <c r="F24" s="144"/>
      <c r="G24" s="144"/>
      <c r="H24" s="144"/>
      <c r="I24" s="144"/>
      <c r="J24" s="144"/>
      <c r="K24" s="144">
        <v>49810</v>
      </c>
      <c r="L24" s="144">
        <v>49810</v>
      </c>
      <c r="M24" s="144">
        <v>50540</v>
      </c>
      <c r="N24" s="144">
        <v>50875</v>
      </c>
      <c r="O24" s="144">
        <v>51241</v>
      </c>
      <c r="P24" s="144">
        <v>51241</v>
      </c>
      <c r="Q24" s="144">
        <v>52032</v>
      </c>
      <c r="R24" s="144">
        <v>52397</v>
      </c>
      <c r="S24" s="144">
        <v>52397</v>
      </c>
      <c r="T24" s="135"/>
      <c r="U24" s="135"/>
      <c r="V24" s="135"/>
      <c r="W24" s="135"/>
      <c r="X24" s="135"/>
      <c r="Y24" s="135"/>
    </row>
    <row r="25" spans="1:25" ht="15.75" customHeight="1">
      <c r="A25" s="100"/>
      <c r="B25" s="100" t="s">
        <v>147</v>
      </c>
      <c r="C25" s="141"/>
      <c r="D25" s="141"/>
      <c r="E25" s="141"/>
      <c r="F25" s="142"/>
      <c r="G25" s="142"/>
      <c r="H25" s="142"/>
      <c r="I25" s="142"/>
      <c r="J25" s="142"/>
      <c r="K25" s="142">
        <v>100.7</v>
      </c>
      <c r="L25" s="142">
        <v>111.73</v>
      </c>
      <c r="M25" s="142">
        <v>91.88</v>
      </c>
      <c r="N25" s="142">
        <v>107.3</v>
      </c>
      <c r="O25" s="142">
        <v>111.13</v>
      </c>
      <c r="P25" s="142">
        <v>104.64</v>
      </c>
      <c r="Q25" s="142">
        <v>100.39</v>
      </c>
      <c r="R25" s="142">
        <v>103.86</v>
      </c>
      <c r="S25" s="181">
        <v>100.44000000000001</v>
      </c>
      <c r="T25" s="135"/>
      <c r="U25" s="135"/>
      <c r="V25" s="135"/>
      <c r="W25" s="135"/>
      <c r="X25" s="135"/>
      <c r="Y25" s="135"/>
    </row>
    <row r="26" spans="1:25" ht="15.75" customHeight="1">
      <c r="A26" s="100"/>
      <c r="B26" s="100" t="s">
        <v>148</v>
      </c>
      <c r="C26" s="143">
        <v>0.1206</v>
      </c>
      <c r="D26" s="143">
        <v>0.1067</v>
      </c>
      <c r="E26" s="143">
        <v>9.2700000000000005E-2</v>
      </c>
      <c r="F26" s="143">
        <v>7.1099999999999997E-2</v>
      </c>
      <c r="G26" s="143">
        <v>6.2399999999999997E-2</v>
      </c>
      <c r="H26" s="143">
        <v>8.9599999999999999E-2</v>
      </c>
      <c r="I26" s="143">
        <v>8.3000000000000004E-2</v>
      </c>
      <c r="J26" s="143">
        <v>9.0700000000000003E-2</v>
      </c>
      <c r="K26" s="143">
        <v>8.1799999999999998E-2</v>
      </c>
      <c r="L26" s="143">
        <v>7.0999999999999994E-2</v>
      </c>
      <c r="M26" s="143">
        <v>8.3599999999999994E-2</v>
      </c>
      <c r="N26" s="143">
        <v>7.6499999999999999E-2</v>
      </c>
      <c r="O26" s="143">
        <v>6.4799999999999996E-2</v>
      </c>
      <c r="P26" s="143">
        <v>7.0499999999999993E-2</v>
      </c>
      <c r="Q26" s="143">
        <v>7.0900000000000005E-2</v>
      </c>
      <c r="R26" s="143">
        <v>6.7699999999999996E-2</v>
      </c>
      <c r="S26" s="143">
        <v>7.0900000000000005E-2</v>
      </c>
      <c r="T26" s="135"/>
      <c r="U26" s="135"/>
      <c r="V26" s="135"/>
      <c r="W26" s="135"/>
      <c r="X26" s="135"/>
      <c r="Y26" s="135"/>
    </row>
    <row r="27" spans="1:25" ht="15" customHeight="1">
      <c r="A27" s="17" t="s">
        <v>274</v>
      </c>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row>
    <row r="28" spans="1:25" ht="15.75" customHeight="1">
      <c r="A28" s="135"/>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row>
    <row r="29" spans="1:25" ht="15.75" customHeight="1">
      <c r="A29" s="135"/>
      <c r="B29" s="135"/>
      <c r="C29" s="135"/>
      <c r="D29" s="135"/>
      <c r="E29" s="135"/>
      <c r="F29" s="135"/>
      <c r="G29" s="135"/>
      <c r="H29" s="135"/>
      <c r="I29" s="135"/>
      <c r="J29" s="135"/>
      <c r="K29" s="135"/>
      <c r="L29" s="135"/>
      <c r="M29" s="135"/>
      <c r="N29" s="135"/>
      <c r="O29" s="135"/>
      <c r="P29" s="135"/>
      <c r="Q29" s="135"/>
      <c r="R29" s="135"/>
      <c r="S29" s="135"/>
      <c r="T29" s="135"/>
      <c r="U29" s="135"/>
      <c r="V29" s="135"/>
      <c r="W29" s="135"/>
      <c r="X29" s="135"/>
      <c r="Y29" s="135"/>
    </row>
    <row r="30" spans="1:25" ht="15.75" customHeight="1">
      <c r="A30" s="135"/>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row>
    <row r="31" spans="1:25" ht="15" customHeight="1">
      <c r="A31" s="136" t="s">
        <v>170</v>
      </c>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row>
    <row r="32" spans="1:25" ht="15" customHeight="1">
      <c r="A32" s="13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row>
    <row r="33" spans="1:25" ht="15" customHeight="1">
      <c r="A33" s="150" t="s">
        <v>171</v>
      </c>
      <c r="B33" s="150" t="s">
        <v>172</v>
      </c>
      <c r="C33" s="135"/>
      <c r="D33" s="135"/>
      <c r="E33" s="135"/>
      <c r="F33" s="135"/>
      <c r="G33" s="135"/>
      <c r="H33" s="135"/>
      <c r="I33" s="135"/>
      <c r="J33" s="135"/>
      <c r="K33" s="135"/>
      <c r="L33" s="135"/>
      <c r="M33" s="135"/>
      <c r="N33" s="135"/>
      <c r="O33" s="135"/>
      <c r="P33" s="135"/>
      <c r="Q33" s="135"/>
      <c r="R33" s="135"/>
      <c r="S33" s="135"/>
      <c r="T33" s="135"/>
      <c r="U33" s="135"/>
      <c r="V33" s="135"/>
      <c r="W33" s="135"/>
      <c r="X33" s="135"/>
      <c r="Y33" s="135"/>
    </row>
    <row r="34" spans="1:25" ht="15" customHeight="1">
      <c r="A34" s="151" t="s">
        <v>173</v>
      </c>
      <c r="B34" s="152">
        <v>0.09</v>
      </c>
      <c r="C34" s="135"/>
      <c r="D34" s="135"/>
      <c r="E34" s="135"/>
      <c r="F34" s="135"/>
      <c r="G34" s="135"/>
      <c r="H34" s="135"/>
      <c r="I34" s="135"/>
      <c r="J34" s="135"/>
      <c r="K34" s="135"/>
      <c r="L34" s="135"/>
      <c r="M34" s="135"/>
      <c r="N34" s="135"/>
      <c r="O34" s="135"/>
      <c r="P34" s="135"/>
      <c r="Q34" s="135"/>
      <c r="R34" s="135"/>
      <c r="S34" s="135"/>
      <c r="T34" s="135"/>
      <c r="U34" s="135"/>
      <c r="V34" s="135"/>
      <c r="W34" s="135"/>
      <c r="X34" s="135"/>
      <c r="Y34" s="135"/>
    </row>
    <row r="35" spans="1:25" ht="15" customHeight="1">
      <c r="A35" s="143" t="s">
        <v>174</v>
      </c>
      <c r="B35" s="143">
        <v>0.04</v>
      </c>
      <c r="C35" s="135"/>
      <c r="D35" s="135"/>
      <c r="E35" s="135"/>
      <c r="F35" s="135"/>
      <c r="G35" s="135"/>
      <c r="H35" s="135"/>
      <c r="I35" s="135"/>
      <c r="J35" s="135"/>
      <c r="K35" s="135"/>
      <c r="L35" s="135"/>
      <c r="M35" s="135"/>
      <c r="N35" s="135"/>
      <c r="O35" s="135"/>
      <c r="P35" s="135"/>
      <c r="Q35" s="135"/>
      <c r="R35" s="135"/>
      <c r="S35" s="135"/>
      <c r="T35" s="135"/>
      <c r="U35" s="135"/>
      <c r="V35" s="135"/>
      <c r="W35" s="135"/>
      <c r="X35" s="135"/>
      <c r="Y35" s="135"/>
    </row>
    <row r="36" spans="1:25" ht="15" customHeight="1">
      <c r="A36" s="143" t="s">
        <v>175</v>
      </c>
      <c r="B36" s="143">
        <v>0.06</v>
      </c>
      <c r="C36" s="135"/>
      <c r="D36" s="135"/>
      <c r="E36" s="135"/>
      <c r="F36" s="135"/>
      <c r="G36" s="135"/>
      <c r="H36" s="135"/>
      <c r="I36" s="135"/>
      <c r="J36" s="135"/>
      <c r="K36" s="135"/>
      <c r="L36" s="135"/>
      <c r="M36" s="135"/>
      <c r="N36" s="135"/>
      <c r="O36" s="135"/>
      <c r="P36" s="135"/>
      <c r="Q36" s="135"/>
      <c r="R36" s="135"/>
      <c r="S36" s="135"/>
      <c r="T36" s="135"/>
      <c r="U36" s="135"/>
      <c r="V36" s="135"/>
      <c r="W36" s="135"/>
      <c r="X36" s="135"/>
      <c r="Y36" s="135"/>
    </row>
    <row r="37" spans="1:25" ht="15" customHeight="1">
      <c r="A37" s="143" t="s">
        <v>176</v>
      </c>
      <c r="B37" s="143">
        <v>0.05</v>
      </c>
      <c r="C37" s="135"/>
      <c r="D37" s="135"/>
      <c r="E37" s="135"/>
      <c r="F37" s="135"/>
      <c r="G37" s="135"/>
      <c r="H37" s="135"/>
      <c r="I37" s="135"/>
      <c r="J37" s="135"/>
      <c r="K37" s="135"/>
      <c r="L37" s="135"/>
      <c r="M37" s="135"/>
      <c r="N37" s="135"/>
      <c r="O37" s="135"/>
      <c r="P37" s="135"/>
      <c r="Q37" s="135"/>
      <c r="R37" s="135"/>
      <c r="S37" s="135"/>
      <c r="T37" s="135"/>
      <c r="U37" s="135"/>
      <c r="V37" s="135"/>
      <c r="W37" s="135"/>
      <c r="X37" s="135"/>
      <c r="Y37" s="135"/>
    </row>
    <row r="38" spans="1:25" ht="15" customHeight="1">
      <c r="A38" s="143" t="s">
        <v>176</v>
      </c>
      <c r="B38" s="143">
        <v>0.03</v>
      </c>
      <c r="C38" s="135"/>
      <c r="D38" s="135"/>
      <c r="E38" s="135"/>
      <c r="F38" s="135"/>
      <c r="G38" s="135"/>
      <c r="H38" s="135"/>
      <c r="I38" s="135"/>
      <c r="J38" s="135"/>
      <c r="K38" s="135"/>
      <c r="L38" s="135"/>
      <c r="M38" s="135"/>
      <c r="N38" s="135"/>
      <c r="O38" s="135"/>
      <c r="P38" s="135"/>
      <c r="Q38" s="135"/>
      <c r="R38" s="135"/>
      <c r="S38" s="135"/>
      <c r="T38" s="135"/>
      <c r="U38" s="135"/>
      <c r="V38" s="135"/>
      <c r="W38" s="135"/>
      <c r="X38" s="135"/>
      <c r="Y38" s="135"/>
    </row>
    <row r="39" spans="1:25" ht="15" customHeight="1">
      <c r="A39" s="143" t="s">
        <v>177</v>
      </c>
      <c r="B39" s="143">
        <v>0.03</v>
      </c>
      <c r="C39" s="135"/>
      <c r="D39" s="135"/>
      <c r="E39" s="135"/>
      <c r="F39" s="135"/>
      <c r="G39" s="135"/>
      <c r="H39" s="135"/>
      <c r="I39" s="135"/>
      <c r="J39" s="135"/>
      <c r="K39" s="135"/>
      <c r="L39" s="135"/>
      <c r="M39" s="135"/>
      <c r="N39" s="135"/>
      <c r="O39" s="135"/>
      <c r="P39" s="135"/>
      <c r="Q39" s="135"/>
      <c r="R39" s="135"/>
      <c r="S39" s="135"/>
      <c r="T39" s="135"/>
      <c r="U39" s="135"/>
      <c r="V39" s="135"/>
      <c r="W39" s="135"/>
      <c r="X39" s="135"/>
      <c r="Y39" s="135"/>
    </row>
    <row r="40" spans="1:25" ht="15" customHeight="1">
      <c r="A40" s="143" t="s">
        <v>177</v>
      </c>
      <c r="B40" s="143">
        <v>0.02</v>
      </c>
      <c r="C40" s="135"/>
      <c r="D40" s="135"/>
      <c r="E40" s="135"/>
      <c r="F40" s="135"/>
      <c r="G40" s="135"/>
      <c r="H40" s="135"/>
      <c r="I40" s="135"/>
      <c r="J40" s="135"/>
      <c r="K40" s="135"/>
      <c r="L40" s="135"/>
      <c r="M40" s="135"/>
      <c r="N40" s="135"/>
      <c r="O40" s="135"/>
      <c r="P40" s="135"/>
      <c r="Q40" s="135"/>
      <c r="R40" s="135"/>
      <c r="S40" s="135"/>
      <c r="T40" s="135"/>
      <c r="U40" s="135"/>
      <c r="V40" s="135"/>
      <c r="W40" s="135"/>
      <c r="X40" s="135"/>
      <c r="Y40" s="135"/>
    </row>
    <row r="41" spans="1:25" ht="15" customHeight="1">
      <c r="A41" s="143" t="s">
        <v>178</v>
      </c>
      <c r="B41" s="143">
        <v>3.7999999999999999E-2</v>
      </c>
      <c r="C41" s="135"/>
      <c r="D41" s="135"/>
      <c r="E41" s="135"/>
      <c r="F41" s="135"/>
      <c r="G41" s="135"/>
      <c r="H41" s="135"/>
      <c r="I41" s="135"/>
      <c r="J41" s="135"/>
      <c r="K41" s="135"/>
      <c r="L41" s="135"/>
      <c r="M41" s="135"/>
      <c r="N41" s="135"/>
      <c r="O41" s="135"/>
      <c r="P41" s="135"/>
      <c r="Q41" s="135"/>
      <c r="R41" s="135"/>
      <c r="S41" s="135"/>
      <c r="T41" s="135"/>
      <c r="U41" s="135"/>
      <c r="V41" s="135"/>
      <c r="W41" s="135"/>
      <c r="X41" s="135"/>
      <c r="Y41" s="135"/>
    </row>
    <row r="42" spans="1:25" ht="15" customHeight="1">
      <c r="A42" s="143" t="s">
        <v>179</v>
      </c>
      <c r="B42" s="143">
        <v>3.8699999999999998E-2</v>
      </c>
      <c r="C42" s="135"/>
      <c r="D42" s="135"/>
      <c r="E42" s="135"/>
      <c r="F42" s="135"/>
      <c r="G42" s="135"/>
      <c r="H42" s="135"/>
      <c r="I42" s="135"/>
      <c r="J42" s="135"/>
      <c r="K42" s="135"/>
      <c r="L42" s="135"/>
      <c r="M42" s="135"/>
      <c r="N42" s="135"/>
      <c r="O42" s="135"/>
      <c r="P42" s="135"/>
      <c r="Q42" s="135"/>
      <c r="R42" s="135"/>
      <c r="S42" s="135"/>
      <c r="T42" s="135"/>
      <c r="U42" s="135"/>
      <c r="V42" s="135"/>
      <c r="W42" s="135"/>
      <c r="X42" s="135"/>
      <c r="Y42" s="135"/>
    </row>
    <row r="43" spans="1:25" ht="15" customHeight="1">
      <c r="A43" s="143" t="s">
        <v>180</v>
      </c>
      <c r="B43" s="143">
        <v>2.9700000000000001E-2</v>
      </c>
      <c r="C43" s="135"/>
      <c r="D43" s="135"/>
      <c r="E43" s="135"/>
      <c r="F43" s="135"/>
      <c r="G43" s="135"/>
      <c r="H43" s="135"/>
      <c r="I43" s="135"/>
      <c r="J43" s="135"/>
      <c r="K43" s="135"/>
      <c r="L43" s="135"/>
      <c r="M43" s="135"/>
      <c r="N43" s="135"/>
      <c r="O43" s="135"/>
      <c r="P43" s="135"/>
      <c r="Q43" s="135"/>
      <c r="R43" s="135"/>
      <c r="S43" s="135"/>
      <c r="T43" s="135"/>
      <c r="U43" s="135"/>
      <c r="V43" s="135"/>
      <c r="W43" s="135"/>
      <c r="X43" s="135"/>
      <c r="Y43" s="135"/>
    </row>
    <row r="44" spans="1:25" ht="15" customHeight="1">
      <c r="A44" s="153"/>
      <c r="B44" s="153"/>
      <c r="C44" s="135"/>
      <c r="D44" s="135"/>
      <c r="E44" s="135"/>
      <c r="F44" s="135"/>
      <c r="G44" s="135"/>
      <c r="H44" s="135"/>
      <c r="I44" s="135"/>
      <c r="J44" s="135"/>
      <c r="K44" s="135"/>
      <c r="L44" s="135"/>
      <c r="M44" s="135"/>
      <c r="N44" s="135"/>
      <c r="O44" s="135"/>
      <c r="P44" s="135"/>
      <c r="Q44" s="135"/>
      <c r="R44" s="135"/>
      <c r="S44" s="135"/>
      <c r="T44" s="135"/>
      <c r="U44" s="135"/>
      <c r="V44" s="135"/>
      <c r="W44" s="135"/>
      <c r="X44" s="135"/>
      <c r="Y44" s="135"/>
    </row>
    <row r="45" spans="1:25" ht="15.75" customHeight="1">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row>
    <row r="46" spans="1:25" ht="15.75" customHeight="1">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row>
    <row r="47" spans="1:25" ht="15.75" customHeight="1">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row>
    <row r="48" spans="1:25" ht="15.75" customHeight="1">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row>
    <row r="49" spans="1:25" ht="15.7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row>
    <row r="50" spans="1:25" ht="15.75" customHeight="1">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row>
    <row r="51" spans="1:25" ht="15.75" customHeight="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row>
    <row r="52" spans="1:25" ht="15.75" customHeight="1">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row>
    <row r="53" spans="1:25" ht="15.75" customHeight="1">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row>
    <row r="54" spans="1:25" ht="15.75" customHeight="1">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row>
    <row r="55" spans="1:25" ht="15.75" customHeight="1">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row>
    <row r="56" spans="1:25" ht="15.75" customHeight="1">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row>
    <row r="57" spans="1:25" ht="15.75" customHeight="1">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row>
    <row r="58" spans="1:25" ht="15.75" customHeight="1">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row>
    <row r="59" spans="1:25" ht="15.75" customHeight="1">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row>
    <row r="60" spans="1:25" ht="15.75" customHeight="1">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row>
    <row r="61" spans="1:25" ht="15.7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row>
    <row r="62" spans="1:25" ht="15.75" customHeight="1">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row>
    <row r="63" spans="1:25" ht="15.75" customHeight="1">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row>
    <row r="64" spans="1:25" ht="15.7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row>
    <row r="65" spans="1:25" ht="15.75" customHeight="1">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row>
    <row r="66" spans="1:25" ht="15.7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row>
    <row r="67" spans="1:25" ht="15.75" customHeight="1">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row>
    <row r="68" spans="1:25" ht="15.7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row>
    <row r="69" spans="1:25" ht="15.75" customHeight="1">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row>
    <row r="70" spans="1:25" ht="15.75" customHeight="1">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row>
    <row r="71" spans="1:25" ht="15.75" customHeight="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row>
    <row r="72" spans="1:25" ht="15.75" customHeight="1">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row>
    <row r="73" spans="1:25" ht="15.75" customHeight="1">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row>
    <row r="74" spans="1:25" ht="15.75" customHeight="1">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row>
    <row r="75" spans="1:25" ht="15.75" customHeight="1">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row>
    <row r="76" spans="1:25" ht="15.75" customHeight="1">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row>
    <row r="77" spans="1:25" ht="15.75" customHeight="1">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row>
    <row r="78" spans="1:25" ht="15.75" customHeight="1">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row>
    <row r="79" spans="1:25" ht="15.75" customHeight="1">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row>
    <row r="80" spans="1:25" ht="15.75" customHeight="1">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row>
    <row r="81" spans="1:25" ht="15.7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row>
    <row r="82" spans="1:25" ht="15.7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row>
    <row r="83" spans="1:25" ht="15.7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row>
    <row r="84" spans="1:25" ht="15.7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row>
    <row r="85" spans="1:25" ht="15.7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row>
    <row r="86" spans="1:25"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row>
    <row r="87" spans="1:25"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row>
    <row r="88" spans="1:25"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row>
    <row r="89" spans="1:25"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row>
    <row r="90" spans="1:25"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row>
    <row r="91" spans="1:25"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row>
    <row r="92" spans="1:25"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row>
    <row r="93" spans="1:25"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row>
    <row r="94" spans="1:25"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row>
    <row r="95" spans="1:25"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row>
    <row r="96" spans="1:25"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row>
    <row r="97" spans="1:25"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row>
    <row r="98" spans="1:25"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row>
    <row r="99" spans="1:25"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row>
    <row r="100" spans="1:25"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row>
    <row r="101" spans="1:25"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row>
    <row r="102" spans="1:25"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row>
    <row r="103" spans="1:25"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row>
    <row r="104" spans="1:25"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row>
    <row r="105" spans="1:25"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row>
    <row r="106" spans="1:25"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row>
    <row r="107" spans="1:25"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row>
    <row r="108" spans="1:25"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row>
    <row r="109" spans="1:25"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row>
    <row r="110" spans="1:25"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row>
    <row r="111" spans="1:25"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row>
    <row r="112" spans="1:25"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row>
    <row r="113" spans="1:25"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row>
    <row r="114" spans="1:25"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row>
    <row r="115" spans="1:25"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row>
    <row r="116" spans="1:25"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row>
    <row r="117" spans="1:25"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row>
    <row r="118" spans="1:25"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row>
    <row r="119" spans="1:25"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row>
    <row r="120" spans="1:25"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row>
    <row r="121" spans="1:25"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row>
    <row r="122" spans="1:25"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row>
    <row r="123" spans="1:25"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row>
    <row r="124" spans="1:25"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row>
    <row r="125" spans="1:25"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row>
    <row r="126" spans="1:25"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row>
    <row r="127" spans="1:25"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row>
    <row r="128" spans="1:25"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row>
    <row r="129" spans="1:25"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row>
    <row r="130" spans="1:25"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row>
    <row r="131" spans="1:25"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row>
    <row r="132" spans="1:25"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row>
    <row r="133" spans="1:25"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row>
    <row r="134" spans="1:25"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row>
    <row r="135" spans="1:25"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row>
    <row r="136" spans="1:25"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row>
    <row r="137" spans="1:25"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row>
    <row r="138" spans="1:25"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row>
    <row r="139" spans="1:25"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row>
    <row r="140" spans="1:25"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row>
    <row r="141" spans="1:25"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row>
    <row r="142" spans="1:25"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row>
    <row r="143" spans="1:25"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row>
    <row r="144" spans="1:25"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row>
    <row r="145" spans="1:25"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row>
    <row r="146" spans="1:25"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row>
    <row r="147" spans="1:25"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row>
    <row r="148" spans="1:25"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row>
    <row r="149" spans="1:25"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row>
    <row r="150" spans="1:25"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row>
    <row r="151" spans="1:25"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row>
    <row r="152" spans="1:25"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row>
    <row r="153" spans="1:25"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row>
    <row r="154" spans="1:25"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row>
    <row r="155" spans="1:25"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row>
    <row r="156" spans="1:25"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row>
    <row r="157" spans="1:25"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row>
    <row r="158" spans="1:25"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row>
    <row r="159" spans="1:25"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row>
    <row r="160" spans="1:25"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row>
    <row r="161" spans="1:25"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row>
    <row r="162" spans="1:25"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row>
    <row r="163" spans="1:25"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row>
    <row r="164" spans="1:25"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row>
    <row r="165" spans="1:25"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row>
    <row r="166" spans="1:25"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row>
    <row r="167" spans="1:25"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row>
    <row r="168" spans="1:25"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row>
    <row r="169" spans="1:25"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row>
    <row r="170" spans="1:25"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row>
    <row r="171" spans="1:25"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row>
    <row r="172" spans="1:25"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row>
    <row r="173" spans="1:25"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row>
    <row r="174" spans="1:25"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row>
    <row r="175" spans="1:25"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row>
    <row r="176" spans="1:25"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row>
    <row r="177" spans="1:25"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row>
    <row r="178" spans="1:25"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row>
    <row r="179" spans="1:25"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row>
    <row r="180" spans="1:25"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row>
    <row r="181" spans="1:25"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row>
    <row r="182" spans="1:25"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row>
    <row r="183" spans="1:25"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row>
    <row r="184" spans="1:25"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row>
    <row r="185" spans="1:25"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row>
    <row r="186" spans="1:25"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row>
    <row r="187" spans="1:25"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row>
    <row r="188" spans="1:25"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row>
    <row r="189" spans="1:25"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row>
    <row r="190" spans="1:25"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row>
    <row r="191" spans="1:25"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row>
    <row r="192" spans="1:25"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row>
    <row r="193" spans="1:25"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row>
    <row r="194" spans="1:25"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row>
    <row r="195" spans="1:25"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row>
    <row r="196" spans="1:25"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row>
    <row r="197" spans="1:25"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row>
    <row r="198" spans="1:25"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row>
    <row r="199" spans="1:25"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row>
    <row r="200" spans="1:25"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row>
    <row r="201" spans="1:25"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row>
    <row r="202" spans="1:25"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row>
    <row r="203" spans="1:25"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row>
    <row r="204" spans="1:25"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row>
    <row r="205" spans="1:25"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row>
    <row r="206" spans="1:25"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row>
    <row r="207" spans="1:25"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row>
    <row r="208" spans="1:25"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row>
    <row r="209" spans="1:25"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row>
    <row r="210" spans="1:25"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row>
    <row r="211" spans="1:25"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row>
    <row r="212" spans="1:25"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row>
    <row r="213" spans="1:25"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row>
    <row r="214" spans="1:25"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row>
    <row r="215" spans="1:25"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row>
    <row r="216" spans="1:25"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row>
    <row r="217" spans="1:25"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row>
    <row r="218" spans="1:25"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row>
    <row r="219" spans="1:25"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row>
    <row r="220" spans="1:25"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row>
    <row r="221" spans="1:25"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row>
    <row r="222" spans="1:25"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row>
    <row r="223" spans="1:25"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row>
    <row r="224" spans="1:25" ht="15.75" customHeight="1">
      <c r="A224" s="135"/>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row>
    <row r="225" spans="1:25" ht="15.75" customHeight="1">
      <c r="A225" s="135"/>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row>
    <row r="226" spans="1:25" ht="15.75" customHeight="1">
      <c r="A226" s="135"/>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row>
    <row r="227" spans="1:25" ht="15.75" customHeight="1">
      <c r="A227" s="135"/>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row>
    <row r="228" spans="1:25" ht="15.75" customHeight="1">
      <c r="A228" s="135"/>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row>
    <row r="229" spans="1:25" ht="15.75" customHeight="1">
      <c r="A229" s="135"/>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row>
    <row r="230" spans="1:25" ht="15.75" customHeight="1">
      <c r="A230" s="135"/>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row>
    <row r="231" spans="1:25" ht="15.75" customHeight="1">
      <c r="A231" s="135"/>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row>
    <row r="232" spans="1:25" ht="15.75" customHeight="1">
      <c r="A232" s="135"/>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row>
    <row r="233" spans="1:25" ht="15.75" customHeight="1">
      <c r="A233" s="135"/>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row>
    <row r="234" spans="1:25" ht="15.75" customHeight="1">
      <c r="A234" s="135"/>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row>
    <row r="235" spans="1:25" ht="15.75" customHeight="1">
      <c r="A235" s="135"/>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row>
    <row r="236" spans="1:25" ht="15.75" customHeight="1">
      <c r="A236" s="135"/>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row>
    <row r="237" spans="1:25" ht="15.75" customHeight="1">
      <c r="A237" s="135"/>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row>
    <row r="238" spans="1:25" ht="15.75" customHeight="1">
      <c r="A238" s="135"/>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row>
    <row r="239" spans="1:25" ht="15.75" customHeight="1">
      <c r="A239" s="135"/>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row>
    <row r="240" spans="1:25" ht="15.75" customHeight="1">
      <c r="A240" s="135"/>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row>
    <row r="241" spans="1:25" ht="15.75" customHeight="1">
      <c r="A241" s="135"/>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row>
    <row r="242" spans="1:25" ht="15.75" customHeight="1">
      <c r="A242" s="135"/>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row>
    <row r="243" spans="1:25" ht="15.75" customHeight="1">
      <c r="A243" s="135"/>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row>
    <row r="244" spans="1:25" ht="15.75" customHeight="1">
      <c r="A244" s="135"/>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row>
    <row r="245" spans="1:25" ht="15.75" customHeight="1">
      <c r="A245" s="135"/>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row>
    <row r="246" spans="1:25" ht="15.75" customHeight="1">
      <c r="A246" s="135"/>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row>
    <row r="247" spans="1:25" ht="15.75" customHeight="1">
      <c r="A247" s="135"/>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row>
    <row r="248" spans="1:25" ht="15.75" customHeight="1">
      <c r="A248" s="135"/>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row>
    <row r="249" spans="1:25" ht="15.75" customHeight="1">
      <c r="A249" s="135"/>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row>
    <row r="250" spans="1:25" ht="15.75" customHeight="1">
      <c r="A250" s="135"/>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row>
    <row r="251" spans="1:25" ht="15.75" customHeight="1">
      <c r="A251" s="135"/>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row>
    <row r="252" spans="1:25" ht="15.75" customHeight="1">
      <c r="A252" s="135"/>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row>
    <row r="253" spans="1:25" ht="15.75" customHeight="1">
      <c r="A253" s="135"/>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row>
    <row r="254" spans="1:25" ht="15.75" customHeight="1">
      <c r="A254" s="135"/>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row>
    <row r="255" spans="1:25" ht="15.75" customHeight="1">
      <c r="A255" s="135"/>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row>
    <row r="256" spans="1:25" ht="15.75" customHeight="1">
      <c r="A256" s="135"/>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row>
    <row r="257" spans="1:25" ht="15.75" customHeight="1">
      <c r="A257" s="135"/>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row>
    <row r="258" spans="1:25" ht="15.75" customHeight="1">
      <c r="A258" s="135"/>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row>
    <row r="259" spans="1:25" ht="15.75" customHeight="1">
      <c r="A259" s="135"/>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row>
    <row r="260" spans="1:25" ht="15.75" customHeight="1">
      <c r="A260" s="135"/>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row>
    <row r="261" spans="1:25" ht="15.75" customHeight="1">
      <c r="A261" s="135"/>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row>
    <row r="262" spans="1:25" ht="15.75" customHeight="1">
      <c r="A262" s="135"/>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row>
    <row r="263" spans="1:25" ht="15.75" customHeight="1">
      <c r="A263" s="135"/>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row>
    <row r="264" spans="1:25" ht="15.75" customHeight="1">
      <c r="A264" s="135"/>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row>
    <row r="265" spans="1:25" ht="15.75" customHeight="1">
      <c r="A265" s="135"/>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row>
    <row r="266" spans="1:25" ht="15.75" customHeight="1">
      <c r="A266" s="135"/>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row>
    <row r="267" spans="1:25" ht="15.75" customHeight="1">
      <c r="A267" s="135"/>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row>
    <row r="268" spans="1:25" ht="15.75" customHeight="1">
      <c r="A268" s="135"/>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row>
    <row r="269" spans="1:25" ht="15.75" customHeight="1">
      <c r="A269" s="135"/>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row>
    <row r="270" spans="1:25" ht="15.75" customHeight="1">
      <c r="A270" s="135"/>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row>
    <row r="271" spans="1:25" ht="15.75" customHeight="1">
      <c r="A271" s="135"/>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row>
    <row r="272" spans="1:25" ht="15.75" customHeight="1">
      <c r="A272" s="135"/>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row>
    <row r="273" spans="1:25" ht="15.75" customHeight="1">
      <c r="A273" s="135"/>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row>
    <row r="274" spans="1:25" ht="15.75" customHeight="1">
      <c r="A274" s="135"/>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row>
    <row r="275" spans="1:25" ht="15.75" customHeight="1">
      <c r="A275" s="135"/>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row>
    <row r="276" spans="1:25" ht="15.75" customHeight="1">
      <c r="A276" s="135"/>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row>
    <row r="277" spans="1:25" ht="15.75" customHeight="1">
      <c r="A277" s="135"/>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row>
    <row r="278" spans="1:25" ht="15.75" customHeight="1">
      <c r="A278" s="135"/>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row>
    <row r="279" spans="1:25" ht="15.75" customHeight="1">
      <c r="A279" s="135"/>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row>
    <row r="280" spans="1:25" ht="15.75" customHeight="1">
      <c r="A280" s="135"/>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row>
    <row r="281" spans="1:25" ht="15.75" customHeight="1">
      <c r="A281" s="135"/>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row>
    <row r="282" spans="1:25" ht="15.75" customHeight="1">
      <c r="A282" s="135"/>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row>
    <row r="283" spans="1:25" ht="15.75" customHeight="1">
      <c r="A283" s="135"/>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row>
    <row r="284" spans="1:25" ht="15.75" customHeight="1">
      <c r="A284" s="135"/>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row>
    <row r="285" spans="1:25" ht="15.75" customHeight="1">
      <c r="A285" s="135"/>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row>
    <row r="286" spans="1:25" ht="15.75" customHeight="1">
      <c r="A286" s="135"/>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row>
    <row r="287" spans="1:25" ht="15.75" customHeight="1">
      <c r="A287" s="135"/>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row>
    <row r="288" spans="1:25" ht="15.75" customHeight="1">
      <c r="A288" s="135"/>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row>
    <row r="289" spans="1:25" ht="15.75" customHeight="1">
      <c r="A289" s="135"/>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row>
    <row r="290" spans="1:25" ht="15.75" customHeight="1">
      <c r="A290" s="135"/>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row>
    <row r="291" spans="1:25" ht="15.75" customHeight="1">
      <c r="A291" s="135"/>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row>
    <row r="292" spans="1:25" ht="15.75" customHeight="1">
      <c r="A292" s="135"/>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row>
    <row r="293" spans="1:25" ht="15.75" customHeight="1">
      <c r="A293" s="135"/>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row>
    <row r="294" spans="1:25" ht="15.75" customHeight="1">
      <c r="A294" s="135"/>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row>
    <row r="295" spans="1:25" ht="15.75" customHeight="1">
      <c r="A295" s="135"/>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row>
    <row r="296" spans="1:25" ht="15.75" customHeight="1">
      <c r="A296" s="135"/>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row>
    <row r="297" spans="1:25" ht="15.75" customHeight="1">
      <c r="A297" s="135"/>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row>
    <row r="298" spans="1:25" ht="15.75" customHeight="1">
      <c r="A298" s="135"/>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row>
    <row r="299" spans="1:25" ht="15.75" customHeight="1">
      <c r="A299" s="135"/>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row>
    <row r="300" spans="1:25" ht="15.75" customHeight="1">
      <c r="A300" s="135"/>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row>
    <row r="301" spans="1:25" ht="15.75" customHeight="1">
      <c r="A301" s="135"/>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row>
    <row r="302" spans="1:25" ht="15.75" customHeight="1">
      <c r="A302" s="135"/>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row>
    <row r="303" spans="1:25" ht="15.75" customHeight="1">
      <c r="A303" s="135"/>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row>
    <row r="304" spans="1:25" ht="15.75" customHeight="1">
      <c r="A304" s="135"/>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row>
    <row r="305" spans="1:25" ht="15.75" customHeight="1">
      <c r="A305" s="135"/>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row>
    <row r="306" spans="1:25" ht="15.75" customHeight="1">
      <c r="A306" s="135"/>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row>
    <row r="307" spans="1:25" ht="15.75" customHeight="1">
      <c r="A307" s="135"/>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row>
    <row r="308" spans="1:25" ht="15.75" customHeight="1">
      <c r="A308" s="135"/>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row>
    <row r="309" spans="1:25" ht="15.75" customHeight="1">
      <c r="A309" s="135"/>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row>
    <row r="310" spans="1:25" ht="15.75" customHeight="1">
      <c r="A310" s="135"/>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row>
    <row r="311" spans="1:25" ht="15.75" customHeight="1">
      <c r="A311" s="135"/>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row>
    <row r="312" spans="1:25" ht="15.75" customHeight="1">
      <c r="A312" s="135"/>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row>
    <row r="313" spans="1:25" ht="15.75" customHeight="1">
      <c r="A313" s="135"/>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row>
    <row r="314" spans="1:25" ht="15.75" customHeight="1">
      <c r="A314" s="135"/>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row>
    <row r="315" spans="1:25" ht="15.75" customHeight="1">
      <c r="A315" s="135"/>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row>
    <row r="316" spans="1:25" ht="15.75" customHeight="1">
      <c r="A316" s="135"/>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row>
    <row r="317" spans="1:25" ht="15.75" customHeight="1">
      <c r="A317" s="135"/>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row>
    <row r="318" spans="1:25" ht="15.75" customHeight="1">
      <c r="A318" s="135"/>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row>
    <row r="319" spans="1:25" ht="15.75" customHeight="1">
      <c r="A319" s="135"/>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row>
    <row r="320" spans="1:25" ht="15.75" customHeight="1">
      <c r="A320" s="135"/>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row>
    <row r="321" spans="1:25" ht="15.75" customHeight="1">
      <c r="A321" s="135"/>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row>
    <row r="322" spans="1:25" ht="15.75" customHeight="1">
      <c r="A322" s="135"/>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row>
    <row r="323" spans="1:25" ht="15.75" customHeight="1">
      <c r="A323" s="135"/>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row>
    <row r="324" spans="1:25" ht="15.75" customHeight="1">
      <c r="A324" s="135"/>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row>
    <row r="325" spans="1:25" ht="15.75" customHeight="1">
      <c r="A325" s="135"/>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row>
    <row r="326" spans="1:25" ht="15.75" customHeight="1">
      <c r="A326" s="135"/>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row>
    <row r="327" spans="1:25" ht="15.75" customHeight="1">
      <c r="A327" s="135"/>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row>
    <row r="328" spans="1:25" ht="15.75" customHeight="1">
      <c r="A328" s="135"/>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row>
    <row r="329" spans="1:25" ht="15.75" customHeight="1">
      <c r="A329" s="135"/>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row>
    <row r="330" spans="1:25" ht="15.75" customHeight="1">
      <c r="A330" s="135"/>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row>
    <row r="331" spans="1:25" ht="15.75" customHeight="1">
      <c r="A331" s="135"/>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row>
    <row r="332" spans="1:25" ht="15.75" customHeight="1">
      <c r="A332" s="135"/>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row>
    <row r="333" spans="1:25" ht="15.75" customHeight="1">
      <c r="A333" s="135"/>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row>
    <row r="334" spans="1:25" ht="15.75" customHeight="1">
      <c r="A334" s="135"/>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row>
    <row r="335" spans="1:25" ht="15.75" customHeight="1">
      <c r="A335" s="135"/>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row>
    <row r="336" spans="1:25" ht="15.75" customHeight="1">
      <c r="A336" s="135"/>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row>
    <row r="337" spans="1:25" ht="15.75" customHeight="1">
      <c r="A337" s="135"/>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row>
    <row r="338" spans="1:25" ht="15.75" customHeight="1">
      <c r="A338" s="135"/>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row>
    <row r="339" spans="1:25" ht="15.75" customHeight="1">
      <c r="A339" s="135"/>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row>
    <row r="340" spans="1:25" ht="15.75" customHeight="1">
      <c r="A340" s="135"/>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row>
    <row r="341" spans="1:25" ht="15.75" customHeight="1">
      <c r="A341" s="135"/>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row>
    <row r="342" spans="1:25" ht="15.75" customHeight="1">
      <c r="A342" s="135"/>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row>
    <row r="343" spans="1:25" ht="15.75" customHeight="1">
      <c r="A343" s="135"/>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row>
    <row r="344" spans="1:25" ht="15.75" customHeight="1">
      <c r="A344" s="135"/>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row>
    <row r="345" spans="1:25" ht="15.75" customHeight="1">
      <c r="A345" s="135"/>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row>
    <row r="346" spans="1:25" ht="15.75" customHeight="1">
      <c r="A346" s="135"/>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row>
    <row r="347" spans="1:25" ht="15.75" customHeight="1">
      <c r="A347" s="135"/>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row>
    <row r="348" spans="1:25" ht="15.75" customHeight="1">
      <c r="A348" s="135"/>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row>
    <row r="349" spans="1:25" ht="15.75" customHeight="1">
      <c r="A349" s="135"/>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row>
    <row r="350" spans="1:25" ht="15.75" customHeight="1">
      <c r="A350" s="135"/>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row>
    <row r="351" spans="1:25" ht="15.75" customHeight="1">
      <c r="A351" s="135"/>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row>
    <row r="352" spans="1:25" ht="15.75" customHeight="1">
      <c r="A352" s="135"/>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row>
    <row r="353" spans="1:25" ht="15.75" customHeight="1">
      <c r="A353" s="135"/>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row>
    <row r="354" spans="1:25" ht="15.75" customHeight="1">
      <c r="A354" s="135"/>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row>
    <row r="355" spans="1:25" ht="15.75" customHeight="1">
      <c r="A355" s="135"/>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row>
    <row r="356" spans="1:25" ht="15.75" customHeight="1">
      <c r="A356" s="135"/>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row>
    <row r="357" spans="1:25" ht="15.75" customHeight="1">
      <c r="A357" s="135"/>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row>
    <row r="358" spans="1:25" ht="15.75" customHeight="1">
      <c r="A358" s="135"/>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row>
    <row r="359" spans="1:25" ht="15.75" customHeight="1">
      <c r="A359" s="135"/>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row>
    <row r="360" spans="1:25" ht="15.75" customHeight="1">
      <c r="A360" s="135"/>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row>
    <row r="361" spans="1:25" ht="15.75" customHeight="1">
      <c r="A361" s="135"/>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row>
    <row r="362" spans="1:25" ht="15.75" customHeight="1">
      <c r="A362" s="135"/>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row>
    <row r="363" spans="1:25" ht="15.75" customHeight="1">
      <c r="A363" s="135"/>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row>
    <row r="364" spans="1:25" ht="15.75" customHeight="1">
      <c r="A364" s="135"/>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row>
    <row r="365" spans="1:25" ht="15.75" customHeight="1">
      <c r="A365" s="135"/>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row>
    <row r="366" spans="1:25" ht="15.75" customHeight="1">
      <c r="A366" s="135"/>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row>
    <row r="367" spans="1:25" ht="15.75" customHeight="1">
      <c r="A367" s="135"/>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row>
    <row r="368" spans="1:25" ht="15.75" customHeight="1">
      <c r="A368" s="135"/>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row>
    <row r="369" spans="1:25" ht="15.75" customHeight="1">
      <c r="A369" s="135"/>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row>
    <row r="370" spans="1:25" ht="15.75" customHeight="1">
      <c r="A370" s="135"/>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row>
    <row r="371" spans="1:25" ht="15.75" customHeight="1">
      <c r="A371" s="135"/>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row>
    <row r="372" spans="1:25" ht="15.75" customHeight="1">
      <c r="A372" s="135"/>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row>
    <row r="373" spans="1:25" ht="15.75" customHeight="1">
      <c r="A373" s="135"/>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row>
    <row r="374" spans="1:25" ht="15.75" customHeight="1">
      <c r="A374" s="135"/>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row>
    <row r="375" spans="1:25" ht="15.75" customHeight="1">
      <c r="A375" s="135"/>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row>
    <row r="376" spans="1:25" ht="15.75" customHeight="1">
      <c r="A376" s="135"/>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row>
    <row r="377" spans="1:25" ht="15.75" customHeight="1">
      <c r="A377" s="135"/>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row>
    <row r="378" spans="1:25" ht="15.75" customHeight="1">
      <c r="A378" s="135"/>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row>
    <row r="379" spans="1:25" ht="15.75" customHeight="1">
      <c r="A379" s="135"/>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row>
    <row r="380" spans="1:25" ht="15.75" customHeight="1">
      <c r="A380" s="135"/>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row>
    <row r="381" spans="1:25" ht="15.75" customHeight="1">
      <c r="A381" s="135"/>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row>
    <row r="382" spans="1:25" ht="15.75" customHeight="1">
      <c r="A382" s="135"/>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row>
    <row r="383" spans="1:25" ht="15.75" customHeight="1">
      <c r="A383" s="135"/>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row>
    <row r="384" spans="1:25" ht="15.75" customHeight="1">
      <c r="A384" s="135"/>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row>
    <row r="385" spans="1:25" ht="15.75" customHeight="1">
      <c r="A385" s="135"/>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row>
    <row r="386" spans="1:25" ht="15.75" customHeight="1">
      <c r="A386" s="135"/>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row>
    <row r="387" spans="1:25" ht="15.75" customHeight="1">
      <c r="A387" s="135"/>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row>
    <row r="388" spans="1:25" ht="15.75" customHeight="1">
      <c r="A388" s="135"/>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row>
    <row r="389" spans="1:25" ht="15.75" customHeight="1">
      <c r="A389" s="135"/>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row>
    <row r="390" spans="1:25" ht="15.75" customHeight="1">
      <c r="A390" s="135"/>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row>
    <row r="391" spans="1:25" ht="15.75" customHeight="1">
      <c r="A391" s="135"/>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row>
    <row r="392" spans="1:25" ht="15.75" customHeight="1">
      <c r="A392" s="135"/>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row>
    <row r="393" spans="1:25" ht="15.75" customHeight="1">
      <c r="A393" s="135"/>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row>
    <row r="394" spans="1:25" ht="15.75" customHeight="1">
      <c r="A394" s="135"/>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row>
    <row r="395" spans="1:25" ht="15.75" customHeight="1">
      <c r="A395" s="135"/>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row>
    <row r="396" spans="1:25" ht="15.75" customHeight="1">
      <c r="A396" s="135"/>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row>
    <row r="397" spans="1:25" ht="15.75" customHeight="1">
      <c r="A397" s="135"/>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row>
    <row r="398" spans="1:25" ht="15.75" customHeight="1">
      <c r="A398" s="135"/>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row>
    <row r="399" spans="1:25" ht="15.75" customHeight="1">
      <c r="A399" s="135"/>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row>
    <row r="400" spans="1:25" ht="15.75" customHeight="1">
      <c r="A400" s="135"/>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row>
    <row r="401" spans="1:25" ht="15.75" customHeight="1">
      <c r="A401" s="135"/>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row>
    <row r="402" spans="1:25" ht="15.75" customHeight="1">
      <c r="A402" s="135"/>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row>
    <row r="403" spans="1:25" ht="15.75" customHeight="1">
      <c r="A403" s="135"/>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row>
    <row r="404" spans="1:25" ht="15.75" customHeight="1">
      <c r="A404" s="135"/>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row>
    <row r="405" spans="1:25" ht="15.75" customHeight="1">
      <c r="A405" s="135"/>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row>
    <row r="406" spans="1:25" ht="15.75" customHeight="1">
      <c r="A406" s="135"/>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row>
    <row r="407" spans="1:25" ht="15.75" customHeight="1">
      <c r="A407" s="135"/>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row>
    <row r="408" spans="1:25" ht="15.75" customHeight="1">
      <c r="A408" s="135"/>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row>
    <row r="409" spans="1:25" ht="15.75" customHeight="1">
      <c r="A409" s="135"/>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row>
    <row r="410" spans="1:25" ht="15.75" customHeight="1">
      <c r="A410" s="135"/>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row>
    <row r="411" spans="1:25" ht="15.75" customHeight="1">
      <c r="A411" s="135"/>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row>
    <row r="412" spans="1:25" ht="15.75" customHeight="1">
      <c r="A412" s="135"/>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row>
    <row r="413" spans="1:25" ht="15.75" customHeight="1">
      <c r="A413" s="135"/>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row>
    <row r="414" spans="1:25" ht="15.75" customHeight="1">
      <c r="A414" s="135"/>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row>
    <row r="415" spans="1:25" ht="15.75" customHeight="1">
      <c r="A415" s="135"/>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row>
    <row r="416" spans="1:25" ht="15.75" customHeight="1">
      <c r="A416" s="135"/>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row>
    <row r="417" spans="1:25" ht="15.75" customHeight="1">
      <c r="A417" s="135"/>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row>
    <row r="418" spans="1:25" ht="15.75" customHeight="1">
      <c r="A418" s="135"/>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row>
    <row r="419" spans="1:25" ht="15.75" customHeight="1">
      <c r="A419" s="135"/>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row>
    <row r="420" spans="1:25" ht="15.75" customHeight="1">
      <c r="A420" s="13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row>
    <row r="421" spans="1:25" ht="15.75" customHeight="1">
      <c r="A421" s="13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row>
    <row r="422" spans="1:25" ht="15.75" customHeight="1">
      <c r="A422" s="13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row>
    <row r="423" spans="1:25" ht="15.75" customHeight="1">
      <c r="A423" s="13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row>
    <row r="424" spans="1:25" ht="15.75" customHeight="1">
      <c r="A424" s="13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row>
    <row r="425" spans="1:25" ht="15.75" customHeight="1">
      <c r="A425" s="13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row>
    <row r="426" spans="1:25" ht="15.75" customHeight="1">
      <c r="A426" s="135"/>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row>
    <row r="427" spans="1:25" ht="15.75" customHeight="1">
      <c r="A427" s="135"/>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row>
    <row r="428" spans="1:25" ht="15.75" customHeight="1">
      <c r="A428" s="135"/>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row>
    <row r="429" spans="1:25" ht="15.75" customHeight="1">
      <c r="A429" s="135"/>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row>
    <row r="430" spans="1:25" ht="15.75" customHeight="1">
      <c r="A430" s="135"/>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row>
    <row r="431" spans="1:25" ht="15.75" customHeight="1">
      <c r="A431" s="135"/>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row>
    <row r="432" spans="1:25" ht="15.75" customHeight="1">
      <c r="A432" s="13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row>
    <row r="433" spans="1:25" ht="15.75" customHeight="1">
      <c r="A433" s="135"/>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row>
    <row r="434" spans="1:25" ht="15.75" customHeight="1">
      <c r="A434" s="135"/>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row>
    <row r="435" spans="1:25" ht="15.75" customHeight="1">
      <c r="A435" s="135"/>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row>
    <row r="436" spans="1:25" ht="15.75" customHeight="1">
      <c r="A436" s="13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row>
    <row r="437" spans="1:25" ht="15.75" customHeight="1">
      <c r="A437" s="13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row>
    <row r="438" spans="1:25" ht="15.75" customHeight="1">
      <c r="A438" s="13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row>
    <row r="439" spans="1:25" ht="15.75" customHeight="1">
      <c r="A439" s="13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row>
    <row r="440" spans="1:25" ht="15.75" customHeight="1">
      <c r="A440" s="13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row>
    <row r="441" spans="1:25" ht="15.75" customHeight="1">
      <c r="A441" s="13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row>
    <row r="442" spans="1:25" ht="15.75" customHeight="1">
      <c r="A442" s="135"/>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row>
    <row r="443" spans="1:25" ht="15.75" customHeight="1">
      <c r="A443" s="135"/>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row>
    <row r="444" spans="1:25" ht="15.75" customHeight="1">
      <c r="A444" s="135"/>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row>
    <row r="445" spans="1:25" ht="15.75" customHeight="1">
      <c r="A445" s="13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row>
    <row r="446" spans="1:25" ht="15.75" customHeight="1">
      <c r="A446" s="13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row>
    <row r="447" spans="1:25" ht="15.75" customHeight="1">
      <c r="A447" s="13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row>
    <row r="448" spans="1:25" ht="15.75" customHeight="1">
      <c r="A448" s="135"/>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row>
    <row r="449" spans="1:25" ht="15.75" customHeight="1">
      <c r="A449" s="135"/>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row>
    <row r="450" spans="1:25" ht="15.75" customHeight="1">
      <c r="A450" s="135"/>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row>
    <row r="451" spans="1:25" ht="15.75" customHeight="1">
      <c r="A451" s="135"/>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row>
    <row r="452" spans="1:25" ht="15.75" customHeight="1">
      <c r="A452" s="13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row>
    <row r="453" spans="1:25" ht="15.75" customHeight="1">
      <c r="A453" s="135"/>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row>
    <row r="454" spans="1:25" ht="15.75" customHeight="1">
      <c r="A454" s="135"/>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row>
    <row r="455" spans="1:25" ht="15.75" customHeight="1">
      <c r="A455" s="135"/>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row>
    <row r="456" spans="1:25" ht="15.75" customHeight="1">
      <c r="A456" s="13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row>
    <row r="457" spans="1:25" ht="15.75" customHeight="1">
      <c r="A457" s="13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row>
    <row r="458" spans="1:25" ht="15.75" customHeight="1">
      <c r="A458" s="13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row>
    <row r="459" spans="1:25" ht="15.75" customHeight="1">
      <c r="A459" s="135"/>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row>
    <row r="460" spans="1:25" ht="15.75" customHeight="1">
      <c r="A460" s="135"/>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row>
    <row r="461" spans="1:25" ht="15.75" customHeight="1">
      <c r="A461" s="135"/>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row>
    <row r="462" spans="1:25" ht="15.75" customHeight="1">
      <c r="A462" s="135"/>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row>
    <row r="463" spans="1:25" ht="15.75" customHeight="1">
      <c r="A463" s="135"/>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row>
    <row r="464" spans="1:25" ht="15.75" customHeight="1">
      <c r="A464" s="135"/>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row>
    <row r="465" spans="1:25" ht="15.75" customHeight="1">
      <c r="A465" s="13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row>
    <row r="466" spans="1:25" ht="15.75" customHeight="1">
      <c r="A466" s="135"/>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row>
    <row r="467" spans="1:25" ht="15.75" customHeight="1">
      <c r="A467" s="135"/>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row>
    <row r="468" spans="1:25" ht="15.75" customHeight="1">
      <c r="A468" s="135"/>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row>
    <row r="469" spans="1:25" ht="15.75" customHeight="1">
      <c r="A469" s="13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row>
    <row r="470" spans="1:25" ht="15.75" customHeight="1">
      <c r="A470" s="13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row>
    <row r="471" spans="1:25" ht="15.75" customHeight="1">
      <c r="A471" s="13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row>
    <row r="472" spans="1:25" ht="15.75" customHeight="1">
      <c r="A472" s="13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row>
    <row r="473" spans="1:25" ht="15.75" customHeight="1">
      <c r="A473" s="13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row>
    <row r="474" spans="1:25" ht="15.75" customHeight="1">
      <c r="A474" s="135"/>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row>
    <row r="475" spans="1:25" ht="15.75" customHeight="1">
      <c r="A475" s="135"/>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row>
    <row r="476" spans="1:25" ht="15.75" customHeight="1">
      <c r="A476" s="135"/>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row>
    <row r="477" spans="1:25" ht="15.75" customHeight="1">
      <c r="A477" s="135"/>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row>
    <row r="478" spans="1:25" ht="15.75" customHeight="1">
      <c r="A478" s="135"/>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row>
    <row r="479" spans="1:25" ht="15.75" customHeight="1">
      <c r="A479" s="135"/>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row>
    <row r="480" spans="1:25" ht="15.75" customHeight="1">
      <c r="A480" s="13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row>
    <row r="481" spans="1:25" ht="15.75" customHeight="1">
      <c r="A481" s="135"/>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row>
    <row r="482" spans="1:25" ht="15.75" customHeight="1">
      <c r="A482" s="135"/>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row>
    <row r="483" spans="1:25" ht="15.75" customHeight="1">
      <c r="A483" s="135"/>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row>
    <row r="484" spans="1:25" ht="15.75" customHeight="1">
      <c r="A484" s="13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row>
    <row r="485" spans="1:25" ht="15.75" customHeight="1">
      <c r="A485" s="13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row>
    <row r="486" spans="1:25" ht="15.75" customHeight="1">
      <c r="A486" s="13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row>
    <row r="487" spans="1:25" ht="15.75" customHeight="1">
      <c r="A487" s="13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row>
    <row r="488" spans="1:25" ht="15.75" customHeight="1">
      <c r="A488" s="13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row>
    <row r="489" spans="1:25" ht="15.75" customHeight="1">
      <c r="A489" s="135"/>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row>
    <row r="490" spans="1:25" ht="15.75" customHeight="1">
      <c r="A490" s="135"/>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row>
    <row r="491" spans="1:25" ht="15.75" customHeight="1">
      <c r="A491" s="135"/>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row>
    <row r="492" spans="1:25" ht="15.75" customHeight="1">
      <c r="A492" s="135"/>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row>
    <row r="493" spans="1:25" ht="15.75" customHeight="1">
      <c r="A493" s="135"/>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row>
    <row r="494" spans="1:25" ht="15.75" customHeight="1">
      <c r="A494" s="135"/>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row>
    <row r="495" spans="1:25" ht="15.75" customHeight="1">
      <c r="A495" s="13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row>
    <row r="496" spans="1:25" ht="15.75" customHeight="1">
      <c r="A496" s="135"/>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row>
    <row r="497" spans="1:25" ht="15.75" customHeight="1">
      <c r="A497" s="135"/>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row>
    <row r="498" spans="1:25" ht="15.75" customHeight="1">
      <c r="A498" s="135"/>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row>
    <row r="499" spans="1:25" ht="15.75" customHeight="1">
      <c r="A499" s="13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row>
    <row r="500" spans="1:25" ht="15.75" customHeight="1">
      <c r="A500" s="13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row>
    <row r="501" spans="1:25" ht="15.75" customHeight="1">
      <c r="A501" s="13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row>
    <row r="502" spans="1:25" ht="15.75" customHeight="1">
      <c r="A502" s="13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row>
    <row r="503" spans="1:25" ht="15.75" customHeight="1">
      <c r="A503" s="135"/>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row>
    <row r="504" spans="1:25" ht="15.75" customHeight="1">
      <c r="A504" s="135"/>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row>
    <row r="505" spans="1:25" ht="15.75" customHeight="1">
      <c r="A505" s="135"/>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row>
    <row r="506" spans="1:25" ht="15.75" customHeight="1">
      <c r="A506" s="135"/>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row>
    <row r="507" spans="1:25" ht="15.75" customHeight="1">
      <c r="A507" s="135"/>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row>
    <row r="508" spans="1:25" ht="15.75" customHeight="1">
      <c r="A508" s="135"/>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row>
    <row r="509" spans="1:25" ht="15.75" customHeight="1">
      <c r="A509" s="13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row>
    <row r="510" spans="1:25" ht="15.75" customHeight="1">
      <c r="A510" s="135"/>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row>
    <row r="511" spans="1:25" ht="15.75" customHeight="1">
      <c r="A511" s="135"/>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row>
    <row r="512" spans="1:25" ht="15.75" customHeight="1">
      <c r="A512" s="135"/>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row>
    <row r="513" spans="1:25" ht="15.75" customHeight="1">
      <c r="A513" s="13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row>
    <row r="514" spans="1:25" ht="15.75" customHeight="1">
      <c r="A514" s="13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row>
    <row r="515" spans="1:25" ht="15.75" customHeight="1">
      <c r="A515" s="13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row>
    <row r="516" spans="1:25" ht="15.75" customHeight="1">
      <c r="A516" s="135"/>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row>
    <row r="517" spans="1:25" ht="15.75" customHeight="1">
      <c r="A517" s="135"/>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row>
    <row r="518" spans="1:25" ht="15.75" customHeight="1">
      <c r="A518" s="135"/>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row>
    <row r="519" spans="1:25" ht="15.75" customHeight="1">
      <c r="A519" s="135"/>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row>
    <row r="520" spans="1:25" ht="15.75" customHeight="1">
      <c r="A520" s="135"/>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row>
    <row r="521" spans="1:25" ht="15.75" customHeight="1">
      <c r="A521" s="13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row>
    <row r="522" spans="1:25" ht="15.75" customHeight="1">
      <c r="A522" s="135"/>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row>
    <row r="523" spans="1:25" ht="15.75" customHeight="1">
      <c r="A523" s="135"/>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row>
    <row r="524" spans="1:25" ht="15.75" customHeight="1">
      <c r="A524" s="135"/>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row>
    <row r="525" spans="1:25" ht="15.75" customHeight="1">
      <c r="A525" s="13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row>
    <row r="526" spans="1:25" ht="15.75" customHeight="1">
      <c r="A526" s="13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row>
    <row r="527" spans="1:25" ht="15.75" customHeight="1">
      <c r="A527" s="13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row>
    <row r="528" spans="1:25" ht="15.75" customHeight="1">
      <c r="A528" s="13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row>
    <row r="529" spans="1:25" ht="15.75" customHeight="1">
      <c r="A529" s="13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row>
    <row r="530" spans="1:25" ht="15.75" customHeight="1">
      <c r="A530" s="135"/>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row>
    <row r="531" spans="1:25" ht="15.75" customHeight="1">
      <c r="A531" s="135"/>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row>
    <row r="532" spans="1:25" ht="15.75" customHeight="1">
      <c r="A532" s="135"/>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row>
    <row r="533" spans="1:25" ht="15.75" customHeight="1">
      <c r="A533" s="135"/>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row>
    <row r="534" spans="1:25" ht="15.75" customHeight="1">
      <c r="A534" s="135"/>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row>
    <row r="535" spans="1:25" ht="15.75" customHeight="1">
      <c r="A535" s="13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row>
    <row r="536" spans="1:25" ht="15.75" customHeight="1">
      <c r="A536" s="135"/>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row>
    <row r="537" spans="1:25" ht="15.75" customHeight="1">
      <c r="A537" s="135"/>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row>
    <row r="538" spans="1:25" ht="15.75" customHeight="1">
      <c r="A538" s="135"/>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row>
    <row r="539" spans="1:25" ht="15.75" customHeight="1">
      <c r="A539" s="13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row>
    <row r="540" spans="1:25" ht="15.75" customHeight="1">
      <c r="A540" s="13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row>
    <row r="541" spans="1:25" ht="15.75" customHeight="1">
      <c r="A541" s="13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row>
    <row r="542" spans="1:25" ht="15.75" customHeight="1">
      <c r="A542" s="13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row>
    <row r="543" spans="1:25" ht="15.75" customHeight="1">
      <c r="A543" s="135"/>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row>
    <row r="544" spans="1:25" ht="15.75" customHeight="1">
      <c r="A544" s="135"/>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row>
    <row r="545" spans="1:25" ht="15.75" customHeight="1">
      <c r="A545" s="135"/>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row>
    <row r="546" spans="1:25" ht="15.75" customHeight="1">
      <c r="A546" s="135"/>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row>
    <row r="547" spans="1:25" ht="15.75" customHeight="1">
      <c r="A547" s="135"/>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row>
    <row r="548" spans="1:25" ht="15.75" customHeight="1">
      <c r="A548" s="135"/>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row>
    <row r="549" spans="1:25" ht="15.75" customHeight="1">
      <c r="A549" s="13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row>
    <row r="550" spans="1:25" ht="15.75" customHeight="1">
      <c r="A550" s="135"/>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row>
    <row r="551" spans="1:25" ht="15.75" customHeight="1">
      <c r="A551" s="135"/>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row>
    <row r="552" spans="1:25" ht="15.75" customHeight="1">
      <c r="A552" s="135"/>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row>
    <row r="553" spans="1:25" ht="15.75" customHeight="1">
      <c r="A553" s="13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row>
    <row r="554" spans="1:25" ht="15.75" customHeight="1">
      <c r="A554" s="13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row>
    <row r="555" spans="1:25" ht="15.75" customHeight="1">
      <c r="A555" s="13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row>
    <row r="556" spans="1:25" ht="15.75" customHeight="1">
      <c r="A556" s="13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row>
    <row r="557" spans="1:25" ht="15.75" customHeight="1">
      <c r="A557" s="13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row>
    <row r="558" spans="1:25" ht="15.75" customHeight="1">
      <c r="A558" s="135"/>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row>
    <row r="559" spans="1:25" ht="15.75" customHeight="1">
      <c r="A559" s="135"/>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row>
    <row r="560" spans="1:25" ht="15.75" customHeight="1">
      <c r="A560" s="135"/>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row>
    <row r="561" spans="1:25" ht="15.75" customHeight="1">
      <c r="A561" s="135"/>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row>
    <row r="562" spans="1:25" ht="15.75" customHeight="1">
      <c r="A562" s="135"/>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row>
    <row r="563" spans="1:25" ht="15.75" customHeight="1">
      <c r="A563" s="135"/>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row>
    <row r="564" spans="1:25" ht="15.75" customHeight="1">
      <c r="A564" s="13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row>
    <row r="565" spans="1:25" ht="15.75" customHeight="1">
      <c r="A565" s="135"/>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row>
    <row r="566" spans="1:25" ht="15.75" customHeight="1">
      <c r="A566" s="135"/>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row>
    <row r="567" spans="1:25" ht="15.75" customHeight="1">
      <c r="A567" s="135"/>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row>
    <row r="568" spans="1:25" ht="15.75" customHeight="1">
      <c r="A568" s="13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row>
    <row r="569" spans="1:25" ht="15.75" customHeight="1">
      <c r="A569" s="13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row>
    <row r="570" spans="1:25" ht="15.75" customHeight="1">
      <c r="A570" s="13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row>
    <row r="571" spans="1:25" ht="15.75" customHeight="1">
      <c r="A571" s="13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row>
    <row r="572" spans="1:25" ht="15.75" customHeight="1">
      <c r="A572" s="13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row>
    <row r="573" spans="1:25" ht="15.75" customHeight="1">
      <c r="A573" s="135"/>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row>
    <row r="574" spans="1:25" ht="15.75" customHeight="1">
      <c r="A574" s="135"/>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row>
    <row r="575" spans="1:25" ht="15.75" customHeight="1">
      <c r="A575" s="135"/>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row>
    <row r="576" spans="1:25" ht="15.75" customHeight="1">
      <c r="A576" s="135"/>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row>
    <row r="577" spans="1:25" ht="15.75" customHeight="1">
      <c r="A577" s="135"/>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row>
    <row r="578" spans="1:25" ht="15.75" customHeight="1">
      <c r="A578" s="13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row>
    <row r="579" spans="1:25" ht="15.75" customHeight="1">
      <c r="A579" s="135"/>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row>
    <row r="580" spans="1:25" ht="15.75" customHeight="1">
      <c r="A580" s="135"/>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row>
    <row r="581" spans="1:25" ht="15.75" customHeight="1">
      <c r="A581" s="135"/>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row>
    <row r="582" spans="1:25" ht="15.75" customHeight="1">
      <c r="A582" s="13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row>
    <row r="583" spans="1:25" ht="15.75" customHeight="1">
      <c r="A583" s="13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row>
    <row r="584" spans="1:25" ht="15.75" customHeight="1">
      <c r="A584" s="13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row>
    <row r="585" spans="1:25" ht="15.75" customHeight="1">
      <c r="A585" s="135"/>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row>
    <row r="586" spans="1:25" ht="15.75" customHeight="1">
      <c r="A586" s="135"/>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row>
    <row r="587" spans="1:25" ht="15.75" customHeight="1">
      <c r="A587" s="135"/>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row>
    <row r="588" spans="1:25" ht="15.75" customHeight="1">
      <c r="A588" s="135"/>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row>
    <row r="589" spans="1:25" ht="15.75" customHeight="1">
      <c r="A589" s="135"/>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row>
    <row r="590" spans="1:25" ht="15.75" customHeight="1">
      <c r="A590" s="135"/>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row>
    <row r="591" spans="1:25" ht="15.75" customHeight="1">
      <c r="A591" s="13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row>
    <row r="592" spans="1:25" ht="15.75" customHeight="1">
      <c r="A592" s="135"/>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row>
    <row r="593" spans="1:25" ht="15.75" customHeight="1">
      <c r="A593" s="135"/>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row>
    <row r="594" spans="1:25" ht="15.75" customHeight="1">
      <c r="A594" s="135"/>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row>
    <row r="595" spans="1:25" ht="15.75" customHeight="1">
      <c r="A595" s="13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row>
    <row r="596" spans="1:25" ht="15.75" customHeight="1">
      <c r="A596" s="13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row>
    <row r="597" spans="1:25" ht="15.75" customHeight="1">
      <c r="A597" s="13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row>
    <row r="598" spans="1:25" ht="15.75" customHeight="1">
      <c r="A598" s="135"/>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row>
    <row r="599" spans="1:25" ht="15.75" customHeight="1">
      <c r="A599" s="135"/>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row>
    <row r="600" spans="1:25" ht="15.75" customHeight="1">
      <c r="A600" s="135"/>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row>
    <row r="601" spans="1:25" ht="15.75" customHeight="1">
      <c r="A601" s="13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row>
    <row r="602" spans="1:25" ht="15.75" customHeight="1">
      <c r="A602" s="13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row>
    <row r="603" spans="1:25" ht="15.75" customHeight="1">
      <c r="A603" s="13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row>
    <row r="604" spans="1:25" ht="15.75" customHeight="1">
      <c r="A604" s="13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row>
    <row r="605" spans="1:25" ht="15.75" customHeight="1">
      <c r="A605" s="13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row>
    <row r="606" spans="1:25" ht="15.75" customHeight="1">
      <c r="A606" s="13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row>
    <row r="607" spans="1:25" ht="15.75" customHeight="1">
      <c r="A607" s="13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row>
    <row r="608" spans="1:25" ht="15.75" customHeight="1">
      <c r="A608" s="13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row>
    <row r="609" spans="1:25" ht="15.75" customHeight="1">
      <c r="A609" s="13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row>
    <row r="610" spans="1:25" ht="15.75" customHeight="1">
      <c r="A610" s="13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row>
    <row r="611" spans="1:25" ht="15.75" customHeight="1">
      <c r="A611" s="13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row>
    <row r="612" spans="1:25" ht="15.75" customHeight="1">
      <c r="A612" s="13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row>
    <row r="613" spans="1:25" ht="15.75" customHeight="1">
      <c r="A613" s="13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row>
    <row r="614" spans="1:25" ht="15.75" customHeight="1">
      <c r="A614" s="135"/>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row>
    <row r="615" spans="1:25" ht="15.75" customHeight="1">
      <c r="A615" s="135"/>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row>
    <row r="616" spans="1:25" ht="15.75" customHeight="1">
      <c r="A616" s="135"/>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row>
    <row r="617" spans="1:25" ht="15.75" customHeight="1">
      <c r="A617" s="135"/>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row>
    <row r="618" spans="1:25" ht="15.75" customHeight="1">
      <c r="A618" s="13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row>
    <row r="619" spans="1:25" ht="15.75" customHeight="1">
      <c r="A619" s="135"/>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row>
    <row r="620" spans="1:25" ht="15.75" customHeight="1">
      <c r="A620" s="135"/>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row>
    <row r="621" spans="1:25" ht="15.75" customHeight="1">
      <c r="A621" s="135"/>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row>
    <row r="622" spans="1:25" ht="15.75" customHeight="1">
      <c r="A622" s="13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row>
    <row r="623" spans="1:25" ht="15.75" customHeight="1">
      <c r="A623" s="13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row>
    <row r="624" spans="1:25" ht="15.75" customHeight="1">
      <c r="A624" s="13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row>
    <row r="625" spans="1:25" ht="15.75" customHeight="1">
      <c r="A625" s="135"/>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row>
    <row r="626" spans="1:25" ht="15.75" customHeight="1">
      <c r="A626" s="135"/>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row>
    <row r="627" spans="1:25" ht="15.75" customHeight="1">
      <c r="A627" s="135"/>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row>
    <row r="628" spans="1:25" ht="15.75" customHeight="1">
      <c r="A628" s="135"/>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row>
    <row r="629" spans="1:25" ht="15.75" customHeight="1">
      <c r="A629" s="135"/>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row>
    <row r="630" spans="1:25" ht="15.75" customHeight="1">
      <c r="A630" s="135"/>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row>
    <row r="631" spans="1:25" ht="15.75" customHeight="1">
      <c r="A631" s="13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row>
    <row r="632" spans="1:25" ht="15.75" customHeight="1">
      <c r="A632" s="135"/>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row>
    <row r="633" spans="1:25" ht="15.75" customHeight="1">
      <c r="A633" s="135"/>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row>
    <row r="634" spans="1:25" ht="15.75" customHeight="1">
      <c r="A634" s="135"/>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row>
    <row r="635" spans="1:25" ht="15.75" customHeight="1">
      <c r="A635" s="13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row>
    <row r="636" spans="1:25" ht="15.75" customHeight="1">
      <c r="A636" s="13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row>
    <row r="637" spans="1:25" ht="15.75" customHeight="1">
      <c r="A637" s="13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row>
    <row r="638" spans="1:25" ht="15.75" customHeight="1">
      <c r="A638" s="13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row>
    <row r="639" spans="1:25" ht="15.75" customHeight="1">
      <c r="A639" s="135"/>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row>
    <row r="640" spans="1:25" ht="15.75" customHeight="1">
      <c r="A640" s="135"/>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row>
    <row r="641" spans="1:25" ht="15.75" customHeight="1">
      <c r="A641" s="135"/>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row>
    <row r="642" spans="1:25" ht="15.75" customHeight="1">
      <c r="A642" s="13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row>
    <row r="643" spans="1:25" ht="15.75" customHeight="1">
      <c r="A643" s="13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row>
    <row r="644" spans="1:25" ht="15.75" customHeight="1">
      <c r="A644" s="135"/>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row>
    <row r="645" spans="1:25" ht="15.75" customHeight="1">
      <c r="A645" s="135"/>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row>
    <row r="646" spans="1:25" ht="15.75" customHeight="1">
      <c r="A646" s="135"/>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row>
    <row r="647" spans="1:25" ht="15.75" customHeight="1">
      <c r="A647" s="135"/>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row>
    <row r="648" spans="1:25" ht="15.75" customHeight="1">
      <c r="A648" s="13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row>
    <row r="649" spans="1:25" ht="15.75" customHeight="1">
      <c r="A649" s="135"/>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row>
    <row r="650" spans="1:25" ht="15.75" customHeight="1">
      <c r="A650" s="135"/>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row>
    <row r="651" spans="1:25" ht="15.75" customHeight="1">
      <c r="A651" s="135"/>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row>
    <row r="652" spans="1:25" ht="15.75" customHeight="1">
      <c r="A652" s="13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row>
    <row r="653" spans="1:25" ht="15.75" customHeight="1">
      <c r="A653" s="13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row>
    <row r="654" spans="1:25" ht="15.75" customHeight="1">
      <c r="A654" s="13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row>
    <row r="655" spans="1:25" ht="15.75" customHeight="1">
      <c r="A655" s="13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row>
    <row r="656" spans="1:25" ht="15.75" customHeight="1">
      <c r="A656" s="135"/>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row>
    <row r="657" spans="1:25" ht="15.75" customHeight="1">
      <c r="A657" s="135"/>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row>
    <row r="658" spans="1:25" ht="15.75" customHeight="1">
      <c r="A658" s="135"/>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row>
    <row r="659" spans="1:25" ht="15.75" customHeight="1">
      <c r="A659" s="135"/>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row>
    <row r="660" spans="1:25" ht="15.75" customHeight="1">
      <c r="A660" s="135"/>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row>
    <row r="661" spans="1:25" ht="15.75" customHeight="1">
      <c r="A661" s="135"/>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row>
    <row r="662" spans="1:25" ht="15.75" customHeight="1">
      <c r="A662" s="13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row>
    <row r="663" spans="1:25" ht="15.75" customHeight="1">
      <c r="A663" s="135"/>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row>
    <row r="664" spans="1:25" ht="15.75" customHeight="1">
      <c r="A664" s="135"/>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row>
    <row r="665" spans="1:25" ht="15.75" customHeight="1">
      <c r="A665" s="135"/>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row>
    <row r="666" spans="1:25" ht="15.75" customHeight="1">
      <c r="A666" s="13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row>
    <row r="667" spans="1:25" ht="15.75" customHeight="1">
      <c r="A667" s="13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row>
    <row r="668" spans="1:25" ht="15.75" customHeight="1">
      <c r="A668" s="13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row>
    <row r="669" spans="1:25" ht="15.75" customHeight="1">
      <c r="A669" s="135"/>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row>
    <row r="670" spans="1:25" ht="15.75" customHeight="1">
      <c r="A670" s="135"/>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row>
    <row r="671" spans="1:25" ht="15.75" customHeight="1">
      <c r="A671" s="135"/>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row>
    <row r="672" spans="1:25" ht="15.75" customHeight="1">
      <c r="A672" s="135"/>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row>
    <row r="673" spans="1:25" ht="15.75" customHeight="1">
      <c r="A673" s="135"/>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row>
    <row r="674" spans="1:25" ht="15.75" customHeight="1">
      <c r="A674" s="13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row>
    <row r="675" spans="1:25" ht="15.75" customHeight="1">
      <c r="A675" s="135"/>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row>
    <row r="676" spans="1:25" ht="15.75" customHeight="1">
      <c r="A676" s="135"/>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row>
    <row r="677" spans="1:25" ht="15.75" customHeight="1">
      <c r="A677" s="135"/>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row>
    <row r="678" spans="1:25" ht="15.75" customHeight="1">
      <c r="A678" s="13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row>
    <row r="679" spans="1:25" ht="15.75" customHeight="1">
      <c r="A679" s="13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row>
    <row r="680" spans="1:25" ht="15.75" customHeight="1">
      <c r="A680" s="13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row>
    <row r="681" spans="1:25" ht="15.75" customHeight="1">
      <c r="A681" s="135"/>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row>
    <row r="682" spans="1:25" ht="15.75" customHeight="1">
      <c r="A682" s="135"/>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row>
    <row r="683" spans="1:25" ht="15.75" customHeight="1">
      <c r="A683" s="135"/>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row>
    <row r="684" spans="1:25" ht="15.75" customHeight="1">
      <c r="A684" s="135"/>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row>
    <row r="685" spans="1:25" ht="15.75" customHeight="1">
      <c r="A685" s="135"/>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row>
    <row r="686" spans="1:25" ht="15.75" customHeight="1">
      <c r="A686" s="13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row>
    <row r="687" spans="1:25" ht="15.75" customHeight="1">
      <c r="A687" s="135"/>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row>
    <row r="688" spans="1:25" ht="15.75" customHeight="1">
      <c r="A688" s="135"/>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row>
    <row r="689" spans="1:25" ht="15.75" customHeight="1">
      <c r="A689" s="135"/>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row>
    <row r="690" spans="1:25" ht="15.75" customHeight="1">
      <c r="A690" s="13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row>
    <row r="691" spans="1:25" ht="15.75" customHeight="1">
      <c r="A691" s="13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row>
    <row r="692" spans="1:25" ht="15.75" customHeight="1">
      <c r="A692" s="13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row>
    <row r="693" spans="1:25" ht="15.75" customHeight="1">
      <c r="A693" s="13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row>
    <row r="694" spans="1:25" ht="15.75" customHeight="1">
      <c r="A694" s="135"/>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row>
    <row r="695" spans="1:25" ht="15.75" customHeight="1">
      <c r="A695" s="135"/>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row>
    <row r="696" spans="1:25" ht="15.75" customHeight="1">
      <c r="A696" s="135"/>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row>
    <row r="697" spans="1:25" ht="15.75" customHeight="1">
      <c r="A697" s="135"/>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row>
    <row r="698" spans="1:25" ht="15.75" customHeight="1">
      <c r="A698" s="135"/>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row>
    <row r="699" spans="1:25" ht="15.75" customHeight="1">
      <c r="A699" s="135"/>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row>
    <row r="700" spans="1:25" ht="15.75" customHeight="1">
      <c r="A700" s="13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row>
    <row r="701" spans="1:25" ht="15.75" customHeight="1">
      <c r="A701" s="135"/>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row>
    <row r="702" spans="1:25" ht="15.75" customHeight="1">
      <c r="A702" s="135"/>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row>
    <row r="703" spans="1:25" ht="15.75" customHeight="1">
      <c r="A703" s="135"/>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row>
    <row r="704" spans="1:25" ht="15.75" customHeight="1">
      <c r="A704" s="13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row>
    <row r="705" spans="1:25" ht="15.75" customHeight="1">
      <c r="A705" s="13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row>
    <row r="706" spans="1:25" ht="15.75" customHeight="1">
      <c r="A706" s="13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row>
    <row r="707" spans="1:25" ht="15.75" customHeight="1">
      <c r="A707" s="135"/>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row>
    <row r="708" spans="1:25" ht="15.75" customHeight="1">
      <c r="A708" s="135"/>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row>
    <row r="709" spans="1:25" ht="15.75" customHeight="1">
      <c r="A709" s="135"/>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row>
    <row r="710" spans="1:25" ht="15.75" customHeight="1">
      <c r="A710" s="135"/>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row>
    <row r="711" spans="1:25" ht="15.75" customHeight="1">
      <c r="A711" s="135"/>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row>
    <row r="712" spans="1:25" ht="15.75" customHeight="1">
      <c r="A712" s="135"/>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row>
    <row r="713" spans="1:25" ht="15.75" customHeight="1">
      <c r="A713" s="13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row>
    <row r="714" spans="1:25" ht="15.75" customHeight="1">
      <c r="A714" s="135"/>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row>
    <row r="715" spans="1:25" ht="15.75" customHeight="1">
      <c r="A715" s="135"/>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row>
    <row r="716" spans="1:25" ht="15.75" customHeight="1">
      <c r="A716" s="135"/>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row>
    <row r="717" spans="1:25" ht="15.75" customHeight="1">
      <c r="A717" s="13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row>
    <row r="718" spans="1:25" ht="15.75" customHeight="1">
      <c r="A718" s="13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row>
    <row r="719" spans="1:25" ht="15.75" customHeight="1">
      <c r="A719" s="13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row>
    <row r="720" spans="1:25" ht="15.75" customHeight="1">
      <c r="A720" s="13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row>
    <row r="721" spans="1:25" ht="15.75" customHeight="1">
      <c r="A721" s="135"/>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row>
    <row r="722" spans="1:25" ht="15.75" customHeight="1">
      <c r="A722" s="135"/>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row>
    <row r="723" spans="1:25" ht="15.75" customHeight="1">
      <c r="A723" s="135"/>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row>
    <row r="724" spans="1:25" ht="15.75" customHeight="1">
      <c r="A724" s="13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row>
    <row r="725" spans="1:25" ht="15.75" customHeight="1">
      <c r="A725" s="13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row>
    <row r="726" spans="1:25" ht="15.75" customHeight="1">
      <c r="A726" s="13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row>
    <row r="727" spans="1:25" ht="15.75" customHeight="1">
      <c r="A727" s="135"/>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row>
    <row r="728" spans="1:25" ht="15.75" customHeight="1">
      <c r="A728" s="135"/>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row>
    <row r="729" spans="1:25" ht="15.75" customHeight="1">
      <c r="A729" s="135"/>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row>
    <row r="730" spans="1:25" ht="15.75" customHeight="1">
      <c r="A730" s="135"/>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row>
    <row r="731" spans="1:25" ht="15.75" customHeight="1">
      <c r="A731" s="135"/>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row>
    <row r="732" spans="1:25" ht="15.75" customHeight="1">
      <c r="A732" s="135"/>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row>
    <row r="733" spans="1:25" ht="15.75" customHeight="1">
      <c r="A733" s="135"/>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row>
    <row r="734" spans="1:25" ht="15.75" customHeight="1">
      <c r="A734" s="135"/>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row>
    <row r="735" spans="1:25" ht="15.75" customHeight="1">
      <c r="A735" s="1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row>
    <row r="736" spans="1:25" ht="15.75" customHeight="1">
      <c r="A736" s="135"/>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row>
    <row r="737" spans="1:25" ht="15.75" customHeight="1">
      <c r="A737" s="135"/>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row>
    <row r="738" spans="1:25" ht="15.75" customHeight="1">
      <c r="A738" s="135"/>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row>
    <row r="739" spans="1:25" ht="15.75" customHeight="1">
      <c r="A739" s="135"/>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row>
    <row r="740" spans="1:25" ht="15.75" customHeight="1">
      <c r="A740" s="135"/>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row>
    <row r="741" spans="1:25" ht="15.75" customHeight="1">
      <c r="A741" s="135"/>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row>
    <row r="742" spans="1:25" ht="15.75" customHeight="1">
      <c r="A742" s="135"/>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row>
    <row r="743" spans="1:25" ht="15.75" customHeight="1">
      <c r="A743" s="135"/>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row>
    <row r="744" spans="1:25" ht="15.75" customHeight="1">
      <c r="A744" s="135"/>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row>
    <row r="745" spans="1:25" ht="15.75" customHeight="1">
      <c r="A745" s="13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row>
    <row r="746" spans="1:25" ht="15.75" customHeight="1">
      <c r="A746" s="135"/>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row>
    <row r="747" spans="1:25" ht="15.75" customHeight="1">
      <c r="A747" s="135"/>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row>
    <row r="748" spans="1:25" ht="15.75" customHeight="1">
      <c r="A748" s="135"/>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row>
    <row r="749" spans="1:25" ht="15.75" customHeight="1">
      <c r="A749" s="135"/>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row>
    <row r="750" spans="1:25" ht="15.75" customHeight="1">
      <c r="A750" s="135"/>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row>
    <row r="751" spans="1:25" ht="15.75" customHeight="1">
      <c r="A751" s="135"/>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row>
    <row r="752" spans="1:25" ht="15.75" customHeight="1">
      <c r="A752" s="135"/>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row>
    <row r="753" spans="1:25" ht="15.75" customHeight="1">
      <c r="A753" s="135"/>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row>
    <row r="754" spans="1:25" ht="15.75" customHeight="1">
      <c r="A754" s="135"/>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row>
    <row r="755" spans="1:25" ht="15.75" customHeight="1">
      <c r="A755" s="13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row>
    <row r="756" spans="1:25" ht="15.75" customHeight="1">
      <c r="A756" s="135"/>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row>
    <row r="757" spans="1:25" ht="15.75" customHeight="1">
      <c r="A757" s="135"/>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row>
    <row r="758" spans="1:25" ht="15.75" customHeight="1">
      <c r="A758" s="135"/>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row>
    <row r="759" spans="1:25" ht="15.75" customHeight="1">
      <c r="A759" s="135"/>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row>
    <row r="760" spans="1:25" ht="15.75" customHeight="1">
      <c r="A760" s="135"/>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row>
    <row r="761" spans="1:25" ht="15.75" customHeight="1">
      <c r="A761" s="135"/>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row>
    <row r="762" spans="1:25" ht="15.75" customHeight="1">
      <c r="A762" s="135"/>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row>
    <row r="763" spans="1:25" ht="15.75" customHeight="1">
      <c r="A763" s="135"/>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row>
    <row r="764" spans="1:25" ht="15.75" customHeight="1">
      <c r="A764" s="135"/>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row>
    <row r="765" spans="1:25" ht="15.75" customHeight="1">
      <c r="A765" s="13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row>
    <row r="766" spans="1:25" ht="15.75" customHeight="1">
      <c r="A766" s="135"/>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row>
    <row r="767" spans="1:25" ht="15.75" customHeight="1">
      <c r="A767" s="135"/>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row>
    <row r="768" spans="1:25" ht="15.75" customHeight="1">
      <c r="A768" s="135"/>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row>
    <row r="769" spans="1:25" ht="15.75" customHeight="1">
      <c r="A769" s="135"/>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row>
    <row r="770" spans="1:25" ht="15.75" customHeight="1">
      <c r="A770" s="135"/>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row>
    <row r="771" spans="1:25" ht="15.75" customHeight="1">
      <c r="A771" s="135"/>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row>
    <row r="772" spans="1:25" ht="15.75" customHeight="1">
      <c r="A772" s="135"/>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row>
    <row r="773" spans="1:25" ht="15.75" customHeight="1">
      <c r="A773" s="135"/>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row>
    <row r="774" spans="1:25" ht="15.75" customHeight="1">
      <c r="A774" s="135"/>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row>
    <row r="775" spans="1:25" ht="15.75" customHeight="1">
      <c r="A775" s="13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row>
    <row r="776" spans="1:25" ht="15.75" customHeight="1">
      <c r="A776" s="135"/>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row>
    <row r="777" spans="1:25" ht="15.75" customHeight="1">
      <c r="A777" s="135"/>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row>
    <row r="778" spans="1:25" ht="15.75" customHeight="1">
      <c r="A778" s="135"/>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row>
    <row r="779" spans="1:25" ht="15.75" customHeight="1">
      <c r="A779" s="135"/>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row>
    <row r="780" spans="1:25" ht="15.75" customHeight="1">
      <c r="A780" s="135"/>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row>
    <row r="781" spans="1:25" ht="15.75" customHeight="1">
      <c r="A781" s="135"/>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row>
    <row r="782" spans="1:25" ht="15.75" customHeight="1">
      <c r="A782" s="135"/>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row>
    <row r="783" spans="1:25" ht="15.75" customHeight="1">
      <c r="A783" s="135"/>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row>
    <row r="784" spans="1:25" ht="15.75" customHeight="1">
      <c r="A784" s="135"/>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row>
    <row r="785" spans="1:25" ht="15.75" customHeight="1">
      <c r="A785" s="13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row>
    <row r="786" spans="1:25" ht="15.75" customHeight="1">
      <c r="A786" s="135"/>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row>
    <row r="787" spans="1:25" ht="15.75" customHeight="1">
      <c r="A787" s="135"/>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row>
    <row r="788" spans="1:25" ht="15.75" customHeight="1">
      <c r="A788" s="135"/>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row>
    <row r="789" spans="1:25" ht="15.75" customHeight="1">
      <c r="A789" s="135"/>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row>
    <row r="790" spans="1:25" ht="15.75" customHeight="1">
      <c r="A790" s="135"/>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row>
    <row r="791" spans="1:25" ht="15.75" customHeight="1">
      <c r="A791" s="135"/>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row>
    <row r="792" spans="1:25" ht="15.75" customHeight="1">
      <c r="A792" s="135"/>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row>
    <row r="793" spans="1:25" ht="15.75" customHeight="1">
      <c r="A793" s="135"/>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row>
    <row r="794" spans="1:25" ht="15.75" customHeight="1">
      <c r="A794" s="135"/>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row>
    <row r="795" spans="1:25" ht="15.75" customHeight="1">
      <c r="A795" s="13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row>
    <row r="796" spans="1:25" ht="15.75" customHeight="1">
      <c r="A796" s="135"/>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row>
    <row r="797" spans="1:25" ht="15.75" customHeight="1">
      <c r="A797" s="135"/>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row>
    <row r="798" spans="1:25" ht="15.75" customHeight="1">
      <c r="A798" s="135"/>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row>
    <row r="799" spans="1:25" ht="15.75" customHeight="1">
      <c r="A799" s="135"/>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row>
    <row r="800" spans="1:25" ht="15.75" customHeight="1">
      <c r="A800" s="135"/>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row>
    <row r="801" spans="1:25" ht="15.75" customHeight="1">
      <c r="A801" s="135"/>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row>
    <row r="802" spans="1:25" ht="15.75" customHeight="1">
      <c r="A802" s="135"/>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row>
    <row r="803" spans="1:25" ht="15.75" customHeight="1">
      <c r="A803" s="135"/>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row>
    <row r="804" spans="1:25" ht="15.75" customHeight="1">
      <c r="A804" s="135"/>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row>
    <row r="805" spans="1:25" ht="15.75" customHeight="1">
      <c r="A805" s="13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row>
    <row r="806" spans="1:25" ht="15.75" customHeight="1">
      <c r="A806" s="135"/>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row>
    <row r="807" spans="1:25" ht="15.75" customHeight="1">
      <c r="A807" s="135"/>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row>
    <row r="808" spans="1:25" ht="15.75" customHeight="1">
      <c r="A808" s="135"/>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row>
    <row r="809" spans="1:25" ht="15.75" customHeight="1">
      <c r="A809" s="135"/>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row>
    <row r="810" spans="1:25" ht="15.75" customHeight="1">
      <c r="A810" s="135"/>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row>
    <row r="811" spans="1:25" ht="15.75" customHeight="1">
      <c r="A811" s="135"/>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row>
    <row r="812" spans="1:25" ht="15.75" customHeight="1">
      <c r="A812" s="135"/>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row>
    <row r="813" spans="1:25" ht="15.75" customHeight="1">
      <c r="A813" s="135"/>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row>
    <row r="814" spans="1:25" ht="15.75" customHeight="1">
      <c r="A814" s="135"/>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row>
    <row r="815" spans="1:25" ht="15.75" customHeight="1">
      <c r="A815" s="13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row>
    <row r="816" spans="1:25" ht="15.75" customHeight="1">
      <c r="A816" s="135"/>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row>
    <row r="817" spans="1:25" ht="15.75" customHeight="1">
      <c r="A817" s="135"/>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row>
    <row r="818" spans="1:25" ht="15.75" customHeight="1">
      <c r="A818" s="135"/>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row>
    <row r="819" spans="1:25" ht="15.75" customHeight="1">
      <c r="A819" s="135"/>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row>
    <row r="820" spans="1:25" ht="15.75" customHeight="1">
      <c r="A820" s="135"/>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row>
    <row r="821" spans="1:25" ht="15.75" customHeight="1">
      <c r="A821" s="135"/>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row>
    <row r="822" spans="1:25" ht="15.75" customHeight="1">
      <c r="A822" s="135"/>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row>
    <row r="823" spans="1:25" ht="15.75" customHeight="1">
      <c r="A823" s="135"/>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row>
    <row r="824" spans="1:25" ht="15.75" customHeight="1">
      <c r="A824" s="135"/>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row>
    <row r="825" spans="1:25" ht="15.75" customHeight="1">
      <c r="A825" s="13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row>
    <row r="826" spans="1:25" ht="15.75" customHeight="1">
      <c r="A826" s="135"/>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row>
    <row r="827" spans="1:25" ht="15.75" customHeight="1">
      <c r="A827" s="135"/>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row>
    <row r="828" spans="1:25" ht="15.75" customHeight="1">
      <c r="A828" s="135"/>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row>
    <row r="829" spans="1:25" ht="15.75" customHeight="1">
      <c r="A829" s="135"/>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row>
    <row r="830" spans="1:25" ht="15.75" customHeight="1">
      <c r="A830" s="135"/>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row>
    <row r="831" spans="1:25" ht="15.75" customHeight="1">
      <c r="A831" s="135"/>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row>
    <row r="832" spans="1:25" ht="15.75" customHeight="1">
      <c r="A832" s="135"/>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row>
    <row r="833" spans="1:25" ht="15.75" customHeight="1">
      <c r="A833" s="135"/>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row>
    <row r="834" spans="1:25" ht="15.75" customHeight="1">
      <c r="A834" s="135"/>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row>
    <row r="835" spans="1:25" ht="15.75" customHeight="1">
      <c r="A835" s="1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row>
    <row r="836" spans="1:25" ht="15.75" customHeight="1">
      <c r="A836" s="135"/>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row>
    <row r="837" spans="1:25" ht="15.75" customHeight="1">
      <c r="A837" s="135"/>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row>
    <row r="838" spans="1:25" ht="15.75" customHeight="1">
      <c r="A838" s="135"/>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row>
    <row r="839" spans="1:25" ht="15.75" customHeight="1">
      <c r="A839" s="135"/>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row>
    <row r="840" spans="1:25" ht="15.75" customHeight="1">
      <c r="A840" s="135"/>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row>
    <row r="841" spans="1:25" ht="15.75" customHeight="1">
      <c r="A841" s="135"/>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row>
    <row r="842" spans="1:25" ht="15.75" customHeight="1">
      <c r="A842" s="135"/>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row>
    <row r="843" spans="1:25" ht="15.75" customHeight="1">
      <c r="A843" s="135"/>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row>
    <row r="844" spans="1:25" ht="15.75" customHeight="1">
      <c r="A844" s="135"/>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row>
    <row r="845" spans="1:25" ht="15.75" customHeight="1">
      <c r="A845" s="13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row>
    <row r="846" spans="1:25" ht="15.75" customHeight="1">
      <c r="A846" s="135"/>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row>
    <row r="847" spans="1:25" ht="15.75" customHeight="1">
      <c r="A847" s="135"/>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row>
    <row r="848" spans="1:25" ht="15.75" customHeight="1">
      <c r="A848" s="135"/>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row>
    <row r="849" spans="1:25" ht="15.75" customHeight="1">
      <c r="A849" s="135"/>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row>
    <row r="850" spans="1:25" ht="15.75" customHeight="1">
      <c r="A850" s="135"/>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row>
    <row r="851" spans="1:25" ht="15.75" customHeight="1">
      <c r="A851" s="135"/>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row>
    <row r="852" spans="1:25" ht="15.75" customHeight="1">
      <c r="A852" s="135"/>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row>
    <row r="853" spans="1:25" ht="15.75" customHeight="1">
      <c r="A853" s="135"/>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row>
    <row r="854" spans="1:25" ht="15.75" customHeight="1">
      <c r="A854" s="135"/>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row>
    <row r="855" spans="1:25" ht="15.75" customHeight="1">
      <c r="A855" s="13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row>
    <row r="856" spans="1:25" ht="15.75" customHeight="1">
      <c r="A856" s="135"/>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row>
    <row r="857" spans="1:25" ht="15.75" customHeight="1">
      <c r="A857" s="135"/>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row>
    <row r="858" spans="1:25" ht="15.75" customHeight="1">
      <c r="A858" s="135"/>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row>
    <row r="859" spans="1:25" ht="15.75" customHeight="1">
      <c r="A859" s="135"/>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row>
    <row r="860" spans="1:25" ht="15.75" customHeight="1">
      <c r="A860" s="135"/>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row>
    <row r="861" spans="1:25" ht="15.75" customHeight="1">
      <c r="A861" s="135"/>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row>
    <row r="862" spans="1:25" ht="15.75" customHeight="1">
      <c r="A862" s="135"/>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row>
    <row r="863" spans="1:25" ht="15.75" customHeight="1">
      <c r="A863" s="135"/>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row>
    <row r="864" spans="1:25" ht="15.75" customHeight="1">
      <c r="A864" s="135"/>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row>
    <row r="865" spans="1:25" ht="15.75" customHeight="1">
      <c r="A865" s="13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row>
    <row r="866" spans="1:25" ht="15.75" customHeight="1">
      <c r="A866" s="135"/>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row>
    <row r="867" spans="1:25" ht="15.75" customHeight="1">
      <c r="A867" s="135"/>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row>
    <row r="868" spans="1:25" ht="15.75" customHeight="1">
      <c r="A868" s="135"/>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row>
    <row r="869" spans="1:25" ht="15.75" customHeight="1">
      <c r="A869" s="135"/>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row>
    <row r="870" spans="1:25" ht="15.75" customHeight="1">
      <c r="A870" s="135"/>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row>
    <row r="871" spans="1:25" ht="15.75" customHeight="1">
      <c r="A871" s="135"/>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row>
    <row r="872" spans="1:25" ht="15.75" customHeight="1">
      <c r="A872" s="135"/>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row>
    <row r="873" spans="1:25" ht="15.75" customHeight="1">
      <c r="A873" s="135"/>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row>
    <row r="874" spans="1:25" ht="15.75" customHeight="1">
      <c r="A874" s="135"/>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row>
    <row r="875" spans="1:25" ht="15.75" customHeight="1">
      <c r="A875" s="13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row>
    <row r="876" spans="1:25" ht="15.75" customHeight="1">
      <c r="A876" s="135"/>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row>
    <row r="877" spans="1:25" ht="15.75" customHeight="1">
      <c r="A877" s="135"/>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row>
    <row r="878" spans="1:25" ht="15.75" customHeight="1">
      <c r="A878" s="135"/>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row>
    <row r="879" spans="1:25" ht="15.75" customHeight="1">
      <c r="A879" s="135"/>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row>
    <row r="880" spans="1:25" ht="15.75" customHeight="1">
      <c r="A880" s="135"/>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row>
    <row r="881" spans="1:25" ht="15.75" customHeight="1">
      <c r="A881" s="135"/>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row>
    <row r="882" spans="1:25" ht="15.75" customHeight="1">
      <c r="A882" s="135"/>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row>
    <row r="883" spans="1:25" ht="15.75" customHeight="1">
      <c r="A883" s="135"/>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row>
    <row r="884" spans="1:25" ht="15.75" customHeight="1">
      <c r="A884" s="135"/>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row>
    <row r="885" spans="1:25" ht="15.75" customHeight="1">
      <c r="A885" s="13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row>
    <row r="886" spans="1:25" ht="15.75" customHeight="1">
      <c r="A886" s="135"/>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row>
    <row r="887" spans="1:25" ht="15.75" customHeight="1">
      <c r="A887" s="135"/>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row>
    <row r="888" spans="1:25" ht="15.75" customHeight="1">
      <c r="A888" s="135"/>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row>
    <row r="889" spans="1:25" ht="15.75" customHeight="1">
      <c r="A889" s="135"/>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row>
    <row r="890" spans="1:25" ht="15.75" customHeight="1">
      <c r="A890" s="135"/>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row>
    <row r="891" spans="1:25" ht="15.75" customHeight="1">
      <c r="A891" s="135"/>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row>
    <row r="892" spans="1:25" ht="15.75" customHeight="1">
      <c r="A892" s="135"/>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row>
    <row r="893" spans="1:25" ht="15.75" customHeight="1">
      <c r="A893" s="135"/>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row>
    <row r="894" spans="1:25" ht="15.75" customHeight="1">
      <c r="A894" s="135"/>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row>
    <row r="895" spans="1:25" ht="15.75" customHeight="1">
      <c r="A895" s="13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row>
    <row r="896" spans="1:25" ht="15.75" customHeight="1">
      <c r="A896" s="135"/>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row>
    <row r="897" spans="1:25" ht="15.75" customHeight="1">
      <c r="A897" s="135"/>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row>
    <row r="898" spans="1:25" ht="15.75" customHeight="1">
      <c r="A898" s="135"/>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row>
    <row r="899" spans="1:25" ht="15.75" customHeight="1">
      <c r="A899" s="135"/>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row>
    <row r="900" spans="1:25" ht="15.75" customHeight="1">
      <c r="A900" s="135"/>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row>
    <row r="901" spans="1:25" ht="15.75" customHeight="1">
      <c r="A901" s="135"/>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row>
    <row r="902" spans="1:25" ht="15.75" customHeight="1">
      <c r="A902" s="135"/>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row>
    <row r="903" spans="1:25" ht="15.75" customHeight="1">
      <c r="A903" s="135"/>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row>
    <row r="904" spans="1:25" ht="15.75" customHeight="1">
      <c r="A904" s="135"/>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row>
    <row r="905" spans="1:25" ht="15.75" customHeight="1">
      <c r="A905" s="13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row>
    <row r="906" spans="1:25" ht="15.75" customHeight="1">
      <c r="A906" s="135"/>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row>
    <row r="907" spans="1:25" ht="15.75" customHeight="1">
      <c r="A907" s="135"/>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row>
    <row r="908" spans="1:25" ht="15.75" customHeight="1">
      <c r="A908" s="135"/>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row>
    <row r="909" spans="1:25" ht="15.75" customHeight="1">
      <c r="A909" s="135"/>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row>
    <row r="910" spans="1:25" ht="15.75" customHeight="1">
      <c r="A910" s="135"/>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row>
    <row r="911" spans="1:25" ht="15.75" customHeight="1">
      <c r="A911" s="135"/>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row>
    <row r="912" spans="1:25" ht="15.75" customHeight="1">
      <c r="A912" s="135"/>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row>
    <row r="913" spans="1:25" ht="15.75" customHeight="1">
      <c r="A913" s="135"/>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row>
    <row r="914" spans="1:25" ht="15.75" customHeight="1">
      <c r="A914" s="135"/>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row>
    <row r="915" spans="1:25" ht="15.75" customHeight="1">
      <c r="A915" s="13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row>
    <row r="916" spans="1:25" ht="15.75" customHeight="1">
      <c r="A916" s="135"/>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row>
    <row r="917" spans="1:25" ht="15.75" customHeight="1">
      <c r="A917" s="135"/>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row>
    <row r="918" spans="1:25" ht="15.75" customHeight="1">
      <c r="A918" s="135"/>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row>
    <row r="919" spans="1:25" ht="15.75" customHeight="1">
      <c r="A919" s="135"/>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row>
    <row r="920" spans="1:25" ht="15.75" customHeight="1">
      <c r="A920" s="135"/>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row>
    <row r="921" spans="1:25" ht="15.75" customHeight="1">
      <c r="A921" s="135"/>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row>
    <row r="922" spans="1:25" ht="15.75" customHeight="1">
      <c r="A922" s="135"/>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row>
    <row r="923" spans="1:25" ht="15.75" customHeight="1">
      <c r="A923" s="135"/>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row>
    <row r="924" spans="1:25" ht="15.75" customHeight="1">
      <c r="A924" s="135"/>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row>
    <row r="925" spans="1:25" ht="15.75" customHeight="1">
      <c r="A925" s="13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row>
    <row r="926" spans="1:25" ht="15.75" customHeight="1">
      <c r="A926" s="135"/>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row>
    <row r="927" spans="1:25" ht="15.75" customHeight="1">
      <c r="A927" s="135"/>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row>
    <row r="928" spans="1:25" ht="15.75" customHeight="1">
      <c r="A928" s="135"/>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row>
    <row r="929" spans="1:25" ht="15.75" customHeight="1">
      <c r="A929" s="135"/>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row>
    <row r="930" spans="1:25" ht="15.75" customHeight="1">
      <c r="A930" s="135"/>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row>
    <row r="931" spans="1:25" ht="15.75" customHeight="1">
      <c r="A931" s="135"/>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row>
    <row r="932" spans="1:25" ht="15.75" customHeight="1">
      <c r="A932" s="135"/>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row>
    <row r="933" spans="1:25" ht="15.75" customHeight="1">
      <c r="A933" s="135"/>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row>
    <row r="934" spans="1:25" ht="15.75" customHeight="1">
      <c r="A934" s="135"/>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row>
    <row r="935" spans="1:25" ht="15.75" customHeight="1">
      <c r="A935" s="1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row>
    <row r="936" spans="1:25" ht="15.75" customHeight="1">
      <c r="A936" s="135"/>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row>
    <row r="937" spans="1:25" ht="15.75" customHeight="1">
      <c r="A937" s="135"/>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row>
    <row r="938" spans="1:25" ht="15.75" customHeight="1">
      <c r="A938" s="135"/>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row>
    <row r="939" spans="1:25" ht="15.75" customHeight="1">
      <c r="A939" s="135"/>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row>
    <row r="940" spans="1:25" ht="15.75" customHeight="1">
      <c r="A940" s="135"/>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row>
    <row r="941" spans="1:25" ht="15.75" customHeight="1">
      <c r="A941" s="135"/>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row>
    <row r="942" spans="1:25" ht="15.75" customHeight="1">
      <c r="A942" s="135"/>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row>
    <row r="943" spans="1:25" ht="15.75" customHeight="1">
      <c r="A943" s="135"/>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row>
    <row r="944" spans="1:25" ht="15.75" customHeight="1">
      <c r="A944" s="135"/>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row>
    <row r="945" spans="1:25" ht="15.75" customHeight="1">
      <c r="A945" s="135"/>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row>
    <row r="946" spans="1:25" ht="15.75" customHeight="1">
      <c r="A946" s="135"/>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row>
    <row r="947" spans="1:25" ht="15.75" customHeight="1">
      <c r="A947" s="135"/>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row>
    <row r="948" spans="1:25" ht="15.75" customHeight="1">
      <c r="A948" s="135"/>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row>
    <row r="949" spans="1:25" ht="15.75" customHeight="1">
      <c r="A949" s="135"/>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row>
    <row r="950" spans="1:25" ht="15.75" customHeight="1">
      <c r="A950" s="135"/>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row>
    <row r="951" spans="1:25" ht="15.75" customHeight="1">
      <c r="A951" s="135"/>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row>
    <row r="952" spans="1:25" ht="15.75" customHeight="1">
      <c r="A952" s="135"/>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row>
    <row r="953" spans="1:25" ht="15.75" customHeight="1">
      <c r="A953" s="135"/>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row>
    <row r="954" spans="1:25" ht="15.75" customHeight="1">
      <c r="A954" s="135"/>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row>
    <row r="955" spans="1:25" ht="15.75" customHeight="1">
      <c r="A955" s="135"/>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row>
    <row r="956" spans="1:25" ht="15.75" customHeight="1">
      <c r="A956" s="135"/>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row>
    <row r="957" spans="1:25" ht="15.75" customHeight="1">
      <c r="A957" s="135"/>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row>
    <row r="958" spans="1:25" ht="15.75" customHeight="1">
      <c r="A958" s="135"/>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row>
    <row r="959" spans="1:25" ht="15.75" customHeight="1">
      <c r="A959" s="135"/>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row>
    <row r="960" spans="1:25" ht="15.75" customHeight="1">
      <c r="A960" s="135"/>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row>
    <row r="961" spans="1:25" ht="15.75" customHeight="1">
      <c r="A961" s="135"/>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row>
    <row r="962" spans="1:25" ht="15.75" customHeight="1">
      <c r="A962" s="135"/>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row>
    <row r="963" spans="1:25" ht="15.75" customHeight="1">
      <c r="A963" s="135"/>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row>
    <row r="964" spans="1:25" ht="15.75" customHeight="1">
      <c r="A964" s="135"/>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row>
    <row r="965" spans="1:25" ht="15.75" customHeight="1">
      <c r="A965" s="135"/>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row>
    <row r="966" spans="1:25" ht="15.75" customHeight="1">
      <c r="A966" s="135"/>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row>
    <row r="967" spans="1:25" ht="15.75" customHeight="1">
      <c r="A967" s="135"/>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row>
    <row r="968" spans="1:25" ht="15.75" customHeight="1">
      <c r="A968" s="135"/>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row>
    <row r="969" spans="1:25" ht="15.75" customHeight="1">
      <c r="A969" s="135"/>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row>
    <row r="970" spans="1:25" ht="15.75" customHeight="1">
      <c r="A970" s="135"/>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row>
    <row r="971" spans="1:25" ht="15.75" customHeight="1">
      <c r="A971" s="135"/>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row>
    <row r="972" spans="1:25" ht="15.75" customHeight="1">
      <c r="A972" s="135"/>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row>
    <row r="973" spans="1:25" ht="15.75" customHeight="1">
      <c r="A973" s="135"/>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row>
    <row r="974" spans="1:25" ht="15.75" customHeight="1">
      <c r="A974" s="135"/>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row>
    <row r="975" spans="1:25" ht="15.75" customHeight="1">
      <c r="A975" s="135"/>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row>
    <row r="976" spans="1:25" ht="15.75" customHeight="1">
      <c r="A976" s="135"/>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row>
    <row r="977" spans="1:25" ht="15.75" customHeight="1">
      <c r="A977" s="135"/>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row>
    <row r="978" spans="1:25" ht="15.75" customHeight="1">
      <c r="A978" s="135"/>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row>
    <row r="979" spans="1:25" ht="15.75" customHeight="1">
      <c r="A979" s="135"/>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row>
    <row r="980" spans="1:25" ht="15.75" customHeight="1">
      <c r="A980" s="135"/>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row>
    <row r="981" spans="1:25" ht="15.75" customHeight="1">
      <c r="A981" s="135"/>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row>
    <row r="982" spans="1:25" ht="15.75" customHeight="1">
      <c r="A982" s="135"/>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row>
    <row r="983" spans="1:25" ht="15.75" customHeight="1">
      <c r="A983" s="135"/>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row>
    <row r="984" spans="1:25" ht="15.75" customHeight="1">
      <c r="A984" s="135"/>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row>
    <row r="985" spans="1:25" ht="15.75" customHeight="1">
      <c r="A985" s="135"/>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row>
    <row r="986" spans="1:25" ht="15.75" customHeight="1">
      <c r="A986" s="135"/>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row>
    <row r="987" spans="1:25" ht="15.75" customHeight="1">
      <c r="A987" s="135"/>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row>
    <row r="988" spans="1:25" ht="15.75" customHeight="1">
      <c r="A988" s="135"/>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row>
    <row r="989" spans="1:25" ht="15.75" customHeight="1">
      <c r="A989" s="135"/>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row>
    <row r="990" spans="1:25" ht="15.75" customHeight="1">
      <c r="A990" s="135"/>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row>
    <row r="991" spans="1:25" ht="15.75" customHeight="1">
      <c r="A991" s="135"/>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row>
    <row r="992" spans="1:25" ht="15.75" customHeight="1">
      <c r="A992" s="135"/>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row>
    <row r="993" spans="1:25" ht="15.75" customHeight="1">
      <c r="A993" s="135"/>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row>
    <row r="994" spans="1:25" ht="15.75" customHeight="1">
      <c r="A994" s="135"/>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row>
    <row r="995" spans="1:25" ht="15.75" customHeight="1">
      <c r="A995" s="135"/>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row>
    <row r="996" spans="1:25" ht="15.75" customHeight="1">
      <c r="A996" s="135"/>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row>
    <row r="997" spans="1:25" ht="15.75" customHeight="1">
      <c r="A997" s="135"/>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row>
    <row r="998" spans="1:25" ht="15.75" customHeight="1">
      <c r="A998" s="135"/>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row>
    <row r="999" spans="1:25" ht="15.75" customHeight="1">
      <c r="A999" s="135"/>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row>
    <row r="1000" spans="1:25" ht="15.75" customHeight="1">
      <c r="A1000" s="135"/>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row>
  </sheetData>
  <mergeCells count="2">
    <mergeCell ref="A5:B5"/>
    <mergeCell ref="A6:B6"/>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0"/>
  <sheetViews>
    <sheetView topLeftCell="A9" workbookViewId="0">
      <selection activeCell="A11" sqref="A11:F23"/>
    </sheetView>
  </sheetViews>
  <sheetFormatPr defaultColWidth="14.42578125" defaultRowHeight="15" customHeight="1"/>
  <cols>
    <col min="1" max="1" width="4.140625" customWidth="1"/>
    <col min="2" max="2" width="16.85546875" customWidth="1"/>
    <col min="3" max="3" width="22.85546875" customWidth="1"/>
    <col min="4" max="4" width="8.7109375" customWidth="1"/>
    <col min="5" max="5" width="36.140625" customWidth="1"/>
    <col min="6" max="26" width="8.7109375" customWidth="1"/>
  </cols>
  <sheetData>
    <row r="1" spans="1:6" ht="14.25" customHeight="1"/>
    <row r="2" spans="1:6" ht="14.25" customHeight="1">
      <c r="A2" s="154" t="s">
        <v>181</v>
      </c>
    </row>
    <row r="3" spans="1:6" ht="14.25" customHeight="1">
      <c r="A3" s="140">
        <v>1</v>
      </c>
      <c r="B3" s="154" t="s">
        <v>182</v>
      </c>
    </row>
    <row r="4" spans="1:6" ht="14.25" customHeight="1">
      <c r="A4" s="140">
        <v>2</v>
      </c>
      <c r="B4" s="154" t="s">
        <v>183</v>
      </c>
    </row>
    <row r="5" spans="1:6" ht="14.25" customHeight="1">
      <c r="A5" s="140">
        <v>3</v>
      </c>
      <c r="B5" s="154" t="s">
        <v>184</v>
      </c>
    </row>
    <row r="6" spans="1:6" ht="14.25" customHeight="1"/>
    <row r="7" spans="1:6" ht="14.25" customHeight="1"/>
    <row r="8" spans="1:6" ht="14.25" customHeight="1"/>
    <row r="9" spans="1:6" ht="14.25" customHeight="1"/>
    <row r="10" spans="1:6" ht="14.25" customHeight="1">
      <c r="A10" s="155" t="s">
        <v>185</v>
      </c>
      <c r="B10" s="155" t="s">
        <v>186</v>
      </c>
      <c r="C10" s="155" t="s">
        <v>187</v>
      </c>
      <c r="D10" s="155" t="s">
        <v>188</v>
      </c>
      <c r="E10" s="155" t="s">
        <v>189</v>
      </c>
      <c r="F10" s="155" t="s">
        <v>190</v>
      </c>
    </row>
    <row r="11" spans="1:6" ht="14.25" customHeight="1">
      <c r="A11" s="214">
        <v>1</v>
      </c>
      <c r="B11" s="214" t="s">
        <v>191</v>
      </c>
      <c r="C11" s="156" t="s">
        <v>192</v>
      </c>
      <c r="D11" s="156" t="s">
        <v>193</v>
      </c>
      <c r="E11" s="156" t="s">
        <v>194</v>
      </c>
      <c r="F11" s="156" t="s">
        <v>195</v>
      </c>
    </row>
    <row r="12" spans="1:6" ht="14.25" customHeight="1">
      <c r="A12" s="215"/>
      <c r="B12" s="215"/>
      <c r="C12" s="156" t="s">
        <v>196</v>
      </c>
      <c r="D12" s="156" t="s">
        <v>197</v>
      </c>
      <c r="E12" s="156" t="s">
        <v>194</v>
      </c>
      <c r="F12" s="156" t="s">
        <v>195</v>
      </c>
    </row>
    <row r="13" spans="1:6" ht="14.25" customHeight="1">
      <c r="A13" s="215"/>
      <c r="B13" s="215"/>
      <c r="C13" s="156" t="s">
        <v>198</v>
      </c>
      <c r="D13" s="156" t="s">
        <v>199</v>
      </c>
      <c r="E13" s="156" t="s">
        <v>194</v>
      </c>
      <c r="F13" s="156" t="s">
        <v>195</v>
      </c>
    </row>
    <row r="14" spans="1:6" ht="14.25" customHeight="1">
      <c r="A14" s="215"/>
      <c r="B14" s="215"/>
      <c r="C14" s="156" t="s">
        <v>200</v>
      </c>
      <c r="D14" s="156" t="s">
        <v>201</v>
      </c>
      <c r="E14" s="156" t="s">
        <v>202</v>
      </c>
      <c r="F14" s="156" t="s">
        <v>195</v>
      </c>
    </row>
    <row r="15" spans="1:6" ht="14.25" customHeight="1">
      <c r="A15" s="216"/>
      <c r="B15" s="216"/>
      <c r="C15" s="156" t="s">
        <v>200</v>
      </c>
      <c r="D15" s="156" t="s">
        <v>203</v>
      </c>
      <c r="E15" s="156" t="s">
        <v>204</v>
      </c>
      <c r="F15" s="156" t="s">
        <v>205</v>
      </c>
    </row>
    <row r="16" spans="1:6" ht="14.25" customHeight="1">
      <c r="A16" s="217">
        <v>2</v>
      </c>
      <c r="B16" s="217" t="s">
        <v>206</v>
      </c>
      <c r="C16" s="157" t="s">
        <v>200</v>
      </c>
      <c r="D16" s="157" t="s">
        <v>207</v>
      </c>
      <c r="E16" s="157" t="s">
        <v>204</v>
      </c>
      <c r="F16" s="157" t="s">
        <v>195</v>
      </c>
    </row>
    <row r="17" spans="1:6" ht="14.25" customHeight="1">
      <c r="A17" s="215"/>
      <c r="B17" s="215"/>
      <c r="C17" s="157" t="s">
        <v>200</v>
      </c>
      <c r="D17" s="158">
        <v>0.2</v>
      </c>
      <c r="E17" s="157" t="s">
        <v>208</v>
      </c>
      <c r="F17" s="157" t="s">
        <v>195</v>
      </c>
    </row>
    <row r="18" spans="1:6" ht="14.25" customHeight="1">
      <c r="A18" s="216"/>
      <c r="B18" s="216"/>
      <c r="C18" s="157" t="s">
        <v>200</v>
      </c>
      <c r="D18" s="157" t="s">
        <v>209</v>
      </c>
      <c r="E18" s="157" t="s">
        <v>210</v>
      </c>
      <c r="F18" s="157" t="s">
        <v>195</v>
      </c>
    </row>
    <row r="19" spans="1:6" ht="14.25" customHeight="1">
      <c r="A19" s="214">
        <v>3</v>
      </c>
      <c r="B19" s="214" t="s">
        <v>211</v>
      </c>
      <c r="C19" s="156" t="s">
        <v>200</v>
      </c>
      <c r="D19" s="156" t="s">
        <v>212</v>
      </c>
      <c r="E19" s="156" t="s">
        <v>204</v>
      </c>
      <c r="F19" s="156" t="s">
        <v>195</v>
      </c>
    </row>
    <row r="20" spans="1:6" ht="14.25" customHeight="1">
      <c r="A20" s="215"/>
      <c r="B20" s="215"/>
      <c r="C20" s="156" t="s">
        <v>200</v>
      </c>
      <c r="D20" s="159">
        <v>0.78</v>
      </c>
      <c r="E20" s="156" t="s">
        <v>213</v>
      </c>
      <c r="F20" s="156" t="s">
        <v>195</v>
      </c>
    </row>
    <row r="21" spans="1:6" ht="14.25" customHeight="1">
      <c r="A21" s="216"/>
      <c r="B21" s="216"/>
      <c r="C21" s="156" t="s">
        <v>200</v>
      </c>
      <c r="D21" s="159">
        <v>0.73</v>
      </c>
      <c r="E21" s="156" t="s">
        <v>214</v>
      </c>
      <c r="F21" s="156" t="s">
        <v>195</v>
      </c>
    </row>
    <row r="22" spans="1:6" ht="14.25" customHeight="1">
      <c r="A22" s="157">
        <v>4</v>
      </c>
      <c r="B22" s="157" t="s">
        <v>215</v>
      </c>
      <c r="C22" s="157" t="s">
        <v>216</v>
      </c>
      <c r="D22" s="160">
        <v>0.99990000000000001</v>
      </c>
      <c r="E22" s="157" t="s">
        <v>217</v>
      </c>
      <c r="F22" s="157" t="s">
        <v>218</v>
      </c>
    </row>
    <row r="23" spans="1:6" ht="14.25" customHeight="1">
      <c r="A23" s="156">
        <v>5</v>
      </c>
      <c r="B23" s="156" t="s">
        <v>219</v>
      </c>
      <c r="C23" s="156" t="s">
        <v>220</v>
      </c>
      <c r="D23" s="156" t="s">
        <v>195</v>
      </c>
      <c r="E23" s="156" t="s">
        <v>221</v>
      </c>
      <c r="F23" s="156" t="s">
        <v>195</v>
      </c>
    </row>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1:A15"/>
    <mergeCell ref="B11:B15"/>
    <mergeCell ref="A16:A18"/>
    <mergeCell ref="B16:B18"/>
    <mergeCell ref="A19:A21"/>
    <mergeCell ref="B19:B2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H37"/>
  <sheetViews>
    <sheetView topLeftCell="A6" workbookViewId="0">
      <selection activeCell="H10" sqref="H10"/>
    </sheetView>
  </sheetViews>
  <sheetFormatPr defaultColWidth="8.7109375" defaultRowHeight="16.5"/>
  <cols>
    <col min="1" max="1" width="3.42578125" style="163" customWidth="1"/>
    <col min="2" max="2" width="5.28515625" style="163" customWidth="1"/>
    <col min="3" max="3" width="24.5703125" style="163" customWidth="1"/>
    <col min="4" max="7" width="8.7109375" style="163"/>
    <col min="8" max="8" width="10.42578125" style="163" bestFit="1" customWidth="1"/>
    <col min="9" max="16384" width="8.7109375" style="163"/>
  </cols>
  <sheetData>
    <row r="3" spans="2:8" ht="17.25">
      <c r="B3" s="164" t="s">
        <v>253</v>
      </c>
    </row>
    <row r="4" spans="2:8" ht="17.25">
      <c r="B4" s="164" t="s">
        <v>254</v>
      </c>
    </row>
    <row r="5" spans="2:8" ht="17.25">
      <c r="B5" s="164" t="s">
        <v>255</v>
      </c>
    </row>
    <row r="7" spans="2:8">
      <c r="B7" s="163" t="s">
        <v>263</v>
      </c>
    </row>
    <row r="9" spans="2:8" s="174" customFormat="1" ht="14.25">
      <c r="B9" s="176" t="s">
        <v>256</v>
      </c>
      <c r="C9" s="176" t="s">
        <v>257</v>
      </c>
      <c r="D9" s="176">
        <v>2020</v>
      </c>
      <c r="E9" s="176">
        <v>2021</v>
      </c>
      <c r="F9" s="176">
        <v>2022</v>
      </c>
      <c r="G9" s="176">
        <v>2023</v>
      </c>
      <c r="H9" s="176">
        <v>2024</v>
      </c>
    </row>
    <row r="10" spans="2:8" s="166" customFormat="1" ht="14.25">
      <c r="B10" s="175">
        <v>1</v>
      </c>
      <c r="C10" s="171" t="s">
        <v>258</v>
      </c>
      <c r="D10" s="172">
        <v>29.96</v>
      </c>
      <c r="E10" s="172">
        <v>25.28</v>
      </c>
      <c r="F10" s="172">
        <v>28.45</v>
      </c>
      <c r="G10" s="172">
        <v>14.234999999999999</v>
      </c>
      <c r="H10" s="172">
        <f>25.745</f>
        <v>25.745000000000001</v>
      </c>
    </row>
    <row r="11" spans="2:8" s="166" customFormat="1" ht="14.25">
      <c r="B11" s="175">
        <v>2</v>
      </c>
      <c r="C11" s="171" t="s">
        <v>259</v>
      </c>
      <c r="D11" s="172">
        <v>0.437</v>
      </c>
      <c r="E11" s="172">
        <v>2.4300000000000002</v>
      </c>
      <c r="F11" s="173" t="s">
        <v>269</v>
      </c>
      <c r="G11" s="173" t="s">
        <v>269</v>
      </c>
      <c r="H11" s="173" t="s">
        <v>269</v>
      </c>
    </row>
    <row r="12" spans="2:8" s="166" customFormat="1" ht="14.25">
      <c r="B12" s="175">
        <v>3</v>
      </c>
      <c r="C12" s="171" t="s">
        <v>260</v>
      </c>
      <c r="D12" s="172">
        <v>2.2999999999999998</v>
      </c>
      <c r="E12" s="172">
        <v>3.25</v>
      </c>
      <c r="F12" s="173" t="s">
        <v>269</v>
      </c>
      <c r="G12" s="173" t="s">
        <v>269</v>
      </c>
      <c r="H12" s="173" t="s">
        <v>269</v>
      </c>
    </row>
    <row r="13" spans="2:8" s="166" customFormat="1" ht="14.25">
      <c r="B13" s="175">
        <v>4</v>
      </c>
      <c r="C13" s="171" t="s">
        <v>261</v>
      </c>
      <c r="D13" s="172">
        <v>0.23100000000000001</v>
      </c>
      <c r="E13" s="172">
        <v>0.24</v>
      </c>
      <c r="F13" s="173">
        <v>0.12989000000000001</v>
      </c>
      <c r="G13" s="173">
        <f>67.6/1000</f>
        <v>6.7599999999999993E-2</v>
      </c>
      <c r="H13" s="173">
        <f>19437/1000000</f>
        <v>1.9436999999999999E-2</v>
      </c>
    </row>
    <row r="14" spans="2:8" s="166" customFormat="1" ht="14.25">
      <c r="B14" s="175">
        <v>5</v>
      </c>
      <c r="C14" s="171" t="s">
        <v>262</v>
      </c>
      <c r="D14" s="172">
        <v>35.5</v>
      </c>
      <c r="E14" s="172">
        <v>69.010000000000005</v>
      </c>
      <c r="F14" s="173">
        <v>93.73</v>
      </c>
      <c r="G14" s="173">
        <v>175.6</v>
      </c>
      <c r="H14" s="173">
        <v>176.08</v>
      </c>
    </row>
    <row r="15" spans="2:8" s="166" customFormat="1" ht="14.25">
      <c r="B15" s="175">
        <v>6</v>
      </c>
      <c r="C15" s="171" t="s">
        <v>220</v>
      </c>
      <c r="D15" s="172">
        <v>26</v>
      </c>
      <c r="E15" s="172">
        <v>21.5</v>
      </c>
      <c r="F15" s="173" t="s">
        <v>269</v>
      </c>
      <c r="G15" s="173" t="s">
        <v>269</v>
      </c>
      <c r="H15" s="173" t="s">
        <v>269</v>
      </c>
    </row>
    <row r="16" spans="2:8" s="166" customFormat="1" ht="14.25"/>
    <row r="17" spans="2:8" s="166" customFormat="1" ht="14.25"/>
    <row r="18" spans="2:8">
      <c r="B18" s="163" t="s">
        <v>264</v>
      </c>
    </row>
    <row r="20" spans="2:8">
      <c r="B20" s="165" t="s">
        <v>256</v>
      </c>
      <c r="C20" s="165" t="s">
        <v>257</v>
      </c>
      <c r="D20" s="165">
        <v>2020</v>
      </c>
      <c r="E20" s="165">
        <v>2021</v>
      </c>
      <c r="F20" s="165">
        <v>2022</v>
      </c>
      <c r="G20" s="165">
        <v>2023</v>
      </c>
      <c r="H20" s="165">
        <v>2024</v>
      </c>
    </row>
    <row r="21" spans="2:8" s="166" customFormat="1" ht="14.25">
      <c r="B21" s="166">
        <v>1</v>
      </c>
      <c r="C21" s="166" t="s">
        <v>258</v>
      </c>
      <c r="D21" s="167">
        <v>29.2</v>
      </c>
      <c r="E21" s="167">
        <v>26.08</v>
      </c>
      <c r="F21" s="167">
        <v>27.68</v>
      </c>
      <c r="G21" s="167">
        <v>16.516999999999999</v>
      </c>
      <c r="H21" s="167">
        <v>26.024000000000001</v>
      </c>
    </row>
    <row r="22" spans="2:8" s="166" customFormat="1" ht="14.25">
      <c r="B22" s="166">
        <v>2</v>
      </c>
      <c r="C22" s="166" t="s">
        <v>259</v>
      </c>
      <c r="D22" s="167">
        <v>0.1716</v>
      </c>
      <c r="E22" s="167">
        <v>2.25</v>
      </c>
      <c r="F22" s="168" t="s">
        <v>265</v>
      </c>
      <c r="G22" s="168" t="s">
        <v>265</v>
      </c>
      <c r="H22" s="168" t="s">
        <v>265</v>
      </c>
    </row>
    <row r="23" spans="2:8" s="166" customFormat="1" ht="14.25">
      <c r="B23" s="166">
        <v>3</v>
      </c>
      <c r="C23" s="166" t="s">
        <v>260</v>
      </c>
      <c r="D23" s="167">
        <v>0.92700000000000005</v>
      </c>
      <c r="E23" s="167">
        <v>1</v>
      </c>
      <c r="F23" s="168" t="s">
        <v>265</v>
      </c>
      <c r="G23" s="168" t="s">
        <v>265</v>
      </c>
      <c r="H23" s="168" t="s">
        <v>265</v>
      </c>
    </row>
    <row r="24" spans="2:8" s="166" customFormat="1" ht="14.25">
      <c r="B24" s="166">
        <v>4</v>
      </c>
      <c r="C24" s="166" t="s">
        <v>261</v>
      </c>
      <c r="D24" s="167">
        <v>0.17760000000000001</v>
      </c>
      <c r="E24" s="167">
        <v>0.11</v>
      </c>
      <c r="F24" s="168">
        <v>0.11849999999999999</v>
      </c>
      <c r="G24" s="168">
        <f>67.56/1000</f>
        <v>6.7560000000000009E-2</v>
      </c>
      <c r="H24" s="168">
        <f>H13</f>
        <v>1.9436999999999999E-2</v>
      </c>
    </row>
    <row r="25" spans="2:8" s="166" customFormat="1" ht="14.25">
      <c r="B25" s="166">
        <v>5</v>
      </c>
      <c r="C25" s="166" t="s">
        <v>262</v>
      </c>
      <c r="D25" s="167">
        <v>33.299999999999997</v>
      </c>
      <c r="E25" s="167">
        <v>28.52</v>
      </c>
      <c r="F25" s="168">
        <v>18.14</v>
      </c>
      <c r="G25" s="168">
        <v>175.62</v>
      </c>
      <c r="H25" s="168">
        <f>H14</f>
        <v>176.08</v>
      </c>
    </row>
    <row r="26" spans="2:8" s="166" customFormat="1" ht="14.25">
      <c r="B26" s="166">
        <v>6</v>
      </c>
      <c r="C26" s="166" t="s">
        <v>220</v>
      </c>
      <c r="D26" s="167">
        <v>3.4</v>
      </c>
      <c r="E26" s="167">
        <v>3.19</v>
      </c>
      <c r="F26" s="168" t="s">
        <v>265</v>
      </c>
      <c r="G26" s="168" t="s">
        <v>265</v>
      </c>
      <c r="H26" s="168" t="s">
        <v>265</v>
      </c>
    </row>
    <row r="27" spans="2:8" s="166" customFormat="1" ht="14.25"/>
    <row r="29" spans="2:8">
      <c r="B29" s="163" t="s">
        <v>268</v>
      </c>
    </row>
    <row r="31" spans="2:8">
      <c r="B31" s="165" t="s">
        <v>256</v>
      </c>
      <c r="C31" s="165" t="s">
        <v>257</v>
      </c>
      <c r="D31" s="165">
        <v>2020</v>
      </c>
      <c r="E31" s="165">
        <v>2021</v>
      </c>
      <c r="F31" s="165">
        <v>2022</v>
      </c>
      <c r="G31" s="165">
        <v>2023</v>
      </c>
      <c r="H31" s="165">
        <v>2024</v>
      </c>
    </row>
    <row r="32" spans="2:8">
      <c r="B32" s="166">
        <v>1</v>
      </c>
      <c r="C32" s="166" t="s">
        <v>258</v>
      </c>
      <c r="D32" s="167">
        <f>IFERROR(D21/D10,"")</f>
        <v>0.97463284379172221</v>
      </c>
      <c r="E32" s="167">
        <f t="shared" ref="E32:F32" si="0">IFERROR(E21/E10,"")</f>
        <v>1.0316455696202531</v>
      </c>
      <c r="F32" s="167">
        <f t="shared" si="0"/>
        <v>0.97293497363796133</v>
      </c>
      <c r="G32" s="167">
        <f t="shared" ref="G32" si="1">IFERROR(G21/G10,"")</f>
        <v>1.1603090972953987</v>
      </c>
      <c r="H32" s="167">
        <f>IFERROR(H21/H10,"")</f>
        <v>1.0108370557389785</v>
      </c>
    </row>
    <row r="33" spans="2:8">
      <c r="B33" s="166">
        <v>2</v>
      </c>
      <c r="C33" s="166" t="s">
        <v>259</v>
      </c>
      <c r="D33" s="167">
        <f t="shared" ref="D33:F33" si="2">IFERROR(D22/D11,"")</f>
        <v>0.39267734553775746</v>
      </c>
      <c r="E33" s="167">
        <f t="shared" si="2"/>
        <v>0.92592592592592582</v>
      </c>
      <c r="F33" s="168" t="str">
        <f t="shared" si="2"/>
        <v/>
      </c>
      <c r="G33" s="168" t="str">
        <f t="shared" ref="G33:H33" si="3">IFERROR(G22/G11,"")</f>
        <v/>
      </c>
      <c r="H33" s="168" t="str">
        <f t="shared" si="3"/>
        <v/>
      </c>
    </row>
    <row r="34" spans="2:8">
      <c r="B34" s="166">
        <v>3</v>
      </c>
      <c r="C34" s="166" t="s">
        <v>260</v>
      </c>
      <c r="D34" s="167">
        <f t="shared" ref="D34:F34" si="4">IFERROR(D23/D12,"")</f>
        <v>0.40304347826086961</v>
      </c>
      <c r="E34" s="167">
        <f t="shared" si="4"/>
        <v>0.30769230769230771</v>
      </c>
      <c r="F34" s="168" t="str">
        <f t="shared" si="4"/>
        <v/>
      </c>
      <c r="G34" s="168" t="str">
        <f t="shared" ref="G34:H34" si="5">IFERROR(G23/G12,"")</f>
        <v/>
      </c>
      <c r="H34" s="168" t="str">
        <f t="shared" si="5"/>
        <v/>
      </c>
    </row>
    <row r="35" spans="2:8">
      <c r="B35" s="166">
        <v>4</v>
      </c>
      <c r="C35" s="166" t="s">
        <v>261</v>
      </c>
      <c r="D35" s="167">
        <f t="shared" ref="D35:F35" si="6">IFERROR(D24/D13,"")</f>
        <v>0.76883116883116887</v>
      </c>
      <c r="E35" s="167">
        <f t="shared" si="6"/>
        <v>0.45833333333333337</v>
      </c>
      <c r="F35" s="168">
        <f t="shared" si="6"/>
        <v>0.91231041650627442</v>
      </c>
      <c r="G35" s="168">
        <f t="shared" ref="G35:H35" si="7">IFERROR(G24/G13,"")</f>
        <v>0.99940828402366888</v>
      </c>
      <c r="H35" s="168">
        <f t="shared" si="7"/>
        <v>1</v>
      </c>
    </row>
    <row r="36" spans="2:8">
      <c r="B36" s="166">
        <v>5</v>
      </c>
      <c r="C36" s="166" t="s">
        <v>262</v>
      </c>
      <c r="D36" s="167">
        <f t="shared" ref="D36:F36" si="8">IFERROR(D25/D14,"")</f>
        <v>0.93802816901408448</v>
      </c>
      <c r="E36" s="167">
        <f t="shared" si="8"/>
        <v>0.41327343863208227</v>
      </c>
      <c r="F36" s="168">
        <f t="shared" si="8"/>
        <v>0.19353462071908673</v>
      </c>
      <c r="G36" s="168">
        <f t="shared" ref="G36:H36" si="9">IFERROR(G25/G14,"")</f>
        <v>1.000113895216401</v>
      </c>
      <c r="H36" s="168">
        <f t="shared" si="9"/>
        <v>1</v>
      </c>
    </row>
    <row r="37" spans="2:8">
      <c r="B37" s="166">
        <v>6</v>
      </c>
      <c r="C37" s="166" t="s">
        <v>220</v>
      </c>
      <c r="D37" s="167">
        <f t="shared" ref="D37:F37" si="10">IFERROR(D26/D15,"")</f>
        <v>0.13076923076923078</v>
      </c>
      <c r="E37" s="167">
        <f t="shared" si="10"/>
        <v>0.14837209302325582</v>
      </c>
      <c r="F37" s="168" t="str">
        <f t="shared" si="10"/>
        <v/>
      </c>
      <c r="G37" s="168" t="str">
        <f t="shared" ref="G37:H37" si="11">IFERROR(G26/G15,"")</f>
        <v/>
      </c>
      <c r="H37" s="168" t="str">
        <f t="shared" si="11"/>
        <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000"/>
  <sheetViews>
    <sheetView workbookViewId="0">
      <selection activeCell="B5" sqref="B5:D14"/>
    </sheetView>
  </sheetViews>
  <sheetFormatPr defaultColWidth="14.42578125" defaultRowHeight="15" customHeight="1"/>
  <cols>
    <col min="1" max="1" width="8.7109375" customWidth="1"/>
    <col min="2" max="2" width="33.5703125" customWidth="1"/>
    <col min="3" max="3" width="34.5703125" customWidth="1"/>
    <col min="4" max="4" width="36.28515625" customWidth="1"/>
    <col min="5" max="26" width="8.7109375" customWidth="1"/>
  </cols>
  <sheetData>
    <row r="1" spans="1:4" ht="14.25" customHeight="1"/>
    <row r="2" spans="1:4" ht="14.25" customHeight="1">
      <c r="A2" s="154" t="s">
        <v>222</v>
      </c>
    </row>
    <row r="3" spans="1:4" ht="14.25" customHeight="1"/>
    <row r="4" spans="1:4" ht="14.25" customHeight="1">
      <c r="A4" s="154" t="s">
        <v>223</v>
      </c>
      <c r="B4" s="154" t="s">
        <v>224</v>
      </c>
      <c r="C4" s="154" t="s">
        <v>225</v>
      </c>
      <c r="D4" s="154" t="s">
        <v>226</v>
      </c>
    </row>
    <row r="5" spans="1:4" ht="14.25" customHeight="1">
      <c r="A5" s="154" t="s">
        <v>227</v>
      </c>
      <c r="B5" s="154">
        <v>43.32</v>
      </c>
      <c r="C5" s="154">
        <v>81.93</v>
      </c>
      <c r="D5" s="161">
        <f t="shared" ref="D5:D14" si="0">B5/C5*100</f>
        <v>52.874404979860856</v>
      </c>
    </row>
    <row r="6" spans="1:4" ht="14.25" customHeight="1">
      <c r="A6" s="154" t="s">
        <v>228</v>
      </c>
      <c r="B6" s="154">
        <v>1.04</v>
      </c>
      <c r="C6" s="154">
        <v>3.33</v>
      </c>
      <c r="D6" s="161">
        <f t="shared" si="0"/>
        <v>31.231231231231231</v>
      </c>
    </row>
    <row r="7" spans="1:4" ht="14.25" customHeight="1">
      <c r="A7" s="154" t="s">
        <v>200</v>
      </c>
      <c r="B7" s="154">
        <v>1.83</v>
      </c>
      <c r="C7" s="154">
        <v>23.45</v>
      </c>
      <c r="D7" s="161">
        <f t="shared" si="0"/>
        <v>7.8038379530916844</v>
      </c>
    </row>
    <row r="8" spans="1:4" ht="14.25" customHeight="1">
      <c r="A8" s="154" t="s">
        <v>229</v>
      </c>
      <c r="B8" s="154">
        <v>11.86</v>
      </c>
      <c r="C8" s="154">
        <v>16.52</v>
      </c>
      <c r="D8" s="161">
        <f t="shared" si="0"/>
        <v>71.791767554479406</v>
      </c>
    </row>
    <row r="9" spans="1:4" ht="14.25" customHeight="1">
      <c r="A9" s="154" t="s">
        <v>230</v>
      </c>
      <c r="B9" s="154">
        <v>8.34</v>
      </c>
      <c r="C9" s="154">
        <v>14.5</v>
      </c>
      <c r="D9" s="161">
        <f t="shared" si="0"/>
        <v>57.517241379310349</v>
      </c>
    </row>
    <row r="10" spans="1:4" ht="14.25" customHeight="1">
      <c r="A10" s="154" t="s">
        <v>231</v>
      </c>
      <c r="B10" s="154">
        <v>0.24</v>
      </c>
      <c r="C10" s="154">
        <v>0.33</v>
      </c>
      <c r="D10" s="161">
        <f t="shared" si="0"/>
        <v>72.72727272727272</v>
      </c>
    </row>
    <row r="11" spans="1:4" ht="14.25" customHeight="1">
      <c r="A11" s="154" t="s">
        <v>232</v>
      </c>
      <c r="B11" s="154">
        <v>2.1000000000000001E-4</v>
      </c>
      <c r="C11" s="154">
        <v>6.6299999999999998E-2</v>
      </c>
      <c r="D11" s="161">
        <f t="shared" si="0"/>
        <v>0.31674208144796379</v>
      </c>
    </row>
    <row r="12" spans="1:4" ht="14.25" customHeight="1">
      <c r="A12" s="154" t="s">
        <v>233</v>
      </c>
      <c r="B12" s="154">
        <v>18.98</v>
      </c>
      <c r="C12" s="154">
        <v>67.55</v>
      </c>
      <c r="D12" s="161">
        <f t="shared" si="0"/>
        <v>28.097705403404888</v>
      </c>
    </row>
    <row r="13" spans="1:4" ht="14.25" customHeight="1">
      <c r="A13" s="154" t="s">
        <v>234</v>
      </c>
      <c r="B13" s="154">
        <v>3.4000000000000002E-2</v>
      </c>
      <c r="C13" s="154">
        <v>2.552</v>
      </c>
      <c r="D13" s="161">
        <f t="shared" si="0"/>
        <v>1.3322884012539185</v>
      </c>
    </row>
    <row r="14" spans="1:4" ht="14.25" customHeight="1">
      <c r="A14" s="154" t="s">
        <v>235</v>
      </c>
      <c r="B14" s="154">
        <v>1.5E-3</v>
      </c>
      <c r="C14" s="154">
        <v>0.37440000000000001</v>
      </c>
      <c r="D14" s="161">
        <f t="shared" si="0"/>
        <v>0.40064102564102561</v>
      </c>
    </row>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5:D20"/>
  <sheetViews>
    <sheetView workbookViewId="0">
      <selection activeCell="D7" sqref="D7"/>
    </sheetView>
  </sheetViews>
  <sheetFormatPr defaultColWidth="14.42578125" defaultRowHeight="15" customHeight="1"/>
  <sheetData>
    <row r="5" spans="2:4" ht="15" customHeight="1">
      <c r="B5" s="154" t="s">
        <v>236</v>
      </c>
    </row>
    <row r="7" spans="2:4" ht="15" customHeight="1">
      <c r="C7" s="154">
        <v>2020</v>
      </c>
      <c r="D7" s="154">
        <v>2021</v>
      </c>
    </row>
    <row r="8" spans="2:4" ht="15" customHeight="1">
      <c r="B8" s="154" t="s">
        <v>237</v>
      </c>
      <c r="C8" s="162">
        <v>13875.68</v>
      </c>
      <c r="D8" s="162">
        <v>16541.57</v>
      </c>
    </row>
    <row r="9" spans="2:4" ht="15" customHeight="1">
      <c r="B9" s="154" t="s">
        <v>238</v>
      </c>
      <c r="C9" s="162">
        <v>14029.72</v>
      </c>
      <c r="D9" s="162">
        <v>17434.05</v>
      </c>
    </row>
    <row r="10" spans="2:4" ht="15" customHeight="1">
      <c r="B10" s="154" t="s">
        <v>239</v>
      </c>
      <c r="C10" s="162">
        <v>12994.57</v>
      </c>
      <c r="D10" s="162">
        <v>18210.39</v>
      </c>
    </row>
    <row r="11" spans="2:4" ht="15" customHeight="1">
      <c r="B11" s="154" t="s">
        <v>240</v>
      </c>
      <c r="C11" s="162">
        <v>12301.19</v>
      </c>
      <c r="D11" s="162">
        <v>17251.599999999999</v>
      </c>
    </row>
    <row r="12" spans="2:4" ht="15" customHeight="1">
      <c r="B12" s="154" t="s">
        <v>241</v>
      </c>
      <c r="C12" s="162">
        <v>11347.68</v>
      </c>
      <c r="D12" s="162">
        <v>16301.95</v>
      </c>
    </row>
    <row r="13" spans="2:4" ht="15" customHeight="1">
      <c r="B13" s="154" t="s">
        <v>242</v>
      </c>
      <c r="C13" s="162">
        <v>12085.1</v>
      </c>
      <c r="D13" s="162">
        <v>17322.48</v>
      </c>
    </row>
    <row r="14" spans="2:4" ht="15" customHeight="1">
      <c r="B14" s="154" t="s">
        <v>243</v>
      </c>
      <c r="C14" s="162">
        <v>12595.68</v>
      </c>
      <c r="D14" s="162">
        <v>17650.95</v>
      </c>
    </row>
    <row r="15" spans="2:4" ht="15" customHeight="1">
      <c r="B15" s="154" t="s">
        <v>244</v>
      </c>
      <c r="C15" s="162">
        <v>13004.6</v>
      </c>
      <c r="D15" s="162">
        <v>18356.86</v>
      </c>
    </row>
    <row r="16" spans="2:4" ht="15" customHeight="1">
      <c r="B16" s="154" t="s">
        <v>245</v>
      </c>
      <c r="C16" s="162">
        <v>13921.87</v>
      </c>
      <c r="D16" s="162">
        <v>19239.259999999998</v>
      </c>
    </row>
    <row r="17" spans="2:4" ht="15" customHeight="1">
      <c r="B17" s="154" t="s">
        <v>246</v>
      </c>
      <c r="C17" s="162">
        <v>15059.57</v>
      </c>
      <c r="D17" s="162">
        <v>19499.7</v>
      </c>
    </row>
    <row r="18" spans="2:4" ht="15" customHeight="1">
      <c r="B18" s="154" t="s">
        <v>247</v>
      </c>
      <c r="C18" s="162">
        <v>14732.1</v>
      </c>
      <c r="D18" s="162">
        <v>18951.82</v>
      </c>
    </row>
    <row r="19" spans="2:4" ht="15" customHeight="1">
      <c r="B19" s="154" t="s">
        <v>248</v>
      </c>
      <c r="C19" s="162">
        <v>15646.7</v>
      </c>
      <c r="D19" s="162">
        <v>19829.349999999999</v>
      </c>
    </row>
    <row r="20" spans="2:4" ht="15" customHeight="1">
      <c r="C20" s="162">
        <f t="shared" ref="C20:D20" si="0">AVERAGE(C8:C19)</f>
        <v>13466.205000000002</v>
      </c>
      <c r="D20" s="162">
        <f t="shared" si="0"/>
        <v>18049.165000000001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Home</vt:lpstr>
      <vt:lpstr>Oil</vt:lpstr>
      <vt:lpstr>Gas</vt:lpstr>
      <vt:lpstr>Coal</vt:lpstr>
      <vt:lpstr>Gold</vt:lpstr>
      <vt:lpstr>Silver</vt:lpstr>
      <vt:lpstr>Copper</vt:lpstr>
      <vt:lpstr>Tin</vt:lpstr>
      <vt:lpstr>Nickel</vt:lpstr>
      <vt:lpstr>Bauxite</vt:lpstr>
      <vt:lpstr>Bond</vt:lpstr>
      <vt:lpstr>Notes</vt:lpstr>
      <vt:lpstr>Lakin</vt:lpstr>
      <vt:lpstr>Conversion Factor</vt:lpstr>
      <vt:lpstr>Harga Acuan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Oyu</dc:creator>
  <cp:lastModifiedBy>Dela Maria Ard</cp:lastModifiedBy>
  <dcterms:created xsi:type="dcterms:W3CDTF">2019-11-18T07:10:47Z</dcterms:created>
  <dcterms:modified xsi:type="dcterms:W3CDTF">2025-11-10T08:40:44Z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0x0101003DAEBC88C1536440958D954AEF4EE294</vt:lpwstr>
  </property>
</Properties>
</file>